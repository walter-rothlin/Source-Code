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8800" windowHeight="14235" firstSheet="9" activeTab="9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  <sheet name="21_22_Semesterprogramm_M242" sheetId="13" r:id="rId13"/>
  </sheets>
  <functionGroups builtInGroupCount="18"/>
  <externalReferences>
    <externalReference r:id="rId14"/>
    <externalReference r:id="rId15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>#REF!</definedName>
    <definedName name="yyy" localSheetId="11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B6" i="13"/>
  <c r="B7" i="13"/>
  <c r="B8" i="13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31" i="12" l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6" i="9"/>
  <c r="B24" i="9"/>
  <c r="B6" i="8"/>
  <c r="B25" i="8"/>
  <c r="B10" i="9"/>
  <c r="B23" i="8"/>
  <c r="B26" i="8"/>
  <c r="B13" i="8"/>
  <c r="B24" i="8"/>
  <c r="B26" i="9"/>
  <c r="B18" i="9"/>
  <c r="B6" i="9"/>
  <c r="B18" i="8"/>
  <c r="B15" i="9"/>
  <c r="B27" i="9"/>
  <c r="B5" i="9"/>
  <c r="B21" i="9"/>
  <c r="B7" i="9"/>
  <c r="B10" i="8"/>
  <c r="B19" i="8"/>
  <c r="B7" i="8"/>
  <c r="B17" i="8"/>
  <c r="B22" i="8"/>
  <c r="B5" i="8"/>
  <c r="B8" i="8"/>
  <c r="B15" i="8"/>
  <c r="B4" i="8"/>
  <c r="B25" i="9"/>
  <c r="B27" i="8"/>
  <c r="B21" i="8"/>
  <c r="B14" i="8"/>
  <c r="B19" i="9"/>
  <c r="B12" i="9"/>
  <c r="B22" i="9"/>
  <c r="B8" i="9"/>
  <c r="B11" i="9"/>
  <c r="B20" i="9"/>
  <c r="B20" i="8"/>
  <c r="B9" i="9"/>
  <c r="B9" i="8"/>
  <c r="B16" i="8"/>
  <c r="B11" i="8"/>
  <c r="B12" i="8"/>
  <c r="B4" i="9"/>
  <c r="B13" i="9"/>
  <c r="B14" i="9"/>
  <c r="B17" i="9"/>
  <c r="B23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10" i="2"/>
  <c r="B15" i="2"/>
  <c r="B7" i="2"/>
  <c r="B16" i="2"/>
  <c r="B18" i="2"/>
  <c r="B24" i="3"/>
  <c r="B21" i="2"/>
  <c r="B11" i="3"/>
  <c r="B4" i="3"/>
  <c r="B21" i="3"/>
  <c r="B8" i="3"/>
  <c r="B20" i="3"/>
  <c r="B17" i="2"/>
  <c r="B13" i="3"/>
  <c r="B25" i="3"/>
  <c r="B27" i="2"/>
  <c r="B8" i="2"/>
  <c r="B7" i="3"/>
  <c r="B5" i="3"/>
  <c r="B25" i="2"/>
  <c r="B27" i="3"/>
  <c r="B23" i="3"/>
  <c r="B19" i="2"/>
  <c r="B18" i="3"/>
  <c r="B22" i="3"/>
  <c r="B22" i="2"/>
  <c r="B4" i="2"/>
  <c r="B26" i="3"/>
  <c r="B11" i="2"/>
  <c r="B13" i="2"/>
  <c r="B17" i="3"/>
  <c r="B16" i="3"/>
  <c r="B15" i="3"/>
  <c r="B12" i="2"/>
  <c r="B23" i="2"/>
  <c r="B14" i="3"/>
  <c r="B14" i="2"/>
  <c r="B6" i="2"/>
  <c r="B5" i="2"/>
  <c r="B26" i="2"/>
  <c r="B6" i="3"/>
  <c r="B12" i="3"/>
  <c r="B20" i="2"/>
  <c r="B9" i="2"/>
  <c r="B9" i="3"/>
  <c r="B24" i="2"/>
  <c r="B10" i="3"/>
  <c r="B19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<sst xmlns="http://schemas.openxmlformats.org/spreadsheetml/2006/main" count="542" uniqueCount="198">
  <si>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</si>
  <si>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</si>
  <si>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</si>
  <si>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</si>
  <si>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</si>
  <si>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</si>
  <si>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</si>
  <si>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</si>
  <si>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</si>
  <si>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</si>
  <si>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</si>
  <si>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</si>
  <si>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</si>
  <si>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</si>
  <si>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</si>
  <si>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</si>
  <si>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</si>
  <si>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</si>
  <si>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</si>
  <si>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</si>
  <si>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</si>
  <si>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</si>
  <si>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</si>
  <si>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</si>
  <si>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</si>
  <si>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</si>
  <si>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</si>
  <si>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</si>
  <si>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</si>
  <si>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</si>
  <si>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</si>
  <si>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</si>
  <si>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</si>
  <si>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</si>
  <si>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</si>
  <si>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</si>
  <si>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</si>
  <si>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</si>
  <si>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</si>
  <si>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</si>
  <si>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</si>
  <si>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</si>
  <si>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</si>
  <si>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</si>
  <si>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</si>
  <si>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</si>
  <si>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</si>
  <si>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</si>
  <si>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</si>
  <si>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</si>
  <si>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</si>
  <si>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</si>
  <si>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</si>
  <si>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</si>
  <si>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</si>
  <si>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</si>
  <si>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</si>
  <si>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</si>
  <si>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</si>
  <si>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</si>
  <si>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</si>
  <si>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</si>
  <si>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</si>
  <si>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</si>
  <si>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</si>
  <si>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</si>
  <si>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</si>
  <si>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</si>
  <si>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</si>
  <si>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</si>
  <si>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</si>
  <si>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</si>
  <si>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</si>
  <si>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</si>
  <si>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</si>
  <si>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</si>
  <si>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</si>
  <si>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</si>
  <si>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</si>
  <si>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</si>
  <si>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</si>
  <si>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</si>
  <si>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</si>
  <si>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</si>
  <si>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</si>
  <si>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</si>
  <si>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</si>
  <si>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</si>
  <si>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</si>
  <si>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</si>
  <si>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</si>
  <si>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</si>
  <si>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</si>
  <si>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</si>
  <si>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</si>
  <si>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</si>
  <si>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</si>
  <si>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</si>
  <si>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</si>
  <si>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</si>
  <si>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</si>
  <si>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</si>
  <si>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</si>
  <si>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</si>
  <si>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</si>
  <si>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</si>
  <si>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</si>
  <si>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</si>
  <si>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</si>
  <si>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</si>
  <si>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</si>
  <si>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</si>
  <si>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</si>
  <si>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</si>
  <si>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</si>
  <si>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</si>
  <si>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</si>
  <si>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</si>
  <si>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</si>
  <si>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</si>
  <si>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</si>
  <si>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</si>
  <si>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</si>
  <si>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</si>
  <si>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</si>
  <si>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</si>
  <si>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</si>
  <si>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</si>
  <si>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</si>
  <si>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</si>
  <si>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</si>
  <si>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</si>
  <si>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</si>
  <si>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</si>
  <si>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</si>
  <si>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</si>
  <si>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</si>
  <si>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</si>
  <si>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</si>
  <si>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</si>
  <si>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</si>
  <si>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</si>
  <si>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</si>
  <si>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</si>
  <si>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</si>
  <si>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</si>
  <si>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</si>
  <si>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</si>
  <si>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</si>
  <si>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</si>
  <si>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</si>
  <si>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</si>
  <si>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</si>
  <si>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</si>
  <si>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</si>
  <si>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</si>
  <si>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</si>
  <si>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</si>
  <si>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</si>
  <si>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</si>
  <si>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</si>
  <si>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</si>
  <si>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</si>
  <si>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</si>
  <si>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</si>
  <si>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</si>
  <si>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</si>
  <si>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</si>
  <si>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Gleichungen
- Formeln umformen
- Pythagoras</t>
  </si>
  <si>
    <t>Prüfung
- Termumformung
- Faktorisieren, binomsche Formeln
- Berechnungen am Drei- und Viereck</t>
  </si>
  <si>
    <t>Termumformung / Gleichungen</t>
  </si>
  <si>
    <t>Prüfung
- Trigonometrie
- Radizieren und Logarithmen</t>
  </si>
  <si>
    <t>Prüfung
- Quadratischen Funktion und Gleichungen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</si>
  <si>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</si>
  <si>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</si>
  <si>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</si>
  <si>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</si>
  <si>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</si>
  <si>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</si>
  <si>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</si>
  <si>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</si>
  <si>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</si>
  <si>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</si>
  <si>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</si>
  <si>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</si>
  <si>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</si>
  <si>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</si>
  <si>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</si>
  <si>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SchiLw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</si>
  <si>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</si>
  <si>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</si>
  <si>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</si>
  <si>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</si>
  <si>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</si>
  <si>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t>Semesterplanung M242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</si>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</sst>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6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4" fillId="0" borderId="4" xfId="0" applyFont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wrapText="1"/>
    </xf>
    <xf numFmtId="164" fontId="0" fillId="0" borderId="3" xfId="0" applyNumberFormat="1" applyBorder="1" applyAlignment="1">
      <alignment horizontal="left" vertical="center"/>
    </xf>
    <xf numFmtId="0" fontId="0" fillId="0" borderId="1" xfId="0" applyFill="1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0" borderId="6" xfId="0" applyNumberFormat="1" applyFill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164" fontId="0" fillId="0" borderId="9" xfId="0" applyNumberFormat="1" applyBorder="1"/>
    <xf numFmtId="164" fontId="0" fillId="0" borderId="6" xfId="0" applyNumberFormat="1" applyBorder="1"/>
    <xf numFmtId="164" fontId="0" fillId="0" borderId="3" xfId="0" applyNumberFormat="1" applyFill="1" applyBorder="1" applyAlignment="1">
      <alignment vertical="top"/>
    </xf>
    <xf numFmtId="164" fontId="0" fillId="0" borderId="15" xfId="0" applyNumberFormat="1" applyBorder="1" applyAlignment="1">
      <alignment vertical="top"/>
    </xf>
    <xf numFmtId="0" fontId="0" fillId="0" borderId="13" xfId="0" applyBorder="1" applyAlignment="1">
      <alignment vertical="top" wrapText="1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H37" sqref="H3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zoomScale="115" zoomScaleNormal="115" workbookViewId="0">
      <selection activeCell="J21" sqref="J21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C27"/>
  <sheetViews>
    <sheetView showGridLines="0" tabSelected="1" zoomScaleNormal="100" workbookViewId="0">
      <selection activeCell="B3" sqref="B3:C27"/>
    </sheetView>
  </sheetViews>
  <sheetFormatPr baseColWidth="10" defaultRowHeight="15" x14ac:dyDescent="0.25"/>
  <cols>
    <col min="2" max="2" width="12.7109375" customWidth="1"/>
    <col min="3" max="3" width="53.140625" customWidth="1"/>
  </cols>
  <sheetData>
    <row r="2" spans="2:3" ht="15.75" thickBot="1" x14ac:dyDescent="0.3"/>
    <row r="3" spans="2:3" ht="15.75" thickBot="1" x14ac:dyDescent="0.3">
      <c r="B3" s="28" t="s">
        <v>48</v>
      </c>
      <c r="C3" s="26" t="s">
        <v>46</v>
      </c>
    </row>
    <row r="4" spans="2:3" ht="120" x14ac:dyDescent="0.25">
      <c r="B4" s="113">
        <v>44434</v>
      </c>
      <c r="C4" s="114" t="s">
        <v>157</v>
      </c>
    </row>
    <row r="5" spans="2:3" ht="75" x14ac:dyDescent="0.25">
      <c r="B5" s="108">
        <f t="shared" ref="B5:B26" si="0">B4+7</f>
        <v>44441</v>
      </c>
      <c r="C5" s="83" t="s">
        <v>158</v>
      </c>
    </row>
    <row r="6" spans="2:3" ht="75" x14ac:dyDescent="0.25">
      <c r="B6" s="106">
        <f t="shared" si="0"/>
        <v>44448</v>
      </c>
      <c r="C6" s="83" t="s">
        <v>162</v>
      </c>
    </row>
    <row r="7" spans="2:3" x14ac:dyDescent="0.25">
      <c r="B7" s="108">
        <f t="shared" si="0"/>
        <v>44455</v>
      </c>
      <c r="C7" s="85" t="s">
        <v>165</v>
      </c>
    </row>
    <row r="8" spans="2:3" ht="75" x14ac:dyDescent="0.25">
      <c r="B8" s="108">
        <f t="shared" si="0"/>
        <v>44462</v>
      </c>
      <c r="C8" s="86" t="s">
        <v>163</v>
      </c>
    </row>
    <row r="9" spans="2:3" ht="45" x14ac:dyDescent="0.25">
      <c r="B9" s="108">
        <f t="shared" si="0"/>
        <v>44469</v>
      </c>
      <c r="C9" s="88" t="s">
        <v>173</v>
      </c>
    </row>
    <row r="10" spans="2:3" ht="60" x14ac:dyDescent="0.25">
      <c r="B10" s="108">
        <f t="shared" si="0"/>
        <v>44476</v>
      </c>
      <c r="C10" s="86" t="s">
        <v>159</v>
      </c>
    </row>
    <row r="11" spans="2:3" x14ac:dyDescent="0.25">
      <c r="B11" s="109">
        <f t="shared" si="0"/>
        <v>44483</v>
      </c>
      <c r="C11" s="90" t="s">
        <v>36</v>
      </c>
    </row>
    <row r="12" spans="2:3" x14ac:dyDescent="0.25">
      <c r="B12" s="109">
        <f t="shared" si="0"/>
        <v>44490</v>
      </c>
      <c r="C12" s="90" t="s">
        <v>36</v>
      </c>
    </row>
    <row r="13" spans="2:3" ht="30" x14ac:dyDescent="0.25">
      <c r="B13" s="108">
        <f t="shared" si="0"/>
        <v>44497</v>
      </c>
      <c r="C13" s="81" t="s">
        <v>160</v>
      </c>
    </row>
    <row r="14" spans="2:3" ht="45" x14ac:dyDescent="0.25">
      <c r="B14" s="108">
        <f t="shared" si="0"/>
        <v>44504</v>
      </c>
      <c r="C14" s="86" t="s">
        <v>197</v>
      </c>
    </row>
    <row r="15" spans="2:3" x14ac:dyDescent="0.25">
      <c r="B15" s="108">
        <f t="shared" si="0"/>
        <v>44511</v>
      </c>
      <c r="C15" s="85"/>
    </row>
    <row r="16" spans="2:3" ht="75" x14ac:dyDescent="0.25">
      <c r="B16" s="108">
        <f t="shared" si="0"/>
        <v>44518</v>
      </c>
      <c r="C16" s="86" t="s">
        <v>196</v>
      </c>
    </row>
    <row r="17" spans="2:3" ht="45" x14ac:dyDescent="0.25">
      <c r="B17" s="108">
        <f t="shared" si="0"/>
        <v>44525</v>
      </c>
      <c r="C17" s="88" t="s">
        <v>174</v>
      </c>
    </row>
    <row r="18" spans="2:3" ht="45" x14ac:dyDescent="0.25">
      <c r="B18" s="108">
        <f t="shared" si="0"/>
        <v>44532</v>
      </c>
      <c r="C18" s="83" t="s">
        <v>161</v>
      </c>
    </row>
    <row r="19" spans="2:3" x14ac:dyDescent="0.25">
      <c r="B19" s="108">
        <f t="shared" si="0"/>
        <v>44539</v>
      </c>
      <c r="C19" s="7"/>
    </row>
    <row r="20" spans="2:3" x14ac:dyDescent="0.25">
      <c r="B20" s="108">
        <f t="shared" si="0"/>
        <v>44546</v>
      </c>
      <c r="C20" s="85"/>
    </row>
    <row r="21" spans="2:3" x14ac:dyDescent="0.25">
      <c r="B21" s="109">
        <f t="shared" si="0"/>
        <v>44553</v>
      </c>
      <c r="C21" s="90" t="s">
        <v>36</v>
      </c>
    </row>
    <row r="22" spans="2:3" x14ac:dyDescent="0.25">
      <c r="B22" s="109">
        <f t="shared" si="0"/>
        <v>44560</v>
      </c>
      <c r="C22" s="90" t="s">
        <v>36</v>
      </c>
    </row>
    <row r="23" spans="2:3" x14ac:dyDescent="0.25">
      <c r="B23" s="106">
        <f t="shared" si="0"/>
        <v>44567</v>
      </c>
      <c r="C23" s="85" t="s">
        <v>164</v>
      </c>
    </row>
    <row r="24" spans="2:3" x14ac:dyDescent="0.25">
      <c r="B24" s="106">
        <f t="shared" si="0"/>
        <v>44574</v>
      </c>
      <c r="C24" s="84"/>
    </row>
    <row r="25" spans="2:3" ht="45" x14ac:dyDescent="0.25">
      <c r="B25" s="106">
        <f t="shared" si="0"/>
        <v>44581</v>
      </c>
      <c r="C25" s="88" t="s">
        <v>175</v>
      </c>
    </row>
    <row r="26" spans="2:3" x14ac:dyDescent="0.25">
      <c r="B26" s="106">
        <f t="shared" si="0"/>
        <v>44588</v>
      </c>
      <c r="C26" s="84" t="s">
        <v>93</v>
      </c>
    </row>
    <row r="27" spans="2:3" ht="15.75" thickBot="1" x14ac:dyDescent="0.3">
      <c r="B27" s="112"/>
      <c r="C27" s="87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C27"/>
  <sheetViews>
    <sheetView showGridLines="0" zoomScale="70" zoomScaleNormal="70" workbookViewId="0">
      <selection activeCell="H17" sqref="H17"/>
    </sheetView>
  </sheetViews>
  <sheetFormatPr baseColWidth="10" defaultRowHeight="15" x14ac:dyDescent="0.25"/>
  <cols>
    <col min="2" max="2" width="15.42578125" customWidth="1"/>
    <col min="3" max="3" width="58.42578125" customWidth="1"/>
  </cols>
  <sheetData>
    <row r="2" spans="2:3" ht="15.75" thickBot="1" x14ac:dyDescent="0.3"/>
    <row r="3" spans="2:3" ht="15.75" thickBot="1" x14ac:dyDescent="0.3">
      <c r="B3" s="20" t="s">
        <v>48</v>
      </c>
      <c r="C3" s="19" t="s">
        <v>46</v>
      </c>
    </row>
    <row r="4" spans="2:3" ht="90" x14ac:dyDescent="0.25">
      <c r="B4" s="105">
        <v>44435</v>
      </c>
      <c r="C4" s="82" t="s">
        <v>156</v>
      </c>
    </row>
    <row r="5" spans="2:3" x14ac:dyDescent="0.25">
      <c r="B5" s="106">
        <f t="shared" ref="B5:B27" si="0">B4+7</f>
        <v>44442</v>
      </c>
      <c r="C5" s="7"/>
    </row>
    <row r="6" spans="2:3" x14ac:dyDescent="0.25">
      <c r="B6" s="106">
        <f t="shared" si="0"/>
        <v>44449</v>
      </c>
      <c r="C6" s="7"/>
    </row>
    <row r="7" spans="2:3" ht="105" x14ac:dyDescent="0.25">
      <c r="B7" s="106">
        <f t="shared" si="0"/>
        <v>44456</v>
      </c>
      <c r="C7" s="81" t="s">
        <v>180</v>
      </c>
    </row>
    <row r="8" spans="2:3" x14ac:dyDescent="0.25">
      <c r="B8" s="106">
        <f t="shared" si="0"/>
        <v>44463</v>
      </c>
      <c r="C8" s="7"/>
    </row>
    <row r="9" spans="2:3" ht="60" x14ac:dyDescent="0.25">
      <c r="B9" s="106">
        <f t="shared" si="0"/>
        <v>44470</v>
      </c>
      <c r="C9" s="89" t="s">
        <v>176</v>
      </c>
    </row>
    <row r="10" spans="2:3" x14ac:dyDescent="0.25">
      <c r="B10" s="106">
        <f t="shared" si="0"/>
        <v>44477</v>
      </c>
      <c r="C10" s="7"/>
    </row>
    <row r="11" spans="2:3" x14ac:dyDescent="0.25">
      <c r="B11" s="109">
        <f t="shared" si="0"/>
        <v>44484</v>
      </c>
      <c r="C11" s="90" t="s">
        <v>36</v>
      </c>
    </row>
    <row r="12" spans="2:3" x14ac:dyDescent="0.25">
      <c r="B12" s="109">
        <f t="shared" si="0"/>
        <v>44491</v>
      </c>
      <c r="C12" s="90" t="s">
        <v>36</v>
      </c>
    </row>
    <row r="13" spans="2:3" ht="75" x14ac:dyDescent="0.25">
      <c r="B13" s="106">
        <f t="shared" si="0"/>
        <v>44498</v>
      </c>
      <c r="C13" s="81" t="s">
        <v>155</v>
      </c>
    </row>
    <row r="14" spans="2:3" x14ac:dyDescent="0.25">
      <c r="B14" s="106">
        <f t="shared" si="0"/>
        <v>44505</v>
      </c>
      <c r="C14" s="7"/>
    </row>
    <row r="15" spans="2:3" x14ac:dyDescent="0.25">
      <c r="B15" s="106">
        <f t="shared" si="0"/>
        <v>44512</v>
      </c>
      <c r="C15" s="7"/>
    </row>
    <row r="16" spans="2:3" ht="75" x14ac:dyDescent="0.25">
      <c r="B16" s="106">
        <f t="shared" si="0"/>
        <v>44519</v>
      </c>
      <c r="C16" s="81" t="s">
        <v>154</v>
      </c>
    </row>
    <row r="17" spans="2:3" ht="30" x14ac:dyDescent="0.25">
      <c r="B17" s="106">
        <f t="shared" si="0"/>
        <v>44526</v>
      </c>
      <c r="C17" s="89" t="s">
        <v>177</v>
      </c>
    </row>
    <row r="18" spans="2:3" x14ac:dyDescent="0.25">
      <c r="B18" s="106">
        <f t="shared" si="0"/>
        <v>44533</v>
      </c>
      <c r="C18" s="7"/>
    </row>
    <row r="19" spans="2:3" x14ac:dyDescent="0.25">
      <c r="B19" s="106">
        <f t="shared" si="0"/>
        <v>44540</v>
      </c>
      <c r="C19" s="7"/>
    </row>
    <row r="20" spans="2:3" x14ac:dyDescent="0.25">
      <c r="B20" s="106">
        <f t="shared" si="0"/>
        <v>44547</v>
      </c>
      <c r="C20" s="7"/>
    </row>
    <row r="21" spans="2:3" x14ac:dyDescent="0.25">
      <c r="B21" s="109">
        <f t="shared" si="0"/>
        <v>44554</v>
      </c>
      <c r="C21" s="90" t="s">
        <v>36</v>
      </c>
    </row>
    <row r="22" spans="2:3" x14ac:dyDescent="0.25">
      <c r="B22" s="109">
        <f t="shared" si="0"/>
        <v>44561</v>
      </c>
      <c r="C22" s="90" t="s">
        <v>36</v>
      </c>
    </row>
    <row r="23" spans="2:3" ht="75" x14ac:dyDescent="0.25">
      <c r="B23" s="106">
        <f t="shared" si="0"/>
        <v>44568</v>
      </c>
      <c r="C23" s="81" t="s">
        <v>179</v>
      </c>
    </row>
    <row r="24" spans="2:3" x14ac:dyDescent="0.25">
      <c r="B24" s="106">
        <f t="shared" si="0"/>
        <v>44575</v>
      </c>
      <c r="C24" s="37"/>
    </row>
    <row r="25" spans="2:3" ht="45" x14ac:dyDescent="0.25">
      <c r="B25" s="106">
        <f t="shared" si="0"/>
        <v>44582</v>
      </c>
      <c r="C25" s="89" t="s">
        <v>178</v>
      </c>
    </row>
    <row r="26" spans="2:3" x14ac:dyDescent="0.25">
      <c r="B26" s="106">
        <f t="shared" si="0"/>
        <v>44589</v>
      </c>
      <c r="C26" s="7" t="s">
        <v>153</v>
      </c>
    </row>
    <row r="27" spans="2:3" ht="15.75" thickBot="1" x14ac:dyDescent="0.3">
      <c r="B27" s="107">
        <f t="shared" si="0"/>
        <v>44596</v>
      </c>
      <c r="C27" s="3"/>
    </row>
  </sheetData>
  <pageMargins left="0.7" right="0.7" top="0.78740157499999996" bottom="0.78740157499999996" header="0.3" footer="0.3"/>
  <pageSetup paperSize="9" scale="8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C53"/>
  <sheetViews>
    <sheetView showGridLines="0" zoomScaleNormal="100" workbookViewId="0">
      <selection activeCell="B3" sqref="B3:C27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10">
        <v>44434</v>
      </c>
      <c r="C4" s="15" t="s">
        <v>136</v>
      </c>
    </row>
    <row r="5" spans="2:3" x14ac:dyDescent="0.25">
      <c r="B5" s="68">
        <f t="shared" ref="B5:B26" si="0">B4+7</f>
        <v>44441</v>
      </c>
      <c r="C5" s="7" t="s">
        <v>133</v>
      </c>
    </row>
    <row r="6" spans="2:3" x14ac:dyDescent="0.25">
      <c r="B6" s="111">
        <f t="shared" si="0"/>
        <v>44448</v>
      </c>
      <c r="C6" s="7" t="s">
        <v>124</v>
      </c>
    </row>
    <row r="7" spans="2:3" x14ac:dyDescent="0.25">
      <c r="B7" s="68">
        <f t="shared" si="0"/>
        <v>44455</v>
      </c>
      <c r="C7" s="7" t="s">
        <v>135</v>
      </c>
    </row>
    <row r="8" spans="2:3" x14ac:dyDescent="0.25">
      <c r="B8" s="68">
        <f t="shared" si="0"/>
        <v>44462</v>
      </c>
      <c r="C8" s="7" t="s">
        <v>122</v>
      </c>
    </row>
    <row r="9" spans="2:3" ht="60" x14ac:dyDescent="0.25">
      <c r="B9" s="108">
        <f t="shared" si="0"/>
        <v>44469</v>
      </c>
      <c r="C9" s="88" t="s">
        <v>166</v>
      </c>
    </row>
    <row r="10" spans="2:3" x14ac:dyDescent="0.25">
      <c r="B10" s="108">
        <f t="shared" si="0"/>
        <v>44476</v>
      </c>
      <c r="C10" s="84" t="s">
        <v>123</v>
      </c>
    </row>
    <row r="11" spans="2:3" x14ac:dyDescent="0.25">
      <c r="B11" s="109">
        <f t="shared" si="0"/>
        <v>44483</v>
      </c>
      <c r="C11" s="90" t="s">
        <v>36</v>
      </c>
    </row>
    <row r="12" spans="2:3" x14ac:dyDescent="0.25">
      <c r="B12" s="109">
        <f t="shared" si="0"/>
        <v>44490</v>
      </c>
      <c r="C12" s="90" t="s">
        <v>36</v>
      </c>
    </row>
    <row r="13" spans="2:3" x14ac:dyDescent="0.25">
      <c r="B13" s="108">
        <f t="shared" si="0"/>
        <v>44497</v>
      </c>
      <c r="C13" s="84" t="s">
        <v>125</v>
      </c>
    </row>
    <row r="14" spans="2:3" x14ac:dyDescent="0.25">
      <c r="B14" s="108">
        <f t="shared" si="0"/>
        <v>44504</v>
      </c>
      <c r="C14" s="84"/>
    </row>
    <row r="15" spans="2:3" x14ac:dyDescent="0.25">
      <c r="B15" s="108">
        <f t="shared" si="0"/>
        <v>44511</v>
      </c>
      <c r="C15" s="84" t="s">
        <v>131</v>
      </c>
    </row>
    <row r="16" spans="2:3" x14ac:dyDescent="0.25">
      <c r="B16" s="108">
        <f t="shared" si="0"/>
        <v>44518</v>
      </c>
      <c r="C16" s="84" t="s">
        <v>134</v>
      </c>
    </row>
    <row r="17" spans="2:3" ht="75" x14ac:dyDescent="0.25">
      <c r="B17" s="108">
        <f t="shared" si="0"/>
        <v>44525</v>
      </c>
      <c r="C17" s="88" t="s">
        <v>167</v>
      </c>
    </row>
    <row r="18" spans="2:3" x14ac:dyDescent="0.25">
      <c r="B18" s="108">
        <f t="shared" si="0"/>
        <v>44532</v>
      </c>
      <c r="C18" s="84" t="s">
        <v>121</v>
      </c>
    </row>
    <row r="19" spans="2:3" x14ac:dyDescent="0.25">
      <c r="B19" s="108">
        <f t="shared" si="0"/>
        <v>44539</v>
      </c>
      <c r="C19" s="84"/>
    </row>
    <row r="20" spans="2:3" x14ac:dyDescent="0.25">
      <c r="B20" s="108">
        <f t="shared" si="0"/>
        <v>44546</v>
      </c>
      <c r="C20" s="84" t="s">
        <v>111</v>
      </c>
    </row>
    <row r="21" spans="2:3" x14ac:dyDescent="0.25">
      <c r="B21" s="109">
        <f t="shared" si="0"/>
        <v>44553</v>
      </c>
      <c r="C21" s="90" t="s">
        <v>36</v>
      </c>
    </row>
    <row r="22" spans="2:3" x14ac:dyDescent="0.25">
      <c r="B22" s="109">
        <f t="shared" si="0"/>
        <v>44560</v>
      </c>
      <c r="C22" s="90" t="s">
        <v>36</v>
      </c>
    </row>
    <row r="23" spans="2:3" x14ac:dyDescent="0.25">
      <c r="B23" s="106">
        <f t="shared" si="0"/>
        <v>44567</v>
      </c>
      <c r="C23" s="84"/>
    </row>
    <row r="24" spans="2:3" x14ac:dyDescent="0.25">
      <c r="B24" s="106">
        <f t="shared" si="0"/>
        <v>44574</v>
      </c>
      <c r="C24" s="91"/>
    </row>
    <row r="25" spans="2:3" ht="60" x14ac:dyDescent="0.25">
      <c r="B25" s="106">
        <f t="shared" si="0"/>
        <v>44581</v>
      </c>
      <c r="C25" s="88" t="s">
        <v>168</v>
      </c>
    </row>
    <row r="26" spans="2:3" x14ac:dyDescent="0.25">
      <c r="B26" s="106">
        <f t="shared" si="0"/>
        <v>44588</v>
      </c>
      <c r="C26" s="84" t="s">
        <v>110</v>
      </c>
    </row>
    <row r="27" spans="2:3" ht="15.75" thickBot="1" x14ac:dyDescent="0.3">
      <c r="B27" s="70"/>
      <c r="C27" s="3"/>
    </row>
    <row r="28" spans="2:3" ht="15.75" thickBot="1" x14ac:dyDescent="0.3"/>
    <row r="29" spans="2:3" ht="15.75" thickBot="1" x14ac:dyDescent="0.3">
      <c r="B29" s="21" t="s">
        <v>48</v>
      </c>
      <c r="C29" s="19" t="s">
        <v>46</v>
      </c>
    </row>
    <row r="30" spans="2:3" x14ac:dyDescent="0.25">
      <c r="B30" s="110">
        <v>44595</v>
      </c>
      <c r="C30" s="15"/>
    </row>
    <row r="31" spans="2:3" x14ac:dyDescent="0.25">
      <c r="B31" s="68">
        <f t="shared" ref="B31:B53" si="1">B30+7</f>
        <v>44602</v>
      </c>
      <c r="C31" s="7" t="s">
        <v>109</v>
      </c>
    </row>
    <row r="32" spans="2:3" x14ac:dyDescent="0.25">
      <c r="B32" s="68">
        <f t="shared" si="1"/>
        <v>44609</v>
      </c>
      <c r="C32" s="7"/>
    </row>
    <row r="33" spans="2:3" x14ac:dyDescent="0.25">
      <c r="B33" s="69">
        <f t="shared" si="1"/>
        <v>44616</v>
      </c>
      <c r="C33" s="58" t="s">
        <v>36</v>
      </c>
    </row>
    <row r="34" spans="2:3" x14ac:dyDescent="0.25">
      <c r="B34" s="69">
        <f t="shared" si="1"/>
        <v>44623</v>
      </c>
      <c r="C34" s="58" t="s">
        <v>36</v>
      </c>
    </row>
    <row r="35" spans="2:3" x14ac:dyDescent="0.25">
      <c r="B35" s="68">
        <f t="shared" si="1"/>
        <v>44630</v>
      </c>
      <c r="C35" s="7" t="s">
        <v>170</v>
      </c>
    </row>
    <row r="36" spans="2:3" ht="60" x14ac:dyDescent="0.25">
      <c r="B36" s="68">
        <f t="shared" si="1"/>
        <v>44637</v>
      </c>
      <c r="C36" s="89" t="s">
        <v>169</v>
      </c>
    </row>
    <row r="37" spans="2:3" x14ac:dyDescent="0.25">
      <c r="B37" s="68">
        <f t="shared" si="1"/>
        <v>44644</v>
      </c>
      <c r="C37" s="7"/>
    </row>
    <row r="38" spans="2:3" x14ac:dyDescent="0.25">
      <c r="B38" s="68">
        <f t="shared" si="1"/>
        <v>44651</v>
      </c>
      <c r="C38" s="7" t="s">
        <v>112</v>
      </c>
    </row>
    <row r="39" spans="2:3" x14ac:dyDescent="0.25">
      <c r="B39" s="68">
        <f t="shared" si="1"/>
        <v>44658</v>
      </c>
      <c r="C39" s="7"/>
    </row>
    <row r="40" spans="2:3" x14ac:dyDescent="0.25">
      <c r="B40" s="68">
        <f t="shared" si="1"/>
        <v>44665</v>
      </c>
      <c r="C40" s="7" t="s">
        <v>126</v>
      </c>
    </row>
    <row r="41" spans="2:3" x14ac:dyDescent="0.25">
      <c r="B41" s="69">
        <f t="shared" si="1"/>
        <v>44672</v>
      </c>
      <c r="C41" s="58" t="s">
        <v>36</v>
      </c>
    </row>
    <row r="42" spans="2:3" x14ac:dyDescent="0.25">
      <c r="B42" s="69">
        <f t="shared" si="1"/>
        <v>44679</v>
      </c>
      <c r="C42" s="58" t="s">
        <v>36</v>
      </c>
    </row>
    <row r="43" spans="2:3" x14ac:dyDescent="0.25">
      <c r="B43" s="68">
        <f t="shared" si="1"/>
        <v>44686</v>
      </c>
      <c r="C43" s="7"/>
    </row>
    <row r="44" spans="2:3" x14ac:dyDescent="0.25">
      <c r="B44" s="68">
        <f t="shared" si="1"/>
        <v>44693</v>
      </c>
      <c r="C44" s="7"/>
    </row>
    <row r="45" spans="2:3" ht="45" x14ac:dyDescent="0.25">
      <c r="B45" s="68">
        <f t="shared" si="1"/>
        <v>44700</v>
      </c>
      <c r="C45" s="89" t="s">
        <v>171</v>
      </c>
    </row>
    <row r="46" spans="2:3" x14ac:dyDescent="0.25">
      <c r="B46" s="69">
        <f t="shared" si="1"/>
        <v>44707</v>
      </c>
      <c r="C46" s="58" t="s">
        <v>32</v>
      </c>
    </row>
    <row r="47" spans="2:3" x14ac:dyDescent="0.25">
      <c r="B47" s="68">
        <f t="shared" si="1"/>
        <v>44714</v>
      </c>
      <c r="C47" s="7" t="s">
        <v>132</v>
      </c>
    </row>
    <row r="48" spans="2:3" x14ac:dyDescent="0.25">
      <c r="B48" s="68">
        <f t="shared" si="1"/>
        <v>44721</v>
      </c>
      <c r="C48" s="7" t="s">
        <v>113</v>
      </c>
    </row>
    <row r="49" spans="2:3" x14ac:dyDescent="0.25">
      <c r="B49" s="68">
        <f t="shared" si="1"/>
        <v>44728</v>
      </c>
      <c r="C49" s="71"/>
    </row>
    <row r="50" spans="2:3" x14ac:dyDescent="0.25">
      <c r="B50" s="68">
        <f t="shared" si="1"/>
        <v>44735</v>
      </c>
      <c r="C50" s="7" t="s">
        <v>152</v>
      </c>
    </row>
    <row r="51" spans="2:3" ht="30" x14ac:dyDescent="0.25">
      <c r="B51" s="68">
        <f t="shared" si="1"/>
        <v>44742</v>
      </c>
      <c r="C51" s="89" t="s">
        <v>172</v>
      </c>
    </row>
    <row r="52" spans="2:3" x14ac:dyDescent="0.25">
      <c r="B52" s="68">
        <f t="shared" si="1"/>
        <v>44749</v>
      </c>
      <c r="C52" s="7"/>
    </row>
    <row r="53" spans="2:3" ht="15.75" thickBot="1" x14ac:dyDescent="0.3">
      <c r="B53" s="70">
        <f t="shared" si="1"/>
        <v>44756</v>
      </c>
      <c r="C53" s="3"/>
    </row>
  </sheetData>
  <pageMargins left="0.7" right="0.7" top="0.78740157499999996" bottom="0.78740157499999996" header="0.3" footer="0.3"/>
  <pageSetup paperSize="9" scale="72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6"/>
  <sheetViews>
    <sheetView showGridLines="0" zoomScale="85" zoomScaleNormal="85" workbookViewId="0">
      <selection activeCell="D31" sqref="D31"/>
    </sheetView>
  </sheetViews>
  <sheetFormatPr baseColWidth="10" defaultRowHeight="15" x14ac:dyDescent="0.25"/>
  <cols>
    <col min="2" max="2" width="14.85546875" style="92" customWidth="1"/>
    <col min="3" max="3" width="40.85546875" customWidth="1"/>
    <col min="4" max="4" width="16.5703125" customWidth="1"/>
  </cols>
  <sheetData>
    <row r="1" spans="2:4" ht="21" x14ac:dyDescent="0.25">
      <c r="B1" s="94" t="s">
        <v>194</v>
      </c>
      <c r="C1" s="93"/>
    </row>
    <row r="2" spans="2:4" ht="15.75" thickBot="1" x14ac:dyDescent="0.3"/>
    <row r="3" spans="2:4" ht="15.75" thickBot="1" x14ac:dyDescent="0.3">
      <c r="B3" s="102" t="s">
        <v>48</v>
      </c>
      <c r="C3" s="48" t="s">
        <v>46</v>
      </c>
    </row>
    <row r="4" spans="2:4" ht="29.25" customHeight="1" x14ac:dyDescent="0.25">
      <c r="B4" s="100">
        <v>44431</v>
      </c>
      <c r="C4" s="101" t="s">
        <v>193</v>
      </c>
    </row>
    <row r="5" spans="2:4" ht="30" x14ac:dyDescent="0.25">
      <c r="B5" s="95">
        <f t="shared" ref="B5:B26" si="0">B4+7</f>
        <v>44438</v>
      </c>
      <c r="C5" s="81" t="s">
        <v>192</v>
      </c>
    </row>
    <row r="6" spans="2:4" ht="30" x14ac:dyDescent="0.25">
      <c r="B6" s="95">
        <f t="shared" si="0"/>
        <v>44445</v>
      </c>
      <c r="C6" s="81" t="s">
        <v>191</v>
      </c>
    </row>
    <row r="7" spans="2:4" ht="30" x14ac:dyDescent="0.25">
      <c r="B7" s="95">
        <f t="shared" si="0"/>
        <v>44452</v>
      </c>
      <c r="C7" s="81" t="s">
        <v>190</v>
      </c>
    </row>
    <row r="8" spans="2:4" x14ac:dyDescent="0.25">
      <c r="B8" s="95">
        <f t="shared" si="0"/>
        <v>44459</v>
      </c>
      <c r="C8" s="81" t="s">
        <v>189</v>
      </c>
    </row>
    <row r="9" spans="2:4" x14ac:dyDescent="0.25">
      <c r="B9" s="95">
        <f t="shared" si="0"/>
        <v>44466</v>
      </c>
      <c r="C9" s="81" t="s">
        <v>189</v>
      </c>
    </row>
    <row r="10" spans="2:4" x14ac:dyDescent="0.25">
      <c r="B10" s="95">
        <f t="shared" si="0"/>
        <v>44473</v>
      </c>
      <c r="C10" s="81" t="s">
        <v>188</v>
      </c>
    </row>
    <row r="11" spans="2:4" x14ac:dyDescent="0.25">
      <c r="B11" s="96">
        <f t="shared" si="0"/>
        <v>44480</v>
      </c>
      <c r="C11" s="115" t="s">
        <v>36</v>
      </c>
    </row>
    <row r="12" spans="2:4" x14ac:dyDescent="0.25">
      <c r="B12" s="96">
        <f t="shared" si="0"/>
        <v>44487</v>
      </c>
      <c r="C12" s="115"/>
    </row>
    <row r="13" spans="2:4" x14ac:dyDescent="0.25">
      <c r="B13" s="95">
        <f t="shared" si="0"/>
        <v>44494</v>
      </c>
      <c r="C13" s="97" t="s">
        <v>187</v>
      </c>
    </row>
    <row r="14" spans="2:4" x14ac:dyDescent="0.25">
      <c r="B14" s="95">
        <f t="shared" si="0"/>
        <v>44501</v>
      </c>
      <c r="C14" s="97" t="s">
        <v>195</v>
      </c>
    </row>
    <row r="15" spans="2:4" x14ac:dyDescent="0.25">
      <c r="B15" s="103">
        <f t="shared" si="0"/>
        <v>44508</v>
      </c>
      <c r="C15" s="104" t="s">
        <v>186</v>
      </c>
      <c r="D15" t="s">
        <v>185</v>
      </c>
    </row>
    <row r="16" spans="2:4" x14ac:dyDescent="0.25">
      <c r="B16" s="95">
        <f t="shared" si="0"/>
        <v>44515</v>
      </c>
      <c r="C16" s="97" t="s">
        <v>184</v>
      </c>
    </row>
    <row r="17" spans="2:3" x14ac:dyDescent="0.25">
      <c r="B17" s="95">
        <f t="shared" si="0"/>
        <v>44522</v>
      </c>
      <c r="C17" s="97" t="s">
        <v>183</v>
      </c>
    </row>
    <row r="18" spans="2:3" x14ac:dyDescent="0.25">
      <c r="B18" s="95">
        <f t="shared" si="0"/>
        <v>44529</v>
      </c>
      <c r="C18" s="97" t="s">
        <v>183</v>
      </c>
    </row>
    <row r="19" spans="2:3" x14ac:dyDescent="0.25">
      <c r="B19" s="95">
        <f t="shared" si="0"/>
        <v>44536</v>
      </c>
      <c r="C19" s="97" t="s">
        <v>182</v>
      </c>
    </row>
    <row r="20" spans="2:3" x14ac:dyDescent="0.25">
      <c r="B20" s="95">
        <f t="shared" si="0"/>
        <v>44543</v>
      </c>
      <c r="C20" s="97" t="s">
        <v>182</v>
      </c>
    </row>
    <row r="21" spans="2:3" x14ac:dyDescent="0.25">
      <c r="B21" s="96">
        <f t="shared" si="0"/>
        <v>44550</v>
      </c>
      <c r="C21" s="116" t="s">
        <v>36</v>
      </c>
    </row>
    <row r="22" spans="2:3" x14ac:dyDescent="0.25">
      <c r="B22" s="96">
        <f t="shared" si="0"/>
        <v>44557</v>
      </c>
      <c r="C22" s="116"/>
    </row>
    <row r="23" spans="2:3" x14ac:dyDescent="0.25">
      <c r="B23" s="95">
        <f t="shared" si="0"/>
        <v>44564</v>
      </c>
      <c r="C23" s="97" t="s">
        <v>182</v>
      </c>
    </row>
    <row r="24" spans="2:3" x14ac:dyDescent="0.25">
      <c r="B24" s="95">
        <f t="shared" si="0"/>
        <v>44571</v>
      </c>
      <c r="C24" s="97" t="s">
        <v>182</v>
      </c>
    </row>
    <row r="25" spans="2:3" x14ac:dyDescent="0.25">
      <c r="B25" s="95">
        <f t="shared" si="0"/>
        <v>44578</v>
      </c>
      <c r="C25" s="97" t="s">
        <v>182</v>
      </c>
    </row>
    <row r="26" spans="2:3" ht="15.75" thickBot="1" x14ac:dyDescent="0.3">
      <c r="B26" s="98">
        <f t="shared" si="0"/>
        <v>44585</v>
      </c>
      <c r="C26" s="99" t="s">
        <v>181</v>
      </c>
    </row>
  </sheetData>
  <mergeCells count="2">
    <mergeCell ref="C11:C12"/>
    <mergeCell ref="C21:C22"/>
  </mergeCells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  <vt:lpstr>21_22_Semesterprogramm_M242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2021-09-02T10:33:12Z</cp:lastPrinted>
  <dcterms:created xsi:type="dcterms:W3CDTF">2019-08-07T07:33:56Z</dcterms:created>
  <dcterms:modified xsi:type="dcterms:W3CDTF">2021-09-02T10:33:30Z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