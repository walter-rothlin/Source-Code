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SchulungsUnterlagen\Semesterprogramme\"/>
    </mc:Choice>
  </mc:AlternateContent>
  <bookViews>
    <workbookView xWindow="0" yWindow="0" windowWidth="20130" windowHeight="8910" firstSheet="11" activeTab="13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1_22_Semesterprogramm_M162" sheetId="10" r:id="rId10"/>
    <sheet name="21_22_Semesterprogramm_M231" sheetId="11" r:id="rId11"/>
    <sheet name="21_22_Semesterprogramm_Mathe" sheetId="12" r:id="rId12"/>
    <sheet name="21_22_Semesterprogramm_M242" sheetId="13" r:id="rId13"/>
    <sheet name="22_Semesterprogramm_M164" sheetId="15" r:id="rId14"/>
    <sheet name="22_Semesterprogramm_M319" sheetId="14" r:id="rId15"/>
  </sheets>
  <functionGroups builtInGroupCount="18"/>
  <externalReferences>
    <externalReference r:id="rId16"/>
    <externalReference r:id="rId17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 localSheetId="13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 localSheetId="13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 localSheetId="13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 localSheetId="13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 localSheetId="13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 localSheetId="13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 localSheetId="13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 localSheetId="13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 localSheetId="13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 localSheetId="13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 localSheetId="13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 localSheetId="13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 localSheetId="13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 localSheetId="13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 localSheetId="13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 localSheetId="13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 localSheetId="13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 localSheetId="13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 localSheetId="13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 localSheetId="13">#REF!</definedName>
    <definedName name="xxxxxxxxx" localSheetId="14">#REF!</definedName>
    <definedName name="xxxxxxxxx">#REF!</definedName>
    <definedName name="yyy" localSheetId="11">#REF!</definedName>
    <definedName name="yyy" localSheetId="13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 localSheetId="13">#REF!</definedName>
    <definedName name="zzzzzzzzzzz" localSheetId="14">#REF!</definedName>
    <definedName name="zzzzzzzzzzz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5" l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5" i="13" l="1"/>
  <c r="B6" i="13"/>
  <c r="B7" i="13"/>
  <c r="B8" i="13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31" i="12" l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5" i="1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5" i="10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24" i="9"/>
  <c r="B23" i="8"/>
  <c r="B26" i="9"/>
  <c r="B15" i="9"/>
  <c r="B7" i="9"/>
  <c r="B17" i="8"/>
  <c r="B15" i="8"/>
  <c r="B21" i="8"/>
  <c r="B22" i="9"/>
  <c r="B20" i="8"/>
  <c r="B11" i="8"/>
  <c r="B14" i="9"/>
  <c r="B6" i="8"/>
  <c r="B26" i="8"/>
  <c r="B18" i="9"/>
  <c r="B27" i="9"/>
  <c r="B10" i="8"/>
  <c r="B22" i="8"/>
  <c r="B4" i="8"/>
  <c r="B14" i="8"/>
  <c r="B8" i="9"/>
  <c r="B9" i="9"/>
  <c r="B12" i="8"/>
  <c r="B17" i="9"/>
  <c r="B25" i="8"/>
  <c r="B13" i="8"/>
  <c r="B6" i="9"/>
  <c r="B5" i="9"/>
  <c r="B19" i="8"/>
  <c r="B5" i="8"/>
  <c r="B25" i="9"/>
  <c r="B19" i="9"/>
  <c r="B11" i="9"/>
  <c r="B9" i="8"/>
  <c r="B4" i="9"/>
  <c r="B23" i="9"/>
  <c r="B16" i="9"/>
  <c r="B10" i="9"/>
  <c r="B24" i="8"/>
  <c r="B18" i="8"/>
  <c r="B21" i="9"/>
  <c r="B7" i="8"/>
  <c r="B8" i="8"/>
  <c r="B27" i="8"/>
  <c r="B12" i="9"/>
  <c r="B20" i="9"/>
  <c r="B16" i="8"/>
  <c r="B13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15" i="2"/>
  <c r="B24" i="3"/>
  <c r="B21" i="3"/>
  <c r="B13" i="3"/>
  <c r="B7" i="3"/>
  <c r="B23" i="3"/>
  <c r="B22" i="2"/>
  <c r="B13" i="2"/>
  <c r="B12" i="2"/>
  <c r="B6" i="2"/>
  <c r="B12" i="3"/>
  <c r="B24" i="2"/>
  <c r="B10" i="2"/>
  <c r="B17" i="2"/>
  <c r="B22" i="3"/>
  <c r="B6" i="3"/>
  <c r="B7" i="2"/>
  <c r="B21" i="2"/>
  <c r="B8" i="3"/>
  <c r="B25" i="3"/>
  <c r="B5" i="3"/>
  <c r="B19" i="2"/>
  <c r="B4" i="2"/>
  <c r="B17" i="3"/>
  <c r="B23" i="2"/>
  <c r="B5" i="2"/>
  <c r="B20" i="2"/>
  <c r="B10" i="3"/>
  <c r="B4" i="3"/>
  <c r="B27" i="3"/>
  <c r="B15" i="3"/>
  <c r="B9" i="3"/>
  <c r="B16" i="2"/>
  <c r="B11" i="3"/>
  <c r="B20" i="3"/>
  <c r="B27" i="2"/>
  <c r="B25" i="2"/>
  <c r="B18" i="3"/>
  <c r="B26" i="3"/>
  <c r="B16" i="3"/>
  <c r="B14" i="3"/>
  <c r="B26" i="2"/>
  <c r="B9" i="2"/>
  <c r="B19" i="3"/>
  <c r="B18" i="2"/>
  <c r="B8" i="2"/>
  <c r="B11" i="2"/>
  <c r="B14" i="2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<sst xmlns="http://schemas.openxmlformats.org/spreadsheetml/2006/main" count="591" uniqueCount="220">
  <si>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</si>
  <si>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</si>
  <si>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</si>
  <si>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</si>
  <si>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</si>
  <si>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</si>
  <si>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</si>
  <si>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</si>
  <si>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</si>
  <si>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</si>
  <si>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</si>
  <si>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</si>
  <si>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</si>
  <si>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</si>
  <si>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</si>
  <si>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</si>
  <si>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</si>
  <si>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</si>
  <si>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</si>
  <si>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</si>
  <si>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</si>
  <si>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</si>
  <si>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</si>
  <si>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</si>
  <si>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</si>
  <si>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</si>
  <si>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</si>
  <si>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</si>
  <si>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</si>
  <si>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</si>
  <si>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</si>
  <si>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</si>
  <si>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</si>
  <si>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</si>
  <si>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</si>
  <si>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</si>
  <si>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</si>
  <si>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</si>
  <si>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</si>
  <si>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</si>
  <si>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</si>
  <si>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</si>
  <si>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</si>
  <si>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</si>
  <si>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</si>
  <si>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</si>
  <si>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</si>
  <si>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</si>
  <si>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</si>
  <si>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</si>
  <si>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</si>
  <si>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</si>
  <si>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</si>
  <si>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</si>
  <si>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</si>
  <si>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</si>
  <si>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</si>
  <si>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</si>
  <si>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</si>
  <si>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</si>
  <si>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</si>
  <si>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</si>
  <si>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</si>
  <si>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</si>
  <si>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</si>
  <si>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</si>
  <si>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</si>
  <si>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</si>
  <si>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</si>
  <si>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</si>
  <si>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</si>
  <si>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</si>
  <si>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</si>
  <si>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</si>
  <si>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</si>
  <si>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</si>
  <si>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</si>
  <si>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</si>
  <si>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</si>
  <si>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</si>
  <si>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</si>
  <si>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</si>
  <si>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</si>
  <si>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</si>
  <si>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</si>
  <si>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</si>
  <si>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</si>
  <si>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</si>
  <si>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</si>
  <si>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</si>
  <si>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</si>
  <si>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</si>
  <si>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</si>
  <si>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</si>
  <si>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</si>
  <si>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</si>
  <si>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</si>
  <si>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</si>
  <si>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</si>
  <si>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</si>
  <si>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</si>
  <si>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</si>
  <si>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</si>
  <si>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</si>
  <si>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</si>
  <si>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</si>
  <si>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</si>
  <si>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</si>
  <si>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</si>
  <si>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</si>
  <si>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</si>
  <si>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</si>
  <si>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</si>
  <si>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</si>
  <si>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</si>
  <si>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</si>
  <si>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</si>
  <si>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</si>
  <si>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</si>
  <si>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</si>
  <si>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</si>
  <si>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</si>
  <si>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</si>
  <si>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</si>
  <si>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</si>
  <si>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</si>
  <si>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</si>
  <si>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</si>
  <si>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</si>
  <si>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</si>
  <si>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</si>
  <si>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</si>
  <si>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</si>
  <si>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</si>
  <si>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</si>
  <si>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</si>
  <si>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</si>
  <si>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</si>
  <si>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</si>
  <si>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</si>
  <si>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</si>
  <si>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</si>
  <si>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</si>
  <si>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</si>
  <si>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</si>
  <si>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</si>
  <si>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</si>
  <si>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</si>
  <si>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</si>
  <si>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</si>
  <si>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</si>
  <si>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</si>
  <si>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</si>
  <si>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</si>
  <si>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</si>
  <si>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</si>
  <si>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</si>
  <si>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</si>
  <si>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</si>
  <si>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</si>
  <si>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</si>
  <si>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</si>
  <si>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</si>
  <si>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</si>
  <si>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</si>
  <si>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</si>
  <si>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</si>
  <si>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</si>
  <si>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</si>
  <si>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</si>
  <si>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</si>
  <si>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</si>
  <si>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</si>
  <si>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</si>
  <si>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</si>
  <si>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</si>
  <si>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</si>
  <si>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</si>
  <si>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</si>
  <si>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</si>
  <si>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</si>
  <si>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</si>
  <si>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</si>
  <si>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SchiLw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</si>
  <si>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</si>
  <si>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</si>
  <si>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</si>
  <si>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</si>
  <si>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</si>
  <si>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t>Semesterplanung M242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</si>
  <si>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</si>
  <si>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</si>
  <si>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</si>
  <si>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Lehrerkonferenz (frei)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</si>
  <si>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</si>
  <si>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</si>
  <si>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</si>
  <si>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</si>
  <si>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</si>
  <si>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</si>
  <si>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</si>
  <si>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Functions</t>
  </si>
  <si>
    <t>Excel: eigenen Procedures/Functions</t>
  </si>
  <si>
    <t>Python: Sequenzen (Menu für Umrechner), Loops, Variablen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</si>
  <si>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</si>
  <si>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</si>
  <si>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</si>
  <si>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</si>
  <si>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</si>
  <si>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Faktorisieren, binomsche Formeln</t>
  </si>
  <si>
    <t>Flächenberechnungen</t>
  </si>
  <si>
    <t>Winkelfunktionen: Sinus, Cosinus, Tangens</t>
  </si>
  <si>
    <t>Prüfung
- Potenzen, Logarithmen, Wurzeln
- Lineare Gleichungs-Systeme
- Quadratischen Funktion und Gleichungen</t>
  </si>
  <si>
    <t>Prüfung
- Pythagoras
- Flächen- und Volumenberechnungen
- Bogenmass</t>
  </si>
  <si>
    <t>Prüfung
- Winkelberechnungen und Winkelfunktionen
- Binomische Formeln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</si>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</sst>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/yyyy"/>
  </numFmts>
  <fonts count="9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Fill="1" applyBorder="1"/>
    <xf numFmtId="0" fontId="0" fillId="0" borderId="8" xfId="0" applyFill="1" applyBorder="1"/>
    <xf numFmtId="164" fontId="0" fillId="0" borderId="5" xfId="0" applyNumberFormat="1" applyFill="1" applyBorder="1"/>
    <xf numFmtId="0" fontId="0" fillId="0" borderId="5" xfId="0" applyFill="1" applyBorder="1"/>
    <xf numFmtId="164" fontId="0" fillId="0" borderId="2" xfId="0" applyNumberFormat="1" applyFill="1" applyBorder="1"/>
    <xf numFmtId="0" fontId="0" fillId="0" borderId="2" xfId="0" applyFill="1" applyBorder="1"/>
    <xf numFmtId="0" fontId="4" fillId="0" borderId="4" xfId="0" applyFont="1" applyBorder="1"/>
    <xf numFmtId="0" fontId="5" fillId="0" borderId="0" xfId="0" applyFont="1"/>
    <xf numFmtId="164" fontId="0" fillId="0" borderId="5" xfId="0" applyNumberFormat="1" applyBorder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164" fontId="0" fillId="0" borderId="2" xfId="0" applyNumberFormat="1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8" xfId="0" applyNumberFormat="1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Fill="1" applyBorder="1"/>
    <xf numFmtId="164" fontId="0" fillId="0" borderId="6" xfId="0" applyNumberFormat="1" applyFill="1" applyBorder="1"/>
    <xf numFmtId="164" fontId="0" fillId="3" borderId="6" xfId="0" applyNumberFormat="1" applyFill="1" applyBorder="1"/>
    <xf numFmtId="164" fontId="0" fillId="0" borderId="3" xfId="0" applyNumberFormat="1" applyFill="1" applyBorder="1"/>
    <xf numFmtId="0" fontId="0" fillId="0" borderId="22" xfId="0" applyBorder="1"/>
    <xf numFmtId="0" fontId="0" fillId="0" borderId="23" xfId="0" applyBorder="1"/>
    <xf numFmtId="14" fontId="0" fillId="0" borderId="5" xfId="0" applyNumberFormat="1" applyFill="1" applyBorder="1"/>
    <xf numFmtId="14" fontId="0" fillId="6" borderId="2" xfId="0" applyNumberFormat="1" applyFill="1" applyBorder="1"/>
    <xf numFmtId="0" fontId="0" fillId="6" borderId="2" xfId="0" applyFill="1" applyBorder="1"/>
    <xf numFmtId="164" fontId="0" fillId="0" borderId="0" xfId="0" applyNumberFormat="1" applyBorder="1"/>
    <xf numFmtId="0" fontId="0" fillId="0" borderId="0" xfId="0" applyBorder="1"/>
    <xf numFmtId="164" fontId="0" fillId="6" borderId="2" xfId="0" applyNumberFormat="1" applyFill="1" applyBorder="1"/>
    <xf numFmtId="0" fontId="0" fillId="0" borderId="24" xfId="0" applyFill="1" applyBorder="1"/>
    <xf numFmtId="0" fontId="2" fillId="0" borderId="0" xfId="0" applyFont="1" applyBorder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4" xfId="0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0" fontId="1" fillId="5" borderId="0" xfId="0" applyFont="1" applyFill="1" applyAlignment="1">
      <alignment horizontal="left" vertical="center"/>
    </xf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0" fontId="0" fillId="0" borderId="4" xfId="0" applyFill="1" applyBorder="1" applyAlignment="1">
      <alignment wrapText="1"/>
    </xf>
    <xf numFmtId="164" fontId="0" fillId="0" borderId="3" xfId="0" applyNumberFormat="1" applyBorder="1" applyAlignment="1">
      <alignment horizontal="left" vertical="center"/>
    </xf>
    <xf numFmtId="0" fontId="0" fillId="0" borderId="1" xfId="0" applyFill="1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0" borderId="6" xfId="0" applyNumberFormat="1" applyFill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164" fontId="0" fillId="0" borderId="9" xfId="0" applyNumberFormat="1" applyBorder="1"/>
    <xf numFmtId="164" fontId="0" fillId="0" borderId="6" xfId="0" applyNumberFormat="1" applyBorder="1"/>
    <xf numFmtId="164" fontId="0" fillId="0" borderId="3" xfId="0" applyNumberFormat="1" applyFill="1" applyBorder="1" applyAlignment="1">
      <alignment vertical="top"/>
    </xf>
    <xf numFmtId="164" fontId="0" fillId="0" borderId="15" xfId="0" applyNumberFormat="1" applyBorder="1" applyAlignment="1">
      <alignment vertical="top"/>
    </xf>
    <xf numFmtId="0" fontId="0" fillId="0" borderId="13" xfId="0" applyBorder="1" applyAlignment="1">
      <alignment vertical="top" wrapText="1"/>
    </xf>
    <xf numFmtId="164" fontId="0" fillId="8" borderId="6" xfId="0" applyNumberFormat="1" applyFill="1" applyBorder="1" applyAlignment="1">
      <alignment vertical="top"/>
    </xf>
    <xf numFmtId="0" fontId="0" fillId="8" borderId="0" xfId="0" applyFill="1"/>
    <xf numFmtId="0" fontId="4" fillId="0" borderId="4" xfId="0" applyFont="1" applyBorder="1" applyAlignment="1">
      <alignment wrapText="1"/>
    </xf>
    <xf numFmtId="0" fontId="6" fillId="0" borderId="0" xfId="0" applyFont="1" applyAlignment="1"/>
    <xf numFmtId="0" fontId="0" fillId="0" borderId="7" xfId="0" applyBorder="1" applyAlignment="1">
      <alignment vertical="top"/>
    </xf>
    <xf numFmtId="0" fontId="7" fillId="0" borderId="4" xfId="0" applyFont="1" applyBorder="1"/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3.710937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E40"/>
  <sheetViews>
    <sheetView showGridLines="0" workbookViewId="0">
      <selection activeCell="E22" sqref="E22"/>
    </sheetView>
  </sheetViews>
  <sheetFormatPr baseColWidth="10" defaultRowHeight="15" x14ac:dyDescent="0.25"/>
  <cols>
    <col min="2" max="2" width="8.2851562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5"/>
  <sheetViews>
    <sheetView workbookViewId="0">
      <selection activeCell="N35" sqref="N35"/>
    </sheetView>
  </sheetViews>
  <sheetFormatPr baseColWidth="10" defaultRowHeight="15" x14ac:dyDescent="0.25"/>
  <sheetData>
    <row r="1" spans="1:5" ht="21" x14ac:dyDescent="0.35">
      <c r="A1" s="1" t="s">
        <v>0</v>
      </c>
    </row>
    <row r="5" spans="1:5" x14ac:dyDescent="0.25">
      <c r="B5" t="s">
        <v>1</v>
      </c>
    </row>
    <row r="6" spans="1:5" x14ac:dyDescent="0.25">
      <c r="C6" t="s">
        <v>12</v>
      </c>
    </row>
    <row r="7" spans="1:5" x14ac:dyDescent="0.25">
      <c r="D7" t="s">
        <v>13</v>
      </c>
    </row>
    <row r="8" spans="1:5" x14ac:dyDescent="0.25">
      <c r="D8" t="s">
        <v>22</v>
      </c>
    </row>
    <row r="9" spans="1:5" x14ac:dyDescent="0.25">
      <c r="C9" t="s">
        <v>16</v>
      </c>
    </row>
    <row r="10" spans="1:5" x14ac:dyDescent="0.25">
      <c r="D10" t="s">
        <v>17</v>
      </c>
    </row>
    <row r="11" spans="1:5" x14ac:dyDescent="0.25">
      <c r="E11" t="s">
        <v>18</v>
      </c>
    </row>
    <row r="12" spans="1:5" x14ac:dyDescent="0.25">
      <c r="E12" t="s">
        <v>19</v>
      </c>
    </row>
    <row r="13" spans="1:5" x14ac:dyDescent="0.25">
      <c r="C13" t="s">
        <v>20</v>
      </c>
    </row>
    <row r="14" spans="1:5" x14ac:dyDescent="0.25">
      <c r="C14" t="s">
        <v>21</v>
      </c>
    </row>
    <row r="16" spans="1:5" x14ac:dyDescent="0.25">
      <c r="C16" t="s">
        <v>14</v>
      </c>
    </row>
    <row r="17" spans="2:4" x14ac:dyDescent="0.25">
      <c r="D17" t="s">
        <v>15</v>
      </c>
    </row>
    <row r="19" spans="2:4" x14ac:dyDescent="0.25">
      <c r="C19" t="s">
        <v>23</v>
      </c>
    </row>
    <row r="24" spans="2:4" x14ac:dyDescent="0.25">
      <c r="B24" t="s">
        <v>2</v>
      </c>
    </row>
    <row r="25" spans="2:4" x14ac:dyDescent="0.25">
      <c r="C25" t="s">
        <v>5</v>
      </c>
    </row>
    <row r="26" spans="2:4" x14ac:dyDescent="0.25">
      <c r="D26" t="s">
        <v>9</v>
      </c>
    </row>
    <row r="27" spans="2:4" x14ac:dyDescent="0.25">
      <c r="D27" t="s">
        <v>10</v>
      </c>
    </row>
    <row r="33" spans="2:4" x14ac:dyDescent="0.25">
      <c r="C33" t="s">
        <v>6</v>
      </c>
    </row>
    <row r="34" spans="2:4" x14ac:dyDescent="0.25">
      <c r="D34" t="s">
        <v>8</v>
      </c>
    </row>
    <row r="35" spans="2:4" x14ac:dyDescent="0.25">
      <c r="B35" t="s">
        <v>3</v>
      </c>
    </row>
    <row r="36" spans="2:4" x14ac:dyDescent="0.25">
      <c r="C36" t="s">
        <v>7</v>
      </c>
    </row>
    <row r="37" spans="2:4" x14ac:dyDescent="0.25">
      <c r="D37" t="s">
        <v>11</v>
      </c>
    </row>
    <row r="38" spans="2:4" x14ac:dyDescent="0.25">
      <c r="D38" t="s">
        <v>25</v>
      </c>
    </row>
    <row r="39" spans="2:4" x14ac:dyDescent="0.25">
      <c r="D39" t="s">
        <v>24</v>
      </c>
    </row>
    <row r="45" spans="2:4" x14ac:dyDescent="0.25">
      <c r="B45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5" x14ac:dyDescent="0.25"/>
  <cols>
    <col min="1" max="1" width="5" customWidth="1"/>
    <col min="2" max="2" width="18.5703125" customWidth="1"/>
    <col min="4" max="4" width="13.42578125" bestFit="1" customWidth="1"/>
    <col min="5" max="5" width="14.42578125" customWidth="1"/>
    <col min="8" max="8" width="14.5703125" customWidth="1"/>
    <col min="9" max="9" width="13" bestFit="1" customWidth="1"/>
    <col min="10" max="10" width="12.28515625" bestFit="1" customWidth="1"/>
  </cols>
  <sheetData>
    <row r="4" spans="2:10" x14ac:dyDescent="0.25">
      <c r="B4" t="s">
        <v>76</v>
      </c>
      <c r="D4" s="2">
        <v>44025</v>
      </c>
      <c r="E4" s="2">
        <v>44058</v>
      </c>
    </row>
    <row r="5" spans="2:10" ht="15.75" thickBot="1" x14ac:dyDescent="0.3"/>
    <row r="6" spans="2:10" x14ac:dyDescent="0.25">
      <c r="B6" s="53" t="s">
        <v>64</v>
      </c>
      <c r="C6" s="16" t="s">
        <v>65</v>
      </c>
      <c r="D6" s="54">
        <v>44060</v>
      </c>
      <c r="E6" s="54">
        <v>44226</v>
      </c>
      <c r="F6" s="16"/>
      <c r="G6" s="16"/>
      <c r="H6" s="54">
        <f>D6+1</f>
        <v>44061</v>
      </c>
      <c r="I6" s="54">
        <f>H6+2</f>
        <v>44063</v>
      </c>
      <c r="J6" s="55">
        <f>I6+1</f>
        <v>44064</v>
      </c>
    </row>
    <row r="7" spans="2:10" x14ac:dyDescent="0.25">
      <c r="B7" s="41" t="s">
        <v>66</v>
      </c>
      <c r="C7" s="8"/>
      <c r="D7" s="39">
        <v>44107</v>
      </c>
      <c r="E7" s="39">
        <v>44122</v>
      </c>
      <c r="F7" s="8"/>
      <c r="G7" s="8"/>
      <c r="H7" s="8"/>
      <c r="I7" s="8"/>
      <c r="J7" s="7"/>
    </row>
    <row r="8" spans="2:10" x14ac:dyDescent="0.25">
      <c r="B8" s="41" t="s">
        <v>67</v>
      </c>
      <c r="C8" s="8"/>
      <c r="D8" s="39">
        <v>44184</v>
      </c>
      <c r="E8" s="39">
        <v>44199</v>
      </c>
      <c r="F8" s="8"/>
      <c r="G8" s="8"/>
      <c r="H8" s="8"/>
      <c r="I8" s="8"/>
      <c r="J8" s="7"/>
    </row>
    <row r="9" spans="2:10" x14ac:dyDescent="0.25">
      <c r="B9" s="41" t="s">
        <v>70</v>
      </c>
      <c r="C9" s="8" t="s">
        <v>69</v>
      </c>
      <c r="D9" s="39">
        <v>44228</v>
      </c>
      <c r="E9" s="39">
        <v>44394</v>
      </c>
      <c r="F9" s="8"/>
      <c r="G9" s="8"/>
      <c r="H9" s="39">
        <f>D9+1</f>
        <v>44229</v>
      </c>
      <c r="I9" s="39">
        <f>H9+2</f>
        <v>44231</v>
      </c>
      <c r="J9" s="56">
        <f>I9+1</f>
        <v>44232</v>
      </c>
    </row>
    <row r="10" spans="2:10" x14ac:dyDescent="0.25">
      <c r="B10" s="41" t="s">
        <v>71</v>
      </c>
      <c r="C10" s="8"/>
      <c r="D10" s="39">
        <v>44247</v>
      </c>
      <c r="E10" s="39">
        <v>44262</v>
      </c>
      <c r="F10" s="8"/>
      <c r="G10" s="8"/>
      <c r="H10" s="8"/>
      <c r="I10" s="8"/>
      <c r="J10" s="7"/>
    </row>
    <row r="11" spans="2:10" x14ac:dyDescent="0.25">
      <c r="B11" s="41" t="s">
        <v>77</v>
      </c>
      <c r="C11" s="8"/>
      <c r="D11" s="39">
        <v>44288</v>
      </c>
      <c r="E11" s="39">
        <v>44291</v>
      </c>
      <c r="F11" s="8"/>
      <c r="G11" s="8"/>
      <c r="H11" s="8"/>
      <c r="I11" s="8"/>
      <c r="J11" s="7"/>
    </row>
    <row r="12" spans="2:10" x14ac:dyDescent="0.25">
      <c r="B12" s="41" t="s">
        <v>68</v>
      </c>
      <c r="C12" s="8"/>
      <c r="D12" s="39">
        <v>44310</v>
      </c>
      <c r="E12" s="39">
        <v>44325</v>
      </c>
      <c r="F12" s="8"/>
      <c r="G12" s="8"/>
      <c r="H12" s="8"/>
      <c r="I12" s="8"/>
      <c r="J12" s="7"/>
    </row>
    <row r="13" spans="2:10" x14ac:dyDescent="0.25">
      <c r="B13" s="57" t="s">
        <v>72</v>
      </c>
      <c r="C13" s="8"/>
      <c r="D13" s="39">
        <v>44317</v>
      </c>
      <c r="E13" s="39"/>
      <c r="F13" s="8"/>
      <c r="G13" s="8"/>
      <c r="H13" s="8"/>
      <c r="I13" s="8"/>
      <c r="J13" s="7"/>
    </row>
    <row r="14" spans="2:10" x14ac:dyDescent="0.25">
      <c r="B14" s="41" t="s">
        <v>73</v>
      </c>
      <c r="C14" s="8"/>
      <c r="D14" s="39">
        <v>44329</v>
      </c>
      <c r="E14" s="39">
        <v>44332</v>
      </c>
      <c r="F14" s="8"/>
      <c r="G14" s="8"/>
      <c r="H14" s="8"/>
      <c r="I14" s="8"/>
      <c r="J14" s="7"/>
    </row>
    <row r="15" spans="2:10" x14ac:dyDescent="0.25">
      <c r="B15" s="41" t="s">
        <v>74</v>
      </c>
      <c r="C15" s="8"/>
      <c r="D15" s="39">
        <v>44338</v>
      </c>
      <c r="E15" s="39">
        <v>44340</v>
      </c>
      <c r="F15" s="8"/>
      <c r="G15" s="8"/>
      <c r="H15" s="8"/>
      <c r="I15" s="8"/>
      <c r="J15" s="7"/>
    </row>
    <row r="16" spans="2:10" x14ac:dyDescent="0.25">
      <c r="B16" s="41"/>
      <c r="C16" s="8"/>
      <c r="D16" s="39"/>
      <c r="E16" s="39"/>
      <c r="F16" s="8"/>
      <c r="G16" s="8"/>
      <c r="H16" s="8"/>
      <c r="I16" s="8"/>
      <c r="J16" s="7"/>
    </row>
    <row r="17" spans="2:10" ht="15.75" thickBot="1" x14ac:dyDescent="0.3">
      <c r="B17" s="42" t="s">
        <v>75</v>
      </c>
      <c r="C17" s="4"/>
      <c r="D17" s="43">
        <v>44394</v>
      </c>
      <c r="E17" s="43">
        <v>44430</v>
      </c>
      <c r="F17" s="4"/>
      <c r="G17" s="4"/>
      <c r="H17" s="4"/>
      <c r="I17" s="4"/>
      <c r="J17" s="3"/>
    </row>
    <row r="18" spans="2:10" ht="15.75" thickBot="1" x14ac:dyDescent="0.3">
      <c r="D18" s="29"/>
      <c r="E18" s="29"/>
    </row>
    <row r="19" spans="2:10" x14ac:dyDescent="0.25">
      <c r="B19" s="53" t="s">
        <v>64</v>
      </c>
      <c r="C19" s="16" t="s">
        <v>65</v>
      </c>
      <c r="D19" s="54">
        <v>44431</v>
      </c>
      <c r="E19" s="54">
        <v>44590</v>
      </c>
      <c r="F19" s="16"/>
      <c r="G19" s="16"/>
      <c r="H19" s="54">
        <f>D19+1</f>
        <v>44432</v>
      </c>
      <c r="I19" s="54">
        <f>H19+2</f>
        <v>44434</v>
      </c>
      <c r="J19" s="55">
        <f>I19+1</f>
        <v>44435</v>
      </c>
    </row>
    <row r="20" spans="2:10" x14ac:dyDescent="0.25">
      <c r="B20" s="41" t="s">
        <v>66</v>
      </c>
      <c r="C20" s="8"/>
      <c r="D20" s="39">
        <v>44478</v>
      </c>
      <c r="E20" s="39">
        <v>44493</v>
      </c>
      <c r="F20" s="8"/>
      <c r="G20" s="8"/>
      <c r="H20" s="8"/>
      <c r="I20" s="8"/>
      <c r="J20" s="7"/>
    </row>
    <row r="21" spans="2:10" x14ac:dyDescent="0.25">
      <c r="B21" s="41" t="s">
        <v>67</v>
      </c>
      <c r="C21" s="8"/>
      <c r="D21" s="39">
        <v>44548</v>
      </c>
      <c r="E21" s="39">
        <v>44563</v>
      </c>
      <c r="F21" s="8"/>
      <c r="G21" s="8"/>
      <c r="H21" s="8"/>
      <c r="I21" s="8"/>
      <c r="J21" s="7"/>
    </row>
    <row r="22" spans="2:10" x14ac:dyDescent="0.25">
      <c r="B22" s="41" t="s">
        <v>70</v>
      </c>
      <c r="C22" s="8" t="s">
        <v>69</v>
      </c>
      <c r="D22" s="39">
        <v>44592</v>
      </c>
      <c r="E22" s="39">
        <v>44758</v>
      </c>
      <c r="F22" s="8"/>
      <c r="G22" s="8"/>
      <c r="H22" s="39">
        <f>D22+1</f>
        <v>44593</v>
      </c>
      <c r="I22" s="39">
        <f>H22+2</f>
        <v>44595</v>
      </c>
      <c r="J22" s="56">
        <f>I22+1</f>
        <v>44596</v>
      </c>
    </row>
    <row r="23" spans="2:10" x14ac:dyDescent="0.25">
      <c r="B23" s="41" t="s">
        <v>71</v>
      </c>
      <c r="C23" s="8"/>
      <c r="D23" s="39">
        <v>44611</v>
      </c>
      <c r="E23" s="39">
        <v>44626</v>
      </c>
      <c r="F23" s="8"/>
      <c r="G23" s="8"/>
      <c r="H23" s="8"/>
      <c r="I23" s="8"/>
      <c r="J23" s="7"/>
    </row>
    <row r="24" spans="2:10" x14ac:dyDescent="0.25">
      <c r="B24" s="41" t="s">
        <v>77</v>
      </c>
      <c r="C24" s="8"/>
      <c r="D24" s="39">
        <v>44666</v>
      </c>
      <c r="E24" s="39">
        <v>44669</v>
      </c>
      <c r="F24" s="8"/>
      <c r="G24" s="8"/>
      <c r="H24" s="8"/>
      <c r="I24" s="8"/>
      <c r="J24" s="7"/>
    </row>
    <row r="25" spans="2:10" x14ac:dyDescent="0.25">
      <c r="B25" s="41" t="s">
        <v>68</v>
      </c>
      <c r="C25" s="8"/>
      <c r="D25" s="39">
        <v>44667</v>
      </c>
      <c r="E25" s="39">
        <v>44682</v>
      </c>
      <c r="F25" s="8"/>
      <c r="G25" s="8"/>
      <c r="H25" s="8"/>
      <c r="I25" s="8"/>
      <c r="J25" s="7"/>
    </row>
    <row r="26" spans="2:10" x14ac:dyDescent="0.25">
      <c r="B26" s="57" t="s">
        <v>72</v>
      </c>
      <c r="C26" s="8"/>
      <c r="D26" s="39">
        <v>44682</v>
      </c>
      <c r="E26" s="39"/>
      <c r="F26" s="8"/>
      <c r="G26" s="8"/>
      <c r="H26" s="8"/>
      <c r="I26" s="8"/>
      <c r="J26" s="7"/>
    </row>
    <row r="27" spans="2:10" x14ac:dyDescent="0.25">
      <c r="B27" s="41" t="s">
        <v>73</v>
      </c>
      <c r="C27" s="8"/>
      <c r="D27" s="39">
        <v>44707</v>
      </c>
      <c r="E27" s="39">
        <v>44709</v>
      </c>
      <c r="F27" s="8"/>
      <c r="G27" s="8"/>
      <c r="H27" s="8"/>
      <c r="I27" s="8"/>
      <c r="J27" s="7"/>
    </row>
    <row r="28" spans="2:10" x14ac:dyDescent="0.25">
      <c r="B28" s="41" t="s">
        <v>74</v>
      </c>
      <c r="C28" s="8"/>
      <c r="D28" s="39">
        <v>44716</v>
      </c>
      <c r="E28" s="39">
        <v>44718</v>
      </c>
      <c r="F28" s="8"/>
      <c r="G28" s="8"/>
      <c r="H28" s="8"/>
      <c r="I28" s="8"/>
      <c r="J28" s="7"/>
    </row>
    <row r="29" spans="2:10" x14ac:dyDescent="0.25">
      <c r="B29" s="41"/>
      <c r="C29" s="8"/>
      <c r="D29" s="39"/>
      <c r="E29" s="39"/>
      <c r="F29" s="8"/>
      <c r="G29" s="8"/>
      <c r="H29" s="8"/>
      <c r="I29" s="8"/>
      <c r="J29" s="7"/>
    </row>
    <row r="30" spans="2:10" ht="15.75" thickBot="1" x14ac:dyDescent="0.3">
      <c r="B30" s="42" t="s">
        <v>78</v>
      </c>
      <c r="C30" s="4"/>
      <c r="D30" s="43">
        <v>44758</v>
      </c>
      <c r="E30" s="43">
        <v>44794</v>
      </c>
      <c r="F30" s="4"/>
      <c r="G30" s="4"/>
      <c r="H30" s="4"/>
      <c r="I30" s="4"/>
      <c r="J30" s="3"/>
    </row>
    <row r="31" spans="2:10" ht="15.75" thickBot="1" x14ac:dyDescent="0.3">
      <c r="D31" s="29"/>
      <c r="E31" s="29"/>
    </row>
    <row r="32" spans="2:10" x14ac:dyDescent="0.25">
      <c r="B32" s="53" t="s">
        <v>64</v>
      </c>
      <c r="C32" s="16" t="s">
        <v>65</v>
      </c>
      <c r="D32" s="54">
        <v>44795</v>
      </c>
      <c r="E32" s="54">
        <v>44954</v>
      </c>
      <c r="F32" s="16"/>
      <c r="G32" s="16"/>
      <c r="H32" s="54">
        <f>D32+1</f>
        <v>44796</v>
      </c>
      <c r="I32" s="54">
        <f>H32+2</f>
        <v>44798</v>
      </c>
      <c r="J32" s="55">
        <f>I32+1</f>
        <v>44799</v>
      </c>
    </row>
    <row r="33" spans="1:10" x14ac:dyDescent="0.25">
      <c r="B33" s="41" t="s">
        <v>66</v>
      </c>
      <c r="C33" s="8"/>
      <c r="D33" s="39">
        <v>44842</v>
      </c>
      <c r="E33" s="39">
        <v>44857</v>
      </c>
      <c r="F33" s="8"/>
      <c r="G33" s="8"/>
      <c r="H33" s="8"/>
      <c r="I33" s="8"/>
      <c r="J33" s="7"/>
    </row>
    <row r="34" spans="1:10" x14ac:dyDescent="0.25">
      <c r="B34" s="41" t="s">
        <v>67</v>
      </c>
      <c r="C34" s="8"/>
      <c r="D34" s="39">
        <v>44919</v>
      </c>
      <c r="E34" s="39">
        <v>44934</v>
      </c>
      <c r="F34" s="8"/>
      <c r="G34" s="8"/>
      <c r="H34" s="8"/>
      <c r="I34" s="8"/>
      <c r="J34" s="7"/>
    </row>
    <row r="35" spans="1:10" ht="15.75" thickBot="1" x14ac:dyDescent="0.3">
      <c r="B35" s="42"/>
      <c r="C35" s="4"/>
      <c r="D35" s="4"/>
      <c r="E35" s="4"/>
      <c r="F35" s="4"/>
      <c r="G35" s="4"/>
      <c r="H35" s="4"/>
      <c r="I35" s="4"/>
      <c r="J35" s="3"/>
    </row>
    <row r="38" spans="1:10" ht="15.75" thickBot="1" x14ac:dyDescent="0.3"/>
    <row r="39" spans="1:10" ht="15.75" thickBot="1" x14ac:dyDescent="0.3">
      <c r="A39" s="46" t="s">
        <v>120</v>
      </c>
      <c r="B39" s="47" t="s">
        <v>48</v>
      </c>
      <c r="C39" s="47" t="s">
        <v>114</v>
      </c>
      <c r="D39" s="48" t="s">
        <v>115</v>
      </c>
    </row>
    <row r="40" spans="1:10" x14ac:dyDescent="0.25">
      <c r="A40" s="44">
        <f>_xlfn.ISOWEEKNUM(B40)</f>
        <v>34</v>
      </c>
      <c r="B40" s="45">
        <f>H6</f>
        <v>44061</v>
      </c>
      <c r="C40" s="23" t="s">
        <v>116</v>
      </c>
      <c r="D40" s="22" t="s">
        <v>116</v>
      </c>
    </row>
    <row r="41" spans="1:10" x14ac:dyDescent="0.25">
      <c r="A41" s="41">
        <f t="shared" ref="A41:A104" si="0">_xlfn.ISOWEEKNUM(B41)</f>
        <v>34</v>
      </c>
      <c r="B41" s="39">
        <f>I6</f>
        <v>44063</v>
      </c>
      <c r="C41" s="40" t="s">
        <v>118</v>
      </c>
      <c r="D41" s="7" t="s">
        <v>117</v>
      </c>
    </row>
    <row r="42" spans="1:10" x14ac:dyDescent="0.25">
      <c r="A42" s="41">
        <f t="shared" si="0"/>
        <v>34</v>
      </c>
      <c r="B42" s="39">
        <f>J6</f>
        <v>44064</v>
      </c>
      <c r="C42" s="40" t="s">
        <v>119</v>
      </c>
      <c r="D42" s="7"/>
    </row>
    <row r="43" spans="1:10" x14ac:dyDescent="0.25">
      <c r="A43" s="59">
        <f t="shared" si="0"/>
        <v>35</v>
      </c>
      <c r="B43" s="60">
        <f>B40+7</f>
        <v>44068</v>
      </c>
      <c r="C43" s="61" t="s">
        <v>116</v>
      </c>
      <c r="D43" s="62" t="s">
        <v>116</v>
      </c>
    </row>
    <row r="44" spans="1:10" x14ac:dyDescent="0.25">
      <c r="A44" s="59">
        <f t="shared" si="0"/>
        <v>35</v>
      </c>
      <c r="B44" s="60">
        <f t="shared" ref="B44:B109" si="1">B41+7</f>
        <v>44070</v>
      </c>
      <c r="C44" s="61" t="s">
        <v>118</v>
      </c>
      <c r="D44" s="62" t="s">
        <v>117</v>
      </c>
    </row>
    <row r="45" spans="1:10" x14ac:dyDescent="0.25">
      <c r="A45" s="59">
        <f t="shared" si="0"/>
        <v>35</v>
      </c>
      <c r="B45" s="60">
        <f t="shared" si="1"/>
        <v>44071</v>
      </c>
      <c r="C45" s="61" t="s">
        <v>119</v>
      </c>
      <c r="D45" s="62"/>
    </row>
    <row r="46" spans="1:10" x14ac:dyDescent="0.25">
      <c r="A46" s="41">
        <f t="shared" si="0"/>
        <v>36</v>
      </c>
      <c r="B46" s="39">
        <f t="shared" si="1"/>
        <v>44075</v>
      </c>
      <c r="C46" s="8" t="s">
        <v>116</v>
      </c>
      <c r="D46" s="7" t="s">
        <v>116</v>
      </c>
    </row>
    <row r="47" spans="1:10" x14ac:dyDescent="0.25">
      <c r="A47" s="41">
        <f t="shared" si="0"/>
        <v>36</v>
      </c>
      <c r="B47" s="39">
        <f t="shared" si="1"/>
        <v>44077</v>
      </c>
      <c r="C47" s="8" t="s">
        <v>118</v>
      </c>
      <c r="D47" s="7" t="s">
        <v>117</v>
      </c>
    </row>
    <row r="48" spans="1:10" x14ac:dyDescent="0.25">
      <c r="A48" s="41">
        <f t="shared" si="0"/>
        <v>36</v>
      </c>
      <c r="B48" s="39">
        <f t="shared" si="1"/>
        <v>44078</v>
      </c>
      <c r="C48" s="8" t="s">
        <v>119</v>
      </c>
      <c r="D48" s="7"/>
    </row>
    <row r="49" spans="1:4" x14ac:dyDescent="0.25">
      <c r="A49" s="59">
        <f t="shared" si="0"/>
        <v>37</v>
      </c>
      <c r="B49" s="60">
        <f t="shared" si="1"/>
        <v>44082</v>
      </c>
      <c r="C49" s="61" t="s">
        <v>116</v>
      </c>
      <c r="D49" s="62" t="s">
        <v>116</v>
      </c>
    </row>
    <row r="50" spans="1:4" x14ac:dyDescent="0.25">
      <c r="A50" s="59">
        <f t="shared" si="0"/>
        <v>37</v>
      </c>
      <c r="B50" s="60">
        <f t="shared" si="1"/>
        <v>44084</v>
      </c>
      <c r="C50" s="61" t="s">
        <v>118</v>
      </c>
      <c r="D50" s="62" t="s">
        <v>117</v>
      </c>
    </row>
    <row r="51" spans="1:4" x14ac:dyDescent="0.25">
      <c r="A51" s="59">
        <f t="shared" si="0"/>
        <v>37</v>
      </c>
      <c r="B51" s="60">
        <f t="shared" si="1"/>
        <v>44085</v>
      </c>
      <c r="C51" s="61" t="s">
        <v>119</v>
      </c>
      <c r="D51" s="62"/>
    </row>
    <row r="52" spans="1:4" x14ac:dyDescent="0.25">
      <c r="A52" s="41">
        <f t="shared" si="0"/>
        <v>38</v>
      </c>
      <c r="B52" s="39">
        <f t="shared" si="1"/>
        <v>44089</v>
      </c>
      <c r="C52" s="8" t="s">
        <v>116</v>
      </c>
      <c r="D52" s="7" t="s">
        <v>116</v>
      </c>
    </row>
    <row r="53" spans="1:4" x14ac:dyDescent="0.25">
      <c r="A53" s="41">
        <f t="shared" si="0"/>
        <v>38</v>
      </c>
      <c r="B53" s="39">
        <f t="shared" si="1"/>
        <v>44091</v>
      </c>
      <c r="C53" s="8" t="s">
        <v>118</v>
      </c>
      <c r="D53" s="7" t="s">
        <v>117</v>
      </c>
    </row>
    <row r="54" spans="1:4" x14ac:dyDescent="0.25">
      <c r="A54" s="41">
        <f t="shared" si="0"/>
        <v>38</v>
      </c>
      <c r="B54" s="39">
        <f t="shared" si="1"/>
        <v>44092</v>
      </c>
      <c r="C54" s="8" t="s">
        <v>119</v>
      </c>
      <c r="D54" s="7"/>
    </row>
    <row r="55" spans="1:4" x14ac:dyDescent="0.25">
      <c r="A55" s="59">
        <f t="shared" si="0"/>
        <v>39</v>
      </c>
      <c r="B55" s="60">
        <f t="shared" si="1"/>
        <v>44096</v>
      </c>
      <c r="C55" s="61" t="s">
        <v>116</v>
      </c>
      <c r="D55" s="62" t="s">
        <v>116</v>
      </c>
    </row>
    <row r="56" spans="1:4" x14ac:dyDescent="0.25">
      <c r="A56" s="59">
        <f t="shared" si="0"/>
        <v>39</v>
      </c>
      <c r="B56" s="60">
        <f t="shared" si="1"/>
        <v>44098</v>
      </c>
      <c r="C56" s="61" t="s">
        <v>118</v>
      </c>
      <c r="D56" s="62" t="s">
        <v>117</v>
      </c>
    </row>
    <row r="57" spans="1:4" x14ac:dyDescent="0.25">
      <c r="A57" s="59">
        <f t="shared" si="0"/>
        <v>39</v>
      </c>
      <c r="B57" s="60">
        <f t="shared" si="1"/>
        <v>44099</v>
      </c>
      <c r="C57" s="61" t="s">
        <v>119</v>
      </c>
      <c r="D57" s="62"/>
    </row>
    <row r="58" spans="1:4" x14ac:dyDescent="0.25">
      <c r="A58" s="41">
        <f t="shared" si="0"/>
        <v>40</v>
      </c>
      <c r="B58" s="39">
        <f t="shared" si="1"/>
        <v>44103</v>
      </c>
      <c r="C58" s="8" t="s">
        <v>116</v>
      </c>
      <c r="D58" s="7" t="s">
        <v>116</v>
      </c>
    </row>
    <row r="59" spans="1:4" x14ac:dyDescent="0.25">
      <c r="A59" s="41">
        <f t="shared" si="0"/>
        <v>40</v>
      </c>
      <c r="B59" s="39">
        <f t="shared" si="1"/>
        <v>44105</v>
      </c>
      <c r="C59" s="8" t="s">
        <v>118</v>
      </c>
      <c r="D59" s="7" t="s">
        <v>117</v>
      </c>
    </row>
    <row r="60" spans="1:4" x14ac:dyDescent="0.25">
      <c r="A60" s="41">
        <f t="shared" si="0"/>
        <v>40</v>
      </c>
      <c r="B60" s="39">
        <f t="shared" si="1"/>
        <v>44106</v>
      </c>
      <c r="C60" s="8" t="s">
        <v>119</v>
      </c>
      <c r="D60" s="7"/>
    </row>
    <row r="61" spans="1:4" x14ac:dyDescent="0.25">
      <c r="A61" s="41">
        <f t="shared" si="0"/>
        <v>41</v>
      </c>
      <c r="B61" s="30">
        <f t="shared" si="1"/>
        <v>44110</v>
      </c>
      <c r="C61" s="13"/>
      <c r="D61" s="58"/>
    </row>
    <row r="62" spans="1:4" x14ac:dyDescent="0.25">
      <c r="A62" s="41">
        <f t="shared" si="0"/>
        <v>41</v>
      </c>
      <c r="B62" s="30">
        <f t="shared" si="1"/>
        <v>44112</v>
      </c>
      <c r="C62" s="13"/>
      <c r="D62" s="58"/>
    </row>
    <row r="63" spans="1:4" x14ac:dyDescent="0.25">
      <c r="A63" s="41">
        <f t="shared" si="0"/>
        <v>41</v>
      </c>
      <c r="B63" s="30">
        <f t="shared" si="1"/>
        <v>44113</v>
      </c>
      <c r="C63" s="13"/>
      <c r="D63" s="58"/>
    </row>
    <row r="64" spans="1:4" x14ac:dyDescent="0.25">
      <c r="A64" s="41">
        <f t="shared" si="0"/>
        <v>42</v>
      </c>
      <c r="B64" s="30">
        <f t="shared" si="1"/>
        <v>44117</v>
      </c>
      <c r="C64" s="13"/>
      <c r="D64" s="58"/>
    </row>
    <row r="65" spans="1:4" x14ac:dyDescent="0.25">
      <c r="A65" s="41">
        <f t="shared" si="0"/>
        <v>42</v>
      </c>
      <c r="B65" s="30">
        <f t="shared" si="1"/>
        <v>44119</v>
      </c>
      <c r="C65" s="13"/>
      <c r="D65" s="58"/>
    </row>
    <row r="66" spans="1:4" x14ac:dyDescent="0.25">
      <c r="A66" s="41">
        <f t="shared" si="0"/>
        <v>42</v>
      </c>
      <c r="B66" s="30">
        <f t="shared" si="1"/>
        <v>44120</v>
      </c>
      <c r="C66" s="13"/>
      <c r="D66" s="58"/>
    </row>
    <row r="67" spans="1:4" x14ac:dyDescent="0.25">
      <c r="A67" s="59">
        <f t="shared" si="0"/>
        <v>43</v>
      </c>
      <c r="B67" s="60">
        <f t="shared" si="1"/>
        <v>44124</v>
      </c>
      <c r="C67" s="61" t="s">
        <v>116</v>
      </c>
      <c r="D67" s="62" t="s">
        <v>116</v>
      </c>
    </row>
    <row r="68" spans="1:4" x14ac:dyDescent="0.25">
      <c r="A68" s="59">
        <f t="shared" si="0"/>
        <v>43</v>
      </c>
      <c r="B68" s="60">
        <f t="shared" si="1"/>
        <v>44126</v>
      </c>
      <c r="C68" s="61" t="s">
        <v>118</v>
      </c>
      <c r="D68" s="62" t="s">
        <v>117</v>
      </c>
    </row>
    <row r="69" spans="1:4" x14ac:dyDescent="0.25">
      <c r="A69" s="59">
        <f t="shared" si="0"/>
        <v>43</v>
      </c>
      <c r="B69" s="60">
        <f t="shared" si="1"/>
        <v>44127</v>
      </c>
      <c r="C69" s="61" t="s">
        <v>119</v>
      </c>
      <c r="D69" s="62"/>
    </row>
    <row r="70" spans="1:4" x14ac:dyDescent="0.25">
      <c r="A70" s="41">
        <f t="shared" si="0"/>
        <v>44</v>
      </c>
      <c r="B70" s="39">
        <f t="shared" si="1"/>
        <v>44131</v>
      </c>
      <c r="C70" s="8" t="s">
        <v>116</v>
      </c>
      <c r="D70" s="7" t="s">
        <v>116</v>
      </c>
    </row>
    <row r="71" spans="1:4" x14ac:dyDescent="0.25">
      <c r="A71" s="41">
        <f t="shared" si="0"/>
        <v>44</v>
      </c>
      <c r="B71" s="39">
        <f t="shared" si="1"/>
        <v>44133</v>
      </c>
      <c r="C71" s="8" t="s">
        <v>118</v>
      </c>
      <c r="D71" s="7" t="s">
        <v>117</v>
      </c>
    </row>
    <row r="72" spans="1:4" x14ac:dyDescent="0.25">
      <c r="A72" s="41">
        <f t="shared" si="0"/>
        <v>44</v>
      </c>
      <c r="B72" s="39">
        <f t="shared" si="1"/>
        <v>44134</v>
      </c>
      <c r="C72" s="8" t="s">
        <v>119</v>
      </c>
      <c r="D72" s="7"/>
    </row>
    <row r="73" spans="1:4" x14ac:dyDescent="0.25">
      <c r="A73" s="59">
        <f t="shared" si="0"/>
        <v>45</v>
      </c>
      <c r="B73" s="60">
        <f t="shared" si="1"/>
        <v>44138</v>
      </c>
      <c r="C73" s="61" t="s">
        <v>116</v>
      </c>
      <c r="D73" s="62" t="s">
        <v>116</v>
      </c>
    </row>
    <row r="74" spans="1:4" x14ac:dyDescent="0.25">
      <c r="A74" s="59">
        <f t="shared" si="0"/>
        <v>45</v>
      </c>
      <c r="B74" s="60">
        <f t="shared" si="1"/>
        <v>44140</v>
      </c>
      <c r="C74" s="61" t="s">
        <v>118</v>
      </c>
      <c r="D74" s="62" t="s">
        <v>117</v>
      </c>
    </row>
    <row r="75" spans="1:4" x14ac:dyDescent="0.25">
      <c r="A75" s="59">
        <f t="shared" si="0"/>
        <v>45</v>
      </c>
      <c r="B75" s="60">
        <f t="shared" si="1"/>
        <v>44141</v>
      </c>
      <c r="C75" s="61" t="s">
        <v>119</v>
      </c>
      <c r="D75" s="62"/>
    </row>
    <row r="76" spans="1:4" x14ac:dyDescent="0.25">
      <c r="A76" s="41">
        <f t="shared" si="0"/>
        <v>46</v>
      </c>
      <c r="B76" s="39">
        <f t="shared" si="1"/>
        <v>44145</v>
      </c>
      <c r="C76" s="8" t="s">
        <v>116</v>
      </c>
      <c r="D76" s="7"/>
    </row>
    <row r="77" spans="1:4" x14ac:dyDescent="0.25">
      <c r="A77" s="41">
        <f t="shared" si="0"/>
        <v>46</v>
      </c>
      <c r="B77" s="39">
        <f t="shared" si="1"/>
        <v>44147</v>
      </c>
      <c r="C77" s="8" t="s">
        <v>118</v>
      </c>
      <c r="D77" s="7" t="s">
        <v>117</v>
      </c>
    </row>
    <row r="78" spans="1:4" x14ac:dyDescent="0.25">
      <c r="A78" s="41">
        <f t="shared" si="0"/>
        <v>46</v>
      </c>
      <c r="B78" s="39">
        <f t="shared" si="1"/>
        <v>44148</v>
      </c>
      <c r="C78" s="8" t="s">
        <v>119</v>
      </c>
      <c r="D78" s="7"/>
    </row>
    <row r="79" spans="1:4" x14ac:dyDescent="0.25">
      <c r="A79" s="59">
        <f t="shared" si="0"/>
        <v>47</v>
      </c>
      <c r="B79" s="60">
        <f t="shared" si="1"/>
        <v>44152</v>
      </c>
      <c r="C79" s="61" t="s">
        <v>116</v>
      </c>
      <c r="D79" s="62"/>
    </row>
    <row r="80" spans="1:4" x14ac:dyDescent="0.25">
      <c r="A80" s="59">
        <f t="shared" si="0"/>
        <v>47</v>
      </c>
      <c r="B80" s="60">
        <f t="shared" si="1"/>
        <v>44154</v>
      </c>
      <c r="C80" s="61" t="s">
        <v>118</v>
      </c>
      <c r="D80" s="62" t="s">
        <v>117</v>
      </c>
    </row>
    <row r="81" spans="1:4" x14ac:dyDescent="0.25">
      <c r="A81" s="59">
        <f t="shared" si="0"/>
        <v>47</v>
      </c>
      <c r="B81" s="60">
        <f t="shared" si="1"/>
        <v>44155</v>
      </c>
      <c r="C81" s="61" t="s">
        <v>119</v>
      </c>
      <c r="D81" s="62"/>
    </row>
    <row r="82" spans="1:4" x14ac:dyDescent="0.25">
      <c r="A82" s="41">
        <f t="shared" si="0"/>
        <v>48</v>
      </c>
      <c r="B82" s="39">
        <f t="shared" si="1"/>
        <v>44159</v>
      </c>
      <c r="C82" s="8" t="s">
        <v>116</v>
      </c>
      <c r="D82" s="7"/>
    </row>
    <row r="83" spans="1:4" x14ac:dyDescent="0.25">
      <c r="A83" s="41">
        <f t="shared" si="0"/>
        <v>48</v>
      </c>
      <c r="B83" s="39">
        <f t="shared" si="1"/>
        <v>44161</v>
      </c>
      <c r="C83" s="8" t="s">
        <v>118</v>
      </c>
      <c r="D83" s="7" t="s">
        <v>117</v>
      </c>
    </row>
    <row r="84" spans="1:4" x14ac:dyDescent="0.25">
      <c r="A84" s="41">
        <f t="shared" si="0"/>
        <v>48</v>
      </c>
      <c r="B84" s="39">
        <f t="shared" si="1"/>
        <v>44162</v>
      </c>
      <c r="C84" s="8" t="s">
        <v>119</v>
      </c>
      <c r="D84" s="7"/>
    </row>
    <row r="85" spans="1:4" x14ac:dyDescent="0.25">
      <c r="A85" s="59">
        <f t="shared" si="0"/>
        <v>49</v>
      </c>
      <c r="B85" s="60">
        <f t="shared" si="1"/>
        <v>44166</v>
      </c>
      <c r="C85" s="61" t="s">
        <v>116</v>
      </c>
      <c r="D85" s="62"/>
    </row>
    <row r="86" spans="1:4" x14ac:dyDescent="0.25">
      <c r="A86" s="59">
        <f t="shared" si="0"/>
        <v>49</v>
      </c>
      <c r="B86" s="60">
        <f t="shared" si="1"/>
        <v>44168</v>
      </c>
      <c r="C86" s="61" t="s">
        <v>118</v>
      </c>
      <c r="D86" s="62" t="s">
        <v>117</v>
      </c>
    </row>
    <row r="87" spans="1:4" x14ac:dyDescent="0.25">
      <c r="A87" s="59">
        <f t="shared" si="0"/>
        <v>49</v>
      </c>
      <c r="B87" s="60">
        <f t="shared" si="1"/>
        <v>44169</v>
      </c>
      <c r="C87" s="61" t="s">
        <v>119</v>
      </c>
      <c r="D87" s="62"/>
    </row>
    <row r="88" spans="1:4" x14ac:dyDescent="0.25">
      <c r="A88" s="41">
        <f t="shared" si="0"/>
        <v>50</v>
      </c>
      <c r="B88" s="39">
        <f t="shared" si="1"/>
        <v>44173</v>
      </c>
      <c r="C88" s="8" t="s">
        <v>116</v>
      </c>
      <c r="D88" s="7"/>
    </row>
    <row r="89" spans="1:4" x14ac:dyDescent="0.25">
      <c r="A89" s="41">
        <f t="shared" si="0"/>
        <v>50</v>
      </c>
      <c r="B89" s="39">
        <f t="shared" si="1"/>
        <v>44175</v>
      </c>
      <c r="C89" s="8" t="s">
        <v>118</v>
      </c>
      <c r="D89" s="7" t="s">
        <v>117</v>
      </c>
    </row>
    <row r="90" spans="1:4" x14ac:dyDescent="0.25">
      <c r="A90" s="41">
        <f t="shared" si="0"/>
        <v>50</v>
      </c>
      <c r="B90" s="39">
        <f t="shared" si="1"/>
        <v>44176</v>
      </c>
      <c r="C90" s="8" t="s">
        <v>119</v>
      </c>
      <c r="D90" s="7"/>
    </row>
    <row r="91" spans="1:4" x14ac:dyDescent="0.25">
      <c r="A91" s="59">
        <f t="shared" si="0"/>
        <v>51</v>
      </c>
      <c r="B91" s="60">
        <f t="shared" si="1"/>
        <v>44180</v>
      </c>
      <c r="C91" s="61" t="s">
        <v>116</v>
      </c>
      <c r="D91" s="62"/>
    </row>
    <row r="92" spans="1:4" x14ac:dyDescent="0.25">
      <c r="A92" s="59">
        <f t="shared" si="0"/>
        <v>51</v>
      </c>
      <c r="B92" s="60">
        <f t="shared" si="1"/>
        <v>44182</v>
      </c>
      <c r="C92" s="61" t="s">
        <v>118</v>
      </c>
      <c r="D92" s="62" t="s">
        <v>117</v>
      </c>
    </row>
    <row r="93" spans="1:4" x14ac:dyDescent="0.25">
      <c r="A93" s="59">
        <f t="shared" si="0"/>
        <v>51</v>
      </c>
      <c r="B93" s="60">
        <f t="shared" si="1"/>
        <v>44183</v>
      </c>
      <c r="C93" s="61" t="s">
        <v>119</v>
      </c>
      <c r="D93" s="62"/>
    </row>
    <row r="94" spans="1:4" x14ac:dyDescent="0.25">
      <c r="A94" s="41">
        <f t="shared" si="0"/>
        <v>52</v>
      </c>
      <c r="B94" s="30">
        <f t="shared" si="1"/>
        <v>44187</v>
      </c>
      <c r="C94" s="13"/>
      <c r="D94" s="58"/>
    </row>
    <row r="95" spans="1:4" x14ac:dyDescent="0.25">
      <c r="A95" s="41">
        <f t="shared" si="0"/>
        <v>52</v>
      </c>
      <c r="B95" s="30">
        <f t="shared" si="1"/>
        <v>44189</v>
      </c>
      <c r="C95" s="13"/>
      <c r="D95" s="58"/>
    </row>
    <row r="96" spans="1:4" x14ac:dyDescent="0.25">
      <c r="A96" s="41">
        <f t="shared" si="0"/>
        <v>52</v>
      </c>
      <c r="B96" s="30">
        <f t="shared" si="1"/>
        <v>44190</v>
      </c>
      <c r="C96" s="13"/>
      <c r="D96" s="58"/>
    </row>
    <row r="97" spans="1:4" x14ac:dyDescent="0.25">
      <c r="A97" s="41">
        <f t="shared" si="0"/>
        <v>53</v>
      </c>
      <c r="B97" s="30">
        <f t="shared" si="1"/>
        <v>44194</v>
      </c>
      <c r="C97" s="13"/>
      <c r="D97" s="58"/>
    </row>
    <row r="98" spans="1:4" x14ac:dyDescent="0.25">
      <c r="A98" s="41">
        <f t="shared" si="0"/>
        <v>53</v>
      </c>
      <c r="B98" s="30">
        <f t="shared" si="1"/>
        <v>44196</v>
      </c>
      <c r="C98" s="13"/>
      <c r="D98" s="58"/>
    </row>
    <row r="99" spans="1:4" x14ac:dyDescent="0.25">
      <c r="A99" s="41">
        <f t="shared" si="0"/>
        <v>53</v>
      </c>
      <c r="B99" s="30">
        <f t="shared" si="1"/>
        <v>44197</v>
      </c>
      <c r="C99" s="13"/>
      <c r="D99" s="58"/>
    </row>
    <row r="100" spans="1:4" x14ac:dyDescent="0.25">
      <c r="A100" s="59">
        <f t="shared" si="0"/>
        <v>1</v>
      </c>
      <c r="B100" s="60">
        <f t="shared" si="1"/>
        <v>44201</v>
      </c>
      <c r="C100" s="61" t="s">
        <v>116</v>
      </c>
      <c r="D100" s="62"/>
    </row>
    <row r="101" spans="1:4" x14ac:dyDescent="0.25">
      <c r="A101" s="59">
        <f t="shared" si="0"/>
        <v>1</v>
      </c>
      <c r="B101" s="60">
        <f t="shared" si="1"/>
        <v>44203</v>
      </c>
      <c r="C101" s="61" t="s">
        <v>118</v>
      </c>
      <c r="D101" s="62" t="s">
        <v>117</v>
      </c>
    </row>
    <row r="102" spans="1:4" x14ac:dyDescent="0.25">
      <c r="A102" s="59">
        <f t="shared" si="0"/>
        <v>1</v>
      </c>
      <c r="B102" s="60">
        <f t="shared" si="1"/>
        <v>44204</v>
      </c>
      <c r="C102" s="61" t="s">
        <v>119</v>
      </c>
      <c r="D102" s="62"/>
    </row>
    <row r="103" spans="1:4" x14ac:dyDescent="0.25">
      <c r="A103" s="41">
        <f t="shared" si="0"/>
        <v>2</v>
      </c>
      <c r="B103" s="39">
        <f t="shared" si="1"/>
        <v>44208</v>
      </c>
      <c r="C103" s="8" t="s">
        <v>116</v>
      </c>
      <c r="D103" s="7"/>
    </row>
    <row r="104" spans="1:4" x14ac:dyDescent="0.25">
      <c r="A104" s="41">
        <f t="shared" si="0"/>
        <v>2</v>
      </c>
      <c r="B104" s="39">
        <f t="shared" si="1"/>
        <v>44210</v>
      </c>
      <c r="C104" s="8" t="s">
        <v>118</v>
      </c>
      <c r="D104" s="7" t="s">
        <v>117</v>
      </c>
    </row>
    <row r="105" spans="1:4" x14ac:dyDescent="0.25">
      <c r="A105" s="41">
        <f t="shared" ref="A105:A111" si="2">_xlfn.ISOWEEKNUM(B105)</f>
        <v>2</v>
      </c>
      <c r="B105" s="39">
        <f t="shared" si="1"/>
        <v>44211</v>
      </c>
      <c r="C105" s="8" t="s">
        <v>119</v>
      </c>
      <c r="D105" s="7"/>
    </row>
    <row r="106" spans="1:4" x14ac:dyDescent="0.25">
      <c r="A106" s="59">
        <f t="shared" si="2"/>
        <v>3</v>
      </c>
      <c r="B106" s="60">
        <f t="shared" si="1"/>
        <v>44215</v>
      </c>
      <c r="C106" s="61" t="s">
        <v>116</v>
      </c>
      <c r="D106" s="62"/>
    </row>
    <row r="107" spans="1:4" x14ac:dyDescent="0.25">
      <c r="A107" s="59">
        <f t="shared" si="2"/>
        <v>3</v>
      </c>
      <c r="B107" s="60">
        <f t="shared" si="1"/>
        <v>44217</v>
      </c>
      <c r="C107" s="61" t="s">
        <v>118</v>
      </c>
      <c r="D107" s="62" t="s">
        <v>117</v>
      </c>
    </row>
    <row r="108" spans="1:4" x14ac:dyDescent="0.25">
      <c r="A108" s="59">
        <f t="shared" si="2"/>
        <v>3</v>
      </c>
      <c r="B108" s="60">
        <f t="shared" ref="B108" si="3">B105+7</f>
        <v>44218</v>
      </c>
      <c r="C108" s="61" t="s">
        <v>119</v>
      </c>
      <c r="D108" s="62"/>
    </row>
    <row r="109" spans="1:4" x14ac:dyDescent="0.25">
      <c r="A109" s="41">
        <f t="shared" si="2"/>
        <v>4</v>
      </c>
      <c r="B109" s="39">
        <f t="shared" si="1"/>
        <v>44222</v>
      </c>
      <c r="C109" s="8" t="s">
        <v>116</v>
      </c>
      <c r="D109" s="7"/>
    </row>
    <row r="110" spans="1:4" x14ac:dyDescent="0.25">
      <c r="A110" s="41">
        <f t="shared" si="2"/>
        <v>4</v>
      </c>
      <c r="B110" s="39">
        <f t="shared" ref="B110:B111" si="4">B107+7</f>
        <v>44224</v>
      </c>
      <c r="C110" s="8" t="s">
        <v>118</v>
      </c>
      <c r="D110" s="7" t="s">
        <v>117</v>
      </c>
    </row>
    <row r="111" spans="1:4" ht="15.75" thickBot="1" x14ac:dyDescent="0.3">
      <c r="A111" s="49">
        <f t="shared" si="2"/>
        <v>4</v>
      </c>
      <c r="B111" s="50">
        <f t="shared" si="4"/>
        <v>44225</v>
      </c>
      <c r="C111" s="51" t="s">
        <v>119</v>
      </c>
      <c r="D111" s="52"/>
    </row>
    <row r="112" spans="1:4" x14ac:dyDescent="0.25">
      <c r="A112" s="63">
        <f t="shared" ref="A112:A114" si="5">_xlfn.ISOWEEKNUM(B112)</f>
        <v>5</v>
      </c>
      <c r="B112" s="64">
        <f>B109+7</f>
        <v>44229</v>
      </c>
      <c r="C112" s="65"/>
      <c r="D112" s="66" t="s">
        <v>130</v>
      </c>
    </row>
    <row r="113" spans="1:4" x14ac:dyDescent="0.25">
      <c r="A113" s="59">
        <f t="shared" si="5"/>
        <v>5</v>
      </c>
      <c r="B113" s="60">
        <f>B110+7</f>
        <v>44231</v>
      </c>
      <c r="C113" s="61" t="s">
        <v>128</v>
      </c>
      <c r="D113" s="62" t="s">
        <v>117</v>
      </c>
    </row>
    <row r="114" spans="1:4" x14ac:dyDescent="0.25">
      <c r="A114" s="59">
        <f t="shared" si="5"/>
        <v>5</v>
      </c>
      <c r="B114" s="60">
        <f>B111+7</f>
        <v>44232</v>
      </c>
      <c r="C114" s="61" t="s">
        <v>129</v>
      </c>
      <c r="D114" s="62"/>
    </row>
    <row r="115" spans="1:4" x14ac:dyDescent="0.25">
      <c r="A115" s="41">
        <f t="shared" ref="A115:A162" si="6">_xlfn.ISOWEEKNUM(B115)</f>
        <v>6</v>
      </c>
      <c r="B115" s="39">
        <f t="shared" ref="B115:B178" si="7">B112+7</f>
        <v>44236</v>
      </c>
      <c r="C115" s="8"/>
      <c r="D115" s="7" t="s">
        <v>130</v>
      </c>
    </row>
    <row r="116" spans="1:4" x14ac:dyDescent="0.25">
      <c r="A116" s="41">
        <f t="shared" si="6"/>
        <v>6</v>
      </c>
      <c r="B116" s="39">
        <f t="shared" si="7"/>
        <v>44238</v>
      </c>
      <c r="C116" s="8" t="s">
        <v>128</v>
      </c>
      <c r="D116" s="7" t="s">
        <v>117</v>
      </c>
    </row>
    <row r="117" spans="1:4" x14ac:dyDescent="0.25">
      <c r="A117" s="41">
        <f t="shared" si="6"/>
        <v>6</v>
      </c>
      <c r="B117" s="39">
        <f t="shared" si="7"/>
        <v>44239</v>
      </c>
      <c r="C117" s="8" t="s">
        <v>129</v>
      </c>
      <c r="D117" s="7"/>
    </row>
    <row r="118" spans="1:4" x14ac:dyDescent="0.25">
      <c r="A118" s="59">
        <f t="shared" si="6"/>
        <v>7</v>
      </c>
      <c r="B118" s="60">
        <f t="shared" si="7"/>
        <v>44243</v>
      </c>
      <c r="C118" s="61"/>
      <c r="D118" s="62" t="s">
        <v>130</v>
      </c>
    </row>
    <row r="119" spans="1:4" x14ac:dyDescent="0.25">
      <c r="A119" s="59">
        <f t="shared" si="6"/>
        <v>7</v>
      </c>
      <c r="B119" s="60">
        <f t="shared" si="7"/>
        <v>44245</v>
      </c>
      <c r="C119" s="61" t="s">
        <v>128</v>
      </c>
      <c r="D119" s="62" t="s">
        <v>117</v>
      </c>
    </row>
    <row r="120" spans="1:4" x14ac:dyDescent="0.25">
      <c r="A120" s="59">
        <f t="shared" si="6"/>
        <v>7</v>
      </c>
      <c r="B120" s="60">
        <f t="shared" si="7"/>
        <v>44246</v>
      </c>
      <c r="C120" s="61" t="s">
        <v>129</v>
      </c>
      <c r="D120" s="62"/>
    </row>
    <row r="121" spans="1:4" x14ac:dyDescent="0.25">
      <c r="A121" s="41">
        <f t="shared" si="6"/>
        <v>8</v>
      </c>
      <c r="B121" s="30">
        <f t="shared" si="7"/>
        <v>44250</v>
      </c>
      <c r="C121" s="13"/>
      <c r="D121" s="58"/>
    </row>
    <row r="122" spans="1:4" x14ac:dyDescent="0.25">
      <c r="A122" s="41">
        <f t="shared" si="6"/>
        <v>8</v>
      </c>
      <c r="B122" s="30">
        <f t="shared" si="7"/>
        <v>44252</v>
      </c>
      <c r="C122" s="13"/>
      <c r="D122" s="58"/>
    </row>
    <row r="123" spans="1:4" x14ac:dyDescent="0.25">
      <c r="A123" s="41">
        <f t="shared" si="6"/>
        <v>8</v>
      </c>
      <c r="B123" s="30">
        <f t="shared" si="7"/>
        <v>44253</v>
      </c>
      <c r="C123" s="13"/>
      <c r="D123" s="58"/>
    </row>
    <row r="124" spans="1:4" x14ac:dyDescent="0.25">
      <c r="A124" s="41">
        <f t="shared" si="6"/>
        <v>9</v>
      </c>
      <c r="B124" s="30">
        <f t="shared" si="7"/>
        <v>44257</v>
      </c>
      <c r="C124" s="13"/>
      <c r="D124" s="58"/>
    </row>
    <row r="125" spans="1:4" x14ac:dyDescent="0.25">
      <c r="A125" s="41">
        <f t="shared" si="6"/>
        <v>9</v>
      </c>
      <c r="B125" s="30">
        <f t="shared" si="7"/>
        <v>44259</v>
      </c>
      <c r="C125" s="13"/>
      <c r="D125" s="58"/>
    </row>
    <row r="126" spans="1:4" x14ac:dyDescent="0.25">
      <c r="A126" s="41">
        <f t="shared" si="6"/>
        <v>9</v>
      </c>
      <c r="B126" s="30">
        <f t="shared" si="7"/>
        <v>44260</v>
      </c>
      <c r="C126" s="13"/>
      <c r="D126" s="58"/>
    </row>
    <row r="127" spans="1:4" x14ac:dyDescent="0.25">
      <c r="A127" s="41">
        <f t="shared" si="6"/>
        <v>10</v>
      </c>
      <c r="B127" s="39">
        <f t="shared" si="7"/>
        <v>44264</v>
      </c>
      <c r="C127" s="8"/>
      <c r="D127" s="7" t="s">
        <v>130</v>
      </c>
    </row>
    <row r="128" spans="1:4" x14ac:dyDescent="0.25">
      <c r="A128" s="41">
        <f t="shared" si="6"/>
        <v>10</v>
      </c>
      <c r="B128" s="39">
        <f t="shared" si="7"/>
        <v>44266</v>
      </c>
      <c r="C128" s="8" t="s">
        <v>128</v>
      </c>
      <c r="D128" s="7" t="s">
        <v>117</v>
      </c>
    </row>
    <row r="129" spans="1:4" x14ac:dyDescent="0.25">
      <c r="A129" s="41">
        <f t="shared" si="6"/>
        <v>10</v>
      </c>
      <c r="B129" s="39">
        <f t="shared" si="7"/>
        <v>44267</v>
      </c>
      <c r="C129" s="8" t="s">
        <v>129</v>
      </c>
      <c r="D129" s="7"/>
    </row>
    <row r="130" spans="1:4" x14ac:dyDescent="0.25">
      <c r="A130" s="59">
        <f t="shared" si="6"/>
        <v>11</v>
      </c>
      <c r="B130" s="60">
        <f t="shared" si="7"/>
        <v>44271</v>
      </c>
      <c r="C130" s="61"/>
      <c r="D130" s="62" t="s">
        <v>130</v>
      </c>
    </row>
    <row r="131" spans="1:4" x14ac:dyDescent="0.25">
      <c r="A131" s="59">
        <f t="shared" si="6"/>
        <v>11</v>
      </c>
      <c r="B131" s="60">
        <f t="shared" si="7"/>
        <v>44273</v>
      </c>
      <c r="C131" s="61" t="s">
        <v>128</v>
      </c>
      <c r="D131" s="62" t="s">
        <v>117</v>
      </c>
    </row>
    <row r="132" spans="1:4" x14ac:dyDescent="0.25">
      <c r="A132" s="59">
        <f t="shared" si="6"/>
        <v>11</v>
      </c>
      <c r="B132" s="60">
        <f t="shared" si="7"/>
        <v>44274</v>
      </c>
      <c r="C132" s="61" t="s">
        <v>129</v>
      </c>
      <c r="D132" s="62"/>
    </row>
    <row r="133" spans="1:4" x14ac:dyDescent="0.25">
      <c r="A133" s="41">
        <f t="shared" si="6"/>
        <v>12</v>
      </c>
      <c r="B133" s="39">
        <f t="shared" si="7"/>
        <v>44278</v>
      </c>
      <c r="C133" s="8"/>
      <c r="D133" s="7" t="s">
        <v>130</v>
      </c>
    </row>
    <row r="134" spans="1:4" x14ac:dyDescent="0.25">
      <c r="A134" s="41">
        <f t="shared" si="6"/>
        <v>12</v>
      </c>
      <c r="B134" s="39">
        <f t="shared" si="7"/>
        <v>44280</v>
      </c>
      <c r="C134" s="8" t="s">
        <v>128</v>
      </c>
      <c r="D134" s="7" t="s">
        <v>117</v>
      </c>
    </row>
    <row r="135" spans="1:4" x14ac:dyDescent="0.25">
      <c r="A135" s="41">
        <f t="shared" si="6"/>
        <v>12</v>
      </c>
      <c r="B135" s="39">
        <f t="shared" si="7"/>
        <v>44281</v>
      </c>
      <c r="C135" s="8" t="s">
        <v>129</v>
      </c>
      <c r="D135" s="7"/>
    </row>
    <row r="136" spans="1:4" x14ac:dyDescent="0.25">
      <c r="A136" s="59">
        <f t="shared" si="6"/>
        <v>13</v>
      </c>
      <c r="B136" s="60">
        <f t="shared" si="7"/>
        <v>44285</v>
      </c>
      <c r="C136" s="61"/>
      <c r="D136" s="62" t="s">
        <v>130</v>
      </c>
    </row>
    <row r="137" spans="1:4" x14ac:dyDescent="0.25">
      <c r="A137" s="59">
        <f t="shared" si="6"/>
        <v>13</v>
      </c>
      <c r="B137" s="60">
        <f t="shared" si="7"/>
        <v>44287</v>
      </c>
      <c r="C137" s="61" t="s">
        <v>128</v>
      </c>
      <c r="D137" s="62" t="s">
        <v>117</v>
      </c>
    </row>
    <row r="138" spans="1:4" x14ac:dyDescent="0.25">
      <c r="A138" s="41">
        <f t="shared" si="6"/>
        <v>13</v>
      </c>
      <c r="B138" s="30">
        <f t="shared" si="7"/>
        <v>44288</v>
      </c>
      <c r="C138" s="13" t="s">
        <v>127</v>
      </c>
      <c r="D138" s="58"/>
    </row>
    <row r="139" spans="1:4" x14ac:dyDescent="0.25">
      <c r="A139" s="41">
        <f t="shared" si="6"/>
        <v>14</v>
      </c>
      <c r="B139" s="39">
        <f t="shared" si="7"/>
        <v>44292</v>
      </c>
      <c r="C139" s="8"/>
      <c r="D139" s="7" t="s">
        <v>130</v>
      </c>
    </row>
    <row r="140" spans="1:4" x14ac:dyDescent="0.25">
      <c r="A140" s="41">
        <f t="shared" si="6"/>
        <v>14</v>
      </c>
      <c r="B140" s="39">
        <f t="shared" si="7"/>
        <v>44294</v>
      </c>
      <c r="C140" s="8" t="s">
        <v>128</v>
      </c>
      <c r="D140" s="7" t="s">
        <v>117</v>
      </c>
    </row>
    <row r="141" spans="1:4" x14ac:dyDescent="0.25">
      <c r="A141" s="41">
        <f t="shared" si="6"/>
        <v>14</v>
      </c>
      <c r="B141" s="39">
        <f t="shared" si="7"/>
        <v>44295</v>
      </c>
      <c r="C141" s="8" t="s">
        <v>129</v>
      </c>
      <c r="D141" s="7"/>
    </row>
    <row r="142" spans="1:4" x14ac:dyDescent="0.25">
      <c r="A142" s="59">
        <f t="shared" si="6"/>
        <v>15</v>
      </c>
      <c r="B142" s="60">
        <f t="shared" si="7"/>
        <v>44299</v>
      </c>
      <c r="C142" s="61"/>
      <c r="D142" s="62" t="s">
        <v>130</v>
      </c>
    </row>
    <row r="143" spans="1:4" x14ac:dyDescent="0.25">
      <c r="A143" s="59">
        <f t="shared" si="6"/>
        <v>15</v>
      </c>
      <c r="B143" s="60">
        <f t="shared" si="7"/>
        <v>44301</v>
      </c>
      <c r="C143" s="61" t="s">
        <v>128</v>
      </c>
      <c r="D143" s="62" t="s">
        <v>117</v>
      </c>
    </row>
    <row r="144" spans="1:4" x14ac:dyDescent="0.25">
      <c r="A144" s="59">
        <f t="shared" si="6"/>
        <v>15</v>
      </c>
      <c r="B144" s="60">
        <f t="shared" si="7"/>
        <v>44302</v>
      </c>
      <c r="C144" s="61" t="s">
        <v>129</v>
      </c>
      <c r="D144" s="62"/>
    </row>
    <row r="145" spans="1:4" x14ac:dyDescent="0.25">
      <c r="A145" s="41">
        <f t="shared" si="6"/>
        <v>16</v>
      </c>
      <c r="B145" s="39">
        <f t="shared" si="7"/>
        <v>44306</v>
      </c>
      <c r="C145" s="8"/>
      <c r="D145" s="7" t="s">
        <v>130</v>
      </c>
    </row>
    <row r="146" spans="1:4" x14ac:dyDescent="0.25">
      <c r="A146" s="41">
        <f t="shared" si="6"/>
        <v>16</v>
      </c>
      <c r="B146" s="39">
        <f t="shared" si="7"/>
        <v>44308</v>
      </c>
      <c r="C146" s="8" t="s">
        <v>128</v>
      </c>
      <c r="D146" s="7" t="s">
        <v>117</v>
      </c>
    </row>
    <row r="147" spans="1:4" x14ac:dyDescent="0.25">
      <c r="A147" s="41">
        <f t="shared" si="6"/>
        <v>16</v>
      </c>
      <c r="B147" s="39">
        <f t="shared" si="7"/>
        <v>44309</v>
      </c>
      <c r="C147" s="8" t="s">
        <v>129</v>
      </c>
      <c r="D147" s="7"/>
    </row>
    <row r="148" spans="1:4" x14ac:dyDescent="0.25">
      <c r="A148" s="41">
        <f t="shared" si="6"/>
        <v>17</v>
      </c>
      <c r="B148" s="30">
        <f t="shared" si="7"/>
        <v>44313</v>
      </c>
      <c r="C148" s="13"/>
      <c r="D148" s="58"/>
    </row>
    <row r="149" spans="1:4" x14ac:dyDescent="0.25">
      <c r="A149" s="41">
        <f t="shared" si="6"/>
        <v>17</v>
      </c>
      <c r="B149" s="30">
        <f t="shared" si="7"/>
        <v>44315</v>
      </c>
      <c r="C149" s="13"/>
      <c r="D149" s="58"/>
    </row>
    <row r="150" spans="1:4" x14ac:dyDescent="0.25">
      <c r="A150" s="41">
        <f t="shared" si="6"/>
        <v>17</v>
      </c>
      <c r="B150" s="30">
        <f t="shared" si="7"/>
        <v>44316</v>
      </c>
      <c r="C150" s="13"/>
      <c r="D150" s="58"/>
    </row>
    <row r="151" spans="1:4" x14ac:dyDescent="0.25">
      <c r="A151" s="41">
        <f t="shared" si="6"/>
        <v>18</v>
      </c>
      <c r="B151" s="30">
        <f t="shared" si="7"/>
        <v>44320</v>
      </c>
      <c r="C151" s="13"/>
      <c r="D151" s="58"/>
    </row>
    <row r="152" spans="1:4" x14ac:dyDescent="0.25">
      <c r="A152" s="41">
        <f t="shared" si="6"/>
        <v>18</v>
      </c>
      <c r="B152" s="30">
        <f t="shared" si="7"/>
        <v>44322</v>
      </c>
      <c r="C152" s="13"/>
      <c r="D152" s="58"/>
    </row>
    <row r="153" spans="1:4" x14ac:dyDescent="0.25">
      <c r="A153" s="41">
        <f t="shared" si="6"/>
        <v>18</v>
      </c>
      <c r="B153" s="30">
        <f t="shared" si="7"/>
        <v>44323</v>
      </c>
      <c r="C153" s="13"/>
      <c r="D153" s="58"/>
    </row>
    <row r="154" spans="1:4" x14ac:dyDescent="0.25">
      <c r="A154" s="59">
        <f t="shared" si="6"/>
        <v>19</v>
      </c>
      <c r="B154" s="60">
        <f t="shared" si="7"/>
        <v>44327</v>
      </c>
      <c r="C154" s="61" t="s">
        <v>130</v>
      </c>
      <c r="D154" s="62" t="s">
        <v>130</v>
      </c>
    </row>
    <row r="155" spans="1:4" x14ac:dyDescent="0.25">
      <c r="A155" s="41">
        <f t="shared" si="6"/>
        <v>19</v>
      </c>
      <c r="B155" s="30">
        <f t="shared" si="7"/>
        <v>44329</v>
      </c>
      <c r="C155" s="13" t="s">
        <v>32</v>
      </c>
      <c r="D155" s="58"/>
    </row>
    <row r="156" spans="1:4" x14ac:dyDescent="0.25">
      <c r="A156" s="41">
        <f t="shared" si="6"/>
        <v>19</v>
      </c>
      <c r="B156" s="30">
        <f t="shared" si="7"/>
        <v>44330</v>
      </c>
      <c r="C156" s="13"/>
      <c r="D156" s="58"/>
    </row>
    <row r="157" spans="1:4" x14ac:dyDescent="0.25">
      <c r="A157" s="41">
        <f t="shared" si="6"/>
        <v>20</v>
      </c>
      <c r="B157" s="39">
        <f t="shared" si="7"/>
        <v>44334</v>
      </c>
      <c r="C157" s="8" t="s">
        <v>130</v>
      </c>
      <c r="D157" s="7" t="s">
        <v>130</v>
      </c>
    </row>
    <row r="158" spans="1:4" x14ac:dyDescent="0.25">
      <c r="A158" s="41">
        <f t="shared" si="6"/>
        <v>20</v>
      </c>
      <c r="B158" s="39">
        <f t="shared" si="7"/>
        <v>44336</v>
      </c>
      <c r="C158" s="8" t="s">
        <v>128</v>
      </c>
      <c r="D158" s="7" t="s">
        <v>117</v>
      </c>
    </row>
    <row r="159" spans="1:4" x14ac:dyDescent="0.25">
      <c r="A159" s="41">
        <f t="shared" si="6"/>
        <v>20</v>
      </c>
      <c r="B159" s="39">
        <f t="shared" si="7"/>
        <v>44337</v>
      </c>
      <c r="C159" s="8" t="s">
        <v>129</v>
      </c>
      <c r="D159" s="7"/>
    </row>
    <row r="160" spans="1:4" x14ac:dyDescent="0.25">
      <c r="A160" s="59">
        <f t="shared" si="6"/>
        <v>21</v>
      </c>
      <c r="B160" s="60">
        <f t="shared" si="7"/>
        <v>44341</v>
      </c>
      <c r="C160" s="61" t="s">
        <v>130</v>
      </c>
      <c r="D160" s="62" t="s">
        <v>130</v>
      </c>
    </row>
    <row r="161" spans="1:4" x14ac:dyDescent="0.25">
      <c r="A161" s="59">
        <f t="shared" si="6"/>
        <v>21</v>
      </c>
      <c r="B161" s="60">
        <f t="shared" si="7"/>
        <v>44343</v>
      </c>
      <c r="C161" s="61" t="s">
        <v>128</v>
      </c>
      <c r="D161" s="62" t="s">
        <v>117</v>
      </c>
    </row>
    <row r="162" spans="1:4" x14ac:dyDescent="0.25">
      <c r="A162" s="59">
        <f t="shared" si="6"/>
        <v>21</v>
      </c>
      <c r="B162" s="60">
        <f t="shared" si="7"/>
        <v>44344</v>
      </c>
      <c r="C162" s="61" t="s">
        <v>129</v>
      </c>
      <c r="D162" s="62"/>
    </row>
    <row r="163" spans="1:4" x14ac:dyDescent="0.25">
      <c r="A163" s="41">
        <f t="shared" ref="A163:A174" si="8">_xlfn.ISOWEEKNUM(B163)</f>
        <v>22</v>
      </c>
      <c r="B163" s="39">
        <f t="shared" si="7"/>
        <v>44348</v>
      </c>
      <c r="C163" s="8" t="s">
        <v>130</v>
      </c>
      <c r="D163" s="7" t="s">
        <v>130</v>
      </c>
    </row>
    <row r="164" spans="1:4" x14ac:dyDescent="0.25">
      <c r="A164" s="41">
        <f t="shared" si="8"/>
        <v>22</v>
      </c>
      <c r="B164" s="39">
        <f t="shared" si="7"/>
        <v>44350</v>
      </c>
      <c r="C164" s="8" t="s">
        <v>128</v>
      </c>
      <c r="D164" s="7" t="s">
        <v>117</v>
      </c>
    </row>
    <row r="165" spans="1:4" x14ac:dyDescent="0.25">
      <c r="A165" s="41">
        <f t="shared" si="8"/>
        <v>22</v>
      </c>
      <c r="B165" s="39">
        <f t="shared" si="7"/>
        <v>44351</v>
      </c>
      <c r="C165" s="8" t="s">
        <v>129</v>
      </c>
      <c r="D165" s="7"/>
    </row>
    <row r="166" spans="1:4" x14ac:dyDescent="0.25">
      <c r="A166" s="59">
        <f t="shared" si="8"/>
        <v>23</v>
      </c>
      <c r="B166" s="60">
        <f t="shared" si="7"/>
        <v>44355</v>
      </c>
      <c r="C166" s="61" t="s">
        <v>130</v>
      </c>
      <c r="D166" s="62" t="s">
        <v>130</v>
      </c>
    </row>
    <row r="167" spans="1:4" x14ac:dyDescent="0.25">
      <c r="A167" s="59">
        <f t="shared" si="8"/>
        <v>23</v>
      </c>
      <c r="B167" s="60">
        <f t="shared" si="7"/>
        <v>44357</v>
      </c>
      <c r="C167" s="61" t="s">
        <v>128</v>
      </c>
      <c r="D167" s="62" t="s">
        <v>117</v>
      </c>
    </row>
    <row r="168" spans="1:4" x14ac:dyDescent="0.25">
      <c r="A168" s="59">
        <f t="shared" si="8"/>
        <v>23</v>
      </c>
      <c r="B168" s="60">
        <f t="shared" si="7"/>
        <v>44358</v>
      </c>
      <c r="C168" s="61" t="s">
        <v>129</v>
      </c>
      <c r="D168" s="62"/>
    </row>
    <row r="169" spans="1:4" x14ac:dyDescent="0.25">
      <c r="A169" s="41">
        <f t="shared" si="8"/>
        <v>24</v>
      </c>
      <c r="B169" s="39">
        <f t="shared" si="7"/>
        <v>44362</v>
      </c>
      <c r="C169" s="8" t="s">
        <v>130</v>
      </c>
      <c r="D169" s="7" t="s">
        <v>130</v>
      </c>
    </row>
    <row r="170" spans="1:4" x14ac:dyDescent="0.25">
      <c r="A170" s="41">
        <f t="shared" si="8"/>
        <v>24</v>
      </c>
      <c r="B170" s="39">
        <f t="shared" si="7"/>
        <v>44364</v>
      </c>
      <c r="C170" s="8" t="s">
        <v>128</v>
      </c>
      <c r="D170" s="7" t="s">
        <v>117</v>
      </c>
    </row>
    <row r="171" spans="1:4" x14ac:dyDescent="0.25">
      <c r="A171" s="41">
        <f t="shared" si="8"/>
        <v>24</v>
      </c>
      <c r="B171" s="39">
        <f t="shared" si="7"/>
        <v>44365</v>
      </c>
      <c r="C171" s="8" t="s">
        <v>129</v>
      </c>
      <c r="D171" s="7"/>
    </row>
    <row r="172" spans="1:4" x14ac:dyDescent="0.25">
      <c r="A172" s="59">
        <f t="shared" si="8"/>
        <v>25</v>
      </c>
      <c r="B172" s="60">
        <f t="shared" si="7"/>
        <v>44369</v>
      </c>
      <c r="C172" s="61" t="s">
        <v>130</v>
      </c>
      <c r="D172" s="62" t="s">
        <v>130</v>
      </c>
    </row>
    <row r="173" spans="1:4" x14ac:dyDescent="0.25">
      <c r="A173" s="59">
        <f t="shared" si="8"/>
        <v>25</v>
      </c>
      <c r="B173" s="60">
        <f t="shared" si="7"/>
        <v>44371</v>
      </c>
      <c r="C173" s="61" t="s">
        <v>128</v>
      </c>
      <c r="D173" s="62" t="s">
        <v>117</v>
      </c>
    </row>
    <row r="174" spans="1:4" x14ac:dyDescent="0.25">
      <c r="A174" s="59">
        <f t="shared" si="8"/>
        <v>25</v>
      </c>
      <c r="B174" s="60">
        <f t="shared" si="7"/>
        <v>44372</v>
      </c>
      <c r="C174" s="61" t="s">
        <v>129</v>
      </c>
      <c r="D174" s="62"/>
    </row>
    <row r="175" spans="1:4" x14ac:dyDescent="0.25">
      <c r="A175" s="41">
        <f t="shared" ref="A175:A183" si="9">_xlfn.ISOWEEKNUM(B175)</f>
        <v>26</v>
      </c>
      <c r="B175" s="39">
        <f t="shared" si="7"/>
        <v>44376</v>
      </c>
      <c r="C175" s="8" t="s">
        <v>130</v>
      </c>
      <c r="D175" s="7" t="s">
        <v>130</v>
      </c>
    </row>
    <row r="176" spans="1:4" x14ac:dyDescent="0.25">
      <c r="A176" s="41">
        <f t="shared" si="9"/>
        <v>26</v>
      </c>
      <c r="B176" s="39">
        <f t="shared" si="7"/>
        <v>44378</v>
      </c>
      <c r="C176" s="8" t="s">
        <v>128</v>
      </c>
      <c r="D176" s="7" t="s">
        <v>117</v>
      </c>
    </row>
    <row r="177" spans="1:4" x14ac:dyDescent="0.25">
      <c r="A177" s="41">
        <f t="shared" si="9"/>
        <v>26</v>
      </c>
      <c r="B177" s="39">
        <f t="shared" si="7"/>
        <v>44379</v>
      </c>
      <c r="C177" s="8" t="s">
        <v>129</v>
      </c>
      <c r="D177" s="7"/>
    </row>
    <row r="178" spans="1:4" x14ac:dyDescent="0.25">
      <c r="A178" s="59">
        <f t="shared" si="9"/>
        <v>27</v>
      </c>
      <c r="B178" s="60">
        <f t="shared" si="7"/>
        <v>44383</v>
      </c>
      <c r="C178" s="61" t="s">
        <v>130</v>
      </c>
      <c r="D178" s="62" t="s">
        <v>130</v>
      </c>
    </row>
    <row r="179" spans="1:4" x14ac:dyDescent="0.25">
      <c r="A179" s="59">
        <f t="shared" si="9"/>
        <v>27</v>
      </c>
      <c r="B179" s="60">
        <f t="shared" ref="B179:B183" si="10">B176+7</f>
        <v>44385</v>
      </c>
      <c r="C179" s="61" t="s">
        <v>128</v>
      </c>
      <c r="D179" s="62" t="s">
        <v>117</v>
      </c>
    </row>
    <row r="180" spans="1:4" x14ac:dyDescent="0.25">
      <c r="A180" s="59">
        <f t="shared" si="9"/>
        <v>27</v>
      </c>
      <c r="B180" s="60">
        <f t="shared" si="10"/>
        <v>44386</v>
      </c>
      <c r="C180" s="61" t="s">
        <v>129</v>
      </c>
      <c r="D180" s="62"/>
    </row>
    <row r="181" spans="1:4" x14ac:dyDescent="0.25">
      <c r="A181" s="41">
        <f t="shared" si="9"/>
        <v>28</v>
      </c>
      <c r="B181" s="39">
        <f t="shared" si="10"/>
        <v>44390</v>
      </c>
      <c r="C181" s="8" t="s">
        <v>130</v>
      </c>
      <c r="D181" s="7" t="s">
        <v>130</v>
      </c>
    </row>
    <row r="182" spans="1:4" x14ac:dyDescent="0.25">
      <c r="A182" s="41">
        <f t="shared" si="9"/>
        <v>28</v>
      </c>
      <c r="B182" s="39">
        <f t="shared" si="10"/>
        <v>44392</v>
      </c>
      <c r="C182" s="8" t="s">
        <v>128</v>
      </c>
      <c r="D182" s="7" t="s">
        <v>117</v>
      </c>
    </row>
    <row r="183" spans="1:4" ht="15.75" thickBot="1" x14ac:dyDescent="0.3">
      <c r="A183" s="42">
        <f t="shared" si="9"/>
        <v>28</v>
      </c>
      <c r="B183" s="43">
        <f t="shared" si="10"/>
        <v>44393</v>
      </c>
      <c r="C183" s="4" t="s">
        <v>129</v>
      </c>
      <c r="D183" s="3"/>
    </row>
  </sheetData>
  <autoFilter ref="A39:D183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62" customWidth="1"/>
    <col min="5" max="5" width="54" customWidth="1"/>
  </cols>
  <sheetData>
    <row r="1" spans="2:4" ht="40.5" customHeight="1" x14ac:dyDescent="0.35">
      <c r="B1" s="38" t="s">
        <v>63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'2020-2021'!J6</f>
        <v>44064</v>
      </c>
      <c r="C4" s="32"/>
      <c r="D4" s="15" t="s">
        <v>80</v>
      </c>
    </row>
    <row r="5" spans="2:4" x14ac:dyDescent="0.25">
      <c r="B5" s="33">
        <f t="shared" ref="B5:B27" si="0">B4+7</f>
        <v>44071</v>
      </c>
      <c r="C5" s="34"/>
      <c r="D5" s="7" t="s">
        <v>81</v>
      </c>
    </row>
    <row r="6" spans="2:4" x14ac:dyDescent="0.25">
      <c r="B6" s="33">
        <f t="shared" si="0"/>
        <v>44078</v>
      </c>
      <c r="C6" s="34"/>
      <c r="D6" s="7" t="s">
        <v>82</v>
      </c>
    </row>
    <row r="7" spans="2:4" x14ac:dyDescent="0.25">
      <c r="B7" s="33">
        <f t="shared" si="0"/>
        <v>44085</v>
      </c>
      <c r="C7" s="34"/>
      <c r="D7" s="7" t="s">
        <v>83</v>
      </c>
    </row>
    <row r="8" spans="2:4" x14ac:dyDescent="0.25">
      <c r="B8" s="33">
        <f t="shared" si="0"/>
        <v>44092</v>
      </c>
      <c r="C8" s="34"/>
      <c r="D8" s="7" t="s">
        <v>84</v>
      </c>
    </row>
    <row r="9" spans="2:4" x14ac:dyDescent="0.25">
      <c r="B9" s="33">
        <f t="shared" si="0"/>
        <v>44099</v>
      </c>
      <c r="C9" s="34"/>
      <c r="D9" s="11" t="s">
        <v>28</v>
      </c>
    </row>
    <row r="10" spans="2:4" x14ac:dyDescent="0.25">
      <c r="B10" s="33">
        <f t="shared" si="0"/>
        <v>44106</v>
      </c>
      <c r="C10" s="34"/>
      <c r="D10" s="7" t="s">
        <v>85</v>
      </c>
    </row>
    <row r="11" spans="2:4" x14ac:dyDescent="0.25">
      <c r="B11" s="30">
        <f t="shared" si="0"/>
        <v>44113</v>
      </c>
      <c r="C11" s="13" t="s">
        <v>36</v>
      </c>
      <c r="D11" s="7"/>
    </row>
    <row r="12" spans="2:4" x14ac:dyDescent="0.25">
      <c r="B12" s="30">
        <f t="shared" si="0"/>
        <v>44120</v>
      </c>
      <c r="C12" s="13" t="s">
        <v>36</v>
      </c>
      <c r="D12" s="7"/>
    </row>
    <row r="13" spans="2:4" x14ac:dyDescent="0.25">
      <c r="B13" s="33">
        <f t="shared" si="0"/>
        <v>44127</v>
      </c>
      <c r="C13" s="34"/>
      <c r="D13" s="7" t="s">
        <v>86</v>
      </c>
    </row>
    <row r="14" spans="2:4" x14ac:dyDescent="0.25">
      <c r="B14" s="33">
        <f t="shared" si="0"/>
        <v>44134</v>
      </c>
      <c r="C14" s="34"/>
      <c r="D14" s="7" t="s">
        <v>87</v>
      </c>
    </row>
    <row r="15" spans="2:4" x14ac:dyDescent="0.25">
      <c r="B15" s="33">
        <f t="shared" si="0"/>
        <v>44141</v>
      </c>
      <c r="C15" s="34"/>
      <c r="D15" s="7" t="s">
        <v>88</v>
      </c>
    </row>
    <row r="16" spans="2:4" x14ac:dyDescent="0.25">
      <c r="B16" s="33">
        <f t="shared" si="0"/>
        <v>44148</v>
      </c>
      <c r="C16" s="34"/>
      <c r="D16" s="7" t="s">
        <v>89</v>
      </c>
    </row>
    <row r="17" spans="2:4" x14ac:dyDescent="0.25">
      <c r="B17" s="33">
        <f t="shared" si="0"/>
        <v>44155</v>
      </c>
      <c r="C17" s="34"/>
      <c r="D17" s="11" t="s">
        <v>28</v>
      </c>
    </row>
    <row r="18" spans="2:4" x14ac:dyDescent="0.25">
      <c r="B18" s="33">
        <f t="shared" si="0"/>
        <v>44162</v>
      </c>
      <c r="C18" s="34"/>
      <c r="D18" s="7" t="s">
        <v>90</v>
      </c>
    </row>
    <row r="19" spans="2:4" x14ac:dyDescent="0.25">
      <c r="B19" s="33">
        <f t="shared" si="0"/>
        <v>44169</v>
      </c>
      <c r="C19" s="34"/>
      <c r="D19" s="7" t="s">
        <v>91</v>
      </c>
    </row>
    <row r="20" spans="2:4" x14ac:dyDescent="0.25">
      <c r="B20" s="33">
        <f t="shared" si="0"/>
        <v>44176</v>
      </c>
      <c r="C20" s="34"/>
      <c r="D20" s="7" t="s">
        <v>91</v>
      </c>
    </row>
    <row r="21" spans="2:4" x14ac:dyDescent="0.25">
      <c r="B21" s="33">
        <f t="shared" si="0"/>
        <v>44183</v>
      </c>
      <c r="C21" s="34"/>
      <c r="D21" s="7" t="s">
        <v>91</v>
      </c>
    </row>
    <row r="22" spans="2:4" x14ac:dyDescent="0.25">
      <c r="B22" s="30">
        <f t="shared" si="0"/>
        <v>44190</v>
      </c>
      <c r="C22" s="13" t="s">
        <v>36</v>
      </c>
      <c r="D22" s="7"/>
    </row>
    <row r="23" spans="2:4" x14ac:dyDescent="0.25">
      <c r="B23" s="30">
        <f t="shared" si="0"/>
        <v>44197</v>
      </c>
      <c r="C23" s="13" t="s">
        <v>36</v>
      </c>
      <c r="D23" s="7"/>
    </row>
    <row r="24" spans="2:4" x14ac:dyDescent="0.25">
      <c r="B24" s="33">
        <f t="shared" si="0"/>
        <v>44204</v>
      </c>
      <c r="C24" s="34"/>
      <c r="D24" s="37" t="s">
        <v>92</v>
      </c>
    </row>
    <row r="25" spans="2:4" x14ac:dyDescent="0.25">
      <c r="B25" s="33">
        <f t="shared" si="0"/>
        <v>44211</v>
      </c>
      <c r="C25" s="34"/>
      <c r="D25" s="11" t="s">
        <v>28</v>
      </c>
    </row>
    <row r="26" spans="2:4" x14ac:dyDescent="0.25">
      <c r="B26" s="33">
        <f t="shared" si="0"/>
        <v>44218</v>
      </c>
      <c r="C26" s="34"/>
      <c r="D26" s="7" t="s">
        <v>93</v>
      </c>
    </row>
    <row r="27" spans="2:4" ht="15.75" thickBot="1" x14ac:dyDescent="0.3">
      <c r="B27" s="35">
        <f t="shared" si="0"/>
        <v>44225</v>
      </c>
      <c r="C27" s="36"/>
      <c r="D27" s="3" t="s">
        <v>94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54.42578125" customWidth="1"/>
    <col min="5" max="5" width="54" customWidth="1"/>
  </cols>
  <sheetData>
    <row r="1" spans="2:4" ht="43.5" customHeight="1" x14ac:dyDescent="0.35">
      <c r="B1" s="38" t="s">
        <v>79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'2020-2021'!I6</f>
        <v>44063</v>
      </c>
      <c r="C4" s="32"/>
      <c r="D4" s="15" t="s">
        <v>95</v>
      </c>
    </row>
    <row r="5" spans="2:4" x14ac:dyDescent="0.25">
      <c r="B5" s="33">
        <f t="shared" ref="B5:B27" si="0">B4+7</f>
        <v>44070</v>
      </c>
      <c r="C5" s="34"/>
      <c r="D5" s="7" t="s">
        <v>96</v>
      </c>
    </row>
    <row r="6" spans="2:4" x14ac:dyDescent="0.25">
      <c r="B6" s="33">
        <f t="shared" si="0"/>
        <v>44077</v>
      </c>
      <c r="C6" s="34"/>
      <c r="D6" s="7" t="s">
        <v>97</v>
      </c>
    </row>
    <row r="7" spans="2:4" x14ac:dyDescent="0.25">
      <c r="B7" s="33">
        <f t="shared" si="0"/>
        <v>44084</v>
      </c>
      <c r="C7" s="34"/>
      <c r="D7" s="7" t="s">
        <v>97</v>
      </c>
    </row>
    <row r="8" spans="2:4" x14ac:dyDescent="0.25">
      <c r="B8" s="33">
        <f t="shared" si="0"/>
        <v>44091</v>
      </c>
      <c r="C8" s="34"/>
      <c r="D8" s="7" t="s">
        <v>97</v>
      </c>
    </row>
    <row r="9" spans="2:4" x14ac:dyDescent="0.25">
      <c r="B9" s="33">
        <f t="shared" si="0"/>
        <v>44098</v>
      </c>
      <c r="C9" s="34"/>
      <c r="D9" s="11" t="s">
        <v>28</v>
      </c>
    </row>
    <row r="10" spans="2:4" x14ac:dyDescent="0.25">
      <c r="B10" s="33">
        <f t="shared" si="0"/>
        <v>44105</v>
      </c>
      <c r="C10" s="34"/>
      <c r="D10" s="7" t="s">
        <v>98</v>
      </c>
    </row>
    <row r="11" spans="2:4" x14ac:dyDescent="0.25">
      <c r="B11" s="30">
        <f t="shared" si="0"/>
        <v>44112</v>
      </c>
      <c r="C11" s="13" t="s">
        <v>36</v>
      </c>
      <c r="D11" s="7"/>
    </row>
    <row r="12" spans="2:4" x14ac:dyDescent="0.25">
      <c r="B12" s="30">
        <f t="shared" si="0"/>
        <v>44119</v>
      </c>
      <c r="C12" s="13" t="s">
        <v>36</v>
      </c>
      <c r="D12" s="7"/>
    </row>
    <row r="13" spans="2:4" x14ac:dyDescent="0.25">
      <c r="B13" s="33">
        <f t="shared" si="0"/>
        <v>44126</v>
      </c>
      <c r="C13" s="34"/>
      <c r="D13" s="7" t="s">
        <v>99</v>
      </c>
    </row>
    <row r="14" spans="2:4" x14ac:dyDescent="0.25">
      <c r="B14" s="33">
        <f t="shared" si="0"/>
        <v>44133</v>
      </c>
      <c r="C14" s="34"/>
      <c r="D14" s="7" t="s">
        <v>100</v>
      </c>
    </row>
    <row r="15" spans="2:4" x14ac:dyDescent="0.25">
      <c r="B15" s="33">
        <f t="shared" si="0"/>
        <v>44140</v>
      </c>
      <c r="C15" s="34"/>
      <c r="D15" s="7" t="s">
        <v>101</v>
      </c>
    </row>
    <row r="16" spans="2:4" x14ac:dyDescent="0.25">
      <c r="B16" s="33">
        <f t="shared" si="0"/>
        <v>44147</v>
      </c>
      <c r="C16" s="34"/>
      <c r="D16" s="7" t="s">
        <v>104</v>
      </c>
    </row>
    <row r="17" spans="2:4" x14ac:dyDescent="0.25">
      <c r="B17" s="33">
        <f t="shared" si="0"/>
        <v>44154</v>
      </c>
      <c r="C17" s="34"/>
      <c r="D17" s="11" t="s">
        <v>28</v>
      </c>
    </row>
    <row r="18" spans="2:4" x14ac:dyDescent="0.25">
      <c r="B18" s="33">
        <f t="shared" si="0"/>
        <v>44161</v>
      </c>
      <c r="C18" s="34"/>
      <c r="D18" s="7" t="s">
        <v>102</v>
      </c>
    </row>
    <row r="19" spans="2:4" x14ac:dyDescent="0.25">
      <c r="B19" s="33">
        <f t="shared" si="0"/>
        <v>44168</v>
      </c>
      <c r="C19" s="34"/>
      <c r="D19" s="7" t="s">
        <v>103</v>
      </c>
    </row>
    <row r="20" spans="2:4" x14ac:dyDescent="0.25">
      <c r="B20" s="33">
        <f t="shared" si="0"/>
        <v>44175</v>
      </c>
      <c r="C20" s="34"/>
      <c r="D20" s="7" t="s">
        <v>105</v>
      </c>
    </row>
    <row r="21" spans="2:4" x14ac:dyDescent="0.25">
      <c r="B21" s="33">
        <f t="shared" si="0"/>
        <v>44182</v>
      </c>
      <c r="C21" s="34"/>
      <c r="D21" s="7" t="s">
        <v>105</v>
      </c>
    </row>
    <row r="22" spans="2:4" x14ac:dyDescent="0.25">
      <c r="B22" s="30">
        <f t="shared" si="0"/>
        <v>44189</v>
      </c>
      <c r="C22" s="13" t="s">
        <v>36</v>
      </c>
      <c r="D22" s="7"/>
    </row>
    <row r="23" spans="2:4" x14ac:dyDescent="0.25">
      <c r="B23" s="30">
        <f t="shared" si="0"/>
        <v>44196</v>
      </c>
      <c r="C23" s="13" t="s">
        <v>36</v>
      </c>
      <c r="D23" s="7"/>
    </row>
    <row r="24" spans="2:4" x14ac:dyDescent="0.25">
      <c r="B24" s="33">
        <f t="shared" si="0"/>
        <v>44203</v>
      </c>
      <c r="C24" s="34"/>
      <c r="D24" s="37" t="s">
        <v>106</v>
      </c>
    </row>
    <row r="25" spans="2:4" x14ac:dyDescent="0.25">
      <c r="B25" s="33">
        <f t="shared" si="0"/>
        <v>44210</v>
      </c>
      <c r="C25" s="34"/>
      <c r="D25" s="11" t="s">
        <v>28</v>
      </c>
    </row>
    <row r="26" spans="2:4" x14ac:dyDescent="0.25">
      <c r="B26" s="33">
        <f t="shared" si="0"/>
        <v>44217</v>
      </c>
      <c r="C26" s="34"/>
      <c r="D26" s="7" t="s">
        <v>107</v>
      </c>
    </row>
    <row r="27" spans="2:4" ht="15.75" thickBot="1" x14ac:dyDescent="0.3">
      <c r="B27" s="35">
        <f t="shared" si="0"/>
        <v>44224</v>
      </c>
      <c r="C27" s="36"/>
      <c r="D27" s="7" t="s">
        <v>107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5" x14ac:dyDescent="0.25"/>
  <cols>
    <col min="2" max="2" width="15.85546875" customWidth="1"/>
    <col min="3" max="3" width="18.28515625" customWidth="1"/>
    <col min="4" max="4" width="84.140625" customWidth="1"/>
    <col min="5" max="5" width="82.7109375" customWidth="1"/>
  </cols>
  <sheetData>
    <row r="1" spans="2:4" ht="37.5" customHeight="1" x14ac:dyDescent="0.35">
      <c r="B1" s="38" t="s">
        <v>108</v>
      </c>
    </row>
    <row r="2" spans="2:4" ht="15.75" thickBot="1" x14ac:dyDescent="0.3"/>
    <row r="3" spans="2:4" ht="15.75" thickBot="1" x14ac:dyDescent="0.3">
      <c r="B3" s="21" t="s">
        <v>48</v>
      </c>
      <c r="C3" s="20" t="s">
        <v>47</v>
      </c>
      <c r="D3" s="19" t="s">
        <v>46</v>
      </c>
    </row>
    <row r="4" spans="2:4" ht="15.75" thickBot="1" x14ac:dyDescent="0.3">
      <c r="B4" s="67">
        <f>'2020-2021'!I6</f>
        <v>44063</v>
      </c>
      <c r="C4" s="32"/>
      <c r="D4" s="72" t="s">
        <v>136</v>
      </c>
    </row>
    <row r="5" spans="2:4" x14ac:dyDescent="0.25">
      <c r="B5" s="68">
        <f t="shared" ref="B5:B27" si="0">B4+7</f>
        <v>44070</v>
      </c>
      <c r="C5" s="34"/>
      <c r="D5" s="15" t="s">
        <v>133</v>
      </c>
    </row>
    <row r="6" spans="2:4" x14ac:dyDescent="0.25">
      <c r="B6" s="68">
        <f t="shared" si="0"/>
        <v>44077</v>
      </c>
      <c r="C6" s="34"/>
      <c r="D6" s="7" t="s">
        <v>124</v>
      </c>
    </row>
    <row r="7" spans="2:4" x14ac:dyDescent="0.25">
      <c r="B7" s="68">
        <f t="shared" si="0"/>
        <v>44084</v>
      </c>
      <c r="C7" s="34"/>
      <c r="D7" s="7" t="s">
        <v>135</v>
      </c>
    </row>
    <row r="8" spans="2:4" x14ac:dyDescent="0.25">
      <c r="B8" s="68">
        <f t="shared" si="0"/>
        <v>44091</v>
      </c>
      <c r="C8" s="34"/>
      <c r="D8" s="7" t="s">
        <v>122</v>
      </c>
    </row>
    <row r="9" spans="2:4" x14ac:dyDescent="0.25">
      <c r="B9" s="68">
        <f t="shared" si="0"/>
        <v>44098</v>
      </c>
      <c r="C9" s="34"/>
      <c r="D9" s="11" t="s">
        <v>28</v>
      </c>
    </row>
    <row r="10" spans="2:4" x14ac:dyDescent="0.25">
      <c r="B10" s="68">
        <f t="shared" si="0"/>
        <v>44105</v>
      </c>
      <c r="C10" s="34"/>
      <c r="D10" s="7" t="s">
        <v>123</v>
      </c>
    </row>
    <row r="11" spans="2:4" x14ac:dyDescent="0.25">
      <c r="B11" s="69">
        <f t="shared" si="0"/>
        <v>44112</v>
      </c>
      <c r="C11" s="13" t="s">
        <v>36</v>
      </c>
      <c r="D11" s="7"/>
    </row>
    <row r="12" spans="2:4" x14ac:dyDescent="0.25">
      <c r="B12" s="69">
        <f t="shared" si="0"/>
        <v>44119</v>
      </c>
      <c r="C12" s="13" t="s">
        <v>36</v>
      </c>
      <c r="D12" s="7"/>
    </row>
    <row r="13" spans="2:4" x14ac:dyDescent="0.25">
      <c r="B13" s="68">
        <f t="shared" si="0"/>
        <v>44126</v>
      </c>
      <c r="C13" s="34"/>
      <c r="D13" s="71"/>
    </row>
    <row r="14" spans="2:4" x14ac:dyDescent="0.25">
      <c r="B14" s="68">
        <f t="shared" si="0"/>
        <v>44133</v>
      </c>
      <c r="C14" s="34"/>
      <c r="D14" s="7" t="s">
        <v>125</v>
      </c>
    </row>
    <row r="15" spans="2:4" x14ac:dyDescent="0.25">
      <c r="B15" s="68">
        <f t="shared" si="0"/>
        <v>44140</v>
      </c>
      <c r="C15" s="34"/>
      <c r="D15" s="7" t="s">
        <v>131</v>
      </c>
    </row>
    <row r="16" spans="2:4" x14ac:dyDescent="0.25">
      <c r="B16" s="68">
        <f t="shared" si="0"/>
        <v>44147</v>
      </c>
      <c r="C16" s="34"/>
      <c r="D16" s="7" t="s">
        <v>134</v>
      </c>
    </row>
    <row r="17" spans="2:4" x14ac:dyDescent="0.25">
      <c r="B17" s="68">
        <f t="shared" si="0"/>
        <v>44154</v>
      </c>
      <c r="C17" s="34"/>
      <c r="D17" s="11" t="s">
        <v>28</v>
      </c>
    </row>
    <row r="18" spans="2:4" x14ac:dyDescent="0.25">
      <c r="B18" s="68">
        <f t="shared" si="0"/>
        <v>44161</v>
      </c>
      <c r="C18" s="34"/>
      <c r="D18" s="7" t="s">
        <v>121</v>
      </c>
    </row>
    <row r="19" spans="2:4" x14ac:dyDescent="0.25">
      <c r="B19" s="68">
        <f t="shared" si="0"/>
        <v>44168</v>
      </c>
      <c r="C19" s="34"/>
      <c r="D19" s="7"/>
    </row>
    <row r="20" spans="2:4" x14ac:dyDescent="0.25">
      <c r="B20" s="68">
        <f t="shared" si="0"/>
        <v>44175</v>
      </c>
      <c r="C20" s="34"/>
      <c r="D20" s="7" t="s">
        <v>111</v>
      </c>
    </row>
    <row r="21" spans="2:4" x14ac:dyDescent="0.25">
      <c r="B21" s="68">
        <f t="shared" si="0"/>
        <v>44182</v>
      </c>
      <c r="C21" s="34"/>
      <c r="D21" s="7"/>
    </row>
    <row r="22" spans="2:4" x14ac:dyDescent="0.25">
      <c r="B22" s="69">
        <f t="shared" si="0"/>
        <v>44189</v>
      </c>
      <c r="C22" s="13" t="s">
        <v>36</v>
      </c>
      <c r="D22" s="7"/>
    </row>
    <row r="23" spans="2:4" x14ac:dyDescent="0.25">
      <c r="B23" s="69">
        <f t="shared" si="0"/>
        <v>44196</v>
      </c>
      <c r="C23" s="13" t="s">
        <v>36</v>
      </c>
      <c r="D23" s="7"/>
    </row>
    <row r="24" spans="2:4" x14ac:dyDescent="0.25">
      <c r="B24" s="68">
        <f t="shared" si="0"/>
        <v>44203</v>
      </c>
      <c r="C24" s="34"/>
      <c r="D24" s="37"/>
    </row>
    <row r="25" spans="2:4" x14ac:dyDescent="0.25">
      <c r="B25" s="68">
        <f t="shared" si="0"/>
        <v>44210</v>
      </c>
      <c r="C25" s="34"/>
      <c r="D25" s="11" t="s">
        <v>28</v>
      </c>
    </row>
    <row r="26" spans="2:4" x14ac:dyDescent="0.25">
      <c r="B26" s="68">
        <f t="shared" si="0"/>
        <v>44217</v>
      </c>
      <c r="C26" s="34"/>
      <c r="D26" s="7" t="s">
        <v>110</v>
      </c>
    </row>
    <row r="27" spans="2:4" ht="15.75" thickBot="1" x14ac:dyDescent="0.3">
      <c r="B27" s="70">
        <f t="shared" si="0"/>
        <v>44224</v>
      </c>
      <c r="C27" s="36"/>
      <c r="D27" s="3"/>
    </row>
    <row r="28" spans="2:4" ht="15.75" thickBot="1" x14ac:dyDescent="0.3"/>
    <row r="29" spans="2:4" x14ac:dyDescent="0.25">
      <c r="B29" s="54">
        <v>44231</v>
      </c>
      <c r="C29" s="16"/>
      <c r="D29" s="15"/>
    </row>
    <row r="30" spans="2:4" x14ac:dyDescent="0.25">
      <c r="B30" s="33">
        <f t="shared" ref="B30:B52" si="1">B29+7</f>
        <v>44238</v>
      </c>
      <c r="C30" s="34"/>
      <c r="D30" s="7" t="s">
        <v>109</v>
      </c>
    </row>
    <row r="31" spans="2:4" x14ac:dyDescent="0.25">
      <c r="B31" s="39">
        <f t="shared" si="1"/>
        <v>44245</v>
      </c>
      <c r="C31" s="8"/>
      <c r="D31" s="7"/>
    </row>
    <row r="32" spans="2:4" x14ac:dyDescent="0.25">
      <c r="B32" s="30">
        <f t="shared" si="1"/>
        <v>44252</v>
      </c>
      <c r="C32" s="13" t="s">
        <v>36</v>
      </c>
      <c r="D32" s="7"/>
    </row>
    <row r="33" spans="2:6" x14ac:dyDescent="0.25">
      <c r="B33" s="30">
        <f t="shared" si="1"/>
        <v>44259</v>
      </c>
      <c r="C33" s="13" t="s">
        <v>36</v>
      </c>
      <c r="D33" s="7"/>
    </row>
    <row r="34" spans="2:6" x14ac:dyDescent="0.25">
      <c r="B34" s="39">
        <f t="shared" si="1"/>
        <v>44266</v>
      </c>
      <c r="C34" s="8"/>
      <c r="D34" s="7" t="s">
        <v>142</v>
      </c>
    </row>
    <row r="35" spans="2:6" x14ac:dyDescent="0.25">
      <c r="B35" s="39">
        <f t="shared" si="1"/>
        <v>44273</v>
      </c>
      <c r="C35" s="8"/>
      <c r="D35" s="11" t="s">
        <v>28</v>
      </c>
    </row>
    <row r="36" spans="2:6" x14ac:dyDescent="0.25">
      <c r="B36" s="33">
        <f t="shared" si="1"/>
        <v>44280</v>
      </c>
      <c r="C36" s="8"/>
      <c r="D36" s="7"/>
    </row>
    <row r="37" spans="2:6" x14ac:dyDescent="0.25">
      <c r="B37" s="33">
        <f t="shared" si="1"/>
        <v>44287</v>
      </c>
      <c r="C37" s="34" t="s">
        <v>137</v>
      </c>
      <c r="D37" s="7" t="s">
        <v>112</v>
      </c>
    </row>
    <row r="38" spans="2:6" x14ac:dyDescent="0.25">
      <c r="B38" s="33">
        <f t="shared" si="1"/>
        <v>44294</v>
      </c>
      <c r="C38" s="8"/>
      <c r="D38" s="7"/>
    </row>
    <row r="39" spans="2:6" x14ac:dyDescent="0.25">
      <c r="B39" s="33">
        <f t="shared" si="1"/>
        <v>44301</v>
      </c>
      <c r="C39" s="8"/>
      <c r="D39" s="7"/>
    </row>
    <row r="40" spans="2:6" x14ac:dyDescent="0.25">
      <c r="B40" s="33">
        <f t="shared" si="1"/>
        <v>44308</v>
      </c>
      <c r="C40" s="34"/>
      <c r="D40" s="7" t="s">
        <v>126</v>
      </c>
    </row>
    <row r="41" spans="2:6" x14ac:dyDescent="0.25">
      <c r="B41" s="30">
        <f t="shared" si="1"/>
        <v>44315</v>
      </c>
      <c r="C41" s="13" t="s">
        <v>36</v>
      </c>
      <c r="D41" s="7"/>
      <c r="F41" s="80"/>
    </row>
    <row r="42" spans="2:6" x14ac:dyDescent="0.25">
      <c r="B42" s="30">
        <f t="shared" si="1"/>
        <v>44322</v>
      </c>
      <c r="C42" s="13" t="s">
        <v>36</v>
      </c>
      <c r="D42" s="7"/>
    </row>
    <row r="43" spans="2:6" x14ac:dyDescent="0.25">
      <c r="B43" s="30">
        <f t="shared" si="1"/>
        <v>44329</v>
      </c>
      <c r="C43" s="13" t="s">
        <v>139</v>
      </c>
      <c r="D43" s="7"/>
    </row>
    <row r="44" spans="2:6" x14ac:dyDescent="0.25">
      <c r="B44" s="33">
        <f t="shared" si="1"/>
        <v>44336</v>
      </c>
      <c r="C44" s="8"/>
      <c r="D44" s="11" t="s">
        <v>28</v>
      </c>
    </row>
    <row r="45" spans="2:6" x14ac:dyDescent="0.25">
      <c r="B45" s="33">
        <f t="shared" si="1"/>
        <v>44343</v>
      </c>
      <c r="C45" s="34"/>
      <c r="D45" s="7"/>
    </row>
    <row r="46" spans="2:6" x14ac:dyDescent="0.25">
      <c r="B46" s="33">
        <f t="shared" si="1"/>
        <v>44350</v>
      </c>
      <c r="C46" s="34"/>
      <c r="D46" s="7" t="s">
        <v>132</v>
      </c>
    </row>
    <row r="47" spans="2:6" x14ac:dyDescent="0.25">
      <c r="B47" s="33">
        <f t="shared" si="1"/>
        <v>44357</v>
      </c>
      <c r="C47" s="8"/>
      <c r="D47" s="7"/>
    </row>
    <row r="48" spans="2:6" x14ac:dyDescent="0.25">
      <c r="B48" s="39">
        <f t="shared" si="1"/>
        <v>44364</v>
      </c>
      <c r="C48" s="8"/>
      <c r="D48" s="7" t="s">
        <v>113</v>
      </c>
    </row>
    <row r="49" spans="2:4" x14ac:dyDescent="0.25">
      <c r="B49" s="39">
        <f t="shared" si="1"/>
        <v>44371</v>
      </c>
      <c r="C49" s="8"/>
      <c r="D49" s="7"/>
    </row>
    <row r="50" spans="2:4" x14ac:dyDescent="0.25">
      <c r="B50" s="39">
        <f t="shared" si="1"/>
        <v>44378</v>
      </c>
      <c r="C50" s="8"/>
      <c r="D50" s="11" t="s">
        <v>28</v>
      </c>
    </row>
    <row r="51" spans="2:4" x14ac:dyDescent="0.25">
      <c r="B51" s="39">
        <f t="shared" si="1"/>
        <v>44385</v>
      </c>
      <c r="C51" s="8"/>
      <c r="D51" s="7"/>
    </row>
    <row r="52" spans="2:4" ht="15.75" thickBot="1" x14ac:dyDescent="0.3">
      <c r="B52" s="78">
        <f t="shared" si="1"/>
        <v>44392</v>
      </c>
      <c r="C52" s="75" t="s">
        <v>138</v>
      </c>
      <c r="D52" s="3"/>
    </row>
    <row r="53" spans="2:4" x14ac:dyDescent="0.25">
      <c r="B53" s="76"/>
      <c r="C53" s="77"/>
      <c r="D53" s="77"/>
    </row>
    <row r="54" spans="2:4" x14ac:dyDescent="0.25">
      <c r="B54" s="76"/>
      <c r="C54" s="77"/>
      <c r="D54" s="77"/>
    </row>
    <row r="55" spans="2:4" x14ac:dyDescent="0.25">
      <c r="B55" s="76"/>
      <c r="C55" s="77"/>
      <c r="D55" s="77"/>
    </row>
    <row r="56" spans="2:4" x14ac:dyDescent="0.25">
      <c r="B56" s="76"/>
      <c r="C56" s="77"/>
      <c r="D56" s="77"/>
    </row>
    <row r="57" spans="2:4" x14ac:dyDescent="0.25">
      <c r="B57" s="29"/>
    </row>
    <row r="58" spans="2:4" x14ac:dyDescent="0.25">
      <c r="B58" s="29"/>
    </row>
    <row r="59" spans="2:4" x14ac:dyDescent="0.25">
      <c r="B59" s="29"/>
    </row>
    <row r="60" spans="2:4" x14ac:dyDescent="0.25">
      <c r="B60" s="29"/>
    </row>
    <row r="61" spans="2:4" x14ac:dyDescent="0.25">
      <c r="B61" s="29"/>
    </row>
    <row r="62" spans="2:4" x14ac:dyDescent="0.25">
      <c r="B62" s="29"/>
    </row>
    <row r="63" spans="2:4" x14ac:dyDescent="0.25">
      <c r="B63" s="29"/>
    </row>
    <row r="64" spans="2:4" x14ac:dyDescent="0.25">
      <c r="B64" s="29"/>
    </row>
    <row r="65" spans="2:2" x14ac:dyDescent="0.25">
      <c r="B65" s="29"/>
    </row>
    <row r="66" spans="2:2" x14ac:dyDescent="0.25">
      <c r="B66" s="2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E27"/>
  <sheetViews>
    <sheetView showGridLines="0" topLeftCell="A13" zoomScale="115" zoomScaleNormal="115" workbookViewId="0">
      <selection activeCell="G13" sqref="G13"/>
    </sheetView>
  </sheetViews>
  <sheetFormatPr baseColWidth="10" defaultRowHeight="15" x14ac:dyDescent="0.25"/>
  <cols>
    <col min="2" max="2" width="4.42578125" customWidth="1"/>
    <col min="3" max="3" width="14.42578125" customWidth="1"/>
    <col min="4" max="4" width="15.85546875" customWidth="1"/>
    <col min="5" max="5" width="68.425781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25">
      <c r="B5" s="10" t="str">
        <f t="shared" si="0"/>
        <v>Fr</v>
      </c>
      <c r="C5" s="73">
        <f t="shared" ref="C5:C27" si="1">C4+7</f>
        <v>44239</v>
      </c>
      <c r="D5" s="34"/>
      <c r="E5" s="7" t="s">
        <v>61</v>
      </c>
    </row>
    <row r="6" spans="2:5" x14ac:dyDescent="0.2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2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2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2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2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25">
      <c r="B11" s="10" t="str">
        <f t="shared" si="0"/>
        <v>Fr</v>
      </c>
      <c r="C11" s="73">
        <f t="shared" si="1"/>
        <v>44281</v>
      </c>
      <c r="D11" s="8"/>
      <c r="E11" s="7"/>
    </row>
    <row r="12" spans="2:5" x14ac:dyDescent="0.25">
      <c r="B12" s="10" t="str">
        <f t="shared" si="0"/>
        <v>Fr</v>
      </c>
      <c r="C12" s="14">
        <f t="shared" si="1"/>
        <v>44288</v>
      </c>
      <c r="D12" s="13" t="s">
        <v>127</v>
      </c>
      <c r="E12" s="71"/>
    </row>
    <row r="13" spans="2:5" x14ac:dyDescent="0.25">
      <c r="B13" s="10" t="str">
        <f t="shared" si="0"/>
        <v>Fr</v>
      </c>
      <c r="C13" s="73">
        <f t="shared" si="1"/>
        <v>44295</v>
      </c>
      <c r="D13" s="8"/>
      <c r="E13" s="7" t="s">
        <v>58</v>
      </c>
    </row>
    <row r="14" spans="2:5" x14ac:dyDescent="0.25">
      <c r="B14" s="10" t="str">
        <f t="shared" si="0"/>
        <v>Fr</v>
      </c>
      <c r="C14" s="73">
        <f t="shared" si="1"/>
        <v>44302</v>
      </c>
      <c r="D14" s="8"/>
      <c r="E14" s="7"/>
    </row>
    <row r="15" spans="2:5" x14ac:dyDescent="0.25">
      <c r="B15" s="10" t="str">
        <f t="shared" si="0"/>
        <v>Fr</v>
      </c>
      <c r="C15" s="73">
        <f t="shared" si="1"/>
        <v>44309</v>
      </c>
      <c r="D15" s="34"/>
      <c r="E15" s="7" t="s">
        <v>57</v>
      </c>
    </row>
    <row r="16" spans="2:5" x14ac:dyDescent="0.2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25">
      <c r="B17" s="10" t="str">
        <f t="shared" si="0"/>
        <v>Fr</v>
      </c>
      <c r="C17" s="14">
        <f t="shared" si="1"/>
        <v>44323</v>
      </c>
      <c r="D17" s="13" t="s">
        <v>36</v>
      </c>
      <c r="E17" s="71"/>
    </row>
    <row r="18" spans="2:5" x14ac:dyDescent="0.2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25">
      <c r="B19" s="10" t="str">
        <f t="shared" si="0"/>
        <v>Fr</v>
      </c>
      <c r="C19" s="73">
        <f t="shared" si="1"/>
        <v>44337</v>
      </c>
      <c r="D19" s="8"/>
      <c r="E19" s="7" t="s">
        <v>56</v>
      </c>
    </row>
    <row r="20" spans="2:5" x14ac:dyDescent="0.25">
      <c r="B20" s="10" t="str">
        <f t="shared" si="0"/>
        <v>Fr</v>
      </c>
      <c r="C20" s="73">
        <f t="shared" si="1"/>
        <v>44344</v>
      </c>
      <c r="D20" s="34"/>
      <c r="E20" s="11" t="s">
        <v>28</v>
      </c>
    </row>
    <row r="21" spans="2:5" x14ac:dyDescent="0.25">
      <c r="B21" s="10" t="str">
        <f t="shared" si="0"/>
        <v>Fr</v>
      </c>
      <c r="C21" s="73">
        <f t="shared" si="1"/>
        <v>44351</v>
      </c>
      <c r="D21" s="34" t="s">
        <v>138</v>
      </c>
      <c r="E21" s="7" t="s">
        <v>55</v>
      </c>
    </row>
    <row r="22" spans="2:5" x14ac:dyDescent="0.25">
      <c r="B22" s="10" t="str">
        <f t="shared" si="0"/>
        <v>Fr</v>
      </c>
      <c r="C22" s="73">
        <f t="shared" si="1"/>
        <v>44358</v>
      </c>
      <c r="D22" s="8"/>
      <c r="E22" s="7" t="s">
        <v>54</v>
      </c>
    </row>
    <row r="23" spans="2:5" x14ac:dyDescent="0.2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2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2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2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.75" thickBot="1" x14ac:dyDescent="0.3">
      <c r="B27" s="6" t="str">
        <f t="shared" si="0"/>
        <v>Fr</v>
      </c>
      <c r="C27" s="74">
        <f t="shared" si="1"/>
        <v>44393</v>
      </c>
      <c r="D27" s="75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47.710937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25">
      <c r="B5" s="10" t="str">
        <f t="shared" si="0"/>
        <v>Do</v>
      </c>
      <c r="C5" s="73">
        <f t="shared" ref="C5:C27" si="1">C4+7</f>
        <v>44238</v>
      </c>
      <c r="D5" s="34"/>
      <c r="E5" s="7" t="s">
        <v>144</v>
      </c>
    </row>
    <row r="6" spans="2:5" x14ac:dyDescent="0.2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2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44266</v>
      </c>
      <c r="D9" s="8"/>
      <c r="E9" s="79" t="s">
        <v>147</v>
      </c>
    </row>
    <row r="10" spans="2:5" x14ac:dyDescent="0.2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25">
      <c r="B11" s="10" t="str">
        <f t="shared" si="0"/>
        <v>Do</v>
      </c>
      <c r="C11" s="73">
        <f t="shared" si="1"/>
        <v>44280</v>
      </c>
      <c r="D11" s="8"/>
      <c r="E11" s="7" t="s">
        <v>149</v>
      </c>
    </row>
    <row r="12" spans="2:5" x14ac:dyDescent="0.25">
      <c r="B12" s="10" t="str">
        <f t="shared" si="0"/>
        <v>Do</v>
      </c>
      <c r="C12" s="73">
        <f t="shared" si="1"/>
        <v>44287</v>
      </c>
      <c r="D12" s="34" t="s">
        <v>137</v>
      </c>
      <c r="E12" s="7" t="s">
        <v>149</v>
      </c>
    </row>
    <row r="13" spans="2:5" x14ac:dyDescent="0.25">
      <c r="B13" s="10" t="str">
        <f t="shared" si="0"/>
        <v>Do</v>
      </c>
      <c r="C13" s="73">
        <f t="shared" si="1"/>
        <v>44294</v>
      </c>
      <c r="D13" s="8"/>
      <c r="E13" s="7" t="s">
        <v>149</v>
      </c>
    </row>
    <row r="14" spans="2:5" x14ac:dyDescent="0.25">
      <c r="B14" s="10" t="str">
        <f t="shared" si="0"/>
        <v>Do</v>
      </c>
      <c r="C14" s="73">
        <f t="shared" si="1"/>
        <v>44301</v>
      </c>
      <c r="D14" s="8"/>
      <c r="E14" s="7" t="s">
        <v>140</v>
      </c>
    </row>
    <row r="15" spans="2:5" x14ac:dyDescent="0.25">
      <c r="B15" s="10" t="str">
        <f t="shared" si="0"/>
        <v>Do</v>
      </c>
      <c r="C15" s="73">
        <f t="shared" si="1"/>
        <v>44308</v>
      </c>
      <c r="D15" s="34"/>
      <c r="E15" s="71"/>
    </row>
    <row r="16" spans="2:5" x14ac:dyDescent="0.2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2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2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25">
      <c r="B19" s="10" t="str">
        <f t="shared" si="0"/>
        <v>Do</v>
      </c>
      <c r="C19" s="73">
        <f t="shared" si="1"/>
        <v>44336</v>
      </c>
      <c r="D19" s="8"/>
      <c r="E19" s="11" t="s">
        <v>151</v>
      </c>
    </row>
    <row r="20" spans="2:5" x14ac:dyDescent="0.25">
      <c r="B20" s="10" t="str">
        <f t="shared" si="0"/>
        <v>Do</v>
      </c>
      <c r="C20" s="73">
        <f t="shared" si="1"/>
        <v>44343</v>
      </c>
      <c r="D20" s="34"/>
      <c r="E20" s="7"/>
    </row>
    <row r="21" spans="2:5" x14ac:dyDescent="0.25">
      <c r="B21" s="10" t="str">
        <f t="shared" si="0"/>
        <v>Do</v>
      </c>
      <c r="C21" s="73">
        <f t="shared" si="1"/>
        <v>44350</v>
      </c>
      <c r="D21" s="34"/>
      <c r="E21" s="7" t="s">
        <v>141</v>
      </c>
    </row>
    <row r="22" spans="2:5" x14ac:dyDescent="0.25">
      <c r="B22" s="10" t="str">
        <f t="shared" si="0"/>
        <v>Do</v>
      </c>
      <c r="C22" s="73">
        <f t="shared" si="1"/>
        <v>44357</v>
      </c>
      <c r="D22" s="8"/>
      <c r="E22" s="7" t="s">
        <v>148</v>
      </c>
    </row>
    <row r="23" spans="2:5" x14ac:dyDescent="0.2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2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2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.75" thickBot="1" x14ac:dyDescent="0.3">
      <c r="B27" s="6" t="str">
        <f t="shared" si="0"/>
        <v>Do</v>
      </c>
      <c r="C27" s="74">
        <f t="shared" si="1"/>
        <v>44392</v>
      </c>
      <c r="D27" s="75" t="s">
        <v>138</v>
      </c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B2:C27"/>
  <sheetViews>
    <sheetView showGridLines="0" topLeftCell="A11" zoomScaleNormal="100" workbookViewId="0">
      <selection activeCell="B3" sqref="B3:C27"/>
    </sheetView>
  </sheetViews>
  <sheetFormatPr baseColWidth="10" defaultRowHeight="15" x14ac:dyDescent="0.25"/>
  <cols>
    <col min="2" max="2" width="12.7109375" customWidth="1"/>
    <col min="3" max="3" width="53.140625" customWidth="1"/>
  </cols>
  <sheetData>
    <row r="2" spans="2:3" ht="15.75" thickBot="1" x14ac:dyDescent="0.3"/>
    <row r="3" spans="2:3" ht="15.75" thickBot="1" x14ac:dyDescent="0.3">
      <c r="B3" s="28" t="s">
        <v>48</v>
      </c>
      <c r="C3" s="26" t="s">
        <v>46</v>
      </c>
    </row>
    <row r="4" spans="2:3" ht="120" x14ac:dyDescent="0.25">
      <c r="B4" s="112">
        <v>44434</v>
      </c>
      <c r="C4" s="113" t="s">
        <v>157</v>
      </c>
    </row>
    <row r="5" spans="2:3" ht="75" x14ac:dyDescent="0.25">
      <c r="B5" s="107">
        <f t="shared" ref="B5:B26" si="0">B4+7</f>
        <v>44441</v>
      </c>
      <c r="C5" s="83" t="s">
        <v>158</v>
      </c>
    </row>
    <row r="6" spans="2:3" ht="75" x14ac:dyDescent="0.25">
      <c r="B6" s="105">
        <f t="shared" si="0"/>
        <v>44448</v>
      </c>
      <c r="C6" s="83" t="s">
        <v>162</v>
      </c>
    </row>
    <row r="7" spans="2:3" x14ac:dyDescent="0.25">
      <c r="B7" s="107">
        <f t="shared" si="0"/>
        <v>44455</v>
      </c>
      <c r="C7" s="85" t="s">
        <v>165</v>
      </c>
    </row>
    <row r="8" spans="2:3" ht="75" x14ac:dyDescent="0.25">
      <c r="B8" s="107">
        <f t="shared" si="0"/>
        <v>44462</v>
      </c>
      <c r="C8" s="86" t="s">
        <v>163</v>
      </c>
    </row>
    <row r="9" spans="2:3" ht="45" x14ac:dyDescent="0.25">
      <c r="B9" s="107">
        <f t="shared" si="0"/>
        <v>44469</v>
      </c>
      <c r="C9" s="88" t="s">
        <v>168</v>
      </c>
    </row>
    <row r="10" spans="2:3" ht="60" x14ac:dyDescent="0.25">
      <c r="B10" s="107">
        <f t="shared" si="0"/>
        <v>44476</v>
      </c>
      <c r="C10" s="86" t="s">
        <v>159</v>
      </c>
    </row>
    <row r="11" spans="2:3" x14ac:dyDescent="0.25">
      <c r="B11" s="108">
        <f t="shared" si="0"/>
        <v>44483</v>
      </c>
      <c r="C11" s="90" t="s">
        <v>36</v>
      </c>
    </row>
    <row r="12" spans="2:3" x14ac:dyDescent="0.25">
      <c r="B12" s="108">
        <f t="shared" si="0"/>
        <v>44490</v>
      </c>
      <c r="C12" s="90" t="s">
        <v>36</v>
      </c>
    </row>
    <row r="13" spans="2:3" ht="30" x14ac:dyDescent="0.25">
      <c r="B13" s="107">
        <f t="shared" si="0"/>
        <v>44497</v>
      </c>
      <c r="C13" s="81" t="s">
        <v>160</v>
      </c>
    </row>
    <row r="14" spans="2:3" ht="45" x14ac:dyDescent="0.25">
      <c r="B14" s="107">
        <f t="shared" si="0"/>
        <v>44504</v>
      </c>
      <c r="C14" s="86" t="s">
        <v>192</v>
      </c>
    </row>
    <row r="15" spans="2:3" x14ac:dyDescent="0.25">
      <c r="B15" s="107">
        <f t="shared" si="0"/>
        <v>44511</v>
      </c>
      <c r="C15" s="85"/>
    </row>
    <row r="16" spans="2:3" x14ac:dyDescent="0.25">
      <c r="B16" s="114">
        <f t="shared" si="0"/>
        <v>44518</v>
      </c>
      <c r="C16" s="115" t="s">
        <v>193</v>
      </c>
    </row>
    <row r="17" spans="2:3" ht="75" x14ac:dyDescent="0.25">
      <c r="B17" s="107">
        <f t="shared" si="0"/>
        <v>44525</v>
      </c>
      <c r="C17" s="86" t="s">
        <v>191</v>
      </c>
    </row>
    <row r="18" spans="2:3" ht="45" x14ac:dyDescent="0.25">
      <c r="B18" s="107">
        <f t="shared" si="0"/>
        <v>44532</v>
      </c>
      <c r="C18" s="88" t="s">
        <v>169</v>
      </c>
    </row>
    <row r="19" spans="2:3" ht="45" x14ac:dyDescent="0.25">
      <c r="B19" s="107">
        <f t="shared" si="0"/>
        <v>44539</v>
      </c>
      <c r="C19" s="83" t="s">
        <v>161</v>
      </c>
    </row>
    <row r="20" spans="2:3" x14ac:dyDescent="0.25">
      <c r="B20" s="107">
        <f t="shared" si="0"/>
        <v>44546</v>
      </c>
      <c r="C20" s="85"/>
    </row>
    <row r="21" spans="2:3" x14ac:dyDescent="0.25">
      <c r="B21" s="108">
        <f t="shared" si="0"/>
        <v>44553</v>
      </c>
      <c r="C21" s="90" t="s">
        <v>36</v>
      </c>
    </row>
    <row r="22" spans="2:3" x14ac:dyDescent="0.25">
      <c r="B22" s="108">
        <f t="shared" si="0"/>
        <v>44560</v>
      </c>
      <c r="C22" s="90" t="s">
        <v>36</v>
      </c>
    </row>
    <row r="23" spans="2:3" x14ac:dyDescent="0.25">
      <c r="B23" s="105">
        <f t="shared" si="0"/>
        <v>44567</v>
      </c>
      <c r="C23" s="85" t="s">
        <v>164</v>
      </c>
    </row>
    <row r="24" spans="2:3" x14ac:dyDescent="0.25">
      <c r="B24" s="105">
        <f t="shared" si="0"/>
        <v>44574</v>
      </c>
      <c r="C24" s="84"/>
    </row>
    <row r="25" spans="2:3" ht="45" x14ac:dyDescent="0.25">
      <c r="B25" s="105">
        <f t="shared" si="0"/>
        <v>44581</v>
      </c>
      <c r="C25" s="88" t="s">
        <v>170</v>
      </c>
    </row>
    <row r="26" spans="2:3" x14ac:dyDescent="0.25">
      <c r="B26" s="105">
        <f t="shared" si="0"/>
        <v>44588</v>
      </c>
      <c r="C26" s="84" t="s">
        <v>93</v>
      </c>
    </row>
    <row r="27" spans="2:3" ht="15.75" thickBot="1" x14ac:dyDescent="0.3">
      <c r="B27" s="111"/>
      <c r="C27" s="87"/>
    </row>
  </sheetData>
  <pageMargins left="0.7" right="0.7" top="0.78740157499999996" bottom="0.78740157499999996" header="0.3" footer="0.3"/>
  <pageSetup paperSize="9" scale="7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B2:C27"/>
  <sheetViews>
    <sheetView showGridLines="0" zoomScale="70" zoomScaleNormal="70" workbookViewId="0">
      <selection activeCell="H17" sqref="H17"/>
    </sheetView>
  </sheetViews>
  <sheetFormatPr baseColWidth="10" defaultRowHeight="15" x14ac:dyDescent="0.25"/>
  <cols>
    <col min="2" max="2" width="15.42578125" customWidth="1"/>
    <col min="3" max="3" width="58.42578125" customWidth="1"/>
  </cols>
  <sheetData>
    <row r="2" spans="2:3" ht="15.75" thickBot="1" x14ac:dyDescent="0.3"/>
    <row r="3" spans="2:3" ht="15.75" thickBot="1" x14ac:dyDescent="0.3">
      <c r="B3" s="20" t="s">
        <v>48</v>
      </c>
      <c r="C3" s="19" t="s">
        <v>46</v>
      </c>
    </row>
    <row r="4" spans="2:3" ht="90" x14ac:dyDescent="0.25">
      <c r="B4" s="104">
        <v>44435</v>
      </c>
      <c r="C4" s="82" t="s">
        <v>156</v>
      </c>
    </row>
    <row r="5" spans="2:3" x14ac:dyDescent="0.25">
      <c r="B5" s="105">
        <f t="shared" ref="B5:B27" si="0">B4+7</f>
        <v>44442</v>
      </c>
      <c r="C5" s="7"/>
    </row>
    <row r="6" spans="2:3" x14ac:dyDescent="0.25">
      <c r="B6" s="105">
        <f t="shared" si="0"/>
        <v>44449</v>
      </c>
      <c r="C6" s="7"/>
    </row>
    <row r="7" spans="2:3" ht="105" x14ac:dyDescent="0.25">
      <c r="B7" s="105">
        <f t="shared" si="0"/>
        <v>44456</v>
      </c>
      <c r="C7" s="81" t="s">
        <v>175</v>
      </c>
    </row>
    <row r="8" spans="2:3" x14ac:dyDescent="0.25">
      <c r="B8" s="105">
        <f t="shared" si="0"/>
        <v>44463</v>
      </c>
      <c r="C8" s="7"/>
    </row>
    <row r="9" spans="2:3" ht="60" x14ac:dyDescent="0.25">
      <c r="B9" s="105">
        <f t="shared" si="0"/>
        <v>44470</v>
      </c>
      <c r="C9" s="89" t="s">
        <v>171</v>
      </c>
    </row>
    <row r="10" spans="2:3" x14ac:dyDescent="0.25">
      <c r="B10" s="105">
        <f t="shared" si="0"/>
        <v>44477</v>
      </c>
      <c r="C10" s="7"/>
    </row>
    <row r="11" spans="2:3" x14ac:dyDescent="0.25">
      <c r="B11" s="108">
        <f t="shared" si="0"/>
        <v>44484</v>
      </c>
      <c r="C11" s="90" t="s">
        <v>36</v>
      </c>
    </row>
    <row r="12" spans="2:3" x14ac:dyDescent="0.25">
      <c r="B12" s="108">
        <f t="shared" si="0"/>
        <v>44491</v>
      </c>
      <c r="C12" s="90" t="s">
        <v>36</v>
      </c>
    </row>
    <row r="13" spans="2:3" ht="75" x14ac:dyDescent="0.25">
      <c r="B13" s="105">
        <f t="shared" si="0"/>
        <v>44498</v>
      </c>
      <c r="C13" s="81" t="s">
        <v>155</v>
      </c>
    </row>
    <row r="14" spans="2:3" x14ac:dyDescent="0.25">
      <c r="B14" s="105">
        <f t="shared" si="0"/>
        <v>44505</v>
      </c>
      <c r="C14" s="7"/>
    </row>
    <row r="15" spans="2:3" x14ac:dyDescent="0.25">
      <c r="B15" s="105">
        <f t="shared" si="0"/>
        <v>44512</v>
      </c>
      <c r="C15" s="7"/>
    </row>
    <row r="16" spans="2:3" ht="75" x14ac:dyDescent="0.25">
      <c r="B16" s="105">
        <f t="shared" si="0"/>
        <v>44519</v>
      </c>
      <c r="C16" s="81" t="s">
        <v>154</v>
      </c>
    </row>
    <row r="17" spans="2:3" ht="30" x14ac:dyDescent="0.25">
      <c r="B17" s="105">
        <f t="shared" si="0"/>
        <v>44526</v>
      </c>
      <c r="C17" s="89" t="s">
        <v>172</v>
      </c>
    </row>
    <row r="18" spans="2:3" x14ac:dyDescent="0.25">
      <c r="B18" s="105">
        <f t="shared" si="0"/>
        <v>44533</v>
      </c>
      <c r="C18" s="7"/>
    </row>
    <row r="19" spans="2:3" x14ac:dyDescent="0.25">
      <c r="B19" s="105">
        <f t="shared" si="0"/>
        <v>44540</v>
      </c>
      <c r="C19" s="7"/>
    </row>
    <row r="20" spans="2:3" x14ac:dyDescent="0.25">
      <c r="B20" s="105">
        <f t="shared" si="0"/>
        <v>44547</v>
      </c>
      <c r="C20" s="7"/>
    </row>
    <row r="21" spans="2:3" x14ac:dyDescent="0.25">
      <c r="B21" s="108">
        <f t="shared" si="0"/>
        <v>44554</v>
      </c>
      <c r="C21" s="90" t="s">
        <v>36</v>
      </c>
    </row>
    <row r="22" spans="2:3" x14ac:dyDescent="0.25">
      <c r="B22" s="108">
        <f t="shared" si="0"/>
        <v>44561</v>
      </c>
      <c r="C22" s="90" t="s">
        <v>36</v>
      </c>
    </row>
    <row r="23" spans="2:3" ht="75" x14ac:dyDescent="0.25">
      <c r="B23" s="105">
        <f t="shared" si="0"/>
        <v>44568</v>
      </c>
      <c r="C23" s="81" t="s">
        <v>174</v>
      </c>
    </row>
    <row r="24" spans="2:3" x14ac:dyDescent="0.25">
      <c r="B24" s="105">
        <f t="shared" si="0"/>
        <v>44575</v>
      </c>
      <c r="C24" s="37"/>
    </row>
    <row r="25" spans="2:3" ht="45" x14ac:dyDescent="0.25">
      <c r="B25" s="105">
        <f t="shared" si="0"/>
        <v>44582</v>
      </c>
      <c r="C25" s="89" t="s">
        <v>173</v>
      </c>
    </row>
    <row r="26" spans="2:3" x14ac:dyDescent="0.25">
      <c r="B26" s="105">
        <f t="shared" si="0"/>
        <v>44589</v>
      </c>
      <c r="C26" s="7" t="s">
        <v>153</v>
      </c>
    </row>
    <row r="27" spans="2:3" ht="15.75" thickBot="1" x14ac:dyDescent="0.3">
      <c r="B27" s="106">
        <f t="shared" si="0"/>
        <v>44596</v>
      </c>
      <c r="C27" s="3"/>
    </row>
  </sheetData>
  <pageMargins left="0.7" right="0.7" top="0.78740157499999996" bottom="0.78740157499999996" header="0.3" footer="0.3"/>
  <pageSetup paperSize="9" scale="8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pageSetUpPr fitToPage="1"/>
  </sheetPr>
  <dimension ref="B2:C53"/>
  <sheetViews>
    <sheetView showGridLines="0" showRowColHeaders="0" topLeftCell="A30" zoomScaleNormal="100" workbookViewId="0">
      <selection activeCell="H36" sqref="H36"/>
    </sheetView>
  </sheetViews>
  <sheetFormatPr baseColWidth="10" defaultRowHeight="15" x14ac:dyDescent="0.25"/>
  <cols>
    <col min="2" max="2" width="12.7109375" customWidth="1"/>
    <col min="3" max="3" width="77.85546875" customWidth="1"/>
  </cols>
  <sheetData>
    <row r="2" spans="2:3" ht="15.75" thickBot="1" x14ac:dyDescent="0.3"/>
    <row r="3" spans="2:3" ht="15.75" thickBot="1" x14ac:dyDescent="0.3">
      <c r="B3" s="21" t="s">
        <v>48</v>
      </c>
      <c r="C3" s="19" t="s">
        <v>46</v>
      </c>
    </row>
    <row r="4" spans="2:3" x14ac:dyDescent="0.25">
      <c r="B4" s="109">
        <v>44434</v>
      </c>
      <c r="C4" s="15" t="s">
        <v>136</v>
      </c>
    </row>
    <row r="5" spans="2:3" x14ac:dyDescent="0.25">
      <c r="B5" s="68">
        <f t="shared" ref="B5:B26" si="0">B4+7</f>
        <v>44441</v>
      </c>
      <c r="C5" s="7" t="s">
        <v>133</v>
      </c>
    </row>
    <row r="6" spans="2:3" x14ac:dyDescent="0.25">
      <c r="B6" s="110">
        <f t="shared" si="0"/>
        <v>44448</v>
      </c>
      <c r="C6" s="7" t="s">
        <v>124</v>
      </c>
    </row>
    <row r="7" spans="2:3" x14ac:dyDescent="0.25">
      <c r="B7" s="68">
        <f t="shared" si="0"/>
        <v>44455</v>
      </c>
      <c r="C7" s="7" t="s">
        <v>135</v>
      </c>
    </row>
    <row r="8" spans="2:3" x14ac:dyDescent="0.25">
      <c r="B8" s="68">
        <f t="shared" si="0"/>
        <v>44462</v>
      </c>
      <c r="C8" s="7" t="s">
        <v>122</v>
      </c>
    </row>
    <row r="9" spans="2:3" ht="60" x14ac:dyDescent="0.25">
      <c r="B9" s="107">
        <f t="shared" si="0"/>
        <v>44469</v>
      </c>
      <c r="C9" s="88" t="s">
        <v>166</v>
      </c>
    </row>
    <row r="10" spans="2:3" x14ac:dyDescent="0.25">
      <c r="B10" s="107">
        <f t="shared" si="0"/>
        <v>44476</v>
      </c>
      <c r="C10" s="84" t="s">
        <v>123</v>
      </c>
    </row>
    <row r="11" spans="2:3" x14ac:dyDescent="0.25">
      <c r="B11" s="108">
        <f t="shared" si="0"/>
        <v>44483</v>
      </c>
      <c r="C11" s="90" t="s">
        <v>36</v>
      </c>
    </row>
    <row r="12" spans="2:3" x14ac:dyDescent="0.25">
      <c r="B12" s="108">
        <f t="shared" si="0"/>
        <v>44490</v>
      </c>
      <c r="C12" s="90" t="s">
        <v>36</v>
      </c>
    </row>
    <row r="13" spans="2:3" x14ac:dyDescent="0.25">
      <c r="B13" s="107">
        <f t="shared" si="0"/>
        <v>44497</v>
      </c>
    </row>
    <row r="14" spans="2:3" x14ac:dyDescent="0.25">
      <c r="B14" s="107">
        <f t="shared" si="0"/>
        <v>44504</v>
      </c>
      <c r="C14" s="84" t="s">
        <v>125</v>
      </c>
    </row>
    <row r="15" spans="2:3" x14ac:dyDescent="0.25">
      <c r="B15" s="107">
        <f t="shared" si="0"/>
        <v>44511</v>
      </c>
      <c r="C15" s="84" t="s">
        <v>131</v>
      </c>
    </row>
    <row r="16" spans="2:3" x14ac:dyDescent="0.25">
      <c r="B16" s="114">
        <f t="shared" si="0"/>
        <v>44518</v>
      </c>
      <c r="C16" s="115" t="s">
        <v>193</v>
      </c>
    </row>
    <row r="17" spans="2:3" x14ac:dyDescent="0.25">
      <c r="B17" s="107">
        <f t="shared" si="0"/>
        <v>44525</v>
      </c>
      <c r="C17" s="84" t="s">
        <v>134</v>
      </c>
    </row>
    <row r="18" spans="2:3" ht="75" x14ac:dyDescent="0.25">
      <c r="B18" s="107">
        <f t="shared" si="0"/>
        <v>44532</v>
      </c>
      <c r="C18" s="88" t="s">
        <v>167</v>
      </c>
    </row>
    <row r="19" spans="2:3" x14ac:dyDescent="0.25">
      <c r="B19" s="107">
        <f t="shared" si="0"/>
        <v>44539</v>
      </c>
      <c r="C19" s="84" t="s">
        <v>121</v>
      </c>
    </row>
    <row r="20" spans="2:3" x14ac:dyDescent="0.25">
      <c r="B20" s="107">
        <f t="shared" si="0"/>
        <v>44546</v>
      </c>
      <c r="C20" s="84"/>
    </row>
    <row r="21" spans="2:3" x14ac:dyDescent="0.25">
      <c r="B21" s="108">
        <f t="shared" si="0"/>
        <v>44553</v>
      </c>
      <c r="C21" s="90" t="s">
        <v>36</v>
      </c>
    </row>
    <row r="22" spans="2:3" x14ac:dyDescent="0.25">
      <c r="B22" s="108">
        <f t="shared" si="0"/>
        <v>44560</v>
      </c>
      <c r="C22" s="90" t="s">
        <v>36</v>
      </c>
    </row>
    <row r="23" spans="2:3" x14ac:dyDescent="0.25">
      <c r="B23" s="105">
        <f t="shared" si="0"/>
        <v>44567</v>
      </c>
      <c r="C23" s="84"/>
    </row>
    <row r="24" spans="2:3" x14ac:dyDescent="0.25">
      <c r="B24" s="105">
        <f t="shared" si="0"/>
        <v>44574</v>
      </c>
      <c r="C24" s="84"/>
    </row>
    <row r="25" spans="2:3" ht="45" x14ac:dyDescent="0.25">
      <c r="B25" s="105">
        <f t="shared" si="0"/>
        <v>44581</v>
      </c>
      <c r="C25" s="88" t="s">
        <v>206</v>
      </c>
    </row>
    <row r="26" spans="2:3" x14ac:dyDescent="0.25">
      <c r="B26" s="105">
        <f t="shared" si="0"/>
        <v>44588</v>
      </c>
      <c r="C26" s="84"/>
    </row>
    <row r="27" spans="2:3" ht="15.75" thickBot="1" x14ac:dyDescent="0.3">
      <c r="B27" s="70"/>
      <c r="C27" s="3"/>
    </row>
    <row r="28" spans="2:3" ht="15.75" thickBot="1" x14ac:dyDescent="0.3"/>
    <row r="29" spans="2:3" ht="15.75" thickBot="1" x14ac:dyDescent="0.3">
      <c r="B29" s="21" t="s">
        <v>48</v>
      </c>
      <c r="C29" s="19" t="s">
        <v>46</v>
      </c>
    </row>
    <row r="30" spans="2:3" x14ac:dyDescent="0.25">
      <c r="B30" s="104">
        <v>44595</v>
      </c>
      <c r="C30" s="118" t="s">
        <v>111</v>
      </c>
    </row>
    <row r="31" spans="2:3" x14ac:dyDescent="0.25">
      <c r="B31" s="107">
        <f t="shared" ref="B31:B53" si="1">B30+7</f>
        <v>44602</v>
      </c>
      <c r="C31" s="84" t="s">
        <v>210</v>
      </c>
    </row>
    <row r="32" spans="2:3" x14ac:dyDescent="0.25">
      <c r="B32" s="107">
        <f t="shared" si="1"/>
        <v>44609</v>
      </c>
      <c r="C32" s="84" t="s">
        <v>208</v>
      </c>
    </row>
    <row r="33" spans="2:3" x14ac:dyDescent="0.25">
      <c r="B33" s="108">
        <f t="shared" si="1"/>
        <v>44616</v>
      </c>
      <c r="C33" s="58" t="s">
        <v>36</v>
      </c>
    </row>
    <row r="34" spans="2:3" x14ac:dyDescent="0.25">
      <c r="B34" s="108">
        <f t="shared" si="1"/>
        <v>44623</v>
      </c>
      <c r="C34" s="58" t="s">
        <v>36</v>
      </c>
    </row>
    <row r="35" spans="2:3" x14ac:dyDescent="0.25">
      <c r="B35" s="107">
        <f t="shared" si="1"/>
        <v>44630</v>
      </c>
      <c r="C35" s="7" t="s">
        <v>131</v>
      </c>
    </row>
    <row r="36" spans="2:3" ht="60" x14ac:dyDescent="0.25">
      <c r="B36" s="107">
        <f t="shared" si="1"/>
        <v>44637</v>
      </c>
      <c r="C36" s="89" t="s">
        <v>213</v>
      </c>
    </row>
    <row r="37" spans="2:3" x14ac:dyDescent="0.25">
      <c r="B37" s="107">
        <f t="shared" si="1"/>
        <v>44644</v>
      </c>
      <c r="C37" s="7" t="s">
        <v>207</v>
      </c>
    </row>
    <row r="38" spans="2:3" x14ac:dyDescent="0.25">
      <c r="B38" s="107">
        <f t="shared" si="1"/>
        <v>44651</v>
      </c>
      <c r="C38" s="7"/>
    </row>
    <row r="39" spans="2:3" x14ac:dyDescent="0.25">
      <c r="B39" s="107">
        <f t="shared" si="1"/>
        <v>44658</v>
      </c>
      <c r="C39" s="7" t="s">
        <v>211</v>
      </c>
    </row>
    <row r="40" spans="2:3" x14ac:dyDescent="0.25">
      <c r="B40" s="107">
        <f t="shared" si="1"/>
        <v>44665</v>
      </c>
      <c r="C40" s="7"/>
    </row>
    <row r="41" spans="2:3" x14ac:dyDescent="0.25">
      <c r="B41" s="108">
        <f t="shared" si="1"/>
        <v>44672</v>
      </c>
      <c r="C41" s="58" t="s">
        <v>36</v>
      </c>
    </row>
    <row r="42" spans="2:3" x14ac:dyDescent="0.25">
      <c r="B42" s="108">
        <f t="shared" si="1"/>
        <v>44679</v>
      </c>
      <c r="C42" s="58" t="s">
        <v>36</v>
      </c>
    </row>
    <row r="43" spans="2:3" x14ac:dyDescent="0.25">
      <c r="B43" s="107">
        <f t="shared" si="1"/>
        <v>44686</v>
      </c>
      <c r="C43" s="7"/>
    </row>
    <row r="44" spans="2:3" x14ac:dyDescent="0.25">
      <c r="B44" s="107">
        <f t="shared" si="1"/>
        <v>44693</v>
      </c>
      <c r="C44" s="7" t="s">
        <v>209</v>
      </c>
    </row>
    <row r="45" spans="2:3" ht="45" x14ac:dyDescent="0.25">
      <c r="B45" s="107">
        <f t="shared" si="1"/>
        <v>44700</v>
      </c>
      <c r="C45" s="89" t="s">
        <v>214</v>
      </c>
    </row>
    <row r="46" spans="2:3" x14ac:dyDescent="0.25">
      <c r="B46" s="108">
        <f t="shared" si="1"/>
        <v>44707</v>
      </c>
      <c r="C46" s="58" t="s">
        <v>32</v>
      </c>
    </row>
    <row r="47" spans="2:3" x14ac:dyDescent="0.25">
      <c r="B47" s="107">
        <f t="shared" si="1"/>
        <v>44714</v>
      </c>
      <c r="C47" s="7" t="s">
        <v>126</v>
      </c>
    </row>
    <row r="48" spans="2:3" x14ac:dyDescent="0.25">
      <c r="B48" s="107">
        <f t="shared" si="1"/>
        <v>44721</v>
      </c>
      <c r="C48" s="7" t="s">
        <v>113</v>
      </c>
    </row>
    <row r="49" spans="2:3" x14ac:dyDescent="0.25">
      <c r="B49" s="107">
        <f t="shared" si="1"/>
        <v>44728</v>
      </c>
      <c r="C49" s="7"/>
    </row>
    <row r="50" spans="2:3" x14ac:dyDescent="0.25">
      <c r="B50" s="107">
        <f t="shared" si="1"/>
        <v>44735</v>
      </c>
      <c r="C50" s="7" t="s">
        <v>152</v>
      </c>
    </row>
    <row r="51" spans="2:3" x14ac:dyDescent="0.25">
      <c r="B51" s="107">
        <f t="shared" si="1"/>
        <v>44742</v>
      </c>
      <c r="C51" s="7"/>
    </row>
    <row r="52" spans="2:3" ht="60" x14ac:dyDescent="0.25">
      <c r="B52" s="107">
        <f t="shared" si="1"/>
        <v>44749</v>
      </c>
      <c r="C52" s="89" t="s">
        <v>212</v>
      </c>
    </row>
    <row r="53" spans="2:3" ht="15.75" thickBot="1" x14ac:dyDescent="0.3">
      <c r="B53" s="111">
        <f t="shared" si="1"/>
        <v>44756</v>
      </c>
      <c r="C53" s="3"/>
    </row>
  </sheetData>
  <pageMargins left="0.7" right="0.7" top="0.78740157499999996" bottom="0.78740157499999996" header="0.3" footer="0.3"/>
  <pageSetup paperSize="9" scale="72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26"/>
  <sheetViews>
    <sheetView showGridLines="0" zoomScale="85" zoomScaleNormal="85" workbookViewId="0">
      <selection activeCell="D31" sqref="D31"/>
    </sheetView>
  </sheetViews>
  <sheetFormatPr baseColWidth="10" defaultRowHeight="15" x14ac:dyDescent="0.25"/>
  <cols>
    <col min="2" max="2" width="14.85546875" style="91" customWidth="1"/>
    <col min="3" max="3" width="40.85546875" customWidth="1"/>
    <col min="4" max="4" width="16.5703125" customWidth="1"/>
  </cols>
  <sheetData>
    <row r="1" spans="2:4" ht="21" x14ac:dyDescent="0.25">
      <c r="B1" s="93" t="s">
        <v>189</v>
      </c>
      <c r="C1" s="92"/>
    </row>
    <row r="2" spans="2:4" ht="15.75" thickBot="1" x14ac:dyDescent="0.3"/>
    <row r="3" spans="2:4" ht="15.75" thickBot="1" x14ac:dyDescent="0.3">
      <c r="B3" s="101" t="s">
        <v>48</v>
      </c>
      <c r="C3" s="48" t="s">
        <v>46</v>
      </c>
    </row>
    <row r="4" spans="2:4" ht="29.25" customHeight="1" x14ac:dyDescent="0.25">
      <c r="B4" s="99">
        <v>44431</v>
      </c>
      <c r="C4" s="100" t="s">
        <v>188</v>
      </c>
    </row>
    <row r="5" spans="2:4" ht="30" x14ac:dyDescent="0.25">
      <c r="B5" s="94">
        <f t="shared" ref="B5:B26" si="0">B4+7</f>
        <v>44438</v>
      </c>
      <c r="C5" s="81" t="s">
        <v>187</v>
      </c>
    </row>
    <row r="6" spans="2:4" ht="30" x14ac:dyDescent="0.25">
      <c r="B6" s="94">
        <f t="shared" si="0"/>
        <v>44445</v>
      </c>
      <c r="C6" s="81" t="s">
        <v>186</v>
      </c>
    </row>
    <row r="7" spans="2:4" ht="30" x14ac:dyDescent="0.25">
      <c r="B7" s="94">
        <f t="shared" si="0"/>
        <v>44452</v>
      </c>
      <c r="C7" s="81" t="s">
        <v>185</v>
      </c>
    </row>
    <row r="8" spans="2:4" x14ac:dyDescent="0.25">
      <c r="B8" s="94">
        <f t="shared" si="0"/>
        <v>44459</v>
      </c>
      <c r="C8" s="81" t="s">
        <v>184</v>
      </c>
    </row>
    <row r="9" spans="2:4" x14ac:dyDescent="0.25">
      <c r="B9" s="94">
        <f t="shared" si="0"/>
        <v>44466</v>
      </c>
      <c r="C9" s="81" t="s">
        <v>184</v>
      </c>
    </row>
    <row r="10" spans="2:4" x14ac:dyDescent="0.25">
      <c r="B10" s="94">
        <f t="shared" si="0"/>
        <v>44473</v>
      </c>
      <c r="C10" s="81" t="s">
        <v>183</v>
      </c>
    </row>
    <row r="11" spans="2:4" x14ac:dyDescent="0.25">
      <c r="B11" s="95">
        <f t="shared" si="0"/>
        <v>44480</v>
      </c>
      <c r="C11" s="120" t="s">
        <v>36</v>
      </c>
    </row>
    <row r="12" spans="2:4" x14ac:dyDescent="0.25">
      <c r="B12" s="95">
        <f t="shared" si="0"/>
        <v>44487</v>
      </c>
      <c r="C12" s="120"/>
    </row>
    <row r="13" spans="2:4" x14ac:dyDescent="0.25">
      <c r="B13" s="94">
        <f t="shared" si="0"/>
        <v>44494</v>
      </c>
      <c r="C13" s="96" t="s">
        <v>182</v>
      </c>
    </row>
    <row r="14" spans="2:4" x14ac:dyDescent="0.25">
      <c r="B14" s="94">
        <f t="shared" si="0"/>
        <v>44501</v>
      </c>
      <c r="C14" s="96" t="s">
        <v>190</v>
      </c>
    </row>
    <row r="15" spans="2:4" x14ac:dyDescent="0.25">
      <c r="B15" s="102">
        <f t="shared" si="0"/>
        <v>44508</v>
      </c>
      <c r="C15" s="103" t="s">
        <v>181</v>
      </c>
      <c r="D15" t="s">
        <v>180</v>
      </c>
    </row>
    <row r="16" spans="2:4" x14ac:dyDescent="0.25">
      <c r="B16" s="94">
        <f t="shared" si="0"/>
        <v>44515</v>
      </c>
      <c r="C16" s="96" t="s">
        <v>179</v>
      </c>
    </row>
    <row r="17" spans="2:3" x14ac:dyDescent="0.25">
      <c r="B17" s="94">
        <f t="shared" si="0"/>
        <v>44522</v>
      </c>
      <c r="C17" s="96" t="s">
        <v>178</v>
      </c>
    </row>
    <row r="18" spans="2:3" x14ac:dyDescent="0.25">
      <c r="B18" s="94">
        <f t="shared" si="0"/>
        <v>44529</v>
      </c>
      <c r="C18" s="96" t="s">
        <v>178</v>
      </c>
    </row>
    <row r="19" spans="2:3" x14ac:dyDescent="0.25">
      <c r="B19" s="94">
        <f t="shared" si="0"/>
        <v>44536</v>
      </c>
      <c r="C19" s="96" t="s">
        <v>177</v>
      </c>
    </row>
    <row r="20" spans="2:3" x14ac:dyDescent="0.25">
      <c r="B20" s="94">
        <f t="shared" si="0"/>
        <v>44543</v>
      </c>
      <c r="C20" s="96" t="s">
        <v>177</v>
      </c>
    </row>
    <row r="21" spans="2:3" x14ac:dyDescent="0.25">
      <c r="B21" s="95">
        <f t="shared" si="0"/>
        <v>44550</v>
      </c>
      <c r="C21" s="121" t="s">
        <v>36</v>
      </c>
    </row>
    <row r="22" spans="2:3" x14ac:dyDescent="0.25">
      <c r="B22" s="95">
        <f t="shared" si="0"/>
        <v>44557</v>
      </c>
      <c r="C22" s="121"/>
    </row>
    <row r="23" spans="2:3" x14ac:dyDescent="0.25">
      <c r="B23" s="94">
        <f t="shared" si="0"/>
        <v>44564</v>
      </c>
      <c r="C23" s="96" t="s">
        <v>177</v>
      </c>
    </row>
    <row r="24" spans="2:3" x14ac:dyDescent="0.25">
      <c r="B24" s="94">
        <f t="shared" si="0"/>
        <v>44571</v>
      </c>
      <c r="C24" s="96" t="s">
        <v>177</v>
      </c>
    </row>
    <row r="25" spans="2:3" x14ac:dyDescent="0.25">
      <c r="B25" s="94">
        <f t="shared" si="0"/>
        <v>44578</v>
      </c>
      <c r="C25" s="96" t="s">
        <v>177</v>
      </c>
    </row>
    <row r="26" spans="2:3" ht="15.75" thickBot="1" x14ac:dyDescent="0.3">
      <c r="B26" s="97">
        <f t="shared" si="0"/>
        <v>44585</v>
      </c>
      <c r="C26" s="98" t="s">
        <v>176</v>
      </c>
    </row>
  </sheetData>
  <mergeCells count="2">
    <mergeCell ref="C11:C12"/>
    <mergeCell ref="C21:C22"/>
  </mergeCells>
  <pageMargins left="0.7" right="0.7" top="0.78740157499999996" bottom="0.78740157499999996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pageSetUpPr fitToPage="1"/>
  </sheetPr>
  <dimension ref="B1:F27"/>
  <sheetViews>
    <sheetView showGridLines="0" tabSelected="1" zoomScaleNormal="100" workbookViewId="0">
      <selection activeCell="H10" sqref="H10"/>
    </sheetView>
  </sheetViews>
  <sheetFormatPr baseColWidth="10" defaultRowHeight="15" x14ac:dyDescent="0.25"/>
  <cols>
    <col min="2" max="2" width="12.7109375" customWidth="1"/>
    <col min="3" max="3" width="72.85546875" customWidth="1"/>
  </cols>
  <sheetData>
    <row r="1" spans="2:6" ht="35.25" customHeight="1" x14ac:dyDescent="0.4">
      <c r="B1" s="117" t="s">
        <v>195</v>
      </c>
    </row>
    <row r="2" spans="2:6" ht="15.75" thickBot="1" x14ac:dyDescent="0.3"/>
    <row r="3" spans="2:6" ht="15.75" thickBot="1" x14ac:dyDescent="0.3">
      <c r="B3" s="21" t="s">
        <v>48</v>
      </c>
      <c r="C3" s="19" t="s">
        <v>46</v>
      </c>
    </row>
    <row r="4" spans="2:6" x14ac:dyDescent="0.25">
      <c r="B4" s="109">
        <v>44596</v>
      </c>
      <c r="C4" s="15" t="s">
        <v>62</v>
      </c>
    </row>
    <row r="5" spans="2:6" x14ac:dyDescent="0.25">
      <c r="B5" s="68">
        <f t="shared" ref="B5:B27" si="0">B4+7</f>
        <v>44603</v>
      </c>
      <c r="C5" s="7" t="s">
        <v>61</v>
      </c>
    </row>
    <row r="6" spans="2:6" x14ac:dyDescent="0.25">
      <c r="B6" s="68">
        <f t="shared" si="0"/>
        <v>44610</v>
      </c>
      <c r="C6" s="7"/>
    </row>
    <row r="7" spans="2:6" x14ac:dyDescent="0.25">
      <c r="B7" s="69">
        <f t="shared" si="0"/>
        <v>44617</v>
      </c>
      <c r="C7" s="58" t="s">
        <v>36</v>
      </c>
    </row>
    <row r="8" spans="2:6" x14ac:dyDescent="0.25">
      <c r="B8" s="69">
        <f t="shared" si="0"/>
        <v>44624</v>
      </c>
      <c r="C8" s="58" t="s">
        <v>36</v>
      </c>
    </row>
    <row r="9" spans="2:6" x14ac:dyDescent="0.25">
      <c r="B9" s="68">
        <f t="shared" si="0"/>
        <v>44631</v>
      </c>
      <c r="C9" s="119" t="s">
        <v>216</v>
      </c>
    </row>
    <row r="10" spans="2:6" x14ac:dyDescent="0.25">
      <c r="B10" s="107">
        <f t="shared" si="0"/>
        <v>44638</v>
      </c>
      <c r="C10" s="7"/>
    </row>
    <row r="11" spans="2:6" x14ac:dyDescent="0.25">
      <c r="B11" s="68">
        <f t="shared" si="0"/>
        <v>44645</v>
      </c>
      <c r="C11" s="7"/>
    </row>
    <row r="12" spans="2:6" x14ac:dyDescent="0.25">
      <c r="B12" s="68">
        <f t="shared" si="0"/>
        <v>44652</v>
      </c>
      <c r="C12" s="119" t="s">
        <v>217</v>
      </c>
    </row>
    <row r="13" spans="2:6" x14ac:dyDescent="0.25">
      <c r="B13" s="68">
        <f t="shared" si="0"/>
        <v>44659</v>
      </c>
      <c r="C13" s="89" t="s">
        <v>28</v>
      </c>
    </row>
    <row r="14" spans="2:6" x14ac:dyDescent="0.25">
      <c r="B14" s="69">
        <f t="shared" si="0"/>
        <v>44666</v>
      </c>
      <c r="C14" s="58" t="s">
        <v>127</v>
      </c>
    </row>
    <row r="15" spans="2:6" x14ac:dyDescent="0.25">
      <c r="B15" s="69">
        <f t="shared" si="0"/>
        <v>44673</v>
      </c>
      <c r="C15" s="58" t="s">
        <v>36</v>
      </c>
    </row>
    <row r="16" spans="2:6" x14ac:dyDescent="0.25">
      <c r="B16" s="69">
        <f t="shared" si="0"/>
        <v>44680</v>
      </c>
      <c r="C16" s="58" t="s">
        <v>36</v>
      </c>
      <c r="F16" s="122"/>
    </row>
    <row r="17" spans="2:6" x14ac:dyDescent="0.25">
      <c r="B17" s="68">
        <f t="shared" si="0"/>
        <v>44687</v>
      </c>
      <c r="C17" s="119" t="s">
        <v>218</v>
      </c>
      <c r="F17" s="123"/>
    </row>
    <row r="18" spans="2:6" x14ac:dyDescent="0.25">
      <c r="B18" s="68">
        <f t="shared" si="0"/>
        <v>44694</v>
      </c>
      <c r="C18" s="7"/>
      <c r="F18" s="123"/>
    </row>
    <row r="19" spans="2:6" x14ac:dyDescent="0.25">
      <c r="B19" s="107">
        <f t="shared" si="0"/>
        <v>44701</v>
      </c>
      <c r="C19" s="89" t="s">
        <v>28</v>
      </c>
      <c r="F19" s="124"/>
    </row>
    <row r="20" spans="2:6" x14ac:dyDescent="0.25">
      <c r="B20" s="69">
        <f t="shared" si="0"/>
        <v>44708</v>
      </c>
      <c r="C20" s="58" t="s">
        <v>73</v>
      </c>
      <c r="F20" s="124"/>
    </row>
    <row r="21" spans="2:6" x14ac:dyDescent="0.25">
      <c r="B21" s="68">
        <f t="shared" si="0"/>
        <v>44715</v>
      </c>
      <c r="C21" s="119" t="s">
        <v>219</v>
      </c>
    </row>
    <row r="22" spans="2:6" x14ac:dyDescent="0.25">
      <c r="B22" s="68">
        <f t="shared" si="0"/>
        <v>44722</v>
      </c>
      <c r="C22" s="7"/>
    </row>
    <row r="23" spans="2:6" x14ac:dyDescent="0.25">
      <c r="B23" s="68">
        <f t="shared" si="0"/>
        <v>44729</v>
      </c>
      <c r="C23" s="7"/>
    </row>
    <row r="24" spans="2:6" x14ac:dyDescent="0.25">
      <c r="B24" s="68">
        <f t="shared" si="0"/>
        <v>44736</v>
      </c>
      <c r="C24" s="119" t="s">
        <v>215</v>
      </c>
    </row>
    <row r="25" spans="2:6" x14ac:dyDescent="0.25">
      <c r="B25" s="107">
        <f t="shared" si="0"/>
        <v>44743</v>
      </c>
      <c r="C25" s="7"/>
    </row>
    <row r="26" spans="2:6" x14ac:dyDescent="0.25">
      <c r="B26" s="68">
        <f t="shared" si="0"/>
        <v>44750</v>
      </c>
      <c r="C26" s="89" t="s">
        <v>28</v>
      </c>
    </row>
    <row r="27" spans="2:6" ht="15.75" thickBot="1" x14ac:dyDescent="0.3">
      <c r="B27" s="70">
        <f t="shared" si="0"/>
        <v>44757</v>
      </c>
      <c r="C27" s="3"/>
    </row>
  </sheetData>
  <pageMargins left="0.7" right="0.7" top="0.78740157499999996" bottom="0.78740157499999996" header="0.3" footer="0.3"/>
  <pageSetup paperSize="9" scale="72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pageSetUpPr fitToPage="1"/>
  </sheetPr>
  <dimension ref="B1:C27"/>
  <sheetViews>
    <sheetView showGridLines="0" zoomScaleNormal="100" workbookViewId="0">
      <selection activeCell="F20" sqref="F20"/>
    </sheetView>
  </sheetViews>
  <sheetFormatPr baseColWidth="10" defaultRowHeight="15" x14ac:dyDescent="0.25"/>
  <cols>
    <col min="2" max="2" width="12.7109375" customWidth="1"/>
    <col min="3" max="3" width="77.85546875" customWidth="1"/>
  </cols>
  <sheetData>
    <row r="1" spans="2:3" ht="34.5" customHeight="1" x14ac:dyDescent="0.4">
      <c r="B1" s="117" t="s">
        <v>194</v>
      </c>
    </row>
    <row r="2" spans="2:3" ht="15.75" thickBot="1" x14ac:dyDescent="0.3"/>
    <row r="3" spans="2:3" ht="15.75" thickBot="1" x14ac:dyDescent="0.3">
      <c r="B3" s="21" t="s">
        <v>48</v>
      </c>
      <c r="C3" s="19" t="s">
        <v>46</v>
      </c>
    </row>
    <row r="4" spans="2:3" x14ac:dyDescent="0.25">
      <c r="B4" s="109">
        <v>44595</v>
      </c>
      <c r="C4" s="15" t="s">
        <v>95</v>
      </c>
    </row>
    <row r="5" spans="2:3" x14ac:dyDescent="0.25">
      <c r="B5" s="69">
        <f t="shared" ref="B5:B27" si="0">B4+7</f>
        <v>44602</v>
      </c>
      <c r="C5" s="58" t="s">
        <v>200</v>
      </c>
    </row>
    <row r="6" spans="2:3" x14ac:dyDescent="0.25">
      <c r="B6" s="68">
        <f t="shared" si="0"/>
        <v>44609</v>
      </c>
      <c r="C6" s="7" t="s">
        <v>202</v>
      </c>
    </row>
    <row r="7" spans="2:3" x14ac:dyDescent="0.25">
      <c r="B7" s="69">
        <f t="shared" si="0"/>
        <v>44616</v>
      </c>
      <c r="C7" s="58" t="s">
        <v>36</v>
      </c>
    </row>
    <row r="8" spans="2:3" x14ac:dyDescent="0.25">
      <c r="B8" s="69">
        <f t="shared" si="0"/>
        <v>44623</v>
      </c>
      <c r="C8" s="58" t="s">
        <v>36</v>
      </c>
    </row>
    <row r="9" spans="2:3" x14ac:dyDescent="0.25">
      <c r="B9" s="68">
        <f t="shared" si="0"/>
        <v>44630</v>
      </c>
      <c r="C9" s="7" t="s">
        <v>201</v>
      </c>
    </row>
    <row r="10" spans="2:3" x14ac:dyDescent="0.25">
      <c r="B10" s="68">
        <f t="shared" si="0"/>
        <v>44637</v>
      </c>
      <c r="C10" s="11" t="s">
        <v>28</v>
      </c>
    </row>
    <row r="11" spans="2:3" x14ac:dyDescent="0.25">
      <c r="B11" s="68">
        <f t="shared" si="0"/>
        <v>44644</v>
      </c>
      <c r="C11" s="7" t="s">
        <v>204</v>
      </c>
    </row>
    <row r="12" spans="2:3" x14ac:dyDescent="0.25">
      <c r="B12" s="68">
        <f t="shared" si="0"/>
        <v>44651</v>
      </c>
      <c r="C12" s="7" t="s">
        <v>203</v>
      </c>
    </row>
    <row r="13" spans="2:3" x14ac:dyDescent="0.25">
      <c r="B13" s="68">
        <f t="shared" si="0"/>
        <v>44658</v>
      </c>
      <c r="C13" s="7" t="s">
        <v>205</v>
      </c>
    </row>
    <row r="14" spans="2:3" x14ac:dyDescent="0.25">
      <c r="B14" s="68">
        <f t="shared" si="0"/>
        <v>44665</v>
      </c>
      <c r="C14" s="7" t="s">
        <v>196</v>
      </c>
    </row>
    <row r="15" spans="2:3" x14ac:dyDescent="0.25">
      <c r="B15" s="69">
        <f t="shared" si="0"/>
        <v>44672</v>
      </c>
      <c r="C15" s="58" t="s">
        <v>36</v>
      </c>
    </row>
    <row r="16" spans="2:3" x14ac:dyDescent="0.25">
      <c r="B16" s="69">
        <f t="shared" si="0"/>
        <v>44679</v>
      </c>
      <c r="C16" s="58" t="s">
        <v>36</v>
      </c>
    </row>
    <row r="17" spans="2:3" x14ac:dyDescent="0.25">
      <c r="B17" s="68">
        <f t="shared" si="0"/>
        <v>44686</v>
      </c>
      <c r="C17" s="11" t="s">
        <v>28</v>
      </c>
    </row>
    <row r="18" spans="2:3" x14ac:dyDescent="0.25">
      <c r="B18" s="68">
        <f t="shared" si="0"/>
        <v>44693</v>
      </c>
      <c r="C18" s="7" t="s">
        <v>102</v>
      </c>
    </row>
    <row r="19" spans="2:3" x14ac:dyDescent="0.25">
      <c r="B19" s="68">
        <f t="shared" si="0"/>
        <v>44700</v>
      </c>
      <c r="C19" s="116" t="s">
        <v>103</v>
      </c>
    </row>
    <row r="20" spans="2:3" x14ac:dyDescent="0.25">
      <c r="B20" s="69">
        <f t="shared" si="0"/>
        <v>44707</v>
      </c>
      <c r="C20" s="58" t="s">
        <v>73</v>
      </c>
    </row>
    <row r="21" spans="2:3" x14ac:dyDescent="0.25">
      <c r="B21" s="68">
        <f t="shared" si="0"/>
        <v>44714</v>
      </c>
      <c r="C21" s="7" t="s">
        <v>197</v>
      </c>
    </row>
    <row r="22" spans="2:3" x14ac:dyDescent="0.25">
      <c r="B22" s="68">
        <f t="shared" si="0"/>
        <v>44721</v>
      </c>
      <c r="C22" s="7" t="s">
        <v>198</v>
      </c>
    </row>
    <row r="23" spans="2:3" x14ac:dyDescent="0.25">
      <c r="B23" s="68">
        <f t="shared" si="0"/>
        <v>44728</v>
      </c>
      <c r="C23" s="7" t="s">
        <v>199</v>
      </c>
    </row>
    <row r="24" spans="2:3" x14ac:dyDescent="0.25">
      <c r="B24" s="68">
        <f t="shared" si="0"/>
        <v>44735</v>
      </c>
      <c r="C24" s="7" t="s">
        <v>106</v>
      </c>
    </row>
    <row r="25" spans="2:3" x14ac:dyDescent="0.25">
      <c r="B25" s="68">
        <f t="shared" si="0"/>
        <v>44742</v>
      </c>
      <c r="C25" s="89" t="s">
        <v>28</v>
      </c>
    </row>
    <row r="26" spans="2:3" x14ac:dyDescent="0.25">
      <c r="B26" s="68">
        <f t="shared" si="0"/>
        <v>44749</v>
      </c>
      <c r="C26" s="7" t="s">
        <v>107</v>
      </c>
    </row>
    <row r="27" spans="2:3" ht="15.75" thickBot="1" x14ac:dyDescent="0.3">
      <c r="B27" s="70">
        <f t="shared" si="0"/>
        <v>44756</v>
      </c>
      <c r="C27" s="3" t="s">
        <v>107</v>
      </c>
    </row>
  </sheetData>
  <pageMargins left="0.7" right="0.7" top="0.78740157499999996" bottom="0.78740157499999996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21_22_Semesterprogramm_M162</vt:lpstr>
      <vt:lpstr>21_22_Semesterprogramm_M231</vt:lpstr>
      <vt:lpstr>21_22_Semesterprogramm_Mathe</vt:lpstr>
      <vt:lpstr>21_22_Semesterprogramm_M242</vt:lpstr>
      <vt:lpstr>22_Semesterprogramm_M164</vt:lpstr>
      <vt:lpstr>22_Semesterprogramm_M319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2021-11-18T07:41:25Z</cp:lastPrinted>
  <dcterms:created xsi:type="dcterms:W3CDTF">2019-08-07T07:33:56Z</dcterms:created>
  <dcterms:modified xsi:type="dcterms:W3CDTF">2022-04-07T14:46:47Z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