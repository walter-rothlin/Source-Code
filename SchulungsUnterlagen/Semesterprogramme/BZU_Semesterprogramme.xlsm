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ocuments\Source-Code\Source-Code\SchulungsUnterlagen\Semesterprogramme\"/>
    </mc:Choice>
  </mc:AlternateContent>
  <xr:revisionPtr revIDLastSave="0" documentId="13_ncr:1_{BBFB94C3-20EB-4ED8-B2B7-27D9BE76CB58}" xr6:coauthVersionLast="47" xr6:coauthVersionMax="47" xr10:uidLastSave="{00000000-0000-0000-0000-000000000000}"/>
  <bookViews>
    <workbookView xWindow="-110" yWindow="-110" windowWidth="19420" windowHeight="10420" firstSheet="9" activeTab="9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</sheets>
  <functionGroups builtInGroupCount="19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12" l="1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35" i="12" l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5" i="8"/>
  <c r="B26" i="9"/>
  <c r="B4" i="9"/>
  <c r="B5" i="9"/>
  <c r="B8" i="9"/>
  <c r="B26" i="8"/>
  <c r="B20" i="9"/>
  <c r="B24" i="8"/>
  <c r="B19" i="9"/>
  <c r="B10" i="8"/>
  <c r="B20" i="8"/>
  <c r="B7" i="8"/>
  <c r="B18" i="9"/>
  <c r="B18" i="8"/>
  <c r="B25" i="8"/>
  <c r="B15" i="9"/>
  <c r="B21" i="8"/>
  <c r="B11" i="8"/>
  <c r="B8" i="8"/>
  <c r="B23" i="9"/>
  <c r="B19" i="8"/>
  <c r="B9" i="9"/>
  <c r="B16" i="8"/>
  <c r="B22" i="8"/>
  <c r="B24" i="9"/>
  <c r="B4" i="8"/>
  <c r="B14" i="9"/>
  <c r="B27" i="8"/>
  <c r="B16" i="9"/>
  <c r="B5" i="8"/>
  <c r="B12" i="8"/>
  <c r="B27" i="9"/>
  <c r="B13" i="9"/>
  <c r="B11" i="9"/>
  <c r="B13" i="8"/>
  <c r="B7" i="9"/>
  <c r="B12" i="9"/>
  <c r="B25" i="9"/>
  <c r="B22" i="9"/>
  <c r="B21" i="9"/>
  <c r="B17" i="8"/>
  <c r="B23" i="8"/>
  <c r="B6" i="9"/>
  <c r="B14" i="8"/>
  <c r="B6" i="8"/>
  <c r="B10" i="9"/>
  <c r="B17" i="9"/>
  <c r="B9" i="8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8" i="3"/>
  <c r="B25" i="2"/>
  <c r="B25" i="3"/>
  <c r="B26" i="3"/>
  <c r="B5" i="3"/>
  <c r="B17" i="2"/>
  <c r="B8" i="2"/>
  <c r="B22" i="3"/>
  <c r="B13" i="2"/>
  <c r="B15" i="2"/>
  <c r="B16" i="2"/>
  <c r="B5" i="2"/>
  <c r="B12" i="2"/>
  <c r="B11" i="3"/>
  <c r="B12" i="3"/>
  <c r="B19" i="3"/>
  <c r="B23" i="3"/>
  <c r="B16" i="3"/>
  <c r="B23" i="2"/>
  <c r="B20" i="2"/>
  <c r="B14" i="2"/>
  <c r="B10" i="3"/>
  <c r="B26" i="2"/>
  <c r="B4" i="3"/>
  <c r="B19" i="2"/>
  <c r="B11" i="2"/>
  <c r="B4" i="2"/>
  <c r="B6" i="3"/>
  <c r="B24" i="3"/>
  <c r="B6" i="2"/>
  <c r="B9" i="2"/>
  <c r="B10" i="2"/>
  <c r="B18" i="3"/>
  <c r="B9" i="3"/>
  <c r="B21" i="3"/>
  <c r="B20" i="3"/>
  <c r="B13" i="3"/>
  <c r="B27" i="2"/>
  <c r="B7" i="3"/>
  <c r="B18" i="2"/>
  <c r="B27" i="3"/>
  <c r="B14" i="3"/>
  <c r="B15" i="3"/>
  <c r="B17" i="3"/>
  <c r="B7" i="2"/>
  <c r="B24" i="2"/>
  <c r="B22" i="2"/>
  <c r="B21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<sst xmlns="http://schemas.openxmlformats.org/spreadsheetml/2006/main" count="593" uniqueCount="224">
  <si>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</si>
  <si>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</si>
  <si>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</si>
  <si>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</si>
  <si>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</si>
  <si>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</si>
  <si>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</si>
  <si>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</si>
  <si>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</si>
  <si>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</si>
  <si>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</si>
  <si>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</si>
  <si>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</si>
  <si>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</si>
  <si>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</si>
  <si>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</si>
  <si>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</si>
  <si>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</si>
  <si>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</si>
  <si>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</si>
  <si>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</si>
  <si>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</si>
  <si>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</si>
  <si>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</si>
  <si>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</si>
  <si>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</si>
  <si>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</si>
  <si>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</si>
  <si>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</si>
  <si>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</si>
  <si>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</si>
  <si>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</si>
  <si>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</si>
  <si>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</si>
  <si>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</si>
  <si>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</si>
  <si>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</si>
  <si>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</si>
  <si>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</si>
  <si>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</si>
  <si>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</si>
  <si>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</si>
  <si>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</si>
  <si>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</si>
  <si>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</si>
  <si>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</si>
  <si>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</si>
  <si>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</si>
  <si>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</si>
  <si>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</si>
  <si>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</si>
  <si>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</si>
  <si>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</si>
  <si>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</si>
  <si>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</si>
  <si>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</si>
  <si>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</si>
  <si>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</si>
  <si>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</si>
  <si>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</si>
  <si>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</si>
  <si>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</si>
  <si>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</si>
  <si>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</si>
  <si>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</si>
  <si>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</si>
  <si>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</si>
  <si>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</si>
  <si>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</si>
  <si>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</si>
  <si>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</si>
  <si>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</si>
  <si>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</si>
  <si>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</si>
  <si>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</si>
  <si>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</si>
  <si>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</si>
  <si>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</si>
  <si>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</si>
  <si>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</si>
  <si>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</si>
  <si>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</si>
  <si>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</si>
  <si>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</si>
  <si>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</si>
  <si>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</si>
  <si>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</si>
  <si>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</si>
  <si>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</si>
  <si>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</si>
  <si>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</si>
  <si>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</si>
  <si>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</si>
  <si>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</si>
  <si>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</si>
  <si>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</si>
  <si>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</si>
  <si>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</si>
  <si>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</si>
  <si>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</si>
  <si>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</si>
  <si>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</si>
  <si>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</si>
  <si>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</si>
  <si>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</si>
  <si>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</si>
  <si>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</si>
  <si>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</si>
  <si>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</si>
  <si>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</si>
  <si>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</si>
  <si>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</si>
  <si>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</si>
  <si>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</si>
  <si>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</si>
  <si>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</si>
  <si>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</si>
  <si>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</si>
  <si>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</si>
  <si>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</si>
  <si>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</si>
  <si>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</si>
  <si>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</si>
  <si>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</si>
  <si>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</si>
  <si>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</si>
  <si>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</si>
  <si>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</si>
  <si>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</si>
  <si>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</si>
  <si>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</si>
  <si>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</si>
  <si>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</si>
  <si>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</si>
  <si>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</si>
  <si>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</si>
  <si>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</si>
  <si>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</si>
  <si>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</si>
  <si>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</si>
  <si>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</si>
  <si>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</si>
  <si>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</si>
  <si>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</si>
  <si>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</si>
  <si>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</si>
  <si>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</si>
  <si>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</si>
  <si>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</si>
  <si>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</si>
  <si>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</si>
  <si>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</si>
  <si>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</si>
  <si>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</si>
  <si>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</si>
  <si>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</si>
  <si>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</si>
  <si>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</si>
  <si>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</si>
  <si>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</si>
  <si>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</si>
  <si>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</si>
  <si>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</si>
  <si>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</si>
  <si>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</si>
  <si>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</si>
  <si>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</si>
  <si>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</si>
  <si>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</si>
  <si>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</si>
  <si>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</si>
  <si>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</si>
  <si>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</si>
  <si>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</si>
  <si>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</si>
  <si>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</si>
  <si>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</si>
  <si>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</si>
  <si>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</si>
  <si>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</si>
  <si>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</si>
  <si>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</si>
  <si>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</si>
  <si>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</si>
  <si>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</si>
  <si>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</si>
  <si>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</si>
  <si>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</si>
  <si>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</si>
  <si>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</si>
  <si>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</si>
  <si>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</si>
  <si>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</si>
  <si>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</si>
  <si>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</si>
  <si>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</si>
  <si>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</si>
  <si>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</si>
  <si>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</si>
  <si>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</si>
  <si>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</si>
  <si>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</si>
  <si>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</si>
  <si>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</si>
  <si>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</si>
  <si>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</si>
  <si>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</si>
  <si>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</si>
  <si>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</si>
  <si>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</si>
  <si>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</si>
  <si>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</si>
  <si>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</si>
  <si>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</si>
  <si>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</si>
  <si>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</si>
  <si>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</si>
  <si>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</si>
  <si>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</si>
  <si>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</si>
  <si>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</si>
  <si>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</si>
  <si>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</si>
  <si>
    <t>M242 Mikroprozessoranwendungen realisieren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</si>
</sst>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4" fillId="0" borderId="4" xfId="0" applyFont="1" applyBorder="1" applyAlignment="1">
      <alignment wrapText="1"/>
    </xf>
    <xf numFmtId="0" fontId="6" fillId="0" borderId="0" xfId="0" applyFont="1"/>
    <xf numFmtId="0" fontId="0" fillId="0" borderId="7" xfId="0" applyBorder="1" applyAlignment="1">
      <alignment vertical="top"/>
    </xf>
    <xf numFmtId="0" fontId="7" fillId="0" borderId="4" xfId="0" applyFont="1" applyBorder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0" fontId="0" fillId="3" borderId="4" xfId="0" applyFill="1" applyBorder="1" applyAlignment="1">
      <alignment horizontal="center" vertical="center"/>
    </xf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abSelected="1" topLeftCell="A18" zoomScaleNormal="100" workbookViewId="0">
      <selection activeCell="H24" sqref="H24"/>
    </sheetView>
  </sheetViews>
  <sheetFormatPr baseColWidth="10" defaultRowHeight="14.5" x14ac:dyDescent="0.35"/>
  <cols>
    <col min="2" max="2" width="15.08984375" customWidth="1"/>
    <col min="3" max="3" width="12.7265625" customWidth="1"/>
    <col min="4" max="4" width="53.1796875" customWidth="1"/>
  </cols>
  <sheetData>
    <row r="2" spans="2:4" ht="18.5" x14ac:dyDescent="0.45">
      <c r="B2" s="105" t="s">
        <v>220</v>
      </c>
      <c r="C2" s="105"/>
      <c r="D2" s="105"/>
    </row>
    <row r="3" spans="2:4" ht="15" thickBot="1" x14ac:dyDescent="0.4"/>
    <row r="4" spans="2:4" ht="15" thickBot="1" x14ac:dyDescent="0.4">
      <c r="B4" s="28" t="s">
        <v>218</v>
      </c>
      <c r="C4" s="21" t="s">
        <v>219</v>
      </c>
      <c r="D4" s="19" t="s">
        <v>46</v>
      </c>
    </row>
    <row r="5" spans="2:4" ht="116" x14ac:dyDescent="0.35">
      <c r="B5" s="107">
        <v>44798</v>
      </c>
      <c r="C5" s="91">
        <f>B5+1</f>
        <v>44799</v>
      </c>
      <c r="D5" s="103" t="s">
        <v>157</v>
      </c>
    </row>
    <row r="6" spans="2:4" ht="72.5" x14ac:dyDescent="0.35">
      <c r="B6" s="108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108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108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108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108">
        <f t="shared" si="0"/>
        <v>44833</v>
      </c>
      <c r="C10" s="92">
        <f t="shared" si="0"/>
        <v>44834</v>
      </c>
      <c r="D10" s="74" t="s">
        <v>159</v>
      </c>
    </row>
    <row r="11" spans="2:4" ht="43.5" x14ac:dyDescent="0.35">
      <c r="B11" s="108">
        <f t="shared" si="0"/>
        <v>44840</v>
      </c>
      <c r="C11" s="92">
        <f t="shared" si="0"/>
        <v>44841</v>
      </c>
      <c r="D11" s="77" t="s">
        <v>168</v>
      </c>
    </row>
    <row r="12" spans="2:4" x14ac:dyDescent="0.35">
      <c r="B12" s="109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109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108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108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108">
        <f t="shared" si="0"/>
        <v>44875</v>
      </c>
      <c r="C16" s="92">
        <f t="shared" si="0"/>
        <v>44876</v>
      </c>
      <c r="D16" s="75"/>
    </row>
    <row r="17" spans="2:4" ht="72.5" x14ac:dyDescent="0.35">
      <c r="B17" s="108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108">
        <f t="shared" si="0"/>
        <v>44889</v>
      </c>
      <c r="C18" s="92">
        <f t="shared" si="0"/>
        <v>44890</v>
      </c>
      <c r="D18" s="7"/>
    </row>
    <row r="19" spans="2:4" x14ac:dyDescent="0.35">
      <c r="B19" s="108">
        <f t="shared" si="0"/>
        <v>44896</v>
      </c>
      <c r="C19" s="92">
        <f t="shared" si="0"/>
        <v>44897</v>
      </c>
      <c r="D19" s="7"/>
    </row>
    <row r="20" spans="2:4" ht="43.5" x14ac:dyDescent="0.35">
      <c r="B20" s="108">
        <f t="shared" si="0"/>
        <v>44903</v>
      </c>
      <c r="C20" s="92">
        <f t="shared" si="0"/>
        <v>44904</v>
      </c>
      <c r="D20" s="74" t="s">
        <v>161</v>
      </c>
    </row>
    <row r="21" spans="2:4" ht="43.5" x14ac:dyDescent="0.35">
      <c r="B21" s="108">
        <f t="shared" si="0"/>
        <v>44910</v>
      </c>
      <c r="C21" s="92">
        <f t="shared" si="0"/>
        <v>44911</v>
      </c>
      <c r="D21" s="77" t="s">
        <v>169</v>
      </c>
    </row>
    <row r="22" spans="2:4" x14ac:dyDescent="0.35">
      <c r="B22" s="108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109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109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108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108">
        <f t="shared" si="0"/>
        <v>44945</v>
      </c>
      <c r="C26" s="92">
        <f t="shared" si="0"/>
        <v>44946</v>
      </c>
      <c r="D26" s="7"/>
    </row>
    <row r="27" spans="2:4" x14ac:dyDescent="0.35">
      <c r="B27" s="108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110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C11" sqref="C11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5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ht="29" x14ac:dyDescent="0.35">
      <c r="B18" s="92">
        <f t="shared" si="0"/>
        <v>44889</v>
      </c>
      <c r="C18" s="78" t="s">
        <v>172</v>
      </c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x14ac:dyDescent="0.35">
      <c r="B21" s="92">
        <f t="shared" si="0"/>
        <v>44910</v>
      </c>
      <c r="C21" s="7"/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rgb="FF92D050"/>
    <pageSetUpPr fitToPage="1"/>
  </sheetPr>
  <dimension ref="B2:C57"/>
  <sheetViews>
    <sheetView showGridLines="0" zoomScaleNormal="100" workbookViewId="0">
      <selection activeCell="D11" sqref="D11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5" t="s">
        <v>221</v>
      </c>
      <c r="C2" s="104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5" t="str">
        <f>B2</f>
        <v>Mathe</v>
      </c>
      <c r="C31" s="104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44595</v>
      </c>
      <c r="C34" s="97" t="s">
        <v>111</v>
      </c>
    </row>
    <row r="35" spans="2:3" x14ac:dyDescent="0.35">
      <c r="B35" s="92">
        <f t="shared" ref="B35:B57" si="1">B34+7</f>
        <v>44602</v>
      </c>
      <c r="C35" s="75" t="s">
        <v>206</v>
      </c>
    </row>
    <row r="36" spans="2:3" x14ac:dyDescent="0.35">
      <c r="B36" s="92">
        <f t="shared" si="1"/>
        <v>44609</v>
      </c>
      <c r="C36" s="75" t="s">
        <v>205</v>
      </c>
    </row>
    <row r="37" spans="2:3" x14ac:dyDescent="0.35">
      <c r="B37" s="94">
        <f t="shared" si="1"/>
        <v>44616</v>
      </c>
      <c r="C37" s="52" t="s">
        <v>36</v>
      </c>
    </row>
    <row r="38" spans="2:3" x14ac:dyDescent="0.35">
      <c r="B38" s="94">
        <f t="shared" si="1"/>
        <v>44623</v>
      </c>
      <c r="C38" s="52" t="s">
        <v>36</v>
      </c>
    </row>
    <row r="39" spans="2:3" x14ac:dyDescent="0.35">
      <c r="B39" s="92">
        <f t="shared" si="1"/>
        <v>44630</v>
      </c>
      <c r="C39" s="7" t="s">
        <v>131</v>
      </c>
    </row>
    <row r="40" spans="2:3" ht="58" x14ac:dyDescent="0.35">
      <c r="B40" s="92">
        <f t="shared" si="1"/>
        <v>44637</v>
      </c>
      <c r="C40" s="78" t="s">
        <v>208</v>
      </c>
    </row>
    <row r="41" spans="2:3" x14ac:dyDescent="0.35">
      <c r="B41" s="92">
        <f t="shared" si="1"/>
        <v>44644</v>
      </c>
      <c r="C41" s="7" t="s">
        <v>204</v>
      </c>
    </row>
    <row r="42" spans="2:3" x14ac:dyDescent="0.35">
      <c r="B42" s="92">
        <f t="shared" si="1"/>
        <v>44651</v>
      </c>
      <c r="C42" s="7"/>
    </row>
    <row r="43" spans="2:3" x14ac:dyDescent="0.35">
      <c r="B43" s="92">
        <f t="shared" si="1"/>
        <v>44658</v>
      </c>
      <c r="C43" s="7" t="s">
        <v>207</v>
      </c>
    </row>
    <row r="44" spans="2:3" x14ac:dyDescent="0.35">
      <c r="B44" s="92">
        <f t="shared" si="1"/>
        <v>44665</v>
      </c>
      <c r="C44" s="7"/>
    </row>
    <row r="45" spans="2:3" x14ac:dyDescent="0.35">
      <c r="B45" s="94">
        <f t="shared" si="1"/>
        <v>44672</v>
      </c>
      <c r="C45" s="52" t="s">
        <v>36</v>
      </c>
    </row>
    <row r="46" spans="2:3" x14ac:dyDescent="0.35">
      <c r="B46" s="94">
        <f t="shared" si="1"/>
        <v>44679</v>
      </c>
      <c r="C46" s="52" t="s">
        <v>36</v>
      </c>
    </row>
    <row r="47" spans="2:3" x14ac:dyDescent="0.35">
      <c r="B47" s="92">
        <f t="shared" si="1"/>
        <v>44686</v>
      </c>
      <c r="C47" s="7" t="s">
        <v>214</v>
      </c>
    </row>
    <row r="48" spans="2:3" x14ac:dyDescent="0.35">
      <c r="B48" s="92">
        <f t="shared" si="1"/>
        <v>44693</v>
      </c>
      <c r="C48" s="7"/>
    </row>
    <row r="49" spans="2:3" ht="43.5" x14ac:dyDescent="0.35">
      <c r="B49" s="92">
        <f t="shared" si="1"/>
        <v>44700</v>
      </c>
      <c r="C49" s="78" t="s">
        <v>215</v>
      </c>
    </row>
    <row r="50" spans="2:3" x14ac:dyDescent="0.35">
      <c r="B50" s="94">
        <f t="shared" si="1"/>
        <v>44707</v>
      </c>
      <c r="C50" s="52" t="s">
        <v>32</v>
      </c>
    </row>
    <row r="51" spans="2:3" x14ac:dyDescent="0.35">
      <c r="B51" s="92">
        <f t="shared" si="1"/>
        <v>44714</v>
      </c>
      <c r="C51" s="7" t="s">
        <v>214</v>
      </c>
    </row>
    <row r="52" spans="2:3" x14ac:dyDescent="0.35">
      <c r="B52" s="92">
        <f t="shared" si="1"/>
        <v>44721</v>
      </c>
      <c r="C52" s="7"/>
    </row>
    <row r="53" spans="2:3" x14ac:dyDescent="0.35">
      <c r="B53" s="92">
        <f t="shared" si="1"/>
        <v>44728</v>
      </c>
      <c r="C53" s="7"/>
    </row>
    <row r="54" spans="2:3" x14ac:dyDescent="0.35">
      <c r="B54" s="92">
        <f t="shared" si="1"/>
        <v>44735</v>
      </c>
      <c r="C54" s="65"/>
    </row>
    <row r="55" spans="2:3" ht="58" x14ac:dyDescent="0.35">
      <c r="B55" s="92">
        <f t="shared" si="1"/>
        <v>44742</v>
      </c>
      <c r="C55" s="78" t="s">
        <v>216</v>
      </c>
    </row>
    <row r="56" spans="2:3" x14ac:dyDescent="0.35">
      <c r="B56" s="92">
        <f t="shared" si="1"/>
        <v>44749</v>
      </c>
      <c r="C56" s="7" t="s">
        <v>152</v>
      </c>
    </row>
    <row r="57" spans="2:3" ht="15" thickBot="1" x14ac:dyDescent="0.4">
      <c r="B57" s="93">
        <f t="shared" si="1"/>
        <v>44756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5" t="s">
        <v>223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06" t="s">
        <v>36</v>
      </c>
    </row>
    <row r="13" spans="2:4" x14ac:dyDescent="0.35">
      <c r="B13" s="83">
        <f t="shared" si="0"/>
        <v>44851</v>
      </c>
      <c r="C13" s="106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2" t="s">
        <v>36</v>
      </c>
    </row>
    <row r="24" spans="2:3" x14ac:dyDescent="0.35">
      <c r="B24" s="83">
        <f t="shared" si="0"/>
        <v>44928</v>
      </c>
      <c r="C24" s="102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H32" sqref="H32"/>
    </sheetView>
  </sheetViews>
  <sheetFormatPr baseColWidth="10" defaultRowHeight="14.5" x14ac:dyDescent="0.35"/>
  <cols>
    <col min="2" max="2" width="12.7265625" customWidth="1"/>
    <col min="3" max="3" width="72.81640625" customWidth="1"/>
  </cols>
  <sheetData>
    <row r="1" spans="2:6" ht="35.25" customHeight="1" x14ac:dyDescent="0.6">
      <c r="B1" s="96" t="s">
        <v>192</v>
      </c>
    </row>
    <row r="2" spans="2:6" ht="15" thickBot="1" x14ac:dyDescent="0.4"/>
    <row r="3" spans="2:6" ht="15" thickBot="1" x14ac:dyDescent="0.4">
      <c r="B3" s="21" t="s">
        <v>48</v>
      </c>
      <c r="C3" s="19" t="s">
        <v>46</v>
      </c>
    </row>
    <row r="4" spans="2:6" x14ac:dyDescent="0.35">
      <c r="B4" s="61">
        <v>44596</v>
      </c>
      <c r="C4" s="15" t="s">
        <v>62</v>
      </c>
    </row>
    <row r="5" spans="2:6" x14ac:dyDescent="0.35">
      <c r="B5" s="62">
        <f t="shared" ref="B5:B27" si="0">B4+7</f>
        <v>44603</v>
      </c>
      <c r="C5" s="7" t="s">
        <v>61</v>
      </c>
    </row>
    <row r="6" spans="2:6" x14ac:dyDescent="0.35">
      <c r="B6" s="62">
        <f t="shared" si="0"/>
        <v>44610</v>
      </c>
      <c r="C6" s="7"/>
    </row>
    <row r="7" spans="2:6" x14ac:dyDescent="0.35">
      <c r="B7" s="63">
        <f t="shared" si="0"/>
        <v>44617</v>
      </c>
      <c r="C7" s="52" t="s">
        <v>36</v>
      </c>
    </row>
    <row r="8" spans="2:6" x14ac:dyDescent="0.35">
      <c r="B8" s="63">
        <f t="shared" si="0"/>
        <v>44624</v>
      </c>
      <c r="C8" s="52" t="s">
        <v>36</v>
      </c>
    </row>
    <row r="9" spans="2:6" x14ac:dyDescent="0.35">
      <c r="B9" s="62">
        <f t="shared" si="0"/>
        <v>44631</v>
      </c>
      <c r="C9" s="98" t="s">
        <v>210</v>
      </c>
    </row>
    <row r="10" spans="2:6" x14ac:dyDescent="0.35">
      <c r="B10" s="92">
        <f t="shared" si="0"/>
        <v>44638</v>
      </c>
      <c r="C10" s="7"/>
    </row>
    <row r="11" spans="2:6" x14ac:dyDescent="0.35">
      <c r="B11" s="62">
        <f t="shared" si="0"/>
        <v>44645</v>
      </c>
      <c r="C11" s="7"/>
    </row>
    <row r="12" spans="2:6" x14ac:dyDescent="0.35">
      <c r="B12" s="62">
        <f t="shared" si="0"/>
        <v>44652</v>
      </c>
      <c r="C12" s="98" t="s">
        <v>211</v>
      </c>
    </row>
    <row r="13" spans="2:6" x14ac:dyDescent="0.35">
      <c r="B13" s="62">
        <f t="shared" si="0"/>
        <v>44659</v>
      </c>
      <c r="C13" s="78" t="s">
        <v>28</v>
      </c>
    </row>
    <row r="14" spans="2:6" x14ac:dyDescent="0.35">
      <c r="B14" s="63">
        <f t="shared" si="0"/>
        <v>44666</v>
      </c>
      <c r="C14" s="52" t="s">
        <v>127</v>
      </c>
    </row>
    <row r="15" spans="2:6" x14ac:dyDescent="0.35">
      <c r="B15" s="63">
        <f t="shared" si="0"/>
        <v>44673</v>
      </c>
      <c r="C15" s="52" t="s">
        <v>36</v>
      </c>
    </row>
    <row r="16" spans="2:6" x14ac:dyDescent="0.35">
      <c r="B16" s="63">
        <f t="shared" si="0"/>
        <v>44680</v>
      </c>
      <c r="C16" s="52" t="s">
        <v>36</v>
      </c>
      <c r="F16" s="99"/>
    </row>
    <row r="17" spans="2:6" x14ac:dyDescent="0.35">
      <c r="B17" s="62">
        <f t="shared" si="0"/>
        <v>44687</v>
      </c>
      <c r="C17" s="98" t="s">
        <v>212</v>
      </c>
      <c r="F17" s="100"/>
    </row>
    <row r="18" spans="2:6" x14ac:dyDescent="0.35">
      <c r="B18" s="62">
        <f t="shared" si="0"/>
        <v>44694</v>
      </c>
      <c r="C18" s="7"/>
      <c r="F18" s="100"/>
    </row>
    <row r="19" spans="2:6" x14ac:dyDescent="0.35">
      <c r="B19" s="92">
        <f t="shared" si="0"/>
        <v>44701</v>
      </c>
      <c r="C19" s="78" t="s">
        <v>28</v>
      </c>
      <c r="F19" s="101"/>
    </row>
    <row r="20" spans="2:6" x14ac:dyDescent="0.35">
      <c r="B20" s="63">
        <f t="shared" si="0"/>
        <v>44708</v>
      </c>
      <c r="C20" s="52" t="s">
        <v>73</v>
      </c>
      <c r="F20" s="101"/>
    </row>
    <row r="21" spans="2:6" x14ac:dyDescent="0.35">
      <c r="B21" s="62">
        <f t="shared" si="0"/>
        <v>44715</v>
      </c>
      <c r="C21" s="98" t="s">
        <v>213</v>
      </c>
    </row>
    <row r="22" spans="2:6" x14ac:dyDescent="0.35">
      <c r="B22" s="62">
        <f t="shared" si="0"/>
        <v>44722</v>
      </c>
      <c r="C22" s="7"/>
    </row>
    <row r="23" spans="2:6" x14ac:dyDescent="0.35">
      <c r="B23" s="62">
        <f t="shared" si="0"/>
        <v>44729</v>
      </c>
      <c r="C23" s="7"/>
    </row>
    <row r="24" spans="2:6" x14ac:dyDescent="0.35">
      <c r="B24" s="62">
        <f t="shared" si="0"/>
        <v>44736</v>
      </c>
      <c r="C24" s="98" t="s">
        <v>209</v>
      </c>
    </row>
    <row r="25" spans="2:6" x14ac:dyDescent="0.35">
      <c r="B25" s="92">
        <f t="shared" si="0"/>
        <v>44743</v>
      </c>
      <c r="C25" s="78" t="s">
        <v>217</v>
      </c>
    </row>
    <row r="26" spans="2:6" x14ac:dyDescent="0.35">
      <c r="B26" s="62">
        <f t="shared" si="0"/>
        <v>44750</v>
      </c>
      <c r="C26" s="65"/>
    </row>
    <row r="27" spans="2:6" ht="15" thickBot="1" x14ac:dyDescent="0.4">
      <c r="B27" s="64">
        <f t="shared" si="0"/>
        <v>44757</v>
      </c>
      <c r="C27" s="3"/>
    </row>
  </sheetData>
  <pageMargins left="0.7" right="0.7" top="0.78740157499999996" bottom="0.78740157499999996" header="0.3" footer="0.3"/>
  <pageSetup paperSize="9" scale="9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J37" sqref="J3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6" t="s">
        <v>191</v>
      </c>
    </row>
    <row r="2" spans="2:3" ht="15" thickBot="1" x14ac:dyDescent="0.4"/>
    <row r="3" spans="2:3" ht="15" thickBot="1" x14ac:dyDescent="0.4">
      <c r="B3" s="21" t="s">
        <v>48</v>
      </c>
      <c r="C3" s="19" t="s">
        <v>46</v>
      </c>
    </row>
    <row r="4" spans="2:3" x14ac:dyDescent="0.35">
      <c r="B4" s="61">
        <v>44595</v>
      </c>
      <c r="C4" s="15" t="s">
        <v>95</v>
      </c>
    </row>
    <row r="5" spans="2:3" x14ac:dyDescent="0.35">
      <c r="B5" s="63">
        <f t="shared" ref="B5:B27" si="0">B4+7</f>
        <v>44602</v>
      </c>
      <c r="C5" s="52" t="s">
        <v>197</v>
      </c>
    </row>
    <row r="6" spans="2:3" x14ac:dyDescent="0.35">
      <c r="B6" s="62">
        <f t="shared" si="0"/>
        <v>44609</v>
      </c>
      <c r="C6" s="7" t="s">
        <v>199</v>
      </c>
    </row>
    <row r="7" spans="2:3" x14ac:dyDescent="0.35">
      <c r="B7" s="63">
        <f t="shared" si="0"/>
        <v>44616</v>
      </c>
      <c r="C7" s="52" t="s">
        <v>36</v>
      </c>
    </row>
    <row r="8" spans="2:3" x14ac:dyDescent="0.35">
      <c r="B8" s="63">
        <f t="shared" si="0"/>
        <v>44623</v>
      </c>
      <c r="C8" s="52" t="s">
        <v>36</v>
      </c>
    </row>
    <row r="9" spans="2:3" x14ac:dyDescent="0.35">
      <c r="B9" s="62">
        <f t="shared" si="0"/>
        <v>44630</v>
      </c>
      <c r="C9" s="7" t="s">
        <v>198</v>
      </c>
    </row>
    <row r="10" spans="2:3" x14ac:dyDescent="0.35">
      <c r="B10" s="62">
        <f t="shared" si="0"/>
        <v>44637</v>
      </c>
      <c r="C10" s="11" t="s">
        <v>28</v>
      </c>
    </row>
    <row r="11" spans="2:3" x14ac:dyDescent="0.35">
      <c r="B11" s="62">
        <f t="shared" si="0"/>
        <v>44644</v>
      </c>
      <c r="C11" s="7" t="s">
        <v>201</v>
      </c>
    </row>
    <row r="12" spans="2:3" x14ac:dyDescent="0.35">
      <c r="B12" s="62">
        <f t="shared" si="0"/>
        <v>44651</v>
      </c>
      <c r="C12" s="7" t="s">
        <v>200</v>
      </c>
    </row>
    <row r="13" spans="2:3" x14ac:dyDescent="0.35">
      <c r="B13" s="62">
        <f t="shared" si="0"/>
        <v>44658</v>
      </c>
      <c r="C13" s="7" t="s">
        <v>202</v>
      </c>
    </row>
    <row r="14" spans="2:3" x14ac:dyDescent="0.35">
      <c r="B14" s="62">
        <f t="shared" si="0"/>
        <v>44665</v>
      </c>
      <c r="C14" s="7" t="s">
        <v>193</v>
      </c>
    </row>
    <row r="15" spans="2:3" x14ac:dyDescent="0.35">
      <c r="B15" s="63">
        <f t="shared" si="0"/>
        <v>44672</v>
      </c>
      <c r="C15" s="52" t="s">
        <v>36</v>
      </c>
    </row>
    <row r="16" spans="2:3" x14ac:dyDescent="0.35">
      <c r="B16" s="63">
        <f t="shared" si="0"/>
        <v>44679</v>
      </c>
      <c r="C16" s="52" t="s">
        <v>36</v>
      </c>
    </row>
    <row r="17" spans="2:3" x14ac:dyDescent="0.35">
      <c r="B17" s="62">
        <f t="shared" si="0"/>
        <v>44686</v>
      </c>
      <c r="C17" s="11" t="s">
        <v>28</v>
      </c>
    </row>
    <row r="18" spans="2:3" x14ac:dyDescent="0.35">
      <c r="B18" s="62">
        <f t="shared" si="0"/>
        <v>44693</v>
      </c>
      <c r="C18" s="7" t="s">
        <v>102</v>
      </c>
    </row>
    <row r="19" spans="2:3" x14ac:dyDescent="0.35">
      <c r="B19" s="62">
        <f t="shared" si="0"/>
        <v>44700</v>
      </c>
      <c r="C19" s="95" t="s">
        <v>103</v>
      </c>
    </row>
    <row r="20" spans="2:3" x14ac:dyDescent="0.35">
      <c r="B20" s="63">
        <f t="shared" si="0"/>
        <v>44707</v>
      </c>
      <c r="C20" s="52" t="s">
        <v>73</v>
      </c>
    </row>
    <row r="21" spans="2:3" x14ac:dyDescent="0.35">
      <c r="B21" s="62">
        <f t="shared" si="0"/>
        <v>44714</v>
      </c>
      <c r="C21" s="7" t="s">
        <v>194</v>
      </c>
    </row>
    <row r="22" spans="2:3" x14ac:dyDescent="0.35">
      <c r="B22" s="62">
        <f t="shared" si="0"/>
        <v>44721</v>
      </c>
      <c r="C22" s="7" t="s">
        <v>195</v>
      </c>
    </row>
    <row r="23" spans="2:3" x14ac:dyDescent="0.35">
      <c r="B23" s="62">
        <f t="shared" si="0"/>
        <v>44728</v>
      </c>
      <c r="C23" s="7" t="s">
        <v>196</v>
      </c>
    </row>
    <row r="24" spans="2:3" x14ac:dyDescent="0.35">
      <c r="B24" s="62">
        <f t="shared" si="0"/>
        <v>44735</v>
      </c>
      <c r="C24" s="7" t="s">
        <v>106</v>
      </c>
    </row>
    <row r="25" spans="2:3" x14ac:dyDescent="0.35">
      <c r="B25" s="62">
        <f t="shared" si="0"/>
        <v>44742</v>
      </c>
      <c r="C25" s="78" t="s">
        <v>28</v>
      </c>
    </row>
    <row r="26" spans="2:3" x14ac:dyDescent="0.35">
      <c r="B26" s="62">
        <f t="shared" si="0"/>
        <v>44749</v>
      </c>
      <c r="C26" s="7" t="s">
        <v>107</v>
      </c>
    </row>
    <row r="27" spans="2:3" ht="15" thickBot="1" x14ac:dyDescent="0.4">
      <c r="B27" s="64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2022-11-18T08:50:17Z</cp:lastPrinted>
  <dcterms:created xsi:type="dcterms:W3CDTF">2019-08-07T07:33:56Z</dcterms:created>
  <dcterms:modified xsi:type="dcterms:W3CDTF">2022-11-18T08:50:28Z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