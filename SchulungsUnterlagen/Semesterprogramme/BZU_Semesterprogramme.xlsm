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6984FD6A-966F-44B1-8AE1-E7CE2CC55C2E}" xr6:coauthVersionLast="47" xr6:coauthVersionMax="47" xr10:uidLastSave="{00000000-0000-0000-0000-000000000000}"/>
  <bookViews>
    <workbookView xWindow="-110" yWindow="-110" windowWidth="19420" windowHeight="10300" firstSheet="15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Semesterprogramm_M164" sheetId="15" r:id="rId13"/>
    <sheet name="23_Semesterprogramm_M319" sheetId="14" r:id="rId14"/>
    <sheet name="23_24_Semesterprogramm_Math" sheetId="16" r:id="rId15"/>
    <sheet name="23_24_Semesterprogramm_M162" sheetId="10" r:id="rId16"/>
    <sheet name="23_24_Semesterprogramm_M231" sheetId="17" r:id="rId17"/>
  </sheets>
  <functionGroups builtInGroupCount="19"/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5">[1]Sektoren!#REF!</definedName>
    <definedName name="aa" localSheetId="16">[1]Sektoren!#REF!</definedName>
    <definedName name="aa" localSheetId="14">[1]Sektoren!#REF!</definedName>
    <definedName name="aa" localSheetId="12">[1]Sektoren!#REF!</definedName>
    <definedName name="aa" localSheetId="13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5">[1]Sektoren!#REF!</definedName>
    <definedName name="aaaa" localSheetId="16">[1]Sektoren!#REF!</definedName>
    <definedName name="aaaa" localSheetId="14">[1]Sektoren!#REF!</definedName>
    <definedName name="aaaa" localSheetId="12">[1]Sektoren!#REF!</definedName>
    <definedName name="aaaa" localSheetId="13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5">[2]Kreisbogen!#REF!</definedName>
    <definedName name="aassssss" localSheetId="16">[2]Kreisbogen!#REF!</definedName>
    <definedName name="aassssss" localSheetId="14">[2]Kreisbogen!#REF!</definedName>
    <definedName name="aassssss" localSheetId="12">[2]Kreisbogen!#REF!</definedName>
    <definedName name="aassssss" localSheetId="13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5">#REF!</definedName>
    <definedName name="days" localSheetId="16">#REF!</definedName>
    <definedName name="days" localSheetId="14">#REF!</definedName>
    <definedName name="days" localSheetId="12">#REF!</definedName>
    <definedName name="days" localSheetId="13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5">#REF!</definedName>
    <definedName name="eeeeeeeee" localSheetId="16">#REF!</definedName>
    <definedName name="eeeeeeeee" localSheetId="14">#REF!</definedName>
    <definedName name="eeeeeeeee" localSheetId="12">#REF!</definedName>
    <definedName name="eeeeeeeee" localSheetId="13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5">[2]Kreisbogen!#REF!</definedName>
    <definedName name="qqq" localSheetId="16">[2]Kreisbogen!#REF!</definedName>
    <definedName name="qqq" localSheetId="14">[2]Kreisbogen!#REF!</definedName>
    <definedName name="qqq" localSheetId="12">[2]Kreisbogen!#REF!</definedName>
    <definedName name="qqq" localSheetId="13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5">#REF!</definedName>
    <definedName name="rates" localSheetId="16">#REF!</definedName>
    <definedName name="rates" localSheetId="14">#REF!</definedName>
    <definedName name="rates" localSheetId="12">#REF!</definedName>
    <definedName name="rates" localSheetId="13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5">#REF!</definedName>
    <definedName name="rrrr" localSheetId="16">#REF!</definedName>
    <definedName name="rrrr" localSheetId="14">#REF!</definedName>
    <definedName name="rrrr" localSheetId="12">#REF!</definedName>
    <definedName name="rrrr" localSheetId="13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5">#REF!</definedName>
    <definedName name="ssss" localSheetId="16">#REF!</definedName>
    <definedName name="ssss" localSheetId="14">#REF!</definedName>
    <definedName name="ssss" localSheetId="12">#REF!</definedName>
    <definedName name="ssss" localSheetId="13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5">#REF!</definedName>
    <definedName name="tocFctGraph" localSheetId="16">#REF!</definedName>
    <definedName name="tocFctGraph" localSheetId="14">#REF!</definedName>
    <definedName name="tocFctGraph" localSheetId="12">#REF!</definedName>
    <definedName name="tocFctGraph" localSheetId="13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5">#REF!</definedName>
    <definedName name="tocLinearFct" localSheetId="16">#REF!</definedName>
    <definedName name="tocLinearFct" localSheetId="14">#REF!</definedName>
    <definedName name="tocLinearFct" localSheetId="12">#REF!</definedName>
    <definedName name="tocLinearFct" localSheetId="13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5">#REF!</definedName>
    <definedName name="tocNormberechnung" localSheetId="16">#REF!</definedName>
    <definedName name="tocNormberechnung" localSheetId="14">#REF!</definedName>
    <definedName name="tocNormberechnung" localSheetId="12">#REF!</definedName>
    <definedName name="tocNormberechnung" localSheetId="13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5">#REF!</definedName>
    <definedName name="tocRGBCalc" localSheetId="16">#REF!</definedName>
    <definedName name="tocRGBCalc" localSheetId="14">#REF!</definedName>
    <definedName name="tocRGBCalc" localSheetId="12">#REF!</definedName>
    <definedName name="tocRGBCalc" localSheetId="13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5">#REF!</definedName>
    <definedName name="ttttttt" localSheetId="16">#REF!</definedName>
    <definedName name="ttttttt" localSheetId="14">#REF!</definedName>
    <definedName name="ttttttt" localSheetId="12">#REF!</definedName>
    <definedName name="ttttttt" localSheetId="13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5">#REF!</definedName>
    <definedName name="uu" localSheetId="16">#REF!</definedName>
    <definedName name="uu" localSheetId="14">#REF!</definedName>
    <definedName name="uu" localSheetId="12">#REF!</definedName>
    <definedName name="uu" localSheetId="13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5">#REF!</definedName>
    <definedName name="uuuuuuuu" localSheetId="16">#REF!</definedName>
    <definedName name="uuuuuuuu" localSheetId="14">#REF!</definedName>
    <definedName name="uuuuuuuu" localSheetId="12">#REF!</definedName>
    <definedName name="uuuuuuuu" localSheetId="13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5">[1]Sektoren!#REF!</definedName>
    <definedName name="x" localSheetId="16">[1]Sektoren!#REF!</definedName>
    <definedName name="x" localSheetId="14">[1]Sektoren!#REF!</definedName>
    <definedName name="x" localSheetId="12">[1]Sektoren!#REF!</definedName>
    <definedName name="x" localSheetId="13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5">#REF!</definedName>
    <definedName name="xxxxx" localSheetId="16">#REF!</definedName>
    <definedName name="xxxxx" localSheetId="14">#REF!</definedName>
    <definedName name="xxxxx" localSheetId="12">#REF!</definedName>
    <definedName name="xxxxx" localSheetId="13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5">[1]Sektoren!#REF!</definedName>
    <definedName name="xxxxxxxx" localSheetId="16">[1]Sektoren!#REF!</definedName>
    <definedName name="xxxxxxxx" localSheetId="14">[1]Sektoren!#REF!</definedName>
    <definedName name="xxxxxxxx" localSheetId="12">[1]Sektoren!#REF!</definedName>
    <definedName name="xxxxxxxx" localSheetId="13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5">#REF!</definedName>
    <definedName name="xxxxxxxxx" localSheetId="16">#REF!</definedName>
    <definedName name="xxxxxxxxx" localSheetId="14">#REF!</definedName>
    <definedName name="xxxxxxxxx" localSheetId="12">#REF!</definedName>
    <definedName name="xxxxxxxxx" localSheetId="13">#REF!</definedName>
    <definedName name="xxxxxxxxx">#REF!</definedName>
    <definedName name="yyy" localSheetId="10">#REF!</definedName>
    <definedName name="yyy" localSheetId="14">#REF!</definedName>
    <definedName name="yyy" localSheetId="12">#REF!</definedName>
    <definedName name="yyy" localSheetId="13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5">#REF!</definedName>
    <definedName name="zzzzzzzzzzz" localSheetId="16">#REF!</definedName>
    <definedName name="zzzzzzzzzzz" localSheetId="14">#REF!</definedName>
    <definedName name="zzzzzzzzzzz" localSheetId="12">#REF!</definedName>
    <definedName name="zzzzzzzzzzz" localSheetId="13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17" l="1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<sst xmlns="http://schemas.openxmlformats.org/spreadsheetml/2006/main" count="652" uniqueCount="243">
  <si>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</si>
  <si>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</si>
  <si>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</si>
  <si>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</si>
  <si>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</si>
  <si>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</si>
  <si>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</si>
  <si>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</si>
  <si>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</si>
  <si>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</si>
  <si>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</si>
  <si>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</si>
  <si>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</si>
  <si>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</si>
  <si>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</si>
  <si>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</si>
  <si>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</si>
  <si>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</si>
  <si>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</si>
  <si>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</si>
  <si>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</si>
  <si>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</si>
  <si>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</si>
  <si>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</si>
  <si>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</si>
  <si>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</si>
  <si>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</si>
  <si>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</si>
  <si>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</si>
  <si>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</si>
  <si>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</si>
  <si>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</si>
  <si>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</si>
  <si>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</si>
  <si>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</si>
  <si>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</si>
  <si>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</si>
  <si>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</si>
  <si>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</si>
  <si>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</si>
  <si>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</si>
  <si>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</si>
  <si>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</si>
  <si>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</si>
  <si>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</si>
  <si>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</si>
  <si>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</si>
  <si>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</si>
  <si>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</si>
  <si>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</si>
  <si>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</si>
  <si>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</si>
  <si>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</si>
  <si>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</si>
  <si>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</si>
  <si>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</si>
  <si>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</si>
  <si>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</si>
  <si>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</si>
  <si>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</si>
  <si>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</si>
  <si>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</si>
  <si>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</si>
  <si>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</si>
  <si>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</si>
  <si>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</si>
  <si>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</si>
  <si>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</si>
  <si>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</si>
  <si>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</si>
  <si>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</si>
  <si>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</si>
  <si>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</si>
  <si>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</si>
  <si>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</si>
  <si>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</si>
  <si>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</si>
  <si>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</si>
  <si>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</si>
  <si>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</si>
  <si>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</si>
  <si>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</si>
  <si>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</si>
  <si>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</si>
  <si>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</si>
  <si>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</si>
  <si>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</si>
  <si>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</si>
  <si>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</si>
  <si>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</si>
  <si>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</si>
  <si>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</si>
  <si>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</si>
  <si>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</si>
  <si>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</si>
  <si>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</si>
  <si>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</si>
  <si>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</si>
  <si>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</si>
  <si>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</si>
  <si>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</si>
  <si>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</si>
  <si>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</si>
  <si>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</si>
  <si>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</si>
  <si>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</si>
  <si>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</si>
  <si>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</si>
  <si>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</si>
  <si>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</si>
  <si>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</si>
  <si>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</si>
  <si>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</si>
  <si>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</si>
  <si>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</si>
  <si>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</si>
  <si>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</si>
  <si>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</si>
  <si>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</si>
  <si>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</si>
  <si>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</si>
  <si>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</si>
  <si>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</si>
  <si>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</si>
  <si>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</si>
  <si>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</si>
  <si>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</si>
  <si>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</si>
  <si>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</si>
  <si>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</si>
  <si>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</si>
  <si>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</si>
  <si>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</si>
  <si>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</si>
  <si>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</si>
  <si>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</si>
  <si>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</si>
  <si>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</si>
  <si>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</si>
  <si>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</si>
  <si>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</si>
  <si>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</si>
  <si>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</si>
  <si>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</si>
  <si>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</si>
  <si>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</si>
  <si>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</si>
  <si>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</si>
  <si>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</si>
  <si>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</si>
  <si>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</si>
  <si>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</si>
  <si>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</si>
  <si>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</si>
  <si>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</si>
  <si>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</si>
  <si>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</si>
  <si>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</si>
  <si>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</si>
  <si>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</si>
  <si>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</si>
  <si>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</si>
  <si>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</si>
  <si>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</si>
  <si>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</si>
  <si>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</si>
  <si>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</si>
  <si>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</si>
  <si>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</si>
  <si>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</si>
  <si>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</si>
  <si>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</si>
  <si>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</si>
  <si>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</si>
  <si>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</si>
  <si>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</si>
  <si>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</si>
  <si>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</si>
  <si>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</si>
  <si>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</si>
  <si>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</si>
  <si>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</si>
  <si>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</si>
  <si>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</si>
  <si>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</si>
  <si>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</si>
  <si>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</si>
  <si>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</si>
  <si>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</si>
  <si>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</si>
  <si>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</si>
  <si>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</si>
  <si>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</si>
  <si>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</si>
  <si>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</si>
  <si>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</si>
  <si>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</si>
  <si>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</si>
  <si>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</si>
  <si>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</si>
  <si>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</si>
  <si>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</si>
  <si>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</si>
  <si>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</si>
  <si>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</si>
  <si>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</si>
  <si>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</si>
  <si>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</si>
  <si>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</si>
  <si>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</si>
  <si>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</si>
  <si>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</si>
  <si>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</si>
  <si>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</si>
  <si>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</si>
  <si>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</si>
  <si>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</si>
  <si>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</si>
  <si>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</si>
  <si>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</si>
  <si>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</si>
  <si>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</si>
  <si>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</si>
  <si>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</si>
  <si>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</si>
  <si>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</si>
  <si>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</si>
  <si>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</si>
  <si>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</si>
  <si>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</si>
  <si>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</si>
  <si>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</si>
  <si>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</si>
  <si>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Prüfung
- Kennlinien und Graphen
- Lineare Funktion und Gleichung</t>
  </si>
  <si>
    <t>Proportionen / Dreisatz / Lineare Funktionen</t>
  </si>
  <si>
    <t>Prüfung
- Termumformungen
- Gleichungen
- Formeln umformen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</si>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</sst>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0" xfId="0" applyFill="1"/>
    <xf numFmtId="0" fontId="0" fillId="3" borderId="4" xfId="0" applyFill="1" applyBorder="1" applyAlignment="1">
      <alignment horizontal="center" vertical="center"/>
    </xf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8" borderId="34" xfId="0" applyFill="1" applyBorder="1" applyAlignment="1"/>
    <xf numFmtId="0" fontId="0" fillId="8" borderId="35" xfId="0" applyFill="1" applyBorder="1" applyAlignment="1"/>
    <xf numFmtId="164" fontId="0" fillId="0" borderId="6" xfId="0" applyNumberFormat="1" applyFill="1" applyBorder="1" applyAlignment="1">
      <alignment vertical="top"/>
    </xf>
    <xf numFmtId="0" fontId="0" fillId="3" borderId="4" xfId="0" applyFill="1" applyBorder="1" applyAlignment="1">
      <alignment wrapText="1"/>
    </xf>
    <xf numFmtId="0" fontId="0" fillId="0" borderId="0" xfId="0" applyFill="1" applyBorder="1"/>
    <xf numFmtId="0" fontId="10" fillId="0" borderId="1" xfId="0" applyNumberFormat="1" applyFont="1" applyBorder="1" applyAlignment="1">
      <alignment horizontal="center"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221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220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215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222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2" t="s">
        <v>36</v>
      </c>
    </row>
    <row r="13" spans="2:4" x14ac:dyDescent="0.35">
      <c r="B13" s="83">
        <f t="shared" si="0"/>
        <v>44851</v>
      </c>
      <c r="C13" s="122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zoomScaleNormal="100" workbookViewId="0">
      <selection activeCell="C4" sqref="C4:C27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223</v>
      </c>
      <c r="C3" s="108" t="s">
        <v>218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225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224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226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opLeftCell="A17" zoomScaleNormal="100" workbookViewId="0">
      <selection activeCell="C26" sqref="C2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220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228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229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232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230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234</v>
      </c>
    </row>
    <row r="18" spans="2:3" x14ac:dyDescent="0.35">
      <c r="B18" s="92">
        <f t="shared" si="0"/>
        <v>45254</v>
      </c>
      <c r="C18" s="7"/>
    </row>
    <row r="19" spans="2:3" ht="43.5" x14ac:dyDescent="0.35">
      <c r="B19" s="92">
        <f t="shared" si="0"/>
        <v>45261</v>
      </c>
      <c r="C19" s="77" t="s">
        <v>233</v>
      </c>
    </row>
    <row r="20" spans="2:3" x14ac:dyDescent="0.35">
      <c r="B20" s="92">
        <f t="shared" si="0"/>
        <v>45268</v>
      </c>
      <c r="C20" s="75" t="s">
        <v>121</v>
      </c>
    </row>
    <row r="21" spans="2:3" x14ac:dyDescent="0.35">
      <c r="B21" s="92">
        <f t="shared" si="0"/>
        <v>45275</v>
      </c>
      <c r="C21" s="75"/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x14ac:dyDescent="0.35">
      <c r="B25" s="92">
        <f t="shared" si="0"/>
        <v>45303</v>
      </c>
      <c r="C25" s="75"/>
    </row>
    <row r="26" spans="2:3" ht="58" x14ac:dyDescent="0.35">
      <c r="B26" s="92">
        <f t="shared" si="0"/>
        <v>45310</v>
      </c>
      <c r="C26" s="77" t="s">
        <v>235</v>
      </c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227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208</v>
      </c>
    </row>
    <row r="41" spans="2:3" x14ac:dyDescent="0.35">
      <c r="B41" s="92">
        <f t="shared" si="1"/>
        <v>45373</v>
      </c>
      <c r="C41" s="7" t="s">
        <v>204</v>
      </c>
    </row>
    <row r="42" spans="2:3" x14ac:dyDescent="0.35">
      <c r="B42" s="94">
        <f t="shared" si="1"/>
        <v>45380</v>
      </c>
      <c r="C42" s="121" t="s">
        <v>77</v>
      </c>
    </row>
    <row r="43" spans="2:3" x14ac:dyDescent="0.35">
      <c r="B43" s="92">
        <f t="shared" si="1"/>
        <v>45387</v>
      </c>
      <c r="C43" s="7" t="s">
        <v>207</v>
      </c>
    </row>
    <row r="44" spans="2:3" x14ac:dyDescent="0.35">
      <c r="B44" s="92">
        <f t="shared" si="1"/>
        <v>45394</v>
      </c>
      <c r="C44" s="7" t="s">
        <v>231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52" t="s">
        <v>32</v>
      </c>
    </row>
    <row r="49" spans="2:3" x14ac:dyDescent="0.35">
      <c r="B49" s="92">
        <f t="shared" si="1"/>
        <v>45429</v>
      </c>
    </row>
    <row r="50" spans="2:3" ht="43" customHeight="1" x14ac:dyDescent="0.35">
      <c r="B50" s="92">
        <f t="shared" si="1"/>
        <v>45436</v>
      </c>
      <c r="C50" s="78" t="s">
        <v>215</v>
      </c>
    </row>
    <row r="51" spans="2:3" x14ac:dyDescent="0.35">
      <c r="B51" s="92">
        <f t="shared" si="1"/>
        <v>45443</v>
      </c>
      <c r="C51" s="7" t="s">
        <v>236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216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2">
        <f t="shared" si="1"/>
        <v>45485</v>
      </c>
      <c r="C57" s="3"/>
    </row>
  </sheetData>
  <pageMargins left="0.7" right="0.7" top="0.78740157499999996" bottom="0.78740157499999996" header="0.3" footer="0.3"/>
  <pageSetup paperSize="9" scale="6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16" zoomScale="85" zoomScaleNormal="85" workbookViewId="0">
      <selection activeCell="H22" sqref="H22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219</v>
      </c>
      <c r="C2" s="103"/>
    </row>
    <row r="3" spans="2:3" ht="15" thickBot="1" x14ac:dyDescent="0.4"/>
    <row r="4" spans="2:3" ht="15" thickBot="1" x14ac:dyDescent="0.4">
      <c r="B4" s="28" t="s">
        <v>237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5">
        <f t="shared" si="0"/>
        <v>45260</v>
      </c>
      <c r="C19" s="7"/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tabSelected="1" zoomScale="70" zoomScaleNormal="70" workbookViewId="0">
      <selection activeCell="O8" sqref="O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221</v>
      </c>
      <c r="C2" s="81"/>
      <c r="G2" s="126" t="s">
        <v>241</v>
      </c>
      <c r="H2" s="127"/>
    </row>
    <row r="3" spans="2:9" ht="15" thickBot="1" x14ac:dyDescent="0.4">
      <c r="G3" s="48" t="s">
        <v>238</v>
      </c>
      <c r="H3" s="123">
        <v>2023</v>
      </c>
    </row>
    <row r="4" spans="2:9" ht="15" thickBot="1" x14ac:dyDescent="0.4">
      <c r="B4" s="20" t="s">
        <v>48</v>
      </c>
      <c r="C4" s="19" t="s">
        <v>46</v>
      </c>
      <c r="G4" s="37" t="s">
        <v>239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4" t="s">
        <v>240</v>
      </c>
      <c r="H5" s="125">
        <f>("4.1."&amp;H3)+H4*7-7-MOD("2.1."&amp;H3,7)</f>
        <v>44956</v>
      </c>
      <c r="I5" s="131">
        <f>WEEKNUM(H5)</f>
        <v>5</v>
      </c>
    </row>
    <row r="6" spans="2:9" x14ac:dyDescent="0.35">
      <c r="B6" s="92">
        <f t="shared" ref="B6:B27" si="0">B5+7</f>
        <v>45169</v>
      </c>
      <c r="C6" s="7"/>
      <c r="G6" s="130" t="s">
        <v>242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ht="29" x14ac:dyDescent="0.35">
      <c r="B19" s="92">
        <f t="shared" si="0"/>
        <v>45260</v>
      </c>
      <c r="C19" s="78" t="s">
        <v>172</v>
      </c>
    </row>
    <row r="20" spans="2:3" ht="72.5" x14ac:dyDescent="0.35">
      <c r="B20" s="92">
        <f t="shared" si="0"/>
        <v>45267</v>
      </c>
      <c r="C20" s="72" t="s">
        <v>174</v>
      </c>
    </row>
    <row r="21" spans="2:3" x14ac:dyDescent="0.35">
      <c r="B21" s="92">
        <f t="shared" si="0"/>
        <v>45274</v>
      </c>
      <c r="C21" s="78"/>
    </row>
    <row r="22" spans="2:3" x14ac:dyDescent="0.35">
      <c r="B22" s="128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9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  <vt:lpstr>23_24_Semesterprogramm_Math</vt:lpstr>
      <vt:lpstr>23_24_Semesterprogramm_M162</vt:lpstr>
      <vt:lpstr>23_24_Semesterprogramm_M231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2023-07-26T09:09:49Z</cp:lastPrinted>
  <dcterms:created xsi:type="dcterms:W3CDTF">2019-08-07T07:33:56Z</dcterms:created>
  <dcterms:modified xsi:type="dcterms:W3CDTF">2023-07-26T09:18:58Z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