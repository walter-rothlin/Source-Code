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88C3DF98-7B77-4AC6-B065-0DCB0107C4F1}" xr6:coauthVersionLast="47" xr6:coauthVersionMax="47" xr10:uidLastSave="{00000000-0000-0000-0000-000000000000}"/>
  <bookViews>
    <workbookView xWindow="-120" yWindow="-18120" windowWidth="29040" windowHeight="18240" tabRatio="705" firstSheet="13" activeTab="16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231" sheetId="11" r:id="rId10"/>
    <sheet name="22_23_Semesterprogramm_Mathe" sheetId="12" r:id="rId11"/>
    <sheet name="22_23_Semesterprogramm_M242" sheetId="13" r:id="rId12"/>
    <sheet name="23_24_Semesterprogramm_M162" sheetId="10" r:id="rId13"/>
    <sheet name="23_24_Semesterprogramm_M231" sheetId="17" r:id="rId14"/>
    <sheet name="23_24_Semesterprogramm_Math" sheetId="16" r:id="rId15"/>
    <sheet name="23_24_Semesterprogramm_M164" sheetId="15" r:id="rId16"/>
    <sheet name="23_24_Semesterprogramm_M319" sheetId="14" r:id="rId17"/>
  </sheets>
  <functionGroups builtInGroupCount="19"/>
  <externalReferences>
    <externalReference r:id="rId18"/>
    <externalReference r:id="rId19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2">[1]Sektoren!#REF!</definedName>
    <definedName name="aa" localSheetId="15">[1]Sektoren!#REF!</definedName>
    <definedName name="aa" localSheetId="13">[1]Sektoren!#REF!</definedName>
    <definedName name="aa" localSheetId="16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2">[1]Sektoren!#REF!</definedName>
    <definedName name="aaaa" localSheetId="15">[1]Sektoren!#REF!</definedName>
    <definedName name="aaaa" localSheetId="13">[1]Sektoren!#REF!</definedName>
    <definedName name="aaaa" localSheetId="16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2">[2]Kreisbogen!#REF!</definedName>
    <definedName name="aassssss" localSheetId="15">[2]Kreisbogen!#REF!</definedName>
    <definedName name="aassssss" localSheetId="13">[2]Kreisbogen!#REF!</definedName>
    <definedName name="aassssss" localSheetId="16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2">#REF!</definedName>
    <definedName name="days" localSheetId="15">#REF!</definedName>
    <definedName name="days" localSheetId="13">#REF!</definedName>
    <definedName name="days" localSheetId="16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2">#REF!</definedName>
    <definedName name="eeeeeeeee" localSheetId="15">#REF!</definedName>
    <definedName name="eeeeeeeee" localSheetId="13">#REF!</definedName>
    <definedName name="eeeeeeeee" localSheetId="16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2">[2]Kreisbogen!#REF!</definedName>
    <definedName name="qqq" localSheetId="15">[2]Kreisbogen!#REF!</definedName>
    <definedName name="qqq" localSheetId="13">[2]Kreisbogen!#REF!</definedName>
    <definedName name="qqq" localSheetId="16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2">#REF!</definedName>
    <definedName name="rates" localSheetId="15">#REF!</definedName>
    <definedName name="rates" localSheetId="13">#REF!</definedName>
    <definedName name="rates" localSheetId="16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2">#REF!</definedName>
    <definedName name="rrrr" localSheetId="15">#REF!</definedName>
    <definedName name="rrrr" localSheetId="13">#REF!</definedName>
    <definedName name="rrrr" localSheetId="16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2">#REF!</definedName>
    <definedName name="ssss" localSheetId="15">#REF!</definedName>
    <definedName name="ssss" localSheetId="13">#REF!</definedName>
    <definedName name="ssss" localSheetId="16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2">#REF!</definedName>
    <definedName name="tocFctGraph" localSheetId="15">#REF!</definedName>
    <definedName name="tocFctGraph" localSheetId="13">#REF!</definedName>
    <definedName name="tocFctGraph" localSheetId="16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2">#REF!</definedName>
    <definedName name="tocLinearFct" localSheetId="15">#REF!</definedName>
    <definedName name="tocLinearFct" localSheetId="13">#REF!</definedName>
    <definedName name="tocLinearFct" localSheetId="16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2">#REF!</definedName>
    <definedName name="tocNormberechnung" localSheetId="15">#REF!</definedName>
    <definedName name="tocNormberechnung" localSheetId="13">#REF!</definedName>
    <definedName name="tocNormberechnung" localSheetId="16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2">#REF!</definedName>
    <definedName name="tocRGBCalc" localSheetId="15">#REF!</definedName>
    <definedName name="tocRGBCalc" localSheetId="13">#REF!</definedName>
    <definedName name="tocRGBCalc" localSheetId="16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2">#REF!</definedName>
    <definedName name="ttttttt" localSheetId="15">#REF!</definedName>
    <definedName name="ttttttt" localSheetId="13">#REF!</definedName>
    <definedName name="ttttttt" localSheetId="16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2">#REF!</definedName>
    <definedName name="uu" localSheetId="15">#REF!</definedName>
    <definedName name="uu" localSheetId="13">#REF!</definedName>
    <definedName name="uu" localSheetId="16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2">#REF!</definedName>
    <definedName name="uuuuuuuu" localSheetId="15">#REF!</definedName>
    <definedName name="uuuuuuuu" localSheetId="13">#REF!</definedName>
    <definedName name="uuuuuuuu" localSheetId="16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2">[1]Sektoren!#REF!</definedName>
    <definedName name="x" localSheetId="15">[1]Sektoren!#REF!</definedName>
    <definedName name="x" localSheetId="13">[1]Sektoren!#REF!</definedName>
    <definedName name="x" localSheetId="16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2">#REF!</definedName>
    <definedName name="xxxxx" localSheetId="15">#REF!</definedName>
    <definedName name="xxxxx" localSheetId="13">#REF!</definedName>
    <definedName name="xxxxx" localSheetId="16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2">[1]Sektoren!#REF!</definedName>
    <definedName name="xxxxxxxx" localSheetId="15">[1]Sektoren!#REF!</definedName>
    <definedName name="xxxxxxxx" localSheetId="13">[1]Sektoren!#REF!</definedName>
    <definedName name="xxxxxxxx" localSheetId="16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2">#REF!</definedName>
    <definedName name="xxxxxxxxx" localSheetId="15">#REF!</definedName>
    <definedName name="xxxxxxxxx" localSheetId="13">#REF!</definedName>
    <definedName name="xxxxxxxxx" localSheetId="16">#REF!</definedName>
    <definedName name="xxxxxxxxx" localSheetId="14">#REF!</definedName>
    <definedName name="xxxxxxxxx">#REF!</definedName>
    <definedName name="yyy" localSheetId="10">#REF!</definedName>
    <definedName name="yyy" localSheetId="15">#REF!</definedName>
    <definedName name="yyy" localSheetId="16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2">#REF!</definedName>
    <definedName name="zzzzzzzzzzz" localSheetId="15">#REF!</definedName>
    <definedName name="zzzzzzzzzzz" localSheetId="13">#REF!</definedName>
    <definedName name="zzzzzzzzzzz" localSheetId="16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4" l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I5" i="17"/>
  <c r="H6" i="17"/>
  <c r="H5" i="17"/>
  <c r="B6" i="17"/>
  <c r="B7" i="17" s="1"/>
  <c r="B8" i="17" s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31" i="16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31" i="12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6" i="12" l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2" i="9"/>
  <c r="B15" i="8"/>
  <c r="B26" i="9"/>
  <c r="B14" i="8"/>
  <c r="B18" i="9"/>
  <c r="B19" i="8"/>
  <c r="B4" i="9"/>
  <c r="B20" i="9"/>
  <c r="B8" i="8"/>
  <c r="B20" i="8"/>
  <c r="B12" i="8"/>
  <c r="B24" i="9"/>
  <c r="B16" i="9"/>
  <c r="B5" i="9"/>
  <c r="B17" i="8"/>
  <c r="B9" i="8"/>
  <c r="B13" i="8"/>
  <c r="B10" i="9"/>
  <c r="B16" i="8"/>
  <c r="B26" i="8"/>
  <c r="B7" i="9"/>
  <c r="B27" i="8"/>
  <c r="B22" i="9"/>
  <c r="B25" i="8"/>
  <c r="B6" i="9"/>
  <c r="B21" i="9"/>
  <c r="B19" i="9"/>
  <c r="B18" i="8"/>
  <c r="B9" i="9"/>
  <c r="B5" i="8"/>
  <c r="B25" i="9"/>
  <c r="B21" i="8"/>
  <c r="B13" i="9"/>
  <c r="B24" i="8"/>
  <c r="B17" i="9"/>
  <c r="B15" i="9"/>
  <c r="B22" i="8"/>
  <c r="B27" i="9"/>
  <c r="B6" i="8"/>
  <c r="B14" i="9"/>
  <c r="B23" i="8"/>
  <c r="B7" i="8"/>
  <c r="B23" i="9"/>
  <c r="B10" i="8"/>
  <c r="B11" i="8"/>
  <c r="B4" i="8"/>
  <c r="B11" i="9"/>
  <c r="B8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7" i="2"/>
  <c r="B9" i="2"/>
  <c r="B27" i="3"/>
  <c r="B10" i="3"/>
  <c r="B16" i="2"/>
  <c r="B14" i="2"/>
  <c r="B10" i="2"/>
  <c r="B24" i="3"/>
  <c r="B27" i="2"/>
  <c r="B22" i="2"/>
  <c r="B20" i="2"/>
  <c r="B6" i="3"/>
  <c r="B12" i="2"/>
  <c r="B18" i="2"/>
  <c r="B18" i="3"/>
  <c r="B15" i="2"/>
  <c r="B9" i="3"/>
  <c r="B20" i="3"/>
  <c r="B24" i="2"/>
  <c r="B8" i="3"/>
  <c r="B14" i="3"/>
  <c r="B5" i="2"/>
  <c r="B13" i="2"/>
  <c r="B4" i="3"/>
  <c r="B11" i="3"/>
  <c r="B4" i="2"/>
  <c r="B26" i="2"/>
  <c r="B17" i="3"/>
  <c r="B7" i="3"/>
  <c r="B13" i="3"/>
  <c r="B22" i="3"/>
  <c r="B5" i="3"/>
  <c r="B11" i="2"/>
  <c r="B25" i="2"/>
  <c r="B12" i="3"/>
  <c r="B8" i="2"/>
  <c r="B16" i="3"/>
  <c r="B19" i="2"/>
  <c r="B23" i="2"/>
  <c r="B21" i="3"/>
  <c r="B15" i="3"/>
  <c r="B19" i="3"/>
  <c r="B6" i="2"/>
  <c r="B26" i="3"/>
  <c r="B25" i="3"/>
  <c r="B23" i="3"/>
  <c r="B17" i="2"/>
  <c r="B21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<sst xmlns="http://schemas.openxmlformats.org/spreadsheetml/2006/main" count="653" uniqueCount="242">
  <si>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</si>
  <si>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</si>
  <si>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</si>
  <si>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</si>
  <si>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</si>
  <si>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</si>
  <si>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</si>
  <si>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</si>
  <si>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</si>
  <si>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</si>
  <si>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</si>
  <si>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</si>
  <si>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</si>
  <si>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</si>
  <si>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</si>
  <si>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</si>
  <si>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</si>
  <si>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</si>
  <si>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</si>
  <si>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</si>
  <si>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</si>
  <si>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</si>
  <si>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</si>
  <si>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</si>
  <si>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</si>
  <si>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</si>
  <si>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</si>
  <si>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</si>
  <si>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</si>
  <si>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</si>
  <si>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</si>
  <si>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</si>
  <si>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</si>
  <si>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</si>
  <si>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</si>
  <si>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</si>
  <si>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</si>
  <si>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</si>
  <si>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</si>
  <si>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</si>
  <si>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</si>
  <si>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</si>
  <si>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</si>
  <si>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</si>
  <si>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</si>
  <si>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</si>
  <si>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</si>
  <si>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</si>
  <si>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</si>
  <si>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</si>
  <si>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</si>
  <si>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</si>
  <si>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</si>
  <si>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</si>
  <si>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</si>
  <si>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</si>
  <si>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</si>
  <si>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</si>
  <si>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</si>
  <si>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</si>
  <si>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</si>
  <si>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</si>
  <si>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</si>
  <si>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</si>
  <si>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</si>
  <si>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</si>
  <si>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</si>
  <si>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</si>
  <si>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</si>
  <si>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</si>
  <si>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</si>
  <si>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</si>
  <si>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</si>
  <si>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</si>
  <si>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</si>
  <si>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</si>
  <si>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</si>
  <si>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</si>
  <si>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</si>
  <si>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</si>
  <si>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</si>
  <si>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</si>
  <si>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</si>
  <si>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</si>
  <si>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</si>
  <si>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</si>
  <si>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</si>
  <si>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</si>
  <si>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</si>
  <si>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</si>
  <si>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</si>
  <si>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</si>
  <si>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</si>
  <si>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</si>
  <si>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</si>
  <si>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</si>
  <si>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</si>
  <si>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</si>
  <si>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</si>
  <si>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</si>
  <si>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</si>
  <si>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</si>
  <si>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</si>
  <si>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</si>
  <si>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</si>
  <si>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</si>
  <si>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</si>
  <si>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</si>
  <si>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</si>
  <si>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</si>
  <si>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</si>
  <si>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</si>
  <si>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</si>
  <si>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</si>
  <si>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</si>
  <si>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</si>
  <si>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</si>
  <si>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</si>
  <si>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</si>
  <si>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</si>
  <si>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</si>
  <si>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</si>
  <si>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</si>
  <si>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</si>
  <si>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</si>
  <si>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</si>
  <si>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</si>
  <si>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</si>
  <si>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</si>
  <si>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</si>
  <si>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</si>
  <si>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</si>
  <si>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</si>
  <si>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</si>
  <si>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</si>
  <si>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</si>
  <si>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</si>
  <si>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</si>
  <si>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</si>
  <si>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</si>
  <si>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</si>
  <si>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</si>
  <si>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</si>
  <si>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</si>
  <si>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</si>
  <si>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</si>
  <si>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</si>
  <si>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</si>
  <si>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</si>
  <si>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</si>
  <si>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</si>
  <si>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</si>
  <si>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</si>
  <si>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</si>
  <si>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</si>
  <si>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</si>
  <si>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</si>
  <si>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</si>
  <si>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</si>
  <si>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</si>
  <si>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</si>
  <si>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</si>
  <si>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</si>
  <si>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</si>
  <si>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</si>
  <si>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</si>
  <si>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</si>
  <si>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</si>
  <si>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</si>
  <si>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</si>
  <si>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</si>
  <si>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</si>
  <si>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</si>
  <si>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</si>
  <si>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</si>
  <si>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</si>
  <si>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</si>
  <si>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</si>
  <si>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</si>
  <si>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</si>
  <si>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</si>
  <si>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</si>
  <si>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</si>
  <si>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</si>
  <si>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</si>
  <si>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</si>
  <si>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</si>
  <si>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</si>
  <si>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</si>
  <si>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</si>
  <si>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</si>
  <si>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</si>
  <si>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</si>
  <si>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</si>
  <si>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</si>
  <si>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</si>
  <si>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</si>
  <si>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</si>
  <si>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Procedures/Functions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</si>
  <si>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</si>
  <si>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</si>
  <si>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</si>
  <si>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</si>
  <si>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</si>
  <si>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</si>
  <si>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</si>
  <si>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</si>
  <si>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</si>
  <si>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</si>
  <si>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</si>
  <si>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</si>
  <si>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</si>
  <si>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</si>
  <si>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</si>
  <si>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</si>
  <si>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</si>
  <si>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M162 Daten analysieren und modellieren</t>
  </si>
  <si>
    <t>Mathe</t>
  </si>
  <si>
    <t>M231 Datenschutz und Datensicherheit</t>
  </si>
  <si>
    <t>M242 Mikroprozessoranwendungen realisieren</t>
  </si>
  <si>
    <t>Python: functions / Parameterübergabe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</si>
  <si>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</si>
  <si>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</si>
  <si>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</si>
  <si>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</si>
  <si>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</si>
  <si>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</si>
  <si>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Proportionen / Dreisatz / Lineare Funktionen</t>
  </si>
  <si>
    <t>Potenzen / Wurzeln / Logarithmen</t>
  </si>
  <si>
    <t>TI22BMa / Ble / VLf</t>
  </si>
  <si>
    <t>Jahr:</t>
  </si>
  <si>
    <t>Kalenderwoche:</t>
  </si>
  <si>
    <t>Datum:</t>
  </si>
  <si>
    <t>Kalenderwoche berechnen:</t>
  </si>
  <si>
    <t>Mo-So:</t>
  </si>
  <si>
    <t>Prüfung
- Kennlinien und Graphen
- Formeln umformen</t>
  </si>
  <si>
    <t xml:space="preserve">Prüfung
- Termumformungen
- Gleichungen
- Lineare Funktionen
</t>
  </si>
  <si>
    <t>Formeln umformen</t>
  </si>
  <si>
    <t>Frei: LKB</t>
  </si>
  <si>
    <t>Views und Joins</t>
  </si>
  <si>
    <t>Python: Sequenzen (Menu für Umrechner), Loops, Variablen, Funktionen</t>
  </si>
  <si>
    <t>Python: REST-Services verwenden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</si>
</sst>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1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0" borderId="28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0" xfId="0" applyBorder="1"/>
    <xf numFmtId="164" fontId="0" fillId="0" borderId="31" xfId="0" applyNumberFormat="1" applyBorder="1"/>
    <xf numFmtId="164" fontId="0" fillId="3" borderId="31" xfId="0" applyNumberFormat="1" applyFill="1" applyBorder="1"/>
    <xf numFmtId="164" fontId="0" fillId="0" borderId="31" xfId="0" applyNumberFormat="1" applyBorder="1" applyAlignment="1">
      <alignment vertical="top"/>
    </xf>
    <xf numFmtId="164" fontId="0" fillId="0" borderId="32" xfId="0" applyNumberFormat="1" applyBorder="1"/>
    <xf numFmtId="0" fontId="0" fillId="3" borderId="7" xfId="0" applyFill="1" applyBorder="1"/>
    <xf numFmtId="0" fontId="10" fillId="0" borderId="3" xfId="0" applyFont="1" applyBorder="1" applyAlignment="1">
      <alignment vertical="top"/>
    </xf>
    <xf numFmtId="164" fontId="10" fillId="0" borderId="1" xfId="0" applyNumberFormat="1" applyFont="1" applyBorder="1" applyAlignment="1">
      <alignment vertical="top"/>
    </xf>
    <xf numFmtId="0" fontId="0" fillId="3" borderId="4" xfId="0" applyFill="1" applyBorder="1" applyAlignment="1">
      <alignment wrapText="1"/>
    </xf>
    <xf numFmtId="0" fontId="10" fillId="0" borderId="1" xfId="0" applyFont="1" applyBorder="1" applyAlignment="1">
      <alignment horizontal="center" vertical="top"/>
    </xf>
    <xf numFmtId="0" fontId="0" fillId="3" borderId="22" xfId="0" applyFill="1" applyBorder="1"/>
    <xf numFmtId="0" fontId="0" fillId="3" borderId="4" xfId="0" applyFill="1" applyBorder="1" applyAlignment="1">
      <alignment horizontal="center" vertical="center"/>
    </xf>
    <xf numFmtId="0" fontId="0" fillId="8" borderId="33" xfId="0" applyFill="1" applyBorder="1"/>
    <xf numFmtId="0" fontId="0" fillId="8" borderId="34" xfId="0" applyFill="1" applyBorder="1"/>
    <xf numFmtId="164" fontId="0" fillId="0" borderId="5" xfId="0" applyNumberFormat="1" applyBorder="1" applyAlignment="1">
      <alignment vertical="top"/>
    </xf>
    <xf numFmtId="0" fontId="2" fillId="0" borderId="5" xfId="0" applyFont="1" applyBorder="1"/>
    <xf numFmtId="0" fontId="2" fillId="0" borderId="5" xfId="0" applyFont="1" applyBorder="1" applyAlignment="1">
      <alignment wrapText="1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3" t="s">
        <v>218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  <c r="C10" s="65"/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x14ac:dyDescent="0.35">
      <c r="B18" s="92">
        <f t="shared" si="0"/>
        <v>44889</v>
      </c>
      <c r="C18" s="65"/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ht="29" x14ac:dyDescent="0.35">
      <c r="B21" s="92">
        <f t="shared" si="0"/>
        <v>44910</v>
      </c>
      <c r="C21" s="78" t="s">
        <v>172</v>
      </c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217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  <c r="C10" s="65"/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201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44960</v>
      </c>
      <c r="C34" s="96" t="s">
        <v>111</v>
      </c>
    </row>
    <row r="35" spans="2:3" x14ac:dyDescent="0.35">
      <c r="B35" s="92">
        <v>44967</v>
      </c>
      <c r="C35" s="75" t="s">
        <v>204</v>
      </c>
    </row>
    <row r="36" spans="2:3" x14ac:dyDescent="0.35">
      <c r="B36" s="92">
        <v>44974</v>
      </c>
      <c r="C36" s="75" t="s">
        <v>203</v>
      </c>
    </row>
    <row r="37" spans="2:3" x14ac:dyDescent="0.35">
      <c r="B37" s="94">
        <v>44981</v>
      </c>
      <c r="C37" s="52" t="s">
        <v>36</v>
      </c>
    </row>
    <row r="38" spans="2:3" x14ac:dyDescent="0.35">
      <c r="B38" s="94">
        <v>44988</v>
      </c>
      <c r="C38" s="52" t="s">
        <v>36</v>
      </c>
    </row>
    <row r="39" spans="2:3" x14ac:dyDescent="0.35">
      <c r="B39" s="92">
        <v>44995</v>
      </c>
      <c r="C39" s="7" t="s">
        <v>131</v>
      </c>
    </row>
    <row r="40" spans="2:3" ht="58" x14ac:dyDescent="0.35">
      <c r="B40" s="92">
        <v>45002</v>
      </c>
      <c r="C40" s="78" t="s">
        <v>206</v>
      </c>
    </row>
    <row r="41" spans="2:3" x14ac:dyDescent="0.35">
      <c r="B41" s="92">
        <v>45009</v>
      </c>
      <c r="C41" s="7" t="s">
        <v>202</v>
      </c>
    </row>
    <row r="42" spans="2:3" x14ac:dyDescent="0.35">
      <c r="B42" s="92">
        <v>45016</v>
      </c>
      <c r="C42" s="7"/>
    </row>
    <row r="43" spans="2:3" x14ac:dyDescent="0.35">
      <c r="B43" s="92">
        <v>45023</v>
      </c>
      <c r="C43" s="7" t="s">
        <v>205</v>
      </c>
    </row>
    <row r="44" spans="2:3" x14ac:dyDescent="0.35">
      <c r="B44" s="92">
        <v>45030</v>
      </c>
      <c r="C44" s="7"/>
    </row>
    <row r="45" spans="2:3" x14ac:dyDescent="0.35">
      <c r="B45" s="94">
        <v>45037</v>
      </c>
      <c r="C45" s="52" t="s">
        <v>36</v>
      </c>
    </row>
    <row r="46" spans="2:3" x14ac:dyDescent="0.35">
      <c r="B46" s="94">
        <v>45044</v>
      </c>
      <c r="C46" s="52" t="s">
        <v>36</v>
      </c>
    </row>
    <row r="47" spans="2:3" x14ac:dyDescent="0.35">
      <c r="B47" s="92">
        <v>45051</v>
      </c>
      <c r="C47" s="7" t="s">
        <v>212</v>
      </c>
    </row>
    <row r="48" spans="2:3" x14ac:dyDescent="0.35">
      <c r="B48" s="92">
        <v>45058</v>
      </c>
      <c r="C48" s="7"/>
    </row>
    <row r="49" spans="2:3" x14ac:dyDescent="0.35">
      <c r="B49" s="94">
        <v>45065</v>
      </c>
      <c r="C49" s="52" t="s">
        <v>32</v>
      </c>
    </row>
    <row r="50" spans="2:3" ht="43" customHeight="1" x14ac:dyDescent="0.35">
      <c r="B50" s="92">
        <v>45072</v>
      </c>
      <c r="C50" s="78" t="s">
        <v>213</v>
      </c>
    </row>
    <row r="51" spans="2:3" x14ac:dyDescent="0.35">
      <c r="B51" s="92">
        <v>45079</v>
      </c>
      <c r="C51" s="7" t="s">
        <v>212</v>
      </c>
    </row>
    <row r="52" spans="2:3" x14ac:dyDescent="0.35">
      <c r="B52" s="92">
        <v>45086</v>
      </c>
      <c r="C52" s="7"/>
    </row>
    <row r="53" spans="2:3" x14ac:dyDescent="0.35">
      <c r="B53" s="92">
        <v>45093</v>
      </c>
      <c r="C53" s="7"/>
    </row>
    <row r="54" spans="2:3" x14ac:dyDescent="0.35">
      <c r="B54" s="92">
        <v>45100</v>
      </c>
      <c r="C54" s="65"/>
    </row>
    <row r="55" spans="2:3" ht="58" x14ac:dyDescent="0.35">
      <c r="B55" s="92">
        <v>45107</v>
      </c>
      <c r="C55" s="78" t="s">
        <v>214</v>
      </c>
    </row>
    <row r="56" spans="2:3" x14ac:dyDescent="0.35">
      <c r="B56" s="92">
        <v>45114</v>
      </c>
      <c r="C56" s="7" t="s">
        <v>152</v>
      </c>
    </row>
    <row r="57" spans="2:3" ht="15" thickBot="1" x14ac:dyDescent="0.4">
      <c r="B57" s="93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3" t="s">
        <v>219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25" t="s">
        <v>36</v>
      </c>
    </row>
    <row r="13" spans="2:4" x14ac:dyDescent="0.35">
      <c r="B13" s="83">
        <f t="shared" si="0"/>
        <v>44851</v>
      </c>
      <c r="C13" s="125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0" t="s">
        <v>36</v>
      </c>
    </row>
    <row r="24" spans="2:3" x14ac:dyDescent="0.35">
      <c r="B24" s="83">
        <f t="shared" si="0"/>
        <v>44928</v>
      </c>
      <c r="C24" s="100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C28"/>
  <sheetViews>
    <sheetView showGridLines="0" topLeftCell="A5" zoomScale="85" zoomScaleNormal="85" workbookViewId="0">
      <selection activeCell="C19" sqref="C19"/>
    </sheetView>
  </sheetViews>
  <sheetFormatPr baseColWidth="10" defaultRowHeight="14.5" x14ac:dyDescent="0.35"/>
  <cols>
    <col min="2" max="2" width="15.08984375" customWidth="1"/>
    <col min="3" max="3" width="53.1796875" customWidth="1"/>
  </cols>
  <sheetData>
    <row r="2" spans="2:3" ht="18.5" x14ac:dyDescent="0.45">
      <c r="B2" s="103" t="s">
        <v>216</v>
      </c>
      <c r="C2" s="103"/>
    </row>
    <row r="3" spans="2:3" ht="15" thickBot="1" x14ac:dyDescent="0.4"/>
    <row r="4" spans="2:3" ht="15" thickBot="1" x14ac:dyDescent="0.4">
      <c r="B4" s="28" t="s">
        <v>229</v>
      </c>
      <c r="C4" s="19" t="s">
        <v>46</v>
      </c>
    </row>
    <row r="5" spans="2:3" ht="116" x14ac:dyDescent="0.35">
      <c r="B5" s="104">
        <v>45162</v>
      </c>
      <c r="C5" s="101" t="s">
        <v>157</v>
      </c>
    </row>
    <row r="6" spans="2:3" ht="72.5" x14ac:dyDescent="0.35">
      <c r="B6" s="105">
        <f t="shared" ref="B6:B27" si="0">B5+7</f>
        <v>45169</v>
      </c>
      <c r="C6" s="74" t="s">
        <v>158</v>
      </c>
    </row>
    <row r="7" spans="2:3" ht="72.5" x14ac:dyDescent="0.35">
      <c r="B7" s="105">
        <f t="shared" si="0"/>
        <v>45176</v>
      </c>
      <c r="C7" s="74" t="s">
        <v>162</v>
      </c>
    </row>
    <row r="8" spans="2:3" x14ac:dyDescent="0.35">
      <c r="B8" s="105">
        <f t="shared" si="0"/>
        <v>45183</v>
      </c>
      <c r="C8" s="75" t="s">
        <v>165</v>
      </c>
    </row>
    <row r="9" spans="2:3" ht="72.5" x14ac:dyDescent="0.35">
      <c r="B9" s="105">
        <f t="shared" si="0"/>
        <v>45190</v>
      </c>
      <c r="C9" s="74" t="s">
        <v>163</v>
      </c>
    </row>
    <row r="10" spans="2:3" ht="43.5" x14ac:dyDescent="0.35">
      <c r="B10" s="105">
        <f t="shared" si="0"/>
        <v>45197</v>
      </c>
      <c r="C10" s="74" t="s">
        <v>159</v>
      </c>
    </row>
    <row r="11" spans="2:3" ht="43.5" x14ac:dyDescent="0.35">
      <c r="B11" s="105">
        <f t="shared" si="0"/>
        <v>45204</v>
      </c>
      <c r="C11" s="77" t="s">
        <v>168</v>
      </c>
    </row>
    <row r="12" spans="2:3" x14ac:dyDescent="0.35">
      <c r="B12" s="106">
        <f t="shared" si="0"/>
        <v>45211</v>
      </c>
      <c r="C12" s="79" t="s">
        <v>36</v>
      </c>
    </row>
    <row r="13" spans="2:3" x14ac:dyDescent="0.35">
      <c r="B13" s="106">
        <f t="shared" si="0"/>
        <v>45218</v>
      </c>
      <c r="C13" s="79" t="s">
        <v>36</v>
      </c>
    </row>
    <row r="14" spans="2:3" ht="29" x14ac:dyDescent="0.35">
      <c r="B14" s="105">
        <f t="shared" si="0"/>
        <v>45225</v>
      </c>
      <c r="C14" s="72" t="s">
        <v>160</v>
      </c>
    </row>
    <row r="15" spans="2:3" ht="43.5" x14ac:dyDescent="0.35">
      <c r="B15" s="105">
        <f t="shared" si="0"/>
        <v>45232</v>
      </c>
      <c r="C15" s="74" t="s">
        <v>190</v>
      </c>
    </row>
    <row r="16" spans="2:3" x14ac:dyDescent="0.35">
      <c r="B16" s="105">
        <f t="shared" si="0"/>
        <v>45239</v>
      </c>
      <c r="C16" s="75"/>
    </row>
    <row r="17" spans="2:3" ht="72.5" x14ac:dyDescent="0.35">
      <c r="B17" s="105">
        <f t="shared" si="0"/>
        <v>45246</v>
      </c>
      <c r="C17" s="74" t="s">
        <v>189</v>
      </c>
    </row>
    <row r="18" spans="2:3" x14ac:dyDescent="0.35">
      <c r="B18" s="105">
        <f t="shared" si="0"/>
        <v>45253</v>
      </c>
      <c r="C18" s="7"/>
    </row>
    <row r="19" spans="2:3" x14ac:dyDescent="0.35">
      <c r="B19" s="106">
        <f t="shared" si="0"/>
        <v>45260</v>
      </c>
      <c r="C19" s="52" t="s">
        <v>238</v>
      </c>
    </row>
    <row r="20" spans="2:3" ht="43.5" x14ac:dyDescent="0.35">
      <c r="B20" s="105">
        <f t="shared" si="0"/>
        <v>45267</v>
      </c>
      <c r="C20" s="74" t="s">
        <v>161</v>
      </c>
    </row>
    <row r="21" spans="2:3" ht="43.5" x14ac:dyDescent="0.35">
      <c r="B21" s="105">
        <f t="shared" si="0"/>
        <v>45274</v>
      </c>
      <c r="C21" s="77" t="s">
        <v>169</v>
      </c>
    </row>
    <row r="22" spans="2:3" x14ac:dyDescent="0.35">
      <c r="B22" s="105">
        <f t="shared" si="0"/>
        <v>45281</v>
      </c>
      <c r="C22" s="75" t="s">
        <v>164</v>
      </c>
    </row>
    <row r="23" spans="2:3" x14ac:dyDescent="0.35">
      <c r="B23" s="106">
        <f t="shared" si="0"/>
        <v>45288</v>
      </c>
      <c r="C23" s="79" t="s">
        <v>36</v>
      </c>
    </row>
    <row r="24" spans="2:3" x14ac:dyDescent="0.35">
      <c r="B24" s="106">
        <f t="shared" si="0"/>
        <v>45295</v>
      </c>
      <c r="C24" s="79" t="s">
        <v>36</v>
      </c>
    </row>
    <row r="25" spans="2:3" ht="43.5" x14ac:dyDescent="0.35">
      <c r="B25" s="105">
        <f t="shared" si="0"/>
        <v>45302</v>
      </c>
      <c r="C25" s="77" t="s">
        <v>170</v>
      </c>
    </row>
    <row r="26" spans="2:3" x14ac:dyDescent="0.35">
      <c r="B26" s="105">
        <f t="shared" si="0"/>
        <v>45309</v>
      </c>
      <c r="C26" s="7"/>
    </row>
    <row r="27" spans="2:3" x14ac:dyDescent="0.35">
      <c r="B27" s="105">
        <f t="shared" si="0"/>
        <v>45316</v>
      </c>
      <c r="C27" s="75" t="s">
        <v>93</v>
      </c>
    </row>
    <row r="28" spans="2:3" ht="15" thickBot="1" x14ac:dyDescent="0.4">
      <c r="B28" s="107"/>
      <c r="C28" s="76"/>
    </row>
  </sheetData>
  <pageMargins left="0.7" right="0.7" top="0.78740157499999996" bottom="0.78740157499999996" header="0.3" footer="0.3"/>
  <pageSetup paperSize="9" scale="77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B37-1EC0-4E63-B0E5-E26E2C79C81E}">
  <sheetPr codeName="Tabelle16">
    <tabColor rgb="FF92D050"/>
    <pageSetUpPr fitToPage="1"/>
  </sheetPr>
  <dimension ref="B1:I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  <col min="7" max="7" width="16.36328125" customWidth="1"/>
    <col min="8" max="8" width="19.7265625" customWidth="1"/>
    <col min="9" max="9" width="16" customWidth="1"/>
  </cols>
  <sheetData>
    <row r="1" spans="2:9" ht="15" thickBot="1" x14ac:dyDescent="0.4"/>
    <row r="2" spans="2:9" ht="19" thickBot="1" x14ac:dyDescent="0.5">
      <c r="B2" s="103" t="s">
        <v>218</v>
      </c>
      <c r="C2" s="81"/>
      <c r="G2" s="126" t="s">
        <v>233</v>
      </c>
      <c r="H2" s="127"/>
    </row>
    <row r="3" spans="2:9" ht="15" thickBot="1" x14ac:dyDescent="0.4">
      <c r="G3" s="48" t="s">
        <v>230</v>
      </c>
      <c r="H3" s="119">
        <v>2023</v>
      </c>
    </row>
    <row r="4" spans="2:9" ht="15" thickBot="1" x14ac:dyDescent="0.4">
      <c r="B4" s="20" t="s">
        <v>48</v>
      </c>
      <c r="C4" s="19" t="s">
        <v>46</v>
      </c>
      <c r="G4" s="37" t="s">
        <v>231</v>
      </c>
      <c r="H4" s="52">
        <v>5</v>
      </c>
    </row>
    <row r="5" spans="2:9" ht="87.5" thickBot="1" x14ac:dyDescent="0.4">
      <c r="B5" s="91">
        <v>45162</v>
      </c>
      <c r="C5" s="73" t="s">
        <v>156</v>
      </c>
      <c r="G5" s="120" t="s">
        <v>232</v>
      </c>
      <c r="H5" s="121">
        <f>("4.1."&amp;H3)+H4*7-7-MOD("2.1."&amp;H3,7)</f>
        <v>44956</v>
      </c>
      <c r="I5" s="123">
        <f>WEEKNUM(H5)</f>
        <v>5</v>
      </c>
    </row>
    <row r="6" spans="2:9" x14ac:dyDescent="0.35">
      <c r="B6" s="92">
        <f t="shared" ref="B6:B27" si="0">B5+7</f>
        <v>45169</v>
      </c>
      <c r="C6" s="7"/>
      <c r="G6" t="s">
        <v>234</v>
      </c>
      <c r="H6" t="str">
        <f>TEXT(DATE(H$3,1,7*H$4-3-WEEKDAY(DATE(H$3,,),3)),"TT.MM.JJJJ")&amp;" - "&amp;TEXT(DATE(H$3,1,7*H$4+3-WEEKDAY(DATE(H$3,,),3)),"TT.MM.JJJJ")</f>
        <v>30.01.2023 - 05.02.2023</v>
      </c>
    </row>
    <row r="7" spans="2:9" x14ac:dyDescent="0.35">
      <c r="B7" s="92">
        <f t="shared" si="0"/>
        <v>45176</v>
      </c>
      <c r="C7" s="7"/>
    </row>
    <row r="8" spans="2:9" ht="101.5" x14ac:dyDescent="0.35">
      <c r="B8" s="92">
        <f t="shared" si="0"/>
        <v>45183</v>
      </c>
      <c r="C8" s="72" t="s">
        <v>175</v>
      </c>
    </row>
    <row r="9" spans="2:9" x14ac:dyDescent="0.35">
      <c r="B9" s="92">
        <f t="shared" si="0"/>
        <v>45190</v>
      </c>
      <c r="C9" s="7"/>
    </row>
    <row r="10" spans="2:9" x14ac:dyDescent="0.35">
      <c r="B10" s="92">
        <f t="shared" si="0"/>
        <v>45197</v>
      </c>
      <c r="C10" s="65"/>
    </row>
    <row r="11" spans="2:9" ht="58" x14ac:dyDescent="0.35">
      <c r="B11" s="92">
        <f t="shared" si="0"/>
        <v>45204</v>
      </c>
      <c r="C11" s="78" t="s">
        <v>171</v>
      </c>
    </row>
    <row r="12" spans="2:9" x14ac:dyDescent="0.35">
      <c r="B12" s="94">
        <f t="shared" si="0"/>
        <v>45211</v>
      </c>
      <c r="C12" s="79" t="s">
        <v>36</v>
      </c>
    </row>
    <row r="13" spans="2:9" x14ac:dyDescent="0.35">
      <c r="B13" s="94">
        <f t="shared" si="0"/>
        <v>45218</v>
      </c>
      <c r="C13" s="79" t="s">
        <v>36</v>
      </c>
    </row>
    <row r="14" spans="2:9" ht="72.5" x14ac:dyDescent="0.35">
      <c r="B14" s="92">
        <f t="shared" si="0"/>
        <v>45225</v>
      </c>
      <c r="C14" s="72" t="s">
        <v>155</v>
      </c>
    </row>
    <row r="15" spans="2:9" x14ac:dyDescent="0.35">
      <c r="B15" s="92">
        <f t="shared" si="0"/>
        <v>45232</v>
      </c>
      <c r="C15" s="7"/>
    </row>
    <row r="16" spans="2:9" x14ac:dyDescent="0.35">
      <c r="B16" s="92">
        <f t="shared" si="0"/>
        <v>45239</v>
      </c>
      <c r="C16" s="7"/>
    </row>
    <row r="17" spans="2:3" ht="72.5" x14ac:dyDescent="0.35">
      <c r="B17" s="92">
        <f t="shared" si="0"/>
        <v>45246</v>
      </c>
      <c r="C17" s="72" t="s">
        <v>154</v>
      </c>
    </row>
    <row r="18" spans="2:3" x14ac:dyDescent="0.35">
      <c r="B18" s="92">
        <f t="shared" si="0"/>
        <v>45253</v>
      </c>
      <c r="C18" s="65"/>
    </row>
    <row r="19" spans="2:3" x14ac:dyDescent="0.35">
      <c r="B19" s="94">
        <f t="shared" si="0"/>
        <v>45260</v>
      </c>
      <c r="C19" s="52" t="s">
        <v>238</v>
      </c>
    </row>
    <row r="20" spans="2:3" ht="29" x14ac:dyDescent="0.35">
      <c r="B20" s="92">
        <f t="shared" si="0"/>
        <v>45267</v>
      </c>
      <c r="C20" s="78" t="s">
        <v>172</v>
      </c>
    </row>
    <row r="21" spans="2:3" ht="72.5" x14ac:dyDescent="0.35">
      <c r="B21" s="92">
        <f t="shared" si="0"/>
        <v>45274</v>
      </c>
      <c r="C21" s="72" t="s">
        <v>174</v>
      </c>
    </row>
    <row r="22" spans="2:3" x14ac:dyDescent="0.35">
      <c r="B22" s="92">
        <f t="shared" si="0"/>
        <v>45281</v>
      </c>
      <c r="C22" s="72"/>
    </row>
    <row r="23" spans="2:3" x14ac:dyDescent="0.35">
      <c r="B23" s="94">
        <f t="shared" si="0"/>
        <v>45288</v>
      </c>
      <c r="C23" s="79" t="s">
        <v>36</v>
      </c>
    </row>
    <row r="24" spans="2:3" x14ac:dyDescent="0.35">
      <c r="B24" s="94">
        <f t="shared" si="0"/>
        <v>45295</v>
      </c>
      <c r="C24" s="122" t="s">
        <v>36</v>
      </c>
    </row>
    <row r="25" spans="2:3" ht="43.5" x14ac:dyDescent="0.35">
      <c r="B25" s="92">
        <f t="shared" si="0"/>
        <v>45302</v>
      </c>
      <c r="C25" s="78" t="s">
        <v>173</v>
      </c>
    </row>
    <row r="26" spans="2:3" x14ac:dyDescent="0.35">
      <c r="B26" s="92">
        <f t="shared" si="0"/>
        <v>45309</v>
      </c>
      <c r="C26" s="78"/>
    </row>
    <row r="27" spans="2:3" x14ac:dyDescent="0.35">
      <c r="B27" s="92">
        <f t="shared" si="0"/>
        <v>45316</v>
      </c>
      <c r="C27" s="7" t="s">
        <v>153</v>
      </c>
    </row>
    <row r="28" spans="2:3" ht="15" thickBot="1" x14ac:dyDescent="0.4">
      <c r="B28" s="93"/>
      <c r="C28" s="3"/>
    </row>
  </sheetData>
  <mergeCells count="1">
    <mergeCell ref="G2:H2"/>
  </mergeCells>
  <pageMargins left="0.7" right="0.7" top="0.78740157499999996" bottom="0.78740157499999996" header="0.3" footer="0.3"/>
  <pageSetup paperSize="9" scale="52" orientation="portrait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tabColor rgb="FF92D050"/>
    <pageSetUpPr fitToPage="1"/>
  </sheetPr>
  <dimension ref="B2:C57"/>
  <sheetViews>
    <sheetView showGridLines="0" topLeftCell="A11" zoomScaleNormal="100" workbookViewId="0">
      <selection activeCell="F41" sqref="F41"/>
    </sheetView>
  </sheetViews>
  <sheetFormatPr baseColWidth="10" defaultRowHeight="14.5" x14ac:dyDescent="0.35"/>
  <cols>
    <col min="2" max="2" width="12.7265625" customWidth="1"/>
    <col min="3" max="3" width="77.81640625" customWidth="1"/>
    <col min="6" max="6" width="15.1796875" customWidth="1"/>
    <col min="7" max="7" width="61.54296875" customWidth="1"/>
  </cols>
  <sheetData>
    <row r="2" spans="2:3" ht="18.5" x14ac:dyDescent="0.45">
      <c r="B2" s="103" t="s">
        <v>217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222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223</v>
      </c>
    </row>
    <row r="10" spans="2:3" x14ac:dyDescent="0.35">
      <c r="B10" s="92">
        <f t="shared" si="0"/>
        <v>45198</v>
      </c>
      <c r="C10" s="7"/>
    </row>
    <row r="11" spans="2:3" ht="87" x14ac:dyDescent="0.35">
      <c r="B11" s="92">
        <f t="shared" si="0"/>
        <v>45205</v>
      </c>
      <c r="C11" s="77" t="s">
        <v>226</v>
      </c>
    </row>
    <row r="12" spans="2:3" x14ac:dyDescent="0.35">
      <c r="B12" s="94">
        <f t="shared" si="0"/>
        <v>45212</v>
      </c>
      <c r="C12" s="79" t="s">
        <v>36</v>
      </c>
    </row>
    <row r="13" spans="2:3" x14ac:dyDescent="0.35">
      <c r="B13" s="94">
        <f t="shared" si="0"/>
        <v>45219</v>
      </c>
      <c r="C13" s="79" t="s">
        <v>36</v>
      </c>
    </row>
    <row r="14" spans="2:3" x14ac:dyDescent="0.35">
      <c r="B14" s="92">
        <f t="shared" si="0"/>
        <v>45226</v>
      </c>
      <c r="C14" s="75" t="s">
        <v>224</v>
      </c>
    </row>
    <row r="15" spans="2:3" x14ac:dyDescent="0.35">
      <c r="B15" s="92">
        <f t="shared" si="0"/>
        <v>45233</v>
      </c>
      <c r="C15" s="7"/>
    </row>
    <row r="16" spans="2:3" x14ac:dyDescent="0.35">
      <c r="B16" s="92">
        <f t="shared" si="0"/>
        <v>45240</v>
      </c>
      <c r="C16" s="75"/>
    </row>
    <row r="17" spans="2:3" x14ac:dyDescent="0.35">
      <c r="B17" s="92">
        <f t="shared" si="0"/>
        <v>45247</v>
      </c>
      <c r="C17" s="75" t="s">
        <v>227</v>
      </c>
    </row>
    <row r="18" spans="2:3" x14ac:dyDescent="0.35">
      <c r="B18" s="92">
        <f t="shared" si="0"/>
        <v>45254</v>
      </c>
      <c r="C18" s="7"/>
    </row>
    <row r="19" spans="2:3" x14ac:dyDescent="0.35">
      <c r="B19" s="92">
        <f t="shared" si="0"/>
        <v>45261</v>
      </c>
      <c r="C19" s="75" t="s">
        <v>237</v>
      </c>
    </row>
    <row r="20" spans="2:3" ht="43.5" x14ac:dyDescent="0.35">
      <c r="B20" s="92">
        <f t="shared" si="0"/>
        <v>45268</v>
      </c>
      <c r="C20" s="77" t="s">
        <v>235</v>
      </c>
    </row>
    <row r="21" spans="2:3" x14ac:dyDescent="0.35">
      <c r="B21" s="92">
        <f t="shared" si="0"/>
        <v>45275</v>
      </c>
      <c r="C21" s="75" t="s">
        <v>121</v>
      </c>
    </row>
    <row r="22" spans="2:3" x14ac:dyDescent="0.35">
      <c r="B22" s="92">
        <f t="shared" si="0"/>
        <v>45282</v>
      </c>
      <c r="C22" s="7"/>
    </row>
    <row r="23" spans="2:3" x14ac:dyDescent="0.35">
      <c r="B23" s="94">
        <f t="shared" si="0"/>
        <v>45289</v>
      </c>
      <c r="C23" s="79" t="s">
        <v>36</v>
      </c>
    </row>
    <row r="24" spans="2:3" x14ac:dyDescent="0.35">
      <c r="B24" s="94">
        <f t="shared" si="0"/>
        <v>45296</v>
      </c>
      <c r="C24" s="79" t="s">
        <v>36</v>
      </c>
    </row>
    <row r="25" spans="2:3" ht="72.5" x14ac:dyDescent="0.35">
      <c r="B25" s="92">
        <f t="shared" si="0"/>
        <v>45303</v>
      </c>
      <c r="C25" s="77" t="s">
        <v>236</v>
      </c>
    </row>
    <row r="26" spans="2:3" x14ac:dyDescent="0.35">
      <c r="B26" s="92">
        <f t="shared" si="0"/>
        <v>45310</v>
      </c>
      <c r="C26" s="77"/>
    </row>
    <row r="27" spans="2:3" x14ac:dyDescent="0.35">
      <c r="B27" s="92">
        <f t="shared" si="0"/>
        <v>45317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2">
        <f>B27+7</f>
        <v>45324</v>
      </c>
      <c r="C34" s="96" t="s">
        <v>111</v>
      </c>
    </row>
    <row r="35" spans="2:3" x14ac:dyDescent="0.35">
      <c r="B35" s="92">
        <f>B34+7</f>
        <v>45331</v>
      </c>
      <c r="C35" s="75" t="s">
        <v>221</v>
      </c>
    </row>
    <row r="36" spans="2:3" x14ac:dyDescent="0.35">
      <c r="B36" s="92">
        <f t="shared" ref="B36:B57" si="1">B35+7</f>
        <v>45338</v>
      </c>
      <c r="C36" s="7" t="s">
        <v>135</v>
      </c>
    </row>
    <row r="37" spans="2:3" x14ac:dyDescent="0.35">
      <c r="B37" s="94">
        <f t="shared" si="1"/>
        <v>45345</v>
      </c>
      <c r="C37" s="52" t="s">
        <v>36</v>
      </c>
    </row>
    <row r="38" spans="2:3" x14ac:dyDescent="0.35">
      <c r="B38" s="94">
        <f t="shared" si="1"/>
        <v>45352</v>
      </c>
      <c r="C38" s="52" t="s">
        <v>36</v>
      </c>
    </row>
    <row r="39" spans="2:3" x14ac:dyDescent="0.35">
      <c r="B39" s="92">
        <f t="shared" si="1"/>
        <v>45359</v>
      </c>
      <c r="C39" s="7" t="s">
        <v>131</v>
      </c>
    </row>
    <row r="40" spans="2:3" ht="58" x14ac:dyDescent="0.35">
      <c r="B40" s="92">
        <f t="shared" si="1"/>
        <v>45366</v>
      </c>
      <c r="C40" s="78" t="s">
        <v>206</v>
      </c>
    </row>
    <row r="41" spans="2:3" x14ac:dyDescent="0.35">
      <c r="B41" s="92">
        <f t="shared" si="1"/>
        <v>45373</v>
      </c>
      <c r="C41" s="7" t="s">
        <v>202</v>
      </c>
    </row>
    <row r="42" spans="2:3" x14ac:dyDescent="0.35">
      <c r="B42" s="94">
        <f t="shared" si="1"/>
        <v>45380</v>
      </c>
      <c r="C42" s="124" t="s">
        <v>127</v>
      </c>
    </row>
    <row r="43" spans="2:3" x14ac:dyDescent="0.35">
      <c r="B43" s="92">
        <f t="shared" si="1"/>
        <v>45387</v>
      </c>
      <c r="C43" s="7" t="s">
        <v>205</v>
      </c>
    </row>
    <row r="44" spans="2:3" x14ac:dyDescent="0.35">
      <c r="B44" s="92">
        <f t="shared" si="1"/>
        <v>45394</v>
      </c>
      <c r="C44" s="7" t="s">
        <v>225</v>
      </c>
    </row>
    <row r="45" spans="2:3" x14ac:dyDescent="0.35">
      <c r="B45" s="92">
        <f t="shared" si="1"/>
        <v>45401</v>
      </c>
      <c r="C45" s="75" t="s">
        <v>134</v>
      </c>
    </row>
    <row r="46" spans="2:3" x14ac:dyDescent="0.35">
      <c r="B46" s="94">
        <f t="shared" si="1"/>
        <v>45408</v>
      </c>
      <c r="C46" s="52" t="s">
        <v>36</v>
      </c>
    </row>
    <row r="47" spans="2:3" x14ac:dyDescent="0.35">
      <c r="B47" s="94">
        <f t="shared" si="1"/>
        <v>45415</v>
      </c>
      <c r="C47" s="52" t="s">
        <v>36</v>
      </c>
    </row>
    <row r="48" spans="2:3" x14ac:dyDescent="0.35">
      <c r="B48" s="94">
        <f t="shared" si="1"/>
        <v>45422</v>
      </c>
      <c r="C48" s="110" t="s">
        <v>73</v>
      </c>
    </row>
    <row r="49" spans="2:3" x14ac:dyDescent="0.35">
      <c r="B49" s="92">
        <f t="shared" si="1"/>
        <v>45429</v>
      </c>
      <c r="C49" s="65"/>
    </row>
    <row r="50" spans="2:3" ht="43" customHeight="1" x14ac:dyDescent="0.35">
      <c r="B50" s="92">
        <f t="shared" si="1"/>
        <v>45436</v>
      </c>
      <c r="C50" s="78" t="s">
        <v>213</v>
      </c>
    </row>
    <row r="51" spans="2:3" x14ac:dyDescent="0.35">
      <c r="B51" s="92">
        <f t="shared" si="1"/>
        <v>45443</v>
      </c>
      <c r="C51" s="7" t="s">
        <v>228</v>
      </c>
    </row>
    <row r="52" spans="2:3" x14ac:dyDescent="0.35">
      <c r="B52" s="92">
        <f t="shared" si="1"/>
        <v>45450</v>
      </c>
      <c r="C52" s="7"/>
    </row>
    <row r="53" spans="2:3" x14ac:dyDescent="0.35">
      <c r="B53" s="92">
        <f t="shared" si="1"/>
        <v>45457</v>
      </c>
      <c r="C53" s="7"/>
    </row>
    <row r="54" spans="2:3" x14ac:dyDescent="0.35">
      <c r="B54" s="92">
        <f t="shared" si="1"/>
        <v>45464</v>
      </c>
      <c r="C54" s="65"/>
    </row>
    <row r="55" spans="2:3" ht="58" x14ac:dyDescent="0.35">
      <c r="B55" s="92">
        <f t="shared" si="1"/>
        <v>45471</v>
      </c>
      <c r="C55" s="78" t="s">
        <v>214</v>
      </c>
    </row>
    <row r="56" spans="2:3" x14ac:dyDescent="0.35">
      <c r="B56" s="92">
        <f t="shared" si="1"/>
        <v>45478</v>
      </c>
      <c r="C56" s="7" t="s">
        <v>152</v>
      </c>
    </row>
    <row r="57" spans="2:3" ht="15" thickBot="1" x14ac:dyDescent="0.4">
      <c r="B57" s="93">
        <f t="shared" si="1"/>
        <v>45485</v>
      </c>
      <c r="C57" s="3"/>
    </row>
  </sheetData>
  <pageMargins left="0.7" right="0.7" top="0.78740157499999996" bottom="0.78740157499999996" header="0.3" footer="0.3"/>
  <pageSetup paperSize="9" scale="6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rgb="FF92D050"/>
    <pageSetUpPr fitToPage="1"/>
  </sheetPr>
  <dimension ref="B1:F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3.7265625" customWidth="1"/>
    <col min="3" max="3" width="72.81640625" customWidth="1"/>
  </cols>
  <sheetData>
    <row r="1" spans="2:6" ht="35.25" customHeight="1" x14ac:dyDescent="0.6">
      <c r="B1" s="95" t="s">
        <v>192</v>
      </c>
    </row>
    <row r="2" spans="2:6" ht="15" thickBot="1" x14ac:dyDescent="0.4"/>
    <row r="3" spans="2:6" ht="15" thickBot="1" x14ac:dyDescent="0.4">
      <c r="B3" s="108" t="s">
        <v>48</v>
      </c>
      <c r="C3" s="19" t="s">
        <v>46</v>
      </c>
    </row>
    <row r="4" spans="2:6" x14ac:dyDescent="0.35">
      <c r="B4" s="61">
        <v>45323</v>
      </c>
      <c r="C4" s="109" t="s">
        <v>61</v>
      </c>
    </row>
    <row r="5" spans="2:6" x14ac:dyDescent="0.35">
      <c r="B5" s="63">
        <f t="shared" ref="B5:B6" si="0">B4+7</f>
        <v>45330</v>
      </c>
      <c r="C5" s="110" t="s">
        <v>197</v>
      </c>
    </row>
    <row r="6" spans="2:6" x14ac:dyDescent="0.35">
      <c r="B6" s="62">
        <f t="shared" si="0"/>
        <v>45337</v>
      </c>
      <c r="C6" s="111"/>
    </row>
    <row r="7" spans="2:6" x14ac:dyDescent="0.35">
      <c r="B7" s="116">
        <f t="shared" ref="B7:B27" si="1">B6+7</f>
        <v>45344</v>
      </c>
      <c r="C7" s="110" t="s">
        <v>36</v>
      </c>
    </row>
    <row r="8" spans="2:6" x14ac:dyDescent="0.35">
      <c r="B8" s="116">
        <f t="shared" si="1"/>
        <v>45351</v>
      </c>
      <c r="C8" s="110" t="s">
        <v>36</v>
      </c>
    </row>
    <row r="9" spans="2:6" x14ac:dyDescent="0.35">
      <c r="B9" s="115">
        <f t="shared" si="1"/>
        <v>45358</v>
      </c>
      <c r="C9" s="112" t="s">
        <v>208</v>
      </c>
    </row>
    <row r="10" spans="2:6" x14ac:dyDescent="0.35">
      <c r="B10" s="117">
        <f t="shared" si="1"/>
        <v>45365</v>
      </c>
      <c r="C10" s="111"/>
    </row>
    <row r="11" spans="2:6" x14ac:dyDescent="0.35">
      <c r="B11" s="115">
        <f t="shared" si="1"/>
        <v>45372</v>
      </c>
      <c r="C11" s="113" t="s">
        <v>28</v>
      </c>
    </row>
    <row r="12" spans="2:6" x14ac:dyDescent="0.35">
      <c r="B12" s="115">
        <f t="shared" si="1"/>
        <v>45379</v>
      </c>
      <c r="C12" s="112" t="s">
        <v>209</v>
      </c>
    </row>
    <row r="13" spans="2:6" x14ac:dyDescent="0.35">
      <c r="B13" s="115">
        <f t="shared" si="1"/>
        <v>45386</v>
      </c>
      <c r="C13" s="111" t="s">
        <v>239</v>
      </c>
    </row>
    <row r="14" spans="2:6" x14ac:dyDescent="0.35">
      <c r="B14" s="115">
        <f t="shared" si="1"/>
        <v>45393</v>
      </c>
      <c r="C14" s="113"/>
    </row>
    <row r="15" spans="2:6" x14ac:dyDescent="0.35">
      <c r="B15" s="115">
        <f t="shared" si="1"/>
        <v>45400</v>
      </c>
      <c r="C15" s="112" t="s">
        <v>210</v>
      </c>
    </row>
    <row r="16" spans="2:6" x14ac:dyDescent="0.35">
      <c r="B16" s="116">
        <f t="shared" si="1"/>
        <v>45407</v>
      </c>
      <c r="C16" s="110" t="s">
        <v>36</v>
      </c>
      <c r="F16" s="97"/>
    </row>
    <row r="17" spans="2:6" x14ac:dyDescent="0.35">
      <c r="B17" s="116">
        <f t="shared" si="1"/>
        <v>45414</v>
      </c>
      <c r="C17" s="110" t="s">
        <v>36</v>
      </c>
      <c r="F17" s="98"/>
    </row>
    <row r="18" spans="2:6" x14ac:dyDescent="0.35">
      <c r="B18" s="116">
        <f t="shared" si="1"/>
        <v>45421</v>
      </c>
      <c r="C18" s="110" t="s">
        <v>73</v>
      </c>
      <c r="F18" s="98"/>
    </row>
    <row r="19" spans="2:6" x14ac:dyDescent="0.35">
      <c r="B19" s="117">
        <f t="shared" si="1"/>
        <v>45428</v>
      </c>
      <c r="C19" s="113" t="s">
        <v>28</v>
      </c>
      <c r="F19" s="99"/>
    </row>
    <row r="20" spans="2:6" x14ac:dyDescent="0.35">
      <c r="B20" s="115">
        <f t="shared" si="1"/>
        <v>45435</v>
      </c>
      <c r="C20" s="111"/>
      <c r="F20" s="99"/>
    </row>
    <row r="21" spans="2:6" x14ac:dyDescent="0.35">
      <c r="B21" s="115">
        <f t="shared" si="1"/>
        <v>45442</v>
      </c>
      <c r="C21" s="112" t="s">
        <v>211</v>
      </c>
    </row>
    <row r="22" spans="2:6" x14ac:dyDescent="0.35">
      <c r="B22" s="115">
        <f t="shared" si="1"/>
        <v>45449</v>
      </c>
      <c r="C22" s="111"/>
    </row>
    <row r="23" spans="2:6" x14ac:dyDescent="0.35">
      <c r="B23" s="115">
        <f t="shared" si="1"/>
        <v>45456</v>
      </c>
      <c r="C23" s="111"/>
    </row>
    <row r="24" spans="2:6" x14ac:dyDescent="0.35">
      <c r="B24" s="115">
        <f t="shared" si="1"/>
        <v>45463</v>
      </c>
      <c r="C24" s="112" t="s">
        <v>207</v>
      </c>
    </row>
    <row r="25" spans="2:6" x14ac:dyDescent="0.35">
      <c r="B25" s="117">
        <f t="shared" si="1"/>
        <v>45470</v>
      </c>
      <c r="C25" s="113" t="s">
        <v>215</v>
      </c>
    </row>
    <row r="26" spans="2:6" x14ac:dyDescent="0.35">
      <c r="B26" s="115">
        <f t="shared" si="1"/>
        <v>45477</v>
      </c>
      <c r="C26" s="65"/>
    </row>
    <row r="27" spans="2:6" ht="15" thickBot="1" x14ac:dyDescent="0.4">
      <c r="B27" s="118">
        <f t="shared" si="1"/>
        <v>45484</v>
      </c>
      <c r="C27" s="114"/>
    </row>
  </sheetData>
  <pageMargins left="0.7" right="0.7" top="0.78740157499999996" bottom="0.78740157499999996" header="0.3" footer="0.3"/>
  <pageSetup paperSize="9" scale="8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tabColor rgb="FF92D050"/>
    <pageSetUpPr fitToPage="1"/>
  </sheetPr>
  <dimension ref="B1:C27"/>
  <sheetViews>
    <sheetView showGridLines="0" tabSelected="1" zoomScaleNormal="100" workbookViewId="0">
      <selection activeCell="B1" sqref="B1:C2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5" t="s">
        <v>191</v>
      </c>
    </row>
    <row r="2" spans="2:3" ht="15" thickBot="1" x14ac:dyDescent="0.4"/>
    <row r="3" spans="2:3" x14ac:dyDescent="0.35">
      <c r="B3" s="108" t="s">
        <v>48</v>
      </c>
      <c r="C3" s="19" t="s">
        <v>46</v>
      </c>
    </row>
    <row r="4" spans="2:3" x14ac:dyDescent="0.35">
      <c r="B4" s="32">
        <v>45323</v>
      </c>
      <c r="C4" s="8" t="s">
        <v>199</v>
      </c>
    </row>
    <row r="5" spans="2:3" x14ac:dyDescent="0.35">
      <c r="B5" s="30">
        <f t="shared" ref="B5:B27" si="0">B4+7</f>
        <v>45330</v>
      </c>
      <c r="C5" s="13" t="s">
        <v>197</v>
      </c>
    </row>
    <row r="6" spans="2:3" x14ac:dyDescent="0.35">
      <c r="B6" s="32">
        <f t="shared" si="0"/>
        <v>45337</v>
      </c>
      <c r="C6" s="8" t="s">
        <v>240</v>
      </c>
    </row>
    <row r="7" spans="2:3" x14ac:dyDescent="0.35">
      <c r="B7" s="30">
        <f t="shared" si="0"/>
        <v>45344</v>
      </c>
      <c r="C7" s="13" t="s">
        <v>36</v>
      </c>
    </row>
    <row r="8" spans="2:3" x14ac:dyDescent="0.35">
      <c r="B8" s="30">
        <f t="shared" si="0"/>
        <v>45351</v>
      </c>
      <c r="C8" s="13" t="s">
        <v>36</v>
      </c>
    </row>
    <row r="9" spans="2:3" x14ac:dyDescent="0.35">
      <c r="B9" s="32">
        <f t="shared" si="0"/>
        <v>45358</v>
      </c>
      <c r="C9" s="8" t="s">
        <v>193</v>
      </c>
    </row>
    <row r="10" spans="2:3" x14ac:dyDescent="0.35">
      <c r="B10" s="128">
        <f t="shared" si="0"/>
        <v>45365</v>
      </c>
      <c r="C10" s="8" t="s">
        <v>200</v>
      </c>
    </row>
    <row r="11" spans="2:3" x14ac:dyDescent="0.35">
      <c r="B11" s="32">
        <f t="shared" si="0"/>
        <v>45372</v>
      </c>
      <c r="C11" s="129" t="s">
        <v>28</v>
      </c>
    </row>
    <row r="12" spans="2:3" x14ac:dyDescent="0.35">
      <c r="B12" s="32">
        <f t="shared" si="0"/>
        <v>45379</v>
      </c>
      <c r="C12" s="8" t="s">
        <v>106</v>
      </c>
    </row>
    <row r="13" spans="2:3" x14ac:dyDescent="0.35">
      <c r="B13" s="32">
        <f t="shared" si="0"/>
        <v>45386</v>
      </c>
      <c r="C13" s="8" t="s">
        <v>102</v>
      </c>
    </row>
    <row r="14" spans="2:3" x14ac:dyDescent="0.35">
      <c r="B14" s="32">
        <f t="shared" si="0"/>
        <v>45393</v>
      </c>
      <c r="C14" s="8" t="s">
        <v>220</v>
      </c>
    </row>
    <row r="15" spans="2:3" x14ac:dyDescent="0.35">
      <c r="B15" s="32">
        <f t="shared" si="0"/>
        <v>45400</v>
      </c>
      <c r="C15" s="129" t="s">
        <v>28</v>
      </c>
    </row>
    <row r="16" spans="2:3" x14ac:dyDescent="0.35">
      <c r="B16" s="30">
        <f t="shared" si="0"/>
        <v>45407</v>
      </c>
      <c r="C16" s="13" t="s">
        <v>36</v>
      </c>
    </row>
    <row r="17" spans="2:3" x14ac:dyDescent="0.35">
      <c r="B17" s="30">
        <f t="shared" si="0"/>
        <v>45414</v>
      </c>
      <c r="C17" s="13" t="s">
        <v>36</v>
      </c>
    </row>
    <row r="18" spans="2:3" x14ac:dyDescent="0.35">
      <c r="B18" s="30">
        <f t="shared" si="0"/>
        <v>45421</v>
      </c>
      <c r="C18" s="13" t="s">
        <v>73</v>
      </c>
    </row>
    <row r="19" spans="2:3" x14ac:dyDescent="0.35">
      <c r="B19" s="128">
        <f t="shared" si="0"/>
        <v>45428</v>
      </c>
      <c r="C19" s="8" t="s">
        <v>194</v>
      </c>
    </row>
    <row r="20" spans="2:3" x14ac:dyDescent="0.35">
      <c r="B20" s="32">
        <f t="shared" si="0"/>
        <v>45435</v>
      </c>
      <c r="C20" s="8" t="s">
        <v>195</v>
      </c>
    </row>
    <row r="21" spans="2:3" x14ac:dyDescent="0.35">
      <c r="B21" s="32">
        <f t="shared" si="0"/>
        <v>45442</v>
      </c>
      <c r="C21" s="8" t="s">
        <v>196</v>
      </c>
    </row>
    <row r="22" spans="2:3" x14ac:dyDescent="0.35">
      <c r="B22" s="32">
        <f t="shared" si="0"/>
        <v>45449</v>
      </c>
      <c r="C22" s="8"/>
    </row>
    <row r="23" spans="2:3" x14ac:dyDescent="0.35">
      <c r="B23" s="32">
        <f t="shared" si="0"/>
        <v>45456</v>
      </c>
      <c r="C23" s="8" t="s">
        <v>95</v>
      </c>
    </row>
    <row r="24" spans="2:3" x14ac:dyDescent="0.35">
      <c r="B24" s="32">
        <f t="shared" si="0"/>
        <v>45463</v>
      </c>
      <c r="C24" s="8" t="s">
        <v>198</v>
      </c>
    </row>
    <row r="25" spans="2:3" x14ac:dyDescent="0.35">
      <c r="B25" s="128">
        <f t="shared" si="0"/>
        <v>45470</v>
      </c>
      <c r="C25" s="130" t="s">
        <v>28</v>
      </c>
    </row>
    <row r="26" spans="2:3" x14ac:dyDescent="0.35">
      <c r="B26" s="32">
        <f t="shared" si="0"/>
        <v>45477</v>
      </c>
      <c r="C26" s="8" t="s">
        <v>107</v>
      </c>
    </row>
    <row r="27" spans="2:3" x14ac:dyDescent="0.35">
      <c r="B27" s="32">
        <f t="shared" si="0"/>
        <v>45484</v>
      </c>
      <c r="C27" s="8" t="s">
        <v>241</v>
      </c>
    </row>
  </sheetData>
  <pageMargins left="0.7" right="0.7" top="0.78740157499999996" bottom="0.78740157499999996" header="0.3" footer="0.3"/>
  <pageSetup paperSize="9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22_23_Semesterprogramm_M231</vt:lpstr>
      <vt:lpstr>22_23_Semesterprogramm_Mathe</vt:lpstr>
      <vt:lpstr>22_23_Semesterprogramm_M242</vt:lpstr>
      <vt:lpstr>23_24_Semesterprogramm_M162</vt:lpstr>
      <vt:lpstr>23_24_Semesterprogramm_M231</vt:lpstr>
      <vt:lpstr>23_24_Semesterprogramm_Math</vt:lpstr>
      <vt:lpstr>23_24_Semesterprogramm_M164</vt:lpstr>
      <vt:lpstr>23_24_Semesterprogramm_M319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2024-03-12T12:59:51Z</cp:lastPrinted>
  <dcterms:created xsi:type="dcterms:W3CDTF">2019-08-07T07:33:56Z</dcterms:created>
  <dcterms:modified xsi:type="dcterms:W3CDTF">2024-03-12T12:59:57Z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