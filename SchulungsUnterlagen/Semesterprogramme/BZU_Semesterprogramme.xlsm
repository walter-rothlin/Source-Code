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D3D31B3F-7B73-4AF2-82D5-3FEFC044E374}" xr6:coauthVersionLast="47" xr6:coauthVersionMax="47" xr10:uidLastSave="{00000000-0000-0000-0000-000000000000}"/>
  <bookViews>
    <workbookView xWindow="-120" yWindow="-18120" windowWidth="29040" windowHeight="18240" tabRatio="705" firstSheet="13" activeTab="14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162" sheetId="10" r:id="rId13"/>
    <sheet name="23_24_Semesterprogramm_M231" sheetId="17" r:id="rId14"/>
    <sheet name="23_24_Semesterprogramm_Math" sheetId="16" r:id="rId15"/>
    <sheet name="23_24_Semesterprogramm_M164" sheetId="15" r:id="rId16"/>
    <sheet name="23_24_Semesterprogramm_M319" sheetId="14" r:id="rId17"/>
  </sheets>
  <functionGroups builtInGroupCount="19"/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2">[1]Sektoren!#REF!</definedName>
    <definedName name="aa" localSheetId="15">[1]Sektoren!#REF!</definedName>
    <definedName name="aa" localSheetId="13">[1]Sektoren!#REF!</definedName>
    <definedName name="aa" localSheetId="16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2">[1]Sektoren!#REF!</definedName>
    <definedName name="aaaa" localSheetId="15">[1]Sektoren!#REF!</definedName>
    <definedName name="aaaa" localSheetId="13">[1]Sektoren!#REF!</definedName>
    <definedName name="aaaa" localSheetId="16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2">[2]Kreisbogen!#REF!</definedName>
    <definedName name="aassssss" localSheetId="15">[2]Kreisbogen!#REF!</definedName>
    <definedName name="aassssss" localSheetId="13">[2]Kreisbogen!#REF!</definedName>
    <definedName name="aassssss" localSheetId="16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2">#REF!</definedName>
    <definedName name="days" localSheetId="15">#REF!</definedName>
    <definedName name="days" localSheetId="13">#REF!</definedName>
    <definedName name="days" localSheetId="16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2">#REF!</definedName>
    <definedName name="eeeeeeeee" localSheetId="15">#REF!</definedName>
    <definedName name="eeeeeeeee" localSheetId="13">#REF!</definedName>
    <definedName name="eeeeeeeee" localSheetId="16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2">[2]Kreisbogen!#REF!</definedName>
    <definedName name="qqq" localSheetId="15">[2]Kreisbogen!#REF!</definedName>
    <definedName name="qqq" localSheetId="13">[2]Kreisbogen!#REF!</definedName>
    <definedName name="qqq" localSheetId="16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2">#REF!</definedName>
    <definedName name="rates" localSheetId="15">#REF!</definedName>
    <definedName name="rates" localSheetId="13">#REF!</definedName>
    <definedName name="rates" localSheetId="16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2">#REF!</definedName>
    <definedName name="rrrr" localSheetId="15">#REF!</definedName>
    <definedName name="rrrr" localSheetId="13">#REF!</definedName>
    <definedName name="rrrr" localSheetId="16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2">#REF!</definedName>
    <definedName name="ssss" localSheetId="15">#REF!</definedName>
    <definedName name="ssss" localSheetId="13">#REF!</definedName>
    <definedName name="ssss" localSheetId="16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2">#REF!</definedName>
    <definedName name="tocFctGraph" localSheetId="15">#REF!</definedName>
    <definedName name="tocFctGraph" localSheetId="13">#REF!</definedName>
    <definedName name="tocFctGraph" localSheetId="16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2">#REF!</definedName>
    <definedName name="tocLinearFct" localSheetId="15">#REF!</definedName>
    <definedName name="tocLinearFct" localSheetId="13">#REF!</definedName>
    <definedName name="tocLinearFct" localSheetId="16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2">#REF!</definedName>
    <definedName name="tocNormberechnung" localSheetId="15">#REF!</definedName>
    <definedName name="tocNormberechnung" localSheetId="13">#REF!</definedName>
    <definedName name="tocNormberechnung" localSheetId="16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2">#REF!</definedName>
    <definedName name="tocRGBCalc" localSheetId="15">#REF!</definedName>
    <definedName name="tocRGBCalc" localSheetId="13">#REF!</definedName>
    <definedName name="tocRGBCalc" localSheetId="16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2">#REF!</definedName>
    <definedName name="ttttttt" localSheetId="15">#REF!</definedName>
    <definedName name="ttttttt" localSheetId="13">#REF!</definedName>
    <definedName name="ttttttt" localSheetId="16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2">#REF!</definedName>
    <definedName name="uu" localSheetId="15">#REF!</definedName>
    <definedName name="uu" localSheetId="13">#REF!</definedName>
    <definedName name="uu" localSheetId="16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2">#REF!</definedName>
    <definedName name="uuuuuuuu" localSheetId="15">#REF!</definedName>
    <definedName name="uuuuuuuu" localSheetId="13">#REF!</definedName>
    <definedName name="uuuuuuuu" localSheetId="16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2">[1]Sektoren!#REF!</definedName>
    <definedName name="x" localSheetId="15">[1]Sektoren!#REF!</definedName>
    <definedName name="x" localSheetId="13">[1]Sektoren!#REF!</definedName>
    <definedName name="x" localSheetId="16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2">#REF!</definedName>
    <definedName name="xxxxx" localSheetId="15">#REF!</definedName>
    <definedName name="xxxxx" localSheetId="13">#REF!</definedName>
    <definedName name="xxxxx" localSheetId="16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2">[1]Sektoren!#REF!</definedName>
    <definedName name="xxxxxxxx" localSheetId="15">[1]Sektoren!#REF!</definedName>
    <definedName name="xxxxxxxx" localSheetId="13">[1]Sektoren!#REF!</definedName>
    <definedName name="xxxxxxxx" localSheetId="16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2">#REF!</definedName>
    <definedName name="xxxxxxxxx" localSheetId="15">#REF!</definedName>
    <definedName name="xxxxxxxxx" localSheetId="13">#REF!</definedName>
    <definedName name="xxxxxxxxx" localSheetId="16">#REF!</definedName>
    <definedName name="xxxxxxxxx" localSheetId="14">#REF!</definedName>
    <definedName name="xxxxxxxxx">#REF!</definedName>
    <definedName name="yyy" localSheetId="10">#REF!</definedName>
    <definedName name="yyy" localSheetId="15">#REF!</definedName>
    <definedName name="yyy" localSheetId="16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2">#REF!</definedName>
    <definedName name="zzzzzzzzzzz" localSheetId="15">#REF!</definedName>
    <definedName name="zzzzzzzzzzz" localSheetId="13">#REF!</definedName>
    <definedName name="zzzzzzzzzzz" localSheetId="16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5" i="17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<sst xmlns="http://schemas.openxmlformats.org/spreadsheetml/2006/main" count="654" uniqueCount="242">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</sst>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3" borderId="31" xfId="0" applyNumberFormat="1" applyFill="1" applyBorder="1"/>
    <xf numFmtId="164" fontId="0" fillId="0" borderId="31" xfId="0" applyNumberFormat="1" applyBorder="1" applyAlignment="1">
      <alignment vertical="top"/>
    </xf>
    <xf numFmtId="164" fontId="0" fillId="0" borderId="32" xfId="0" applyNumberFormat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4" xfId="0" applyFill="1" applyBorder="1" applyAlignment="1">
      <alignment horizontal="center" vertical="center"/>
    </xf>
    <xf numFmtId="0" fontId="0" fillId="8" borderId="33" xfId="0" applyFill="1" applyBorder="1"/>
    <xf numFmtId="0" fontId="0" fillId="8" borderId="34" xfId="0" applyFill="1" applyBorder="1"/>
    <xf numFmtId="164" fontId="0" fillId="0" borderId="31" xfId="0" applyNumberFormat="1" applyFill="1" applyBorder="1"/>
    <xf numFmtId="0" fontId="0" fillId="0" borderId="29" xfId="0" applyFill="1" applyBorder="1"/>
    <xf numFmtId="164" fontId="0" fillId="0" borderId="31" xfId="0" applyNumberFormat="1" applyFill="1" applyBorder="1" applyAlignment="1">
      <alignment vertical="top"/>
    </xf>
    <xf numFmtId="0" fontId="0" fillId="3" borderId="22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220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219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215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221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4" t="s">
        <v>36</v>
      </c>
    </row>
    <row r="13" spans="2:4" x14ac:dyDescent="0.35">
      <c r="B13" s="83">
        <f t="shared" si="0"/>
        <v>44851</v>
      </c>
      <c r="C13" s="124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218</v>
      </c>
      <c r="C2" s="103"/>
    </row>
    <row r="3" spans="2:3" ht="15" thickBot="1" x14ac:dyDescent="0.4"/>
    <row r="4" spans="2:3" ht="15" thickBot="1" x14ac:dyDescent="0.4">
      <c r="B4" s="28" t="s">
        <v>231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240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220</v>
      </c>
      <c r="C2" s="81"/>
      <c r="G2" s="125" t="s">
        <v>235</v>
      </c>
      <c r="H2" s="126"/>
    </row>
    <row r="3" spans="2:9" ht="15" thickBot="1" x14ac:dyDescent="0.4">
      <c r="G3" s="48" t="s">
        <v>232</v>
      </c>
      <c r="H3" s="119">
        <v>2023</v>
      </c>
    </row>
    <row r="4" spans="2:9" ht="15" thickBot="1" x14ac:dyDescent="0.4">
      <c r="B4" s="20" t="s">
        <v>48</v>
      </c>
      <c r="C4" s="19" t="s">
        <v>46</v>
      </c>
      <c r="G4" s="37" t="s">
        <v>233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0" t="s">
        <v>234</v>
      </c>
      <c r="H5" s="121">
        <f>("4.1."&amp;H3)+H4*7-7-MOD("2.1."&amp;H3,7)</f>
        <v>44956</v>
      </c>
      <c r="I5" s="123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236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240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2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abSelected="1" topLeftCell="A25" zoomScaleNormal="100" workbookViewId="0">
      <selection activeCell="F41" sqref="F41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3" t="s">
        <v>219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224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225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228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226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229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239</v>
      </c>
    </row>
    <row r="20" spans="2:3" ht="43.5" x14ac:dyDescent="0.35">
      <c r="B20" s="92">
        <f t="shared" si="0"/>
        <v>45268</v>
      </c>
      <c r="C20" s="77" t="s">
        <v>237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238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223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208</v>
      </c>
    </row>
    <row r="41" spans="2:3" x14ac:dyDescent="0.35">
      <c r="B41" s="92">
        <f t="shared" si="1"/>
        <v>45373</v>
      </c>
      <c r="C41" s="7" t="s">
        <v>204</v>
      </c>
    </row>
    <row r="42" spans="2:3" x14ac:dyDescent="0.35">
      <c r="B42" s="94">
        <f t="shared" si="1"/>
        <v>45380</v>
      </c>
      <c r="C42" s="130" t="s">
        <v>127</v>
      </c>
    </row>
    <row r="43" spans="2:3" x14ac:dyDescent="0.35">
      <c r="B43" s="92">
        <f t="shared" si="1"/>
        <v>45387</v>
      </c>
      <c r="C43" s="7" t="s">
        <v>207</v>
      </c>
    </row>
    <row r="44" spans="2:3" x14ac:dyDescent="0.35">
      <c r="B44" s="92">
        <f t="shared" si="1"/>
        <v>45394</v>
      </c>
      <c r="C44" s="7" t="s">
        <v>227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110" t="s">
        <v>73</v>
      </c>
    </row>
    <row r="49" spans="2:3" x14ac:dyDescent="0.35">
      <c r="B49" s="92">
        <f t="shared" si="1"/>
        <v>45429</v>
      </c>
      <c r="C49" s="65"/>
    </row>
    <row r="50" spans="2:3" ht="43" customHeight="1" x14ac:dyDescent="0.35">
      <c r="B50" s="92">
        <f t="shared" si="1"/>
        <v>45436</v>
      </c>
      <c r="C50" s="78" t="s">
        <v>215</v>
      </c>
    </row>
    <row r="51" spans="2:3" x14ac:dyDescent="0.35">
      <c r="B51" s="92">
        <f t="shared" si="1"/>
        <v>45443</v>
      </c>
      <c r="C51" s="7" t="s">
        <v>230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216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3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5" t="s">
        <v>192</v>
      </c>
    </row>
    <row r="2" spans="2:6" ht="15" thickBot="1" x14ac:dyDescent="0.4"/>
    <row r="3" spans="2:6" ht="15" thickBot="1" x14ac:dyDescent="0.4">
      <c r="B3" s="108" t="s">
        <v>48</v>
      </c>
      <c r="C3" s="19" t="s">
        <v>46</v>
      </c>
    </row>
    <row r="4" spans="2:6" x14ac:dyDescent="0.35">
      <c r="B4" s="61">
        <v>45323</v>
      </c>
      <c r="C4" s="109" t="s">
        <v>61</v>
      </c>
    </row>
    <row r="5" spans="2:6" x14ac:dyDescent="0.35">
      <c r="B5" s="63">
        <f t="shared" ref="B5:B6" si="0">B4+7</f>
        <v>45330</v>
      </c>
      <c r="C5" s="110" t="s">
        <v>197</v>
      </c>
    </row>
    <row r="6" spans="2:6" x14ac:dyDescent="0.35">
      <c r="B6" s="62">
        <f t="shared" si="0"/>
        <v>45337</v>
      </c>
      <c r="C6" s="111"/>
    </row>
    <row r="7" spans="2:6" x14ac:dyDescent="0.35">
      <c r="B7" s="116">
        <f t="shared" ref="B5:B27" si="1">B6+7</f>
        <v>45344</v>
      </c>
      <c r="C7" s="110" t="s">
        <v>36</v>
      </c>
    </row>
    <row r="8" spans="2:6" x14ac:dyDescent="0.35">
      <c r="B8" s="116">
        <f t="shared" si="1"/>
        <v>45351</v>
      </c>
      <c r="C8" s="110" t="s">
        <v>36</v>
      </c>
    </row>
    <row r="9" spans="2:6" x14ac:dyDescent="0.35">
      <c r="B9" s="115">
        <f t="shared" si="1"/>
        <v>45358</v>
      </c>
      <c r="C9" s="112" t="s">
        <v>210</v>
      </c>
    </row>
    <row r="10" spans="2:6" x14ac:dyDescent="0.35">
      <c r="B10" s="117">
        <f t="shared" si="1"/>
        <v>45365</v>
      </c>
      <c r="C10" s="111"/>
    </row>
    <row r="11" spans="2:6" x14ac:dyDescent="0.35">
      <c r="B11" s="115">
        <f t="shared" si="1"/>
        <v>45372</v>
      </c>
      <c r="C11" s="113" t="s">
        <v>28</v>
      </c>
    </row>
    <row r="12" spans="2:6" x14ac:dyDescent="0.35">
      <c r="B12" s="115">
        <f t="shared" si="1"/>
        <v>45379</v>
      </c>
      <c r="C12" s="112" t="s">
        <v>211</v>
      </c>
    </row>
    <row r="13" spans="2:6" x14ac:dyDescent="0.35">
      <c r="B13" s="127">
        <f t="shared" si="1"/>
        <v>45386</v>
      </c>
      <c r="C13" s="128" t="s">
        <v>241</v>
      </c>
    </row>
    <row r="14" spans="2:6" x14ac:dyDescent="0.35">
      <c r="B14" s="115">
        <f t="shared" si="1"/>
        <v>45393</v>
      </c>
      <c r="C14" s="113"/>
    </row>
    <row r="15" spans="2:6" x14ac:dyDescent="0.35">
      <c r="B15" s="115">
        <f t="shared" si="1"/>
        <v>45400</v>
      </c>
      <c r="C15" s="112" t="s">
        <v>212</v>
      </c>
    </row>
    <row r="16" spans="2:6" x14ac:dyDescent="0.35">
      <c r="B16" s="116">
        <f t="shared" si="1"/>
        <v>45407</v>
      </c>
      <c r="C16" s="110" t="s">
        <v>36</v>
      </c>
      <c r="F16" s="97"/>
    </row>
    <row r="17" spans="2:6" x14ac:dyDescent="0.35">
      <c r="B17" s="116">
        <f t="shared" si="1"/>
        <v>45414</v>
      </c>
      <c r="C17" s="110" t="s">
        <v>36</v>
      </c>
      <c r="F17" s="98"/>
    </row>
    <row r="18" spans="2:6" x14ac:dyDescent="0.35">
      <c r="B18" s="116">
        <f t="shared" si="1"/>
        <v>45421</v>
      </c>
      <c r="C18" s="110" t="s">
        <v>73</v>
      </c>
      <c r="F18" s="98"/>
    </row>
    <row r="19" spans="2:6" x14ac:dyDescent="0.35">
      <c r="B19" s="129">
        <f t="shared" si="1"/>
        <v>45428</v>
      </c>
      <c r="C19" s="113" t="s">
        <v>28</v>
      </c>
      <c r="F19" s="99"/>
    </row>
    <row r="20" spans="2:6" x14ac:dyDescent="0.35">
      <c r="B20" s="115">
        <f t="shared" si="1"/>
        <v>45435</v>
      </c>
      <c r="C20" s="111"/>
      <c r="F20" s="99"/>
    </row>
    <row r="21" spans="2:6" x14ac:dyDescent="0.35">
      <c r="B21" s="115">
        <f t="shared" si="1"/>
        <v>45442</v>
      </c>
      <c r="C21" s="112" t="s">
        <v>213</v>
      </c>
    </row>
    <row r="22" spans="2:6" x14ac:dyDescent="0.35">
      <c r="B22" s="115">
        <f t="shared" si="1"/>
        <v>45449</v>
      </c>
      <c r="C22" s="111"/>
    </row>
    <row r="23" spans="2:6" x14ac:dyDescent="0.35">
      <c r="B23" s="115">
        <f t="shared" si="1"/>
        <v>45456</v>
      </c>
      <c r="C23" s="111"/>
    </row>
    <row r="24" spans="2:6" x14ac:dyDescent="0.35">
      <c r="B24" s="115">
        <f t="shared" si="1"/>
        <v>45463</v>
      </c>
      <c r="C24" s="112" t="s">
        <v>209</v>
      </c>
    </row>
    <row r="25" spans="2:6" x14ac:dyDescent="0.35">
      <c r="B25" s="117">
        <f t="shared" si="1"/>
        <v>45470</v>
      </c>
      <c r="C25" s="113" t="s">
        <v>217</v>
      </c>
    </row>
    <row r="26" spans="2:6" x14ac:dyDescent="0.35">
      <c r="B26" s="115">
        <f t="shared" si="1"/>
        <v>45477</v>
      </c>
      <c r="C26" s="65"/>
    </row>
    <row r="27" spans="2:6" ht="15" thickBot="1" x14ac:dyDescent="0.4">
      <c r="B27" s="118">
        <f t="shared" si="1"/>
        <v>45484</v>
      </c>
      <c r="C27" s="114"/>
    </row>
  </sheetData>
  <pageMargins left="0.7" right="0.7" top="0.78740157499999996" bottom="0.78740157499999996" header="0.3" footer="0.3"/>
  <pageSetup paperSize="9" scale="8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45323</v>
      </c>
      <c r="C4" s="15" t="s">
        <v>95</v>
      </c>
    </row>
    <row r="5" spans="2:3" x14ac:dyDescent="0.35">
      <c r="B5" s="63">
        <f t="shared" ref="B5:B27" si="0">B4+7</f>
        <v>45330</v>
      </c>
      <c r="C5" s="52" t="s">
        <v>197</v>
      </c>
    </row>
    <row r="6" spans="2:3" x14ac:dyDescent="0.35">
      <c r="B6" s="62">
        <f t="shared" si="0"/>
        <v>45337</v>
      </c>
      <c r="C6" s="7" t="s">
        <v>199</v>
      </c>
    </row>
    <row r="7" spans="2:3" x14ac:dyDescent="0.35">
      <c r="B7" s="116">
        <f t="shared" si="0"/>
        <v>45344</v>
      </c>
      <c r="C7" s="52" t="s">
        <v>36</v>
      </c>
    </row>
    <row r="8" spans="2:3" x14ac:dyDescent="0.35">
      <c r="B8" s="116">
        <f t="shared" si="0"/>
        <v>45351</v>
      </c>
      <c r="C8" s="52" t="s">
        <v>36</v>
      </c>
    </row>
    <row r="9" spans="2:3" x14ac:dyDescent="0.35">
      <c r="B9" s="115">
        <f t="shared" si="0"/>
        <v>45358</v>
      </c>
      <c r="C9" s="7" t="s">
        <v>198</v>
      </c>
    </row>
    <row r="10" spans="2:3" x14ac:dyDescent="0.35">
      <c r="B10" s="117">
        <f t="shared" si="0"/>
        <v>45365</v>
      </c>
      <c r="C10" s="11" t="s">
        <v>28</v>
      </c>
    </row>
    <row r="11" spans="2:3" x14ac:dyDescent="0.35">
      <c r="B11" s="115">
        <f t="shared" si="0"/>
        <v>45372</v>
      </c>
      <c r="C11" s="7" t="s">
        <v>201</v>
      </c>
    </row>
    <row r="12" spans="2:3" x14ac:dyDescent="0.35">
      <c r="B12" s="115">
        <f t="shared" si="0"/>
        <v>45379</v>
      </c>
      <c r="C12" s="7" t="s">
        <v>200</v>
      </c>
    </row>
    <row r="13" spans="2:3" x14ac:dyDescent="0.35">
      <c r="B13" s="127">
        <f t="shared" si="0"/>
        <v>45386</v>
      </c>
      <c r="C13" s="7" t="s">
        <v>202</v>
      </c>
    </row>
    <row r="14" spans="2:3" x14ac:dyDescent="0.35">
      <c r="B14" s="115">
        <f t="shared" si="0"/>
        <v>45393</v>
      </c>
      <c r="C14" s="7" t="s">
        <v>193</v>
      </c>
    </row>
    <row r="15" spans="2:3" x14ac:dyDescent="0.35">
      <c r="B15" s="115">
        <f t="shared" si="0"/>
        <v>45400</v>
      </c>
      <c r="C15" s="11" t="s">
        <v>28</v>
      </c>
    </row>
    <row r="16" spans="2:3" x14ac:dyDescent="0.35">
      <c r="B16" s="116">
        <f t="shared" si="0"/>
        <v>45407</v>
      </c>
      <c r="C16" s="52" t="s">
        <v>36</v>
      </c>
    </row>
    <row r="17" spans="2:3" x14ac:dyDescent="0.35">
      <c r="B17" s="116">
        <f t="shared" si="0"/>
        <v>45414</v>
      </c>
      <c r="C17" s="52" t="s">
        <v>36</v>
      </c>
    </row>
    <row r="18" spans="2:3" x14ac:dyDescent="0.35">
      <c r="B18" s="116">
        <f t="shared" si="0"/>
        <v>45421</v>
      </c>
      <c r="C18" s="52" t="s">
        <v>73</v>
      </c>
    </row>
    <row r="19" spans="2:3" x14ac:dyDescent="0.35">
      <c r="B19" s="129">
        <f t="shared" si="0"/>
        <v>45428</v>
      </c>
      <c r="C19" s="7" t="s">
        <v>102</v>
      </c>
    </row>
    <row r="20" spans="2:3" x14ac:dyDescent="0.35">
      <c r="B20" s="115">
        <f t="shared" si="0"/>
        <v>45435</v>
      </c>
      <c r="C20" s="7" t="s">
        <v>222</v>
      </c>
    </row>
    <row r="21" spans="2:3" x14ac:dyDescent="0.35">
      <c r="B21" s="115">
        <f t="shared" si="0"/>
        <v>45442</v>
      </c>
      <c r="C21" s="7" t="s">
        <v>194</v>
      </c>
    </row>
    <row r="22" spans="2:3" x14ac:dyDescent="0.35">
      <c r="B22" s="115">
        <f t="shared" si="0"/>
        <v>45449</v>
      </c>
      <c r="C22" s="7" t="s">
        <v>195</v>
      </c>
    </row>
    <row r="23" spans="2:3" x14ac:dyDescent="0.35">
      <c r="B23" s="115">
        <f t="shared" si="0"/>
        <v>45456</v>
      </c>
      <c r="C23" s="7" t="s">
        <v>196</v>
      </c>
    </row>
    <row r="24" spans="2:3" x14ac:dyDescent="0.35">
      <c r="B24" s="115">
        <f t="shared" si="0"/>
        <v>45463</v>
      </c>
      <c r="C24" s="7" t="s">
        <v>106</v>
      </c>
    </row>
    <row r="25" spans="2:3" x14ac:dyDescent="0.35">
      <c r="B25" s="117">
        <f t="shared" si="0"/>
        <v>45470</v>
      </c>
      <c r="C25" s="78" t="s">
        <v>28</v>
      </c>
    </row>
    <row r="26" spans="2:3" x14ac:dyDescent="0.35">
      <c r="B26" s="115">
        <f t="shared" si="0"/>
        <v>45477</v>
      </c>
      <c r="C26" s="7" t="s">
        <v>107</v>
      </c>
    </row>
    <row r="27" spans="2:3" ht="15" thickBot="1" x14ac:dyDescent="0.4">
      <c r="B27" s="118">
        <f t="shared" si="0"/>
        <v>45484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23_24_Semesterprogramm_M162</vt:lpstr>
      <vt:lpstr>23_24_Semesterprogramm_M231</vt:lpstr>
      <vt:lpstr>23_24_Semesterprogramm_Math</vt:lpstr>
      <vt:lpstr>23_24_Semesterprogramm_M164</vt:lpstr>
      <vt:lpstr>23_24_Semesterprogramm_M319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2024-01-23T14:08:07Z</cp:lastPrinted>
  <dcterms:created xsi:type="dcterms:W3CDTF">2019-08-07T07:33:56Z</dcterms:created>
  <dcterms:modified xsi:type="dcterms:W3CDTF">2024-01-23T14:10:01Z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