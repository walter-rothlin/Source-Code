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walter.rothlin\Documents\Source-Code\SchulungsUnterlagen\Semesterprogramme\"/>
    </mc:Choice>
  </mc:AlternateContent>
  <xr:revisionPtr revIDLastSave="0" documentId="13_ncr:1_{4A38142E-51AD-4F2B-9420-8FBEA65ABDD9}" xr6:coauthVersionLast="47" xr6:coauthVersionMax="47" xr10:uidLastSave="{00000000-0000-0000-0000-000000000000}"/>
  <bookViews>
    <workbookView xWindow="-18615" yWindow="-18120" windowWidth="29040" windowHeight="18240" firstSheet="11" activeTab="13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  <sheet name="22_Semesterprogramm_M164" sheetId="15" r:id="rId14"/>
    <sheet name="22_Semesterprogramm_M319" sheetId="14" r:id="rId15"/>
  </sheets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5" l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3" l="1"/>
  <c r="B6" i="13"/>
  <c r="B7" i="13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7" i="8"/>
  <c r="B15" i="8"/>
  <c r="B21" i="8"/>
  <c r="B24" i="9"/>
  <c r="B23" i="8"/>
  <c r="B26" i="9"/>
  <c r="B11" i="8"/>
  <c r="B4" i="8"/>
  <c r="B6" i="9"/>
  <c r="B4" i="9"/>
  <c r="B8" i="8"/>
  <c r="B14" i="9"/>
  <c r="B14" i="8"/>
  <c r="B5" i="9"/>
  <c r="B23" i="9"/>
  <c r="B27" i="8"/>
  <c r="B6" i="8"/>
  <c r="B8" i="9"/>
  <c r="B19" i="8"/>
  <c r="B16" i="9"/>
  <c r="B12" i="9"/>
  <c r="B26" i="8"/>
  <c r="B9" i="9"/>
  <c r="B5" i="8"/>
  <c r="B10" i="9"/>
  <c r="B20" i="9"/>
  <c r="B18" i="9"/>
  <c r="B12" i="8"/>
  <c r="B25" i="9"/>
  <c r="B24" i="8"/>
  <c r="B16" i="8"/>
  <c r="B27" i="9"/>
  <c r="B17" i="9"/>
  <c r="B19" i="9"/>
  <c r="B18" i="8"/>
  <c r="B13" i="9"/>
  <c r="B22" i="9"/>
  <c r="B10" i="8"/>
  <c r="B25" i="8"/>
  <c r="B11" i="9"/>
  <c r="B21" i="9"/>
  <c r="B20" i="8"/>
  <c r="B22" i="8"/>
  <c r="B13" i="8"/>
  <c r="B9" i="8"/>
  <c r="B7" i="8"/>
  <c r="B15" i="9"/>
  <c r="B7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1" i="3"/>
  <c r="B12" i="3"/>
  <c r="B8" i="3"/>
  <c r="B20" i="2"/>
  <c r="B20" i="3"/>
  <c r="B9" i="2"/>
  <c r="B25" i="2"/>
  <c r="B14" i="2"/>
  <c r="B13" i="3"/>
  <c r="B24" i="2"/>
  <c r="B25" i="3"/>
  <c r="B10" i="3"/>
  <c r="B27" i="2"/>
  <c r="B19" i="3"/>
  <c r="B26" i="3"/>
  <c r="B26" i="2"/>
  <c r="B7" i="3"/>
  <c r="B10" i="2"/>
  <c r="B5" i="3"/>
  <c r="B4" i="3"/>
  <c r="B18" i="2"/>
  <c r="B23" i="3"/>
  <c r="B17" i="2"/>
  <c r="B19" i="2"/>
  <c r="B27" i="3"/>
  <c r="B18" i="3"/>
  <c r="B8" i="2"/>
  <c r="B11" i="2"/>
  <c r="B14" i="3"/>
  <c r="B22" i="2"/>
  <c r="B22" i="3"/>
  <c r="B4" i="2"/>
  <c r="B15" i="3"/>
  <c r="B16" i="3"/>
  <c r="B13" i="2"/>
  <c r="B6" i="3"/>
  <c r="B17" i="3"/>
  <c r="B9" i="3"/>
  <c r="B15" i="2"/>
  <c r="B12" i="2"/>
  <c r="B7" i="2"/>
  <c r="B23" i="2"/>
  <c r="B16" i="2"/>
  <c r="B24" i="3"/>
  <c r="B6" i="2"/>
  <c r="B21" i="2"/>
  <c r="B5" i="2"/>
  <c r="B11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<sst xmlns="http://schemas.openxmlformats.org/spreadsheetml/2006/main" count="590" uniqueCount="221">
  <si>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</si>
  <si>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</si>
  <si>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</si>
  <si>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</si>
  <si>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</si>
  <si>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</si>
  <si>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</si>
  <si>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</si>
  <si>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</si>
  <si>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</si>
  <si>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</si>
  <si>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</si>
  <si>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</si>
  <si>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</si>
  <si>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</si>
  <si>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</si>
  <si>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</si>
  <si>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</si>
  <si>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</si>
  <si>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</si>
  <si>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</si>
  <si>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</si>
  <si>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</si>
  <si>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</si>
  <si>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</si>
  <si>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</si>
  <si>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</si>
  <si>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</si>
  <si>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</si>
  <si>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</si>
  <si>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</si>
  <si>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</si>
  <si>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</si>
  <si>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</si>
  <si>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</si>
  <si>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</si>
  <si>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</si>
  <si>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</si>
  <si>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</si>
  <si>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</si>
  <si>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</si>
  <si>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</si>
  <si>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</si>
  <si>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</si>
  <si>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</si>
  <si>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</si>
  <si>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</si>
  <si>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</si>
  <si>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</si>
  <si>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</si>
  <si>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</si>
  <si>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</si>
  <si>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</si>
  <si>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</si>
  <si>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</si>
  <si>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</si>
  <si>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</si>
  <si>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</si>
  <si>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</si>
  <si>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</si>
  <si>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</si>
  <si>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</si>
  <si>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</si>
  <si>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</si>
  <si>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</si>
  <si>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</si>
  <si>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</si>
  <si>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</si>
  <si>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</si>
  <si>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</si>
  <si>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</si>
  <si>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</si>
  <si>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</si>
  <si>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</si>
  <si>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</si>
  <si>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</si>
  <si>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</si>
  <si>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</si>
  <si>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</si>
  <si>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</si>
  <si>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</si>
  <si>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</si>
  <si>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</si>
  <si>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</si>
  <si>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</si>
  <si>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</si>
  <si>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</si>
  <si>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</si>
  <si>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</si>
  <si>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</si>
  <si>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</si>
  <si>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</si>
  <si>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</si>
  <si>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</si>
  <si>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</si>
  <si>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</si>
  <si>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</si>
  <si>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</si>
  <si>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</si>
  <si>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</si>
  <si>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</si>
  <si>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</si>
  <si>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</si>
  <si>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</si>
  <si>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</si>
  <si>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</si>
  <si>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</si>
  <si>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</si>
  <si>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</si>
  <si>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</si>
  <si>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</si>
  <si>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</si>
  <si>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</si>
  <si>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</si>
  <si>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</si>
  <si>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</si>
  <si>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</si>
  <si>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</si>
  <si>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</si>
  <si>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</si>
  <si>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</si>
  <si>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</si>
  <si>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</si>
  <si>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</si>
  <si>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</si>
  <si>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</si>
  <si>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</si>
  <si>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</si>
  <si>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</si>
  <si>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</si>
  <si>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</si>
  <si>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</si>
  <si>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</si>
  <si>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</si>
  <si>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</si>
  <si>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</si>
  <si>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</si>
  <si>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</si>
  <si>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</si>
  <si>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</si>
  <si>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</si>
  <si>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</si>
  <si>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</si>
  <si>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</si>
  <si>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</si>
  <si>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</si>
  <si>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</si>
  <si>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</si>
  <si>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</si>
  <si>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</si>
  <si>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</si>
  <si>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</si>
  <si>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</si>
  <si>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</si>
  <si>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</si>
  <si>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</si>
  <si>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</si>
  <si>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</si>
  <si>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</si>
  <si>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</si>
  <si>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</si>
  <si>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</si>
  <si>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</si>
  <si>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</si>
  <si>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</si>
  <si>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</si>
  <si>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</si>
  <si>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</si>
  <si>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</si>
  <si>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</si>
  <si>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</si>
  <si>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</si>
  <si>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</si>
  <si>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</si>
  <si>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</si>
  <si>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</si>
  <si>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</si>
  <si>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</si>
  <si>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</si>
  <si>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</si>
  <si>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</si>
  <si>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</si>
  <si>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</si>
  <si>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</si>
  <si>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</si>
  <si>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</si>
  <si>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</si>
  <si>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</si>
  <si>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</si>
  <si>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</si>
  <si>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</si>
  <si>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</si>
  <si>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</si>
  <si>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Lehrerkonferenz (frei)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</si>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</sst>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9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164" fontId="0" fillId="8" borderId="6" xfId="0" applyNumberFormat="1" applyFill="1" applyBorder="1" applyAlignment="1">
      <alignment vertical="top"/>
    </xf>
    <xf numFmtId="0" fontId="0" fillId="8" borderId="0" xfId="0" applyFill="1"/>
    <xf numFmtId="0" fontId="4" fillId="0" borderId="4" xfId="0" applyFont="1" applyBorder="1" applyAlignment="1">
      <alignment wrapText="1"/>
    </xf>
    <xf numFmtId="0" fontId="6" fillId="0" borderId="0" xfId="0" applyFont="1" applyAlignment="1"/>
    <xf numFmtId="0" fontId="0" fillId="0" borderId="7" xfId="0" applyBorder="1" applyAlignment="1">
      <alignment vertical="top"/>
    </xf>
    <xf numFmtId="0" fontId="7" fillId="0" borderId="4" xfId="0" applyFont="1" applyBorder="1"/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3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3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3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3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3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3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3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3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3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35">
      <c r="B16" s="41"/>
      <c r="C16" s="8"/>
      <c r="D16" s="39"/>
      <c r="E16" s="39"/>
      <c r="F16" s="8"/>
      <c r="G16" s="8"/>
      <c r="H16" s="8"/>
      <c r="I16" s="8"/>
      <c r="J16" s="7"/>
    </row>
    <row r="17" spans="2:10" ht="15" thickBot="1" x14ac:dyDescent="0.4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3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3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3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3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3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3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3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3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3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35">
      <c r="B29" s="41"/>
      <c r="C29" s="8"/>
      <c r="D29" s="39"/>
      <c r="E29" s="39"/>
      <c r="F29" s="8"/>
      <c r="G29" s="8"/>
      <c r="H29" s="8"/>
      <c r="I29" s="8"/>
      <c r="J29" s="7"/>
    </row>
    <row r="30" spans="2:10" ht="15" thickBot="1" x14ac:dyDescent="0.4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3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3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" thickBot="1" x14ac:dyDescent="0.4">
      <c r="B35" s="42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3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3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3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3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3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3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3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3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3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3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3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3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3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3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3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3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3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3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3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3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3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3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3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3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3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3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3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3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3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3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3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3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3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3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3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3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3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3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3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3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3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3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3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3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3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3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3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3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3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3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3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3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3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3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3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3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3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3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3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3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3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3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3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3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3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3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3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3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3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3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3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3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3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3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3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3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3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3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3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3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3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3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3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3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3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3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3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3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3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3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3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3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3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3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3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3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3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3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3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3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3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3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3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3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3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3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3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3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3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3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3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3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3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3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3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3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3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3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3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3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3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3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3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3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3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3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3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3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3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3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3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3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3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3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3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3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3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3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3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3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3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3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8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32"/>
      <c r="D4" s="15" t="s">
        <v>80</v>
      </c>
    </row>
    <row r="5" spans="2:4" x14ac:dyDescent="0.35">
      <c r="B5" s="33">
        <f t="shared" ref="B5:B27" si="0">B4+7</f>
        <v>44071</v>
      </c>
      <c r="C5" s="34"/>
      <c r="D5" s="7" t="s">
        <v>81</v>
      </c>
    </row>
    <row r="6" spans="2:4" x14ac:dyDescent="0.35">
      <c r="B6" s="33">
        <f t="shared" si="0"/>
        <v>44078</v>
      </c>
      <c r="C6" s="34"/>
      <c r="D6" s="7" t="s">
        <v>82</v>
      </c>
    </row>
    <row r="7" spans="2:4" x14ac:dyDescent="0.35">
      <c r="B7" s="33">
        <f t="shared" si="0"/>
        <v>44085</v>
      </c>
      <c r="C7" s="34"/>
      <c r="D7" s="7" t="s">
        <v>83</v>
      </c>
    </row>
    <row r="8" spans="2:4" x14ac:dyDescent="0.35">
      <c r="B8" s="33">
        <f t="shared" si="0"/>
        <v>44092</v>
      </c>
      <c r="C8" s="34"/>
      <c r="D8" s="7" t="s">
        <v>84</v>
      </c>
    </row>
    <row r="9" spans="2:4" x14ac:dyDescent="0.35">
      <c r="B9" s="33">
        <f t="shared" si="0"/>
        <v>44099</v>
      </c>
      <c r="C9" s="34"/>
      <c r="D9" s="11" t="s">
        <v>28</v>
      </c>
    </row>
    <row r="10" spans="2:4" x14ac:dyDescent="0.35">
      <c r="B10" s="33">
        <f t="shared" si="0"/>
        <v>44106</v>
      </c>
      <c r="C10" s="34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3">
        <f t="shared" si="0"/>
        <v>44127</v>
      </c>
      <c r="C13" s="34"/>
      <c r="D13" s="7" t="s">
        <v>86</v>
      </c>
    </row>
    <row r="14" spans="2:4" x14ac:dyDescent="0.35">
      <c r="B14" s="33">
        <f t="shared" si="0"/>
        <v>44134</v>
      </c>
      <c r="C14" s="34"/>
      <c r="D14" s="7" t="s">
        <v>87</v>
      </c>
    </row>
    <row r="15" spans="2:4" x14ac:dyDescent="0.35">
      <c r="B15" s="33">
        <f t="shared" si="0"/>
        <v>44141</v>
      </c>
      <c r="C15" s="34"/>
      <c r="D15" s="7" t="s">
        <v>88</v>
      </c>
    </row>
    <row r="16" spans="2:4" x14ac:dyDescent="0.35">
      <c r="B16" s="33">
        <f t="shared" si="0"/>
        <v>44148</v>
      </c>
      <c r="C16" s="34"/>
      <c r="D16" s="7" t="s">
        <v>89</v>
      </c>
    </row>
    <row r="17" spans="2:4" x14ac:dyDescent="0.35">
      <c r="B17" s="33">
        <f t="shared" si="0"/>
        <v>44155</v>
      </c>
      <c r="C17" s="34"/>
      <c r="D17" s="11" t="s">
        <v>28</v>
      </c>
    </row>
    <row r="18" spans="2:4" x14ac:dyDescent="0.35">
      <c r="B18" s="33">
        <f t="shared" si="0"/>
        <v>44162</v>
      </c>
      <c r="C18" s="34"/>
      <c r="D18" s="7" t="s">
        <v>90</v>
      </c>
    </row>
    <row r="19" spans="2:4" x14ac:dyDescent="0.35">
      <c r="B19" s="33">
        <f t="shared" si="0"/>
        <v>44169</v>
      </c>
      <c r="C19" s="34"/>
      <c r="D19" s="7" t="s">
        <v>91</v>
      </c>
    </row>
    <row r="20" spans="2:4" x14ac:dyDescent="0.35">
      <c r="B20" s="33">
        <f t="shared" si="0"/>
        <v>44176</v>
      </c>
      <c r="C20" s="34"/>
      <c r="D20" s="7" t="s">
        <v>91</v>
      </c>
    </row>
    <row r="21" spans="2:4" x14ac:dyDescent="0.35">
      <c r="B21" s="33">
        <f t="shared" si="0"/>
        <v>44183</v>
      </c>
      <c r="C21" s="34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3">
        <f t="shared" si="0"/>
        <v>44204</v>
      </c>
      <c r="C24" s="34"/>
      <c r="D24" s="37" t="s">
        <v>92</v>
      </c>
    </row>
    <row r="25" spans="2:4" x14ac:dyDescent="0.35">
      <c r="B25" s="33">
        <f t="shared" si="0"/>
        <v>44211</v>
      </c>
      <c r="C25" s="34"/>
      <c r="D25" s="11" t="s">
        <v>28</v>
      </c>
    </row>
    <row r="26" spans="2:4" x14ac:dyDescent="0.35">
      <c r="B26" s="33">
        <f t="shared" si="0"/>
        <v>44218</v>
      </c>
      <c r="C26" s="34"/>
      <c r="D26" s="7" t="s">
        <v>93</v>
      </c>
    </row>
    <row r="27" spans="2:4" ht="15" thickBot="1" x14ac:dyDescent="0.4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8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32"/>
      <c r="D4" s="15" t="s">
        <v>95</v>
      </c>
    </row>
    <row r="5" spans="2:4" x14ac:dyDescent="0.35">
      <c r="B5" s="33">
        <f t="shared" ref="B5:B27" si="0">B4+7</f>
        <v>44070</v>
      </c>
      <c r="C5" s="34"/>
      <c r="D5" s="7" t="s">
        <v>96</v>
      </c>
    </row>
    <row r="6" spans="2:4" x14ac:dyDescent="0.35">
      <c r="B6" s="33">
        <f t="shared" si="0"/>
        <v>44077</v>
      </c>
      <c r="C6" s="34"/>
      <c r="D6" s="7" t="s">
        <v>97</v>
      </c>
    </row>
    <row r="7" spans="2:4" x14ac:dyDescent="0.35">
      <c r="B7" s="33">
        <f t="shared" si="0"/>
        <v>44084</v>
      </c>
      <c r="C7" s="34"/>
      <c r="D7" s="7" t="s">
        <v>97</v>
      </c>
    </row>
    <row r="8" spans="2:4" x14ac:dyDescent="0.35">
      <c r="B8" s="33">
        <f t="shared" si="0"/>
        <v>44091</v>
      </c>
      <c r="C8" s="34"/>
      <c r="D8" s="7" t="s">
        <v>97</v>
      </c>
    </row>
    <row r="9" spans="2:4" x14ac:dyDescent="0.35">
      <c r="B9" s="33">
        <f t="shared" si="0"/>
        <v>44098</v>
      </c>
      <c r="C9" s="34"/>
      <c r="D9" s="11" t="s">
        <v>28</v>
      </c>
    </row>
    <row r="10" spans="2:4" x14ac:dyDescent="0.35">
      <c r="B10" s="33">
        <f t="shared" si="0"/>
        <v>44105</v>
      </c>
      <c r="C10" s="34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3">
        <f t="shared" si="0"/>
        <v>44126</v>
      </c>
      <c r="C13" s="34"/>
      <c r="D13" s="7" t="s">
        <v>99</v>
      </c>
    </row>
    <row r="14" spans="2:4" x14ac:dyDescent="0.35">
      <c r="B14" s="33">
        <f t="shared" si="0"/>
        <v>44133</v>
      </c>
      <c r="C14" s="34"/>
      <c r="D14" s="7" t="s">
        <v>100</v>
      </c>
    </row>
    <row r="15" spans="2:4" x14ac:dyDescent="0.35">
      <c r="B15" s="33">
        <f t="shared" si="0"/>
        <v>44140</v>
      </c>
      <c r="C15" s="34"/>
      <c r="D15" s="7" t="s">
        <v>101</v>
      </c>
    </row>
    <row r="16" spans="2:4" x14ac:dyDescent="0.35">
      <c r="B16" s="33">
        <f t="shared" si="0"/>
        <v>44147</v>
      </c>
      <c r="C16" s="34"/>
      <c r="D16" s="7" t="s">
        <v>104</v>
      </c>
    </row>
    <row r="17" spans="2:4" x14ac:dyDescent="0.35">
      <c r="B17" s="33">
        <f t="shared" si="0"/>
        <v>44154</v>
      </c>
      <c r="C17" s="34"/>
      <c r="D17" s="11" t="s">
        <v>28</v>
      </c>
    </row>
    <row r="18" spans="2:4" x14ac:dyDescent="0.35">
      <c r="B18" s="33">
        <f t="shared" si="0"/>
        <v>44161</v>
      </c>
      <c r="C18" s="34"/>
      <c r="D18" s="7" t="s">
        <v>102</v>
      </c>
    </row>
    <row r="19" spans="2:4" x14ac:dyDescent="0.35">
      <c r="B19" s="33">
        <f t="shared" si="0"/>
        <v>44168</v>
      </c>
      <c r="C19" s="34"/>
      <c r="D19" s="7" t="s">
        <v>103</v>
      </c>
    </row>
    <row r="20" spans="2:4" x14ac:dyDescent="0.35">
      <c r="B20" s="33">
        <f t="shared" si="0"/>
        <v>44175</v>
      </c>
      <c r="C20" s="34"/>
      <c r="D20" s="7" t="s">
        <v>105</v>
      </c>
    </row>
    <row r="21" spans="2:4" x14ac:dyDescent="0.35">
      <c r="B21" s="33">
        <f t="shared" si="0"/>
        <v>44182</v>
      </c>
      <c r="C21" s="34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3">
        <f t="shared" si="0"/>
        <v>44203</v>
      </c>
      <c r="C24" s="34"/>
      <c r="D24" s="37" t="s">
        <v>106</v>
      </c>
    </row>
    <row r="25" spans="2:4" x14ac:dyDescent="0.35">
      <c r="B25" s="33">
        <f t="shared" si="0"/>
        <v>44210</v>
      </c>
      <c r="C25" s="34"/>
      <c r="D25" s="11" t="s">
        <v>28</v>
      </c>
    </row>
    <row r="26" spans="2:4" x14ac:dyDescent="0.35">
      <c r="B26" s="33">
        <f t="shared" si="0"/>
        <v>44217</v>
      </c>
      <c r="C26" s="34"/>
      <c r="D26" s="7" t="s">
        <v>107</v>
      </c>
    </row>
    <row r="27" spans="2:4" ht="15" thickBot="1" x14ac:dyDescent="0.4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8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7">
        <f>'2020-2021'!I6</f>
        <v>44063</v>
      </c>
      <c r="C4" s="32"/>
      <c r="D4" s="72" t="s">
        <v>136</v>
      </c>
    </row>
    <row r="5" spans="2:4" x14ac:dyDescent="0.35">
      <c r="B5" s="68">
        <f t="shared" ref="B5:B27" si="0">B4+7</f>
        <v>44070</v>
      </c>
      <c r="C5" s="34"/>
      <c r="D5" s="15" t="s">
        <v>133</v>
      </c>
    </row>
    <row r="6" spans="2:4" x14ac:dyDescent="0.35">
      <c r="B6" s="68">
        <f t="shared" si="0"/>
        <v>44077</v>
      </c>
      <c r="C6" s="34"/>
      <c r="D6" s="7" t="s">
        <v>124</v>
      </c>
    </row>
    <row r="7" spans="2:4" x14ac:dyDescent="0.35">
      <c r="B7" s="68">
        <f t="shared" si="0"/>
        <v>44084</v>
      </c>
      <c r="C7" s="34"/>
      <c r="D7" s="7" t="s">
        <v>135</v>
      </c>
    </row>
    <row r="8" spans="2:4" x14ac:dyDescent="0.35">
      <c r="B8" s="68">
        <f t="shared" si="0"/>
        <v>44091</v>
      </c>
      <c r="C8" s="34"/>
      <c r="D8" s="7" t="s">
        <v>122</v>
      </c>
    </row>
    <row r="9" spans="2:4" x14ac:dyDescent="0.35">
      <c r="B9" s="68">
        <f t="shared" si="0"/>
        <v>44098</v>
      </c>
      <c r="C9" s="34"/>
      <c r="D9" s="11" t="s">
        <v>28</v>
      </c>
    </row>
    <row r="10" spans="2:4" x14ac:dyDescent="0.35">
      <c r="B10" s="68">
        <f t="shared" si="0"/>
        <v>44105</v>
      </c>
      <c r="C10" s="34"/>
      <c r="D10" s="7" t="s">
        <v>123</v>
      </c>
    </row>
    <row r="11" spans="2:4" x14ac:dyDescent="0.35">
      <c r="B11" s="69">
        <f t="shared" si="0"/>
        <v>44112</v>
      </c>
      <c r="C11" s="13" t="s">
        <v>36</v>
      </c>
      <c r="D11" s="7"/>
    </row>
    <row r="12" spans="2:4" x14ac:dyDescent="0.35">
      <c r="B12" s="69">
        <f t="shared" si="0"/>
        <v>44119</v>
      </c>
      <c r="C12" s="13" t="s">
        <v>36</v>
      </c>
      <c r="D12" s="7"/>
    </row>
    <row r="13" spans="2:4" x14ac:dyDescent="0.35">
      <c r="B13" s="68">
        <f t="shared" si="0"/>
        <v>44126</v>
      </c>
      <c r="C13" s="34"/>
      <c r="D13" s="71"/>
    </row>
    <row r="14" spans="2:4" x14ac:dyDescent="0.35">
      <c r="B14" s="68">
        <f t="shared" si="0"/>
        <v>44133</v>
      </c>
      <c r="C14" s="34"/>
      <c r="D14" s="7" t="s">
        <v>125</v>
      </c>
    </row>
    <row r="15" spans="2:4" x14ac:dyDescent="0.35">
      <c r="B15" s="68">
        <f t="shared" si="0"/>
        <v>44140</v>
      </c>
      <c r="C15" s="34"/>
      <c r="D15" s="7" t="s">
        <v>131</v>
      </c>
    </row>
    <row r="16" spans="2:4" x14ac:dyDescent="0.35">
      <c r="B16" s="68">
        <f t="shared" si="0"/>
        <v>44147</v>
      </c>
      <c r="C16" s="34"/>
      <c r="D16" s="7" t="s">
        <v>134</v>
      </c>
    </row>
    <row r="17" spans="2:4" x14ac:dyDescent="0.35">
      <c r="B17" s="68">
        <f t="shared" si="0"/>
        <v>44154</v>
      </c>
      <c r="C17" s="34"/>
      <c r="D17" s="11" t="s">
        <v>28</v>
      </c>
    </row>
    <row r="18" spans="2:4" x14ac:dyDescent="0.35">
      <c r="B18" s="68">
        <f t="shared" si="0"/>
        <v>44161</v>
      </c>
      <c r="C18" s="34"/>
      <c r="D18" s="7" t="s">
        <v>121</v>
      </c>
    </row>
    <row r="19" spans="2:4" x14ac:dyDescent="0.35">
      <c r="B19" s="68">
        <f t="shared" si="0"/>
        <v>44168</v>
      </c>
      <c r="C19" s="34"/>
      <c r="D19" s="7"/>
    </row>
    <row r="20" spans="2:4" x14ac:dyDescent="0.35">
      <c r="B20" s="68">
        <f t="shared" si="0"/>
        <v>44175</v>
      </c>
      <c r="C20" s="34"/>
      <c r="D20" s="7" t="s">
        <v>111</v>
      </c>
    </row>
    <row r="21" spans="2:4" x14ac:dyDescent="0.35">
      <c r="B21" s="68">
        <f t="shared" si="0"/>
        <v>44182</v>
      </c>
      <c r="C21" s="34"/>
      <c r="D21" s="7"/>
    </row>
    <row r="22" spans="2:4" x14ac:dyDescent="0.35">
      <c r="B22" s="69">
        <f t="shared" si="0"/>
        <v>44189</v>
      </c>
      <c r="C22" s="13" t="s">
        <v>36</v>
      </c>
      <c r="D22" s="7"/>
    </row>
    <row r="23" spans="2:4" x14ac:dyDescent="0.35">
      <c r="B23" s="69">
        <f t="shared" si="0"/>
        <v>44196</v>
      </c>
      <c r="C23" s="13" t="s">
        <v>36</v>
      </c>
      <c r="D23" s="7"/>
    </row>
    <row r="24" spans="2:4" x14ac:dyDescent="0.35">
      <c r="B24" s="68">
        <f t="shared" si="0"/>
        <v>44203</v>
      </c>
      <c r="C24" s="34"/>
      <c r="D24" s="37"/>
    </row>
    <row r="25" spans="2:4" x14ac:dyDescent="0.35">
      <c r="B25" s="68">
        <f t="shared" si="0"/>
        <v>44210</v>
      </c>
      <c r="C25" s="34"/>
      <c r="D25" s="11" t="s">
        <v>28</v>
      </c>
    </row>
    <row r="26" spans="2:4" x14ac:dyDescent="0.35">
      <c r="B26" s="68">
        <f t="shared" si="0"/>
        <v>44217</v>
      </c>
      <c r="C26" s="34"/>
      <c r="D26" s="7" t="s">
        <v>110</v>
      </c>
    </row>
    <row r="27" spans="2:4" ht="15" thickBot="1" x14ac:dyDescent="0.4">
      <c r="B27" s="70">
        <f t="shared" si="0"/>
        <v>44224</v>
      </c>
      <c r="C27" s="36"/>
      <c r="D27" s="3"/>
    </row>
    <row r="28" spans="2:4" ht="15" thickBot="1" x14ac:dyDescent="0.4"/>
    <row r="29" spans="2:4" x14ac:dyDescent="0.35">
      <c r="B29" s="54">
        <v>44231</v>
      </c>
      <c r="C29" s="16"/>
      <c r="D29" s="15"/>
    </row>
    <row r="30" spans="2:4" x14ac:dyDescent="0.35">
      <c r="B30" s="33">
        <f t="shared" ref="B30:B52" si="1">B29+7</f>
        <v>44238</v>
      </c>
      <c r="C30" s="34"/>
      <c r="D30" s="7" t="s">
        <v>109</v>
      </c>
    </row>
    <row r="31" spans="2:4" x14ac:dyDescent="0.35">
      <c r="B31" s="39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9">
        <f t="shared" si="1"/>
        <v>44266</v>
      </c>
      <c r="C34" s="8"/>
      <c r="D34" s="7" t="s">
        <v>142</v>
      </c>
    </row>
    <row r="35" spans="2:6" x14ac:dyDescent="0.35">
      <c r="B35" s="39">
        <f t="shared" si="1"/>
        <v>44273</v>
      </c>
      <c r="C35" s="8"/>
      <c r="D35" s="11" t="s">
        <v>28</v>
      </c>
    </row>
    <row r="36" spans="2:6" x14ac:dyDescent="0.35">
      <c r="B36" s="33">
        <f t="shared" si="1"/>
        <v>44280</v>
      </c>
      <c r="C36" s="8"/>
      <c r="D36" s="7"/>
    </row>
    <row r="37" spans="2:6" x14ac:dyDescent="0.35">
      <c r="B37" s="33">
        <f t="shared" si="1"/>
        <v>44287</v>
      </c>
      <c r="C37" s="34" t="s">
        <v>137</v>
      </c>
      <c r="D37" s="7" t="s">
        <v>112</v>
      </c>
    </row>
    <row r="38" spans="2:6" x14ac:dyDescent="0.35">
      <c r="B38" s="33">
        <f t="shared" si="1"/>
        <v>44294</v>
      </c>
      <c r="C38" s="8"/>
      <c r="D38" s="7"/>
    </row>
    <row r="39" spans="2:6" x14ac:dyDescent="0.35">
      <c r="B39" s="33">
        <f t="shared" si="1"/>
        <v>44301</v>
      </c>
      <c r="C39" s="8"/>
      <c r="D39" s="7"/>
    </row>
    <row r="40" spans="2:6" x14ac:dyDescent="0.35">
      <c r="B40" s="33">
        <f t="shared" si="1"/>
        <v>44308</v>
      </c>
      <c r="C40" s="34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80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3">
        <f t="shared" si="1"/>
        <v>44336</v>
      </c>
      <c r="C44" s="8"/>
      <c r="D44" s="11" t="s">
        <v>28</v>
      </c>
    </row>
    <row r="45" spans="2:6" x14ac:dyDescent="0.35">
      <c r="B45" s="33">
        <f t="shared" si="1"/>
        <v>44343</v>
      </c>
      <c r="C45" s="34"/>
      <c r="D45" s="7"/>
    </row>
    <row r="46" spans="2:6" x14ac:dyDescent="0.35">
      <c r="B46" s="33">
        <f t="shared" si="1"/>
        <v>44350</v>
      </c>
      <c r="C46" s="34"/>
      <c r="D46" s="7" t="s">
        <v>132</v>
      </c>
    </row>
    <row r="47" spans="2:6" x14ac:dyDescent="0.35">
      <c r="B47" s="33">
        <f t="shared" si="1"/>
        <v>44357</v>
      </c>
      <c r="C47" s="8"/>
      <c r="D47" s="7"/>
    </row>
    <row r="48" spans="2:6" x14ac:dyDescent="0.35">
      <c r="B48" s="39">
        <f t="shared" si="1"/>
        <v>44364</v>
      </c>
      <c r="C48" s="8"/>
      <c r="D48" s="7" t="s">
        <v>113</v>
      </c>
    </row>
    <row r="49" spans="2:4" x14ac:dyDescent="0.35">
      <c r="B49" s="39">
        <f t="shared" si="1"/>
        <v>44371</v>
      </c>
      <c r="C49" s="8"/>
      <c r="D49" s="7"/>
    </row>
    <row r="50" spans="2:4" x14ac:dyDescent="0.35">
      <c r="B50" s="39">
        <f t="shared" si="1"/>
        <v>44378</v>
      </c>
      <c r="C50" s="8"/>
      <c r="D50" s="11" t="s">
        <v>28</v>
      </c>
    </row>
    <row r="51" spans="2:4" x14ac:dyDescent="0.35">
      <c r="B51" s="39">
        <f t="shared" si="1"/>
        <v>44385</v>
      </c>
      <c r="C51" s="8"/>
      <c r="D51" s="7"/>
    </row>
    <row r="52" spans="2:4" ht="15" thickBot="1" x14ac:dyDescent="0.4">
      <c r="B52" s="78">
        <f t="shared" si="1"/>
        <v>44392</v>
      </c>
      <c r="C52" s="75" t="s">
        <v>138</v>
      </c>
      <c r="D52" s="3"/>
    </row>
    <row r="53" spans="2:4" x14ac:dyDescent="0.35">
      <c r="B53" s="76"/>
      <c r="C53" s="77"/>
      <c r="D53" s="77"/>
    </row>
    <row r="54" spans="2:4" x14ac:dyDescent="0.35">
      <c r="B54" s="76"/>
      <c r="C54" s="77"/>
      <c r="D54" s="77"/>
    </row>
    <row r="55" spans="2:4" x14ac:dyDescent="0.35">
      <c r="B55" s="76"/>
      <c r="C55" s="77"/>
      <c r="D55" s="77"/>
    </row>
    <row r="56" spans="2:4" x14ac:dyDescent="0.35">
      <c r="B56" s="76"/>
      <c r="C56" s="77"/>
      <c r="D56" s="77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topLeftCell="A13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3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3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3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3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3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3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B2:C27"/>
  <sheetViews>
    <sheetView showGridLines="0" topLeftCell="A11" zoomScaleNormal="100" workbookViewId="0">
      <selection activeCell="B3" sqref="B3:C27"/>
    </sheetView>
  </sheetViews>
  <sheetFormatPr baseColWidth="10" defaultRowHeight="14.5" x14ac:dyDescent="0.35"/>
  <cols>
    <col min="2" max="2" width="12.7265625" customWidth="1"/>
    <col min="3" max="3" width="53.1796875" customWidth="1"/>
  </cols>
  <sheetData>
    <row r="2" spans="2:3" ht="15" thickBot="1" x14ac:dyDescent="0.4"/>
    <row r="3" spans="2:3" ht="15" thickBot="1" x14ac:dyDescent="0.4">
      <c r="B3" s="28" t="s">
        <v>48</v>
      </c>
      <c r="C3" s="26" t="s">
        <v>46</v>
      </c>
    </row>
    <row r="4" spans="2:3" ht="116" x14ac:dyDescent="0.35">
      <c r="B4" s="112">
        <v>44434</v>
      </c>
      <c r="C4" s="113" t="s">
        <v>157</v>
      </c>
    </row>
    <row r="5" spans="2:3" ht="72.5" x14ac:dyDescent="0.35">
      <c r="B5" s="107">
        <f t="shared" ref="B5:B26" si="0">B4+7</f>
        <v>44441</v>
      </c>
      <c r="C5" s="83" t="s">
        <v>158</v>
      </c>
    </row>
    <row r="6" spans="2:3" ht="72.5" x14ac:dyDescent="0.35">
      <c r="B6" s="105">
        <f t="shared" si="0"/>
        <v>44448</v>
      </c>
      <c r="C6" s="83" t="s">
        <v>162</v>
      </c>
    </row>
    <row r="7" spans="2:3" x14ac:dyDescent="0.35">
      <c r="B7" s="107">
        <f t="shared" si="0"/>
        <v>44455</v>
      </c>
      <c r="C7" s="85" t="s">
        <v>165</v>
      </c>
    </row>
    <row r="8" spans="2:3" ht="72.5" x14ac:dyDescent="0.35">
      <c r="B8" s="107">
        <f t="shared" si="0"/>
        <v>44462</v>
      </c>
      <c r="C8" s="86" t="s">
        <v>163</v>
      </c>
    </row>
    <row r="9" spans="2:3" ht="43.5" x14ac:dyDescent="0.35">
      <c r="B9" s="107">
        <f t="shared" si="0"/>
        <v>44469</v>
      </c>
      <c r="C9" s="88" t="s">
        <v>168</v>
      </c>
    </row>
    <row r="10" spans="2:3" ht="43.5" x14ac:dyDescent="0.35">
      <c r="B10" s="107">
        <f t="shared" si="0"/>
        <v>44476</v>
      </c>
      <c r="C10" s="86" t="s">
        <v>159</v>
      </c>
    </row>
    <row r="11" spans="2:3" x14ac:dyDescent="0.35">
      <c r="B11" s="108">
        <f t="shared" si="0"/>
        <v>44483</v>
      </c>
      <c r="C11" s="90" t="s">
        <v>36</v>
      </c>
    </row>
    <row r="12" spans="2:3" x14ac:dyDescent="0.35">
      <c r="B12" s="108">
        <f t="shared" si="0"/>
        <v>44490</v>
      </c>
      <c r="C12" s="90" t="s">
        <v>36</v>
      </c>
    </row>
    <row r="13" spans="2:3" ht="29" x14ac:dyDescent="0.35">
      <c r="B13" s="107">
        <f t="shared" si="0"/>
        <v>44497</v>
      </c>
      <c r="C13" s="81" t="s">
        <v>160</v>
      </c>
    </row>
    <row r="14" spans="2:3" ht="43.5" x14ac:dyDescent="0.35">
      <c r="B14" s="107">
        <f t="shared" si="0"/>
        <v>44504</v>
      </c>
      <c r="C14" s="86" t="s">
        <v>192</v>
      </c>
    </row>
    <row r="15" spans="2:3" x14ac:dyDescent="0.35">
      <c r="B15" s="107">
        <f t="shared" si="0"/>
        <v>44511</v>
      </c>
      <c r="C15" s="85"/>
    </row>
    <row r="16" spans="2:3" x14ac:dyDescent="0.35">
      <c r="B16" s="114">
        <f t="shared" si="0"/>
        <v>44518</v>
      </c>
      <c r="C16" s="115" t="s">
        <v>193</v>
      </c>
    </row>
    <row r="17" spans="2:3" ht="72.5" x14ac:dyDescent="0.35">
      <c r="B17" s="107">
        <f t="shared" si="0"/>
        <v>44525</v>
      </c>
      <c r="C17" s="86" t="s">
        <v>191</v>
      </c>
    </row>
    <row r="18" spans="2:3" ht="43.5" x14ac:dyDescent="0.35">
      <c r="B18" s="107">
        <f t="shared" si="0"/>
        <v>44532</v>
      </c>
      <c r="C18" s="88" t="s">
        <v>169</v>
      </c>
    </row>
    <row r="19" spans="2:3" ht="43.5" x14ac:dyDescent="0.35">
      <c r="B19" s="107">
        <f t="shared" si="0"/>
        <v>44539</v>
      </c>
      <c r="C19" s="83" t="s">
        <v>161</v>
      </c>
    </row>
    <row r="20" spans="2:3" x14ac:dyDescent="0.35">
      <c r="B20" s="107">
        <f t="shared" si="0"/>
        <v>44546</v>
      </c>
      <c r="C20" s="85"/>
    </row>
    <row r="21" spans="2:3" x14ac:dyDescent="0.35">
      <c r="B21" s="108">
        <f t="shared" si="0"/>
        <v>44553</v>
      </c>
      <c r="C21" s="90" t="s">
        <v>36</v>
      </c>
    </row>
    <row r="22" spans="2:3" x14ac:dyDescent="0.35">
      <c r="B22" s="108">
        <f t="shared" si="0"/>
        <v>44560</v>
      </c>
      <c r="C22" s="90" t="s">
        <v>36</v>
      </c>
    </row>
    <row r="23" spans="2:3" x14ac:dyDescent="0.35">
      <c r="B23" s="105">
        <f t="shared" si="0"/>
        <v>44567</v>
      </c>
      <c r="C23" s="85" t="s">
        <v>164</v>
      </c>
    </row>
    <row r="24" spans="2:3" x14ac:dyDescent="0.35">
      <c r="B24" s="105">
        <f t="shared" si="0"/>
        <v>44574</v>
      </c>
      <c r="C24" s="84"/>
    </row>
    <row r="25" spans="2:3" ht="43.5" x14ac:dyDescent="0.35">
      <c r="B25" s="105">
        <f t="shared" si="0"/>
        <v>44581</v>
      </c>
      <c r="C25" s="88" t="s">
        <v>170</v>
      </c>
    </row>
    <row r="26" spans="2:3" x14ac:dyDescent="0.35">
      <c r="B26" s="105">
        <f t="shared" si="0"/>
        <v>44588</v>
      </c>
      <c r="C26" s="84" t="s">
        <v>93</v>
      </c>
    </row>
    <row r="27" spans="2:3" ht="15" thickBot="1" x14ac:dyDescent="0.4">
      <c r="B27" s="111"/>
      <c r="C27" s="87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5" thickBot="1" x14ac:dyDescent="0.4"/>
    <row r="3" spans="2:3" ht="15" thickBot="1" x14ac:dyDescent="0.4">
      <c r="B3" s="20" t="s">
        <v>48</v>
      </c>
      <c r="C3" s="19" t="s">
        <v>46</v>
      </c>
    </row>
    <row r="4" spans="2:3" ht="87" x14ac:dyDescent="0.35">
      <c r="B4" s="104">
        <v>44435</v>
      </c>
      <c r="C4" s="82" t="s">
        <v>156</v>
      </c>
    </row>
    <row r="5" spans="2:3" x14ac:dyDescent="0.35">
      <c r="B5" s="105">
        <f t="shared" ref="B5:B27" si="0">B4+7</f>
        <v>44442</v>
      </c>
      <c r="C5" s="7"/>
    </row>
    <row r="6" spans="2:3" x14ac:dyDescent="0.35">
      <c r="B6" s="105">
        <f t="shared" si="0"/>
        <v>44449</v>
      </c>
      <c r="C6" s="7"/>
    </row>
    <row r="7" spans="2:3" ht="101.5" x14ac:dyDescent="0.35">
      <c r="B7" s="105">
        <f t="shared" si="0"/>
        <v>44456</v>
      </c>
      <c r="C7" s="81" t="s">
        <v>175</v>
      </c>
    </row>
    <row r="8" spans="2:3" x14ac:dyDescent="0.35">
      <c r="B8" s="105">
        <f t="shared" si="0"/>
        <v>44463</v>
      </c>
      <c r="C8" s="7"/>
    </row>
    <row r="9" spans="2:3" ht="58" x14ac:dyDescent="0.35">
      <c r="B9" s="105">
        <f t="shared" si="0"/>
        <v>44470</v>
      </c>
      <c r="C9" s="89" t="s">
        <v>171</v>
      </c>
    </row>
    <row r="10" spans="2:3" x14ac:dyDescent="0.35">
      <c r="B10" s="105">
        <f t="shared" si="0"/>
        <v>44477</v>
      </c>
      <c r="C10" s="7"/>
    </row>
    <row r="11" spans="2:3" x14ac:dyDescent="0.35">
      <c r="B11" s="108">
        <f t="shared" si="0"/>
        <v>44484</v>
      </c>
      <c r="C11" s="90" t="s">
        <v>36</v>
      </c>
    </row>
    <row r="12" spans="2:3" x14ac:dyDescent="0.35">
      <c r="B12" s="108">
        <f t="shared" si="0"/>
        <v>44491</v>
      </c>
      <c r="C12" s="90" t="s">
        <v>36</v>
      </c>
    </row>
    <row r="13" spans="2:3" ht="72.5" x14ac:dyDescent="0.35">
      <c r="B13" s="105">
        <f t="shared" si="0"/>
        <v>44498</v>
      </c>
      <c r="C13" s="81" t="s">
        <v>155</v>
      </c>
    </row>
    <row r="14" spans="2:3" x14ac:dyDescent="0.35">
      <c r="B14" s="105">
        <f t="shared" si="0"/>
        <v>44505</v>
      </c>
      <c r="C14" s="7"/>
    </row>
    <row r="15" spans="2:3" x14ac:dyDescent="0.35">
      <c r="B15" s="105">
        <f t="shared" si="0"/>
        <v>44512</v>
      </c>
      <c r="C15" s="7"/>
    </row>
    <row r="16" spans="2:3" ht="72.5" x14ac:dyDescent="0.35">
      <c r="B16" s="105">
        <f t="shared" si="0"/>
        <v>44519</v>
      </c>
      <c r="C16" s="81" t="s">
        <v>154</v>
      </c>
    </row>
    <row r="17" spans="2:3" ht="29" x14ac:dyDescent="0.35">
      <c r="B17" s="105">
        <f t="shared" si="0"/>
        <v>44526</v>
      </c>
      <c r="C17" s="89" t="s">
        <v>172</v>
      </c>
    </row>
    <row r="18" spans="2:3" x14ac:dyDescent="0.35">
      <c r="B18" s="105">
        <f t="shared" si="0"/>
        <v>44533</v>
      </c>
      <c r="C18" s="7"/>
    </row>
    <row r="19" spans="2:3" x14ac:dyDescent="0.35">
      <c r="B19" s="105">
        <f t="shared" si="0"/>
        <v>44540</v>
      </c>
      <c r="C19" s="7"/>
    </row>
    <row r="20" spans="2:3" x14ac:dyDescent="0.35">
      <c r="B20" s="105">
        <f t="shared" si="0"/>
        <v>44547</v>
      </c>
      <c r="C20" s="7"/>
    </row>
    <row r="21" spans="2:3" x14ac:dyDescent="0.35">
      <c r="B21" s="108">
        <f t="shared" si="0"/>
        <v>44554</v>
      </c>
      <c r="C21" s="90" t="s">
        <v>36</v>
      </c>
    </row>
    <row r="22" spans="2:3" x14ac:dyDescent="0.35">
      <c r="B22" s="108">
        <f t="shared" si="0"/>
        <v>44561</v>
      </c>
      <c r="C22" s="90" t="s">
        <v>36</v>
      </c>
    </row>
    <row r="23" spans="2:3" ht="72.5" x14ac:dyDescent="0.35">
      <c r="B23" s="105">
        <f t="shared" si="0"/>
        <v>44568</v>
      </c>
      <c r="C23" s="81" t="s">
        <v>174</v>
      </c>
    </row>
    <row r="24" spans="2:3" x14ac:dyDescent="0.35">
      <c r="B24" s="105">
        <f t="shared" si="0"/>
        <v>44575</v>
      </c>
      <c r="C24" s="37"/>
    </row>
    <row r="25" spans="2:3" ht="43.5" x14ac:dyDescent="0.35">
      <c r="B25" s="105">
        <f t="shared" si="0"/>
        <v>44582</v>
      </c>
      <c r="C25" s="89" t="s">
        <v>173</v>
      </c>
    </row>
    <row r="26" spans="2:3" x14ac:dyDescent="0.35">
      <c r="B26" s="105">
        <f t="shared" si="0"/>
        <v>44589</v>
      </c>
      <c r="C26" s="7" t="s">
        <v>153</v>
      </c>
    </row>
    <row r="27" spans="2:3" ht="15" thickBot="1" x14ac:dyDescent="0.4">
      <c r="B27" s="106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3"/>
  <sheetViews>
    <sheetView showGridLines="0" showRowColHeaders="0" zoomScaleNormal="100" workbookViewId="0">
      <selection activeCell="B30" sqref="B30:C53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5" thickBot="1" x14ac:dyDescent="0.4"/>
    <row r="3" spans="2:3" ht="15" thickBot="1" x14ac:dyDescent="0.4">
      <c r="B3" s="21" t="s">
        <v>48</v>
      </c>
      <c r="C3" s="19" t="s">
        <v>46</v>
      </c>
    </row>
    <row r="4" spans="2:3" x14ac:dyDescent="0.35">
      <c r="B4" s="109">
        <v>44434</v>
      </c>
      <c r="C4" s="15" t="s">
        <v>136</v>
      </c>
    </row>
    <row r="5" spans="2:3" x14ac:dyDescent="0.35">
      <c r="B5" s="68">
        <f t="shared" ref="B5:B26" si="0">B4+7</f>
        <v>44441</v>
      </c>
      <c r="C5" s="7" t="s">
        <v>133</v>
      </c>
    </row>
    <row r="6" spans="2:3" x14ac:dyDescent="0.35">
      <c r="B6" s="110">
        <f t="shared" si="0"/>
        <v>44448</v>
      </c>
      <c r="C6" s="7" t="s">
        <v>124</v>
      </c>
    </row>
    <row r="7" spans="2:3" x14ac:dyDescent="0.35">
      <c r="B7" s="68">
        <f t="shared" si="0"/>
        <v>44455</v>
      </c>
      <c r="C7" s="7" t="s">
        <v>135</v>
      </c>
    </row>
    <row r="8" spans="2:3" x14ac:dyDescent="0.35">
      <c r="B8" s="68">
        <f t="shared" si="0"/>
        <v>44462</v>
      </c>
      <c r="C8" s="7" t="s">
        <v>122</v>
      </c>
    </row>
    <row r="9" spans="2:3" ht="58" x14ac:dyDescent="0.35">
      <c r="B9" s="107">
        <f t="shared" si="0"/>
        <v>44469</v>
      </c>
      <c r="C9" s="88" t="s">
        <v>166</v>
      </c>
    </row>
    <row r="10" spans="2:3" x14ac:dyDescent="0.35">
      <c r="B10" s="107">
        <f t="shared" si="0"/>
        <v>44476</v>
      </c>
      <c r="C10" s="84" t="s">
        <v>123</v>
      </c>
    </row>
    <row r="11" spans="2:3" x14ac:dyDescent="0.35">
      <c r="B11" s="108">
        <f t="shared" si="0"/>
        <v>44483</v>
      </c>
      <c r="C11" s="90" t="s">
        <v>36</v>
      </c>
    </row>
    <row r="12" spans="2:3" x14ac:dyDescent="0.35">
      <c r="B12" s="108">
        <f t="shared" si="0"/>
        <v>44490</v>
      </c>
      <c r="C12" s="90" t="s">
        <v>36</v>
      </c>
    </row>
    <row r="13" spans="2:3" x14ac:dyDescent="0.35">
      <c r="B13" s="107">
        <f t="shared" si="0"/>
        <v>44497</v>
      </c>
    </row>
    <row r="14" spans="2:3" x14ac:dyDescent="0.35">
      <c r="B14" s="107">
        <f t="shared" si="0"/>
        <v>44504</v>
      </c>
      <c r="C14" s="84" t="s">
        <v>125</v>
      </c>
    </row>
    <row r="15" spans="2:3" x14ac:dyDescent="0.35">
      <c r="B15" s="107">
        <f t="shared" si="0"/>
        <v>44511</v>
      </c>
      <c r="C15" s="84" t="s">
        <v>131</v>
      </c>
    </row>
    <row r="16" spans="2:3" x14ac:dyDescent="0.35">
      <c r="B16" s="114">
        <f t="shared" si="0"/>
        <v>44518</v>
      </c>
      <c r="C16" s="115" t="s">
        <v>193</v>
      </c>
    </row>
    <row r="17" spans="2:3" x14ac:dyDescent="0.35">
      <c r="B17" s="107">
        <f t="shared" si="0"/>
        <v>44525</v>
      </c>
      <c r="C17" s="84" t="s">
        <v>134</v>
      </c>
    </row>
    <row r="18" spans="2:3" ht="72.5" x14ac:dyDescent="0.35">
      <c r="B18" s="107">
        <f t="shared" si="0"/>
        <v>44532</v>
      </c>
      <c r="C18" s="88" t="s">
        <v>167</v>
      </c>
    </row>
    <row r="19" spans="2:3" x14ac:dyDescent="0.35">
      <c r="B19" s="107">
        <f t="shared" si="0"/>
        <v>44539</v>
      </c>
      <c r="C19" s="84" t="s">
        <v>121</v>
      </c>
    </row>
    <row r="20" spans="2:3" x14ac:dyDescent="0.35">
      <c r="B20" s="107">
        <f t="shared" si="0"/>
        <v>44546</v>
      </c>
      <c r="C20" s="84"/>
    </row>
    <row r="21" spans="2:3" x14ac:dyDescent="0.35">
      <c r="B21" s="108">
        <f t="shared" si="0"/>
        <v>44553</v>
      </c>
      <c r="C21" s="90" t="s">
        <v>36</v>
      </c>
    </row>
    <row r="22" spans="2:3" x14ac:dyDescent="0.35">
      <c r="B22" s="108">
        <f t="shared" si="0"/>
        <v>44560</v>
      </c>
      <c r="C22" s="90" t="s">
        <v>36</v>
      </c>
    </row>
    <row r="23" spans="2:3" x14ac:dyDescent="0.35">
      <c r="B23" s="105">
        <f t="shared" si="0"/>
        <v>44567</v>
      </c>
      <c r="C23" s="84"/>
    </row>
    <row r="24" spans="2:3" x14ac:dyDescent="0.35">
      <c r="B24" s="105">
        <f t="shared" si="0"/>
        <v>44574</v>
      </c>
      <c r="C24" s="84"/>
    </row>
    <row r="25" spans="2:3" ht="43.5" x14ac:dyDescent="0.35">
      <c r="B25" s="105">
        <f t="shared" si="0"/>
        <v>44581</v>
      </c>
      <c r="C25" s="88" t="s">
        <v>206</v>
      </c>
    </row>
    <row r="26" spans="2:3" x14ac:dyDescent="0.35">
      <c r="B26" s="105">
        <f t="shared" si="0"/>
        <v>44588</v>
      </c>
      <c r="C26" s="84"/>
    </row>
    <row r="27" spans="2:3" ht="15" thickBot="1" x14ac:dyDescent="0.4">
      <c r="B27" s="70"/>
      <c r="C27" s="3"/>
    </row>
    <row r="28" spans="2:3" ht="15" thickBot="1" x14ac:dyDescent="0.4"/>
    <row r="29" spans="2:3" ht="15" thickBot="1" x14ac:dyDescent="0.4">
      <c r="B29" s="21" t="s">
        <v>48</v>
      </c>
      <c r="C29" s="19" t="s">
        <v>46</v>
      </c>
    </row>
    <row r="30" spans="2:3" x14ac:dyDescent="0.35">
      <c r="B30" s="104">
        <v>44595</v>
      </c>
      <c r="C30" s="118" t="s">
        <v>111</v>
      </c>
    </row>
    <row r="31" spans="2:3" x14ac:dyDescent="0.35">
      <c r="B31" s="107">
        <f t="shared" ref="B31:B53" si="1">B30+7</f>
        <v>44602</v>
      </c>
      <c r="C31" s="84" t="s">
        <v>209</v>
      </c>
    </row>
    <row r="32" spans="2:3" x14ac:dyDescent="0.35">
      <c r="B32" s="107">
        <f t="shared" si="1"/>
        <v>44609</v>
      </c>
      <c r="C32" s="84" t="s">
        <v>208</v>
      </c>
    </row>
    <row r="33" spans="2:3" x14ac:dyDescent="0.35">
      <c r="B33" s="108">
        <f t="shared" si="1"/>
        <v>44616</v>
      </c>
      <c r="C33" s="58" t="s">
        <v>36</v>
      </c>
    </row>
    <row r="34" spans="2:3" x14ac:dyDescent="0.35">
      <c r="B34" s="108">
        <f t="shared" si="1"/>
        <v>44623</v>
      </c>
      <c r="C34" s="58" t="s">
        <v>36</v>
      </c>
    </row>
    <row r="35" spans="2:3" x14ac:dyDescent="0.35">
      <c r="B35" s="107">
        <f t="shared" si="1"/>
        <v>44630</v>
      </c>
      <c r="C35" s="7" t="s">
        <v>131</v>
      </c>
    </row>
    <row r="36" spans="2:3" ht="58" x14ac:dyDescent="0.35">
      <c r="B36" s="107">
        <f t="shared" si="1"/>
        <v>44637</v>
      </c>
      <c r="C36" s="89" t="s">
        <v>211</v>
      </c>
    </row>
    <row r="37" spans="2:3" x14ac:dyDescent="0.35">
      <c r="B37" s="107">
        <f t="shared" si="1"/>
        <v>44644</v>
      </c>
      <c r="C37" s="7" t="s">
        <v>207</v>
      </c>
    </row>
    <row r="38" spans="2:3" x14ac:dyDescent="0.35">
      <c r="B38" s="107">
        <f t="shared" si="1"/>
        <v>44651</v>
      </c>
      <c r="C38" s="7"/>
    </row>
    <row r="39" spans="2:3" x14ac:dyDescent="0.35">
      <c r="B39" s="107">
        <f t="shared" si="1"/>
        <v>44658</v>
      </c>
      <c r="C39" s="7" t="s">
        <v>210</v>
      </c>
    </row>
    <row r="40" spans="2:3" x14ac:dyDescent="0.35">
      <c r="B40" s="107">
        <f t="shared" si="1"/>
        <v>44665</v>
      </c>
      <c r="C40" s="7"/>
    </row>
    <row r="41" spans="2:3" x14ac:dyDescent="0.35">
      <c r="B41" s="108">
        <f t="shared" si="1"/>
        <v>44672</v>
      </c>
      <c r="C41" s="58" t="s">
        <v>36</v>
      </c>
    </row>
    <row r="42" spans="2:3" x14ac:dyDescent="0.35">
      <c r="B42" s="108">
        <f t="shared" si="1"/>
        <v>44679</v>
      </c>
      <c r="C42" s="58" t="s">
        <v>36</v>
      </c>
    </row>
    <row r="43" spans="2:3" x14ac:dyDescent="0.35">
      <c r="B43" s="107">
        <f t="shared" si="1"/>
        <v>44686</v>
      </c>
      <c r="C43" s="7" t="s">
        <v>217</v>
      </c>
    </row>
    <row r="44" spans="2:3" x14ac:dyDescent="0.35">
      <c r="B44" s="107">
        <f t="shared" si="1"/>
        <v>44693</v>
      </c>
      <c r="C44" s="7"/>
    </row>
    <row r="45" spans="2:3" ht="43.5" x14ac:dyDescent="0.35">
      <c r="B45" s="107">
        <f t="shared" si="1"/>
        <v>44700</v>
      </c>
      <c r="C45" s="89" t="s">
        <v>218</v>
      </c>
    </row>
    <row r="46" spans="2:3" x14ac:dyDescent="0.35">
      <c r="B46" s="108">
        <f t="shared" si="1"/>
        <v>44707</v>
      </c>
      <c r="C46" s="58" t="s">
        <v>32</v>
      </c>
    </row>
    <row r="47" spans="2:3" x14ac:dyDescent="0.35">
      <c r="B47" s="107">
        <f t="shared" si="1"/>
        <v>44714</v>
      </c>
      <c r="C47" s="7" t="s">
        <v>217</v>
      </c>
    </row>
    <row r="48" spans="2:3" x14ac:dyDescent="0.35">
      <c r="B48" s="107">
        <f t="shared" si="1"/>
        <v>44721</v>
      </c>
      <c r="C48" s="7"/>
    </row>
    <row r="49" spans="2:3" x14ac:dyDescent="0.35">
      <c r="B49" s="107">
        <f t="shared" si="1"/>
        <v>44728</v>
      </c>
      <c r="C49" s="7"/>
    </row>
    <row r="50" spans="2:3" x14ac:dyDescent="0.35">
      <c r="B50" s="107">
        <f t="shared" si="1"/>
        <v>44735</v>
      </c>
      <c r="C50" s="71"/>
    </row>
    <row r="51" spans="2:3" ht="58" x14ac:dyDescent="0.35">
      <c r="B51" s="107">
        <f t="shared" si="1"/>
        <v>44742</v>
      </c>
      <c r="C51" s="89" t="s">
        <v>219</v>
      </c>
    </row>
    <row r="52" spans="2:3" x14ac:dyDescent="0.35">
      <c r="B52" s="107">
        <f t="shared" si="1"/>
        <v>44749</v>
      </c>
      <c r="C52" s="7" t="s">
        <v>152</v>
      </c>
    </row>
    <row r="53" spans="2:3" ht="15" thickBot="1" x14ac:dyDescent="0.4">
      <c r="B53" s="111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D26"/>
  <sheetViews>
    <sheetView showGridLines="0" zoomScale="85" zoomScaleNormal="85" workbookViewId="0">
      <selection activeCell="D31" sqref="D31"/>
    </sheetView>
  </sheetViews>
  <sheetFormatPr baseColWidth="10" defaultRowHeight="14.5" x14ac:dyDescent="0.35"/>
  <cols>
    <col min="2" max="2" width="14.81640625" style="91" customWidth="1"/>
    <col min="3" max="3" width="40.81640625" customWidth="1"/>
    <col min="4" max="4" width="16.54296875" customWidth="1"/>
  </cols>
  <sheetData>
    <row r="1" spans="2:4" ht="21" x14ac:dyDescent="0.35">
      <c r="B1" s="93" t="s">
        <v>189</v>
      </c>
      <c r="C1" s="92"/>
    </row>
    <row r="2" spans="2:4" ht="15" thickBot="1" x14ac:dyDescent="0.4"/>
    <row r="3" spans="2:4" ht="15" thickBot="1" x14ac:dyDescent="0.4">
      <c r="B3" s="101" t="s">
        <v>48</v>
      </c>
      <c r="C3" s="48" t="s">
        <v>46</v>
      </c>
    </row>
    <row r="4" spans="2:4" ht="29.25" customHeight="1" x14ac:dyDescent="0.35">
      <c r="B4" s="99">
        <v>44431</v>
      </c>
      <c r="C4" s="100" t="s">
        <v>188</v>
      </c>
    </row>
    <row r="5" spans="2:4" ht="29" x14ac:dyDescent="0.35">
      <c r="B5" s="94">
        <f t="shared" ref="B5:B26" si="0">B4+7</f>
        <v>44438</v>
      </c>
      <c r="C5" s="81" t="s">
        <v>187</v>
      </c>
    </row>
    <row r="6" spans="2:4" ht="29" x14ac:dyDescent="0.35">
      <c r="B6" s="94">
        <f t="shared" si="0"/>
        <v>44445</v>
      </c>
      <c r="C6" s="81" t="s">
        <v>186</v>
      </c>
    </row>
    <row r="7" spans="2:4" ht="29" x14ac:dyDescent="0.35">
      <c r="B7" s="94">
        <f t="shared" si="0"/>
        <v>44452</v>
      </c>
      <c r="C7" s="81" t="s">
        <v>185</v>
      </c>
    </row>
    <row r="8" spans="2:4" x14ac:dyDescent="0.35">
      <c r="B8" s="94">
        <f t="shared" si="0"/>
        <v>44459</v>
      </c>
      <c r="C8" s="81" t="s">
        <v>184</v>
      </c>
    </row>
    <row r="9" spans="2:4" x14ac:dyDescent="0.35">
      <c r="B9" s="94">
        <f t="shared" si="0"/>
        <v>44466</v>
      </c>
      <c r="C9" s="81" t="s">
        <v>184</v>
      </c>
    </row>
    <row r="10" spans="2:4" x14ac:dyDescent="0.35">
      <c r="B10" s="94">
        <f t="shared" si="0"/>
        <v>44473</v>
      </c>
      <c r="C10" s="81" t="s">
        <v>183</v>
      </c>
    </row>
    <row r="11" spans="2:4" x14ac:dyDescent="0.35">
      <c r="B11" s="95">
        <f t="shared" si="0"/>
        <v>44480</v>
      </c>
      <c r="C11" s="123" t="s">
        <v>36</v>
      </c>
    </row>
    <row r="12" spans="2:4" x14ac:dyDescent="0.35">
      <c r="B12" s="95">
        <f t="shared" si="0"/>
        <v>44487</v>
      </c>
      <c r="C12" s="123"/>
    </row>
    <row r="13" spans="2:4" x14ac:dyDescent="0.35">
      <c r="B13" s="94">
        <f t="shared" si="0"/>
        <v>44494</v>
      </c>
      <c r="C13" s="96" t="s">
        <v>182</v>
      </c>
    </row>
    <row r="14" spans="2:4" x14ac:dyDescent="0.35">
      <c r="B14" s="94">
        <f t="shared" si="0"/>
        <v>44501</v>
      </c>
      <c r="C14" s="96" t="s">
        <v>190</v>
      </c>
    </row>
    <row r="15" spans="2:4" x14ac:dyDescent="0.35">
      <c r="B15" s="102">
        <f t="shared" si="0"/>
        <v>44508</v>
      </c>
      <c r="C15" s="103" t="s">
        <v>181</v>
      </c>
      <c r="D15" t="s">
        <v>180</v>
      </c>
    </row>
    <row r="16" spans="2:4" x14ac:dyDescent="0.35">
      <c r="B16" s="94">
        <f t="shared" si="0"/>
        <v>44515</v>
      </c>
      <c r="C16" s="96" t="s">
        <v>179</v>
      </c>
    </row>
    <row r="17" spans="2:3" x14ac:dyDescent="0.35">
      <c r="B17" s="94">
        <f t="shared" si="0"/>
        <v>44522</v>
      </c>
      <c r="C17" s="96" t="s">
        <v>178</v>
      </c>
    </row>
    <row r="18" spans="2:3" x14ac:dyDescent="0.35">
      <c r="B18" s="94">
        <f t="shared" si="0"/>
        <v>44529</v>
      </c>
      <c r="C18" s="96" t="s">
        <v>178</v>
      </c>
    </row>
    <row r="19" spans="2:3" x14ac:dyDescent="0.35">
      <c r="B19" s="94">
        <f t="shared" si="0"/>
        <v>44536</v>
      </c>
      <c r="C19" s="96" t="s">
        <v>177</v>
      </c>
    </row>
    <row r="20" spans="2:3" x14ac:dyDescent="0.35">
      <c r="B20" s="94">
        <f t="shared" si="0"/>
        <v>44543</v>
      </c>
      <c r="C20" s="96" t="s">
        <v>177</v>
      </c>
    </row>
    <row r="21" spans="2:3" x14ac:dyDescent="0.35">
      <c r="B21" s="95">
        <f t="shared" si="0"/>
        <v>44550</v>
      </c>
      <c r="C21" s="124" t="s">
        <v>36</v>
      </c>
    </row>
    <row r="22" spans="2:3" x14ac:dyDescent="0.35">
      <c r="B22" s="95">
        <f t="shared" si="0"/>
        <v>44557</v>
      </c>
      <c r="C22" s="124"/>
    </row>
    <row r="23" spans="2:3" x14ac:dyDescent="0.35">
      <c r="B23" s="94">
        <f t="shared" si="0"/>
        <v>44564</v>
      </c>
      <c r="C23" s="96" t="s">
        <v>177</v>
      </c>
    </row>
    <row r="24" spans="2:3" x14ac:dyDescent="0.35">
      <c r="B24" s="94">
        <f t="shared" si="0"/>
        <v>44571</v>
      </c>
      <c r="C24" s="96" t="s">
        <v>177</v>
      </c>
    </row>
    <row r="25" spans="2:3" x14ac:dyDescent="0.35">
      <c r="B25" s="94">
        <f t="shared" si="0"/>
        <v>44578</v>
      </c>
      <c r="C25" s="96" t="s">
        <v>177</v>
      </c>
    </row>
    <row r="26" spans="2:3" ht="15" thickBot="1" x14ac:dyDescent="0.4">
      <c r="B26" s="97">
        <f t="shared" si="0"/>
        <v>44585</v>
      </c>
      <c r="C26" s="98" t="s">
        <v>176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tabSelected="1" zoomScaleNormal="100" workbookViewId="0">
      <selection activeCell="H32" sqref="H32"/>
    </sheetView>
  </sheetViews>
  <sheetFormatPr baseColWidth="10" defaultRowHeight="14.5" x14ac:dyDescent="0.35"/>
  <cols>
    <col min="2" max="2" width="12.7265625" customWidth="1"/>
    <col min="3" max="3" width="72.81640625" customWidth="1"/>
  </cols>
  <sheetData>
    <row r="1" spans="2:6" ht="35.25" customHeight="1" x14ac:dyDescent="0.6">
      <c r="B1" s="117" t="s">
        <v>195</v>
      </c>
    </row>
    <row r="2" spans="2:6" ht="15" thickBot="1" x14ac:dyDescent="0.4"/>
    <row r="3" spans="2:6" ht="15" thickBot="1" x14ac:dyDescent="0.4">
      <c r="B3" s="21" t="s">
        <v>48</v>
      </c>
      <c r="C3" s="19" t="s">
        <v>46</v>
      </c>
    </row>
    <row r="4" spans="2:6" x14ac:dyDescent="0.35">
      <c r="B4" s="109">
        <v>44596</v>
      </c>
      <c r="C4" s="15" t="s">
        <v>62</v>
      </c>
    </row>
    <row r="5" spans="2:6" x14ac:dyDescent="0.35">
      <c r="B5" s="68">
        <f t="shared" ref="B5:B27" si="0">B4+7</f>
        <v>44603</v>
      </c>
      <c r="C5" s="7" t="s">
        <v>61</v>
      </c>
    </row>
    <row r="6" spans="2:6" x14ac:dyDescent="0.35">
      <c r="B6" s="68">
        <f t="shared" si="0"/>
        <v>44610</v>
      </c>
      <c r="C6" s="7"/>
    </row>
    <row r="7" spans="2:6" x14ac:dyDescent="0.35">
      <c r="B7" s="69">
        <f t="shared" si="0"/>
        <v>44617</v>
      </c>
      <c r="C7" s="58" t="s">
        <v>36</v>
      </c>
    </row>
    <row r="8" spans="2:6" x14ac:dyDescent="0.35">
      <c r="B8" s="69">
        <f t="shared" si="0"/>
        <v>44624</v>
      </c>
      <c r="C8" s="58" t="s">
        <v>36</v>
      </c>
    </row>
    <row r="9" spans="2:6" x14ac:dyDescent="0.35">
      <c r="B9" s="68">
        <f t="shared" si="0"/>
        <v>44631</v>
      </c>
      <c r="C9" s="119" t="s">
        <v>213</v>
      </c>
    </row>
    <row r="10" spans="2:6" x14ac:dyDescent="0.35">
      <c r="B10" s="107">
        <f t="shared" si="0"/>
        <v>44638</v>
      </c>
      <c r="C10" s="7"/>
    </row>
    <row r="11" spans="2:6" x14ac:dyDescent="0.35">
      <c r="B11" s="68">
        <f t="shared" si="0"/>
        <v>44645</v>
      </c>
      <c r="C11" s="7"/>
    </row>
    <row r="12" spans="2:6" x14ac:dyDescent="0.35">
      <c r="B12" s="68">
        <f t="shared" si="0"/>
        <v>44652</v>
      </c>
      <c r="C12" s="119" t="s">
        <v>214</v>
      </c>
    </row>
    <row r="13" spans="2:6" x14ac:dyDescent="0.35">
      <c r="B13" s="68">
        <f t="shared" si="0"/>
        <v>44659</v>
      </c>
      <c r="C13" s="89" t="s">
        <v>28</v>
      </c>
    </row>
    <row r="14" spans="2:6" x14ac:dyDescent="0.35">
      <c r="B14" s="69">
        <f t="shared" si="0"/>
        <v>44666</v>
      </c>
      <c r="C14" s="58" t="s">
        <v>127</v>
      </c>
    </row>
    <row r="15" spans="2:6" x14ac:dyDescent="0.35">
      <c r="B15" s="69">
        <f t="shared" si="0"/>
        <v>44673</v>
      </c>
      <c r="C15" s="58" t="s">
        <v>36</v>
      </c>
    </row>
    <row r="16" spans="2:6" x14ac:dyDescent="0.35">
      <c r="B16" s="69">
        <f t="shared" si="0"/>
        <v>44680</v>
      </c>
      <c r="C16" s="58" t="s">
        <v>36</v>
      </c>
      <c r="F16" s="120"/>
    </row>
    <row r="17" spans="2:6" x14ac:dyDescent="0.35">
      <c r="B17" s="68">
        <f t="shared" si="0"/>
        <v>44687</v>
      </c>
      <c r="C17" s="119" t="s">
        <v>215</v>
      </c>
      <c r="F17" s="121"/>
    </row>
    <row r="18" spans="2:6" x14ac:dyDescent="0.35">
      <c r="B18" s="68">
        <f t="shared" si="0"/>
        <v>44694</v>
      </c>
      <c r="C18" s="7"/>
      <c r="F18" s="121"/>
    </row>
    <row r="19" spans="2:6" x14ac:dyDescent="0.35">
      <c r="B19" s="107">
        <f t="shared" si="0"/>
        <v>44701</v>
      </c>
      <c r="C19" s="89" t="s">
        <v>28</v>
      </c>
      <c r="F19" s="122"/>
    </row>
    <row r="20" spans="2:6" x14ac:dyDescent="0.35">
      <c r="B20" s="69">
        <f t="shared" si="0"/>
        <v>44708</v>
      </c>
      <c r="C20" s="58" t="s">
        <v>73</v>
      </c>
      <c r="F20" s="122"/>
    </row>
    <row r="21" spans="2:6" x14ac:dyDescent="0.35">
      <c r="B21" s="68">
        <f t="shared" si="0"/>
        <v>44715</v>
      </c>
      <c r="C21" s="119" t="s">
        <v>216</v>
      </c>
    </row>
    <row r="22" spans="2:6" x14ac:dyDescent="0.35">
      <c r="B22" s="68">
        <f t="shared" si="0"/>
        <v>44722</v>
      </c>
      <c r="C22" s="7"/>
    </row>
    <row r="23" spans="2:6" x14ac:dyDescent="0.35">
      <c r="B23" s="68">
        <f t="shared" si="0"/>
        <v>44729</v>
      </c>
      <c r="C23" s="7"/>
    </row>
    <row r="24" spans="2:6" x14ac:dyDescent="0.35">
      <c r="B24" s="68">
        <f t="shared" si="0"/>
        <v>44736</v>
      </c>
      <c r="C24" s="119" t="s">
        <v>212</v>
      </c>
    </row>
    <row r="25" spans="2:6" x14ac:dyDescent="0.35">
      <c r="B25" s="107">
        <f t="shared" si="0"/>
        <v>44743</v>
      </c>
      <c r="C25" s="89" t="s">
        <v>220</v>
      </c>
    </row>
    <row r="26" spans="2:6" x14ac:dyDescent="0.35">
      <c r="B26" s="68">
        <f t="shared" si="0"/>
        <v>44750</v>
      </c>
      <c r="C26" s="71"/>
    </row>
    <row r="27" spans="2:6" ht="15" thickBot="1" x14ac:dyDescent="0.4">
      <c r="B27" s="70">
        <f t="shared" si="0"/>
        <v>44757</v>
      </c>
      <c r="C27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F20" sqref="F20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117" t="s">
        <v>194</v>
      </c>
    </row>
    <row r="2" spans="2:3" ht="15" thickBot="1" x14ac:dyDescent="0.4"/>
    <row r="3" spans="2:3" ht="15" thickBot="1" x14ac:dyDescent="0.4">
      <c r="B3" s="21" t="s">
        <v>48</v>
      </c>
      <c r="C3" s="19" t="s">
        <v>46</v>
      </c>
    </row>
    <row r="4" spans="2:3" x14ac:dyDescent="0.35">
      <c r="B4" s="109">
        <v>44595</v>
      </c>
      <c r="C4" s="15" t="s">
        <v>95</v>
      </c>
    </row>
    <row r="5" spans="2:3" x14ac:dyDescent="0.35">
      <c r="B5" s="69">
        <f t="shared" ref="B5:B27" si="0">B4+7</f>
        <v>44602</v>
      </c>
      <c r="C5" s="58" t="s">
        <v>200</v>
      </c>
    </row>
    <row r="6" spans="2:3" x14ac:dyDescent="0.35">
      <c r="B6" s="68">
        <f t="shared" si="0"/>
        <v>44609</v>
      </c>
      <c r="C6" s="7" t="s">
        <v>202</v>
      </c>
    </row>
    <row r="7" spans="2:3" x14ac:dyDescent="0.35">
      <c r="B7" s="69">
        <f t="shared" si="0"/>
        <v>44616</v>
      </c>
      <c r="C7" s="58" t="s">
        <v>36</v>
      </c>
    </row>
    <row r="8" spans="2:3" x14ac:dyDescent="0.35">
      <c r="B8" s="69">
        <f t="shared" si="0"/>
        <v>44623</v>
      </c>
      <c r="C8" s="58" t="s">
        <v>36</v>
      </c>
    </row>
    <row r="9" spans="2:3" x14ac:dyDescent="0.35">
      <c r="B9" s="68">
        <f t="shared" si="0"/>
        <v>44630</v>
      </c>
      <c r="C9" s="7" t="s">
        <v>201</v>
      </c>
    </row>
    <row r="10" spans="2:3" x14ac:dyDescent="0.35">
      <c r="B10" s="68">
        <f t="shared" si="0"/>
        <v>44637</v>
      </c>
      <c r="C10" s="11" t="s">
        <v>28</v>
      </c>
    </row>
    <row r="11" spans="2:3" x14ac:dyDescent="0.35">
      <c r="B11" s="68">
        <f t="shared" si="0"/>
        <v>44644</v>
      </c>
      <c r="C11" s="7" t="s">
        <v>204</v>
      </c>
    </row>
    <row r="12" spans="2:3" x14ac:dyDescent="0.35">
      <c r="B12" s="68">
        <f t="shared" si="0"/>
        <v>44651</v>
      </c>
      <c r="C12" s="7" t="s">
        <v>203</v>
      </c>
    </row>
    <row r="13" spans="2:3" x14ac:dyDescent="0.35">
      <c r="B13" s="68">
        <f t="shared" si="0"/>
        <v>44658</v>
      </c>
      <c r="C13" s="7" t="s">
        <v>205</v>
      </c>
    </row>
    <row r="14" spans="2:3" x14ac:dyDescent="0.35">
      <c r="B14" s="68">
        <f t="shared" si="0"/>
        <v>44665</v>
      </c>
      <c r="C14" s="7" t="s">
        <v>196</v>
      </c>
    </row>
    <row r="15" spans="2:3" x14ac:dyDescent="0.35">
      <c r="B15" s="69">
        <f t="shared" si="0"/>
        <v>44672</v>
      </c>
      <c r="C15" s="58" t="s">
        <v>36</v>
      </c>
    </row>
    <row r="16" spans="2:3" x14ac:dyDescent="0.35">
      <c r="B16" s="69">
        <f t="shared" si="0"/>
        <v>44679</v>
      </c>
      <c r="C16" s="58" t="s">
        <v>36</v>
      </c>
    </row>
    <row r="17" spans="2:3" x14ac:dyDescent="0.35">
      <c r="B17" s="68">
        <f t="shared" si="0"/>
        <v>44686</v>
      </c>
      <c r="C17" s="11" t="s">
        <v>28</v>
      </c>
    </row>
    <row r="18" spans="2:3" x14ac:dyDescent="0.35">
      <c r="B18" s="68">
        <f t="shared" si="0"/>
        <v>44693</v>
      </c>
      <c r="C18" s="7" t="s">
        <v>102</v>
      </c>
    </row>
    <row r="19" spans="2:3" x14ac:dyDescent="0.35">
      <c r="B19" s="68">
        <f t="shared" si="0"/>
        <v>44700</v>
      </c>
      <c r="C19" s="116" t="s">
        <v>103</v>
      </c>
    </row>
    <row r="20" spans="2:3" x14ac:dyDescent="0.35">
      <c r="B20" s="69">
        <f t="shared" si="0"/>
        <v>44707</v>
      </c>
      <c r="C20" s="58" t="s">
        <v>73</v>
      </c>
    </row>
    <row r="21" spans="2:3" x14ac:dyDescent="0.35">
      <c r="B21" s="68">
        <f t="shared" si="0"/>
        <v>44714</v>
      </c>
      <c r="C21" s="7" t="s">
        <v>197</v>
      </c>
    </row>
    <row r="22" spans="2:3" x14ac:dyDescent="0.35">
      <c r="B22" s="68">
        <f t="shared" si="0"/>
        <v>44721</v>
      </c>
      <c r="C22" s="7" t="s">
        <v>198</v>
      </c>
    </row>
    <row r="23" spans="2:3" x14ac:dyDescent="0.35">
      <c r="B23" s="68">
        <f t="shared" si="0"/>
        <v>44728</v>
      </c>
      <c r="C23" s="7" t="s">
        <v>199</v>
      </c>
    </row>
    <row r="24" spans="2:3" x14ac:dyDescent="0.35">
      <c r="B24" s="68">
        <f t="shared" si="0"/>
        <v>44735</v>
      </c>
      <c r="C24" s="7" t="s">
        <v>106</v>
      </c>
    </row>
    <row r="25" spans="2:3" x14ac:dyDescent="0.35">
      <c r="B25" s="68">
        <f t="shared" si="0"/>
        <v>44742</v>
      </c>
      <c r="C25" s="89" t="s">
        <v>28</v>
      </c>
    </row>
    <row r="26" spans="2:3" x14ac:dyDescent="0.35">
      <c r="B26" s="68">
        <f t="shared" si="0"/>
        <v>44749</v>
      </c>
      <c r="C26" s="7" t="s">
        <v>107</v>
      </c>
    </row>
    <row r="27" spans="2:3" ht="15" thickBot="1" x14ac:dyDescent="0.4">
      <c r="B27" s="70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  <vt:lpstr>22_Semesterprogramm_M164</vt:lpstr>
      <vt:lpstr>22_Semesterprogramm_M319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2021-11-18T07:41:25Z</cp:lastPrinted>
  <dcterms:created xsi:type="dcterms:W3CDTF">2019-08-07T07:33:56Z</dcterms:created>
  <dcterms:modified xsi:type="dcterms:W3CDTF">2022-06-11T06:56:34Z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