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3B68F604-C480-463A-A0F9-D8AEDBCBA9DD}" xr6:coauthVersionLast="47" xr6:coauthVersionMax="47" xr10:uidLastSave="{00000000-0000-0000-0000-000000000000}"/>
  <bookViews>
    <workbookView xWindow="-60" yWindow="-18120" windowWidth="29040" windowHeight="18240" tabRatio="820" firstSheet="15" activeTab="17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ath" sheetId="16" r:id="rId13"/>
    <sheet name="23_24_Semesterprogramm_M164" sheetId="15" r:id="rId14"/>
    <sheet name="23_24_Semesterprogramm_M319" sheetId="14" r:id="rId15"/>
    <sheet name="24_25_Semesterprogramm_M162" sheetId="10" r:id="rId16"/>
    <sheet name="24_25_Semesterprogramm_M231" sheetId="17" r:id="rId17"/>
    <sheet name="24_25_Semesterprogramm_Info" sheetId="20" r:id="rId18"/>
    <sheet name="24_25_Semesterprogramm_M164" sheetId="18" r:id="rId19"/>
    <sheet name="24_25_Semesterprogramm_M319" sheetId="19" r:id="rId20"/>
  </sheets>
  <functionGroups builtInGroupCount="19"/>
  <externalReferences>
    <externalReference r:id="rId21"/>
    <externalReference r:id="rId22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3">[1]Sektoren!#REF!</definedName>
    <definedName name="aa" localSheetId="14">[1]Sektoren!#REF!</definedName>
    <definedName name="aa" localSheetId="12">[1]Sektoren!#REF!</definedName>
    <definedName name="aa" localSheetId="17">[1]Sektoren!#REF!</definedName>
    <definedName name="aa" localSheetId="15">[1]Sektoren!#REF!</definedName>
    <definedName name="aa" localSheetId="18">[1]Sektoren!#REF!</definedName>
    <definedName name="aa" localSheetId="16">[1]Sektoren!#REF!</definedName>
    <definedName name="aa" localSheetId="19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3">[1]Sektoren!#REF!</definedName>
    <definedName name="aaaa" localSheetId="14">[1]Sektoren!#REF!</definedName>
    <definedName name="aaaa" localSheetId="12">[1]Sektoren!#REF!</definedName>
    <definedName name="aaaa" localSheetId="17">[1]Sektoren!#REF!</definedName>
    <definedName name="aaaa" localSheetId="15">[1]Sektoren!#REF!</definedName>
    <definedName name="aaaa" localSheetId="18">[1]Sektoren!#REF!</definedName>
    <definedName name="aaaa" localSheetId="16">[1]Sektoren!#REF!</definedName>
    <definedName name="aaaa" localSheetId="19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3">[2]Kreisbogen!#REF!</definedName>
    <definedName name="aassssss" localSheetId="14">[2]Kreisbogen!#REF!</definedName>
    <definedName name="aassssss" localSheetId="12">[2]Kreisbogen!#REF!</definedName>
    <definedName name="aassssss" localSheetId="17">[2]Kreisbogen!#REF!</definedName>
    <definedName name="aassssss" localSheetId="15">[2]Kreisbogen!#REF!</definedName>
    <definedName name="aassssss" localSheetId="18">[2]Kreisbogen!#REF!</definedName>
    <definedName name="aassssss" localSheetId="16">[2]Kreisbogen!#REF!</definedName>
    <definedName name="aassssss" localSheetId="19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3">#REF!</definedName>
    <definedName name="days" localSheetId="14">#REF!</definedName>
    <definedName name="days" localSheetId="12">#REF!</definedName>
    <definedName name="days" localSheetId="17">#REF!</definedName>
    <definedName name="days" localSheetId="15">#REF!</definedName>
    <definedName name="days" localSheetId="18">#REF!</definedName>
    <definedName name="days" localSheetId="16">#REF!</definedName>
    <definedName name="days" localSheetId="19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3">#REF!</definedName>
    <definedName name="eeeeeeeee" localSheetId="14">#REF!</definedName>
    <definedName name="eeeeeeeee" localSheetId="12">#REF!</definedName>
    <definedName name="eeeeeeeee" localSheetId="17">#REF!</definedName>
    <definedName name="eeeeeeeee" localSheetId="15">#REF!</definedName>
    <definedName name="eeeeeeeee" localSheetId="18">#REF!</definedName>
    <definedName name="eeeeeeeee" localSheetId="16">#REF!</definedName>
    <definedName name="eeeeeeeee" localSheetId="19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3">[2]Kreisbogen!#REF!</definedName>
    <definedName name="qqq" localSheetId="14">[2]Kreisbogen!#REF!</definedName>
    <definedName name="qqq" localSheetId="12">[2]Kreisbogen!#REF!</definedName>
    <definedName name="qqq" localSheetId="17">[2]Kreisbogen!#REF!</definedName>
    <definedName name="qqq" localSheetId="15">[2]Kreisbogen!#REF!</definedName>
    <definedName name="qqq" localSheetId="18">[2]Kreisbogen!#REF!</definedName>
    <definedName name="qqq" localSheetId="16">[2]Kreisbogen!#REF!</definedName>
    <definedName name="qqq" localSheetId="19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3">#REF!</definedName>
    <definedName name="rates" localSheetId="14">#REF!</definedName>
    <definedName name="rates" localSheetId="12">#REF!</definedName>
    <definedName name="rates" localSheetId="17">#REF!</definedName>
    <definedName name="rates" localSheetId="15">#REF!</definedName>
    <definedName name="rates" localSheetId="18">#REF!</definedName>
    <definedName name="rates" localSheetId="16">#REF!</definedName>
    <definedName name="rates" localSheetId="19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3">#REF!</definedName>
    <definedName name="rrrr" localSheetId="14">#REF!</definedName>
    <definedName name="rrrr" localSheetId="12">#REF!</definedName>
    <definedName name="rrrr" localSheetId="17">#REF!</definedName>
    <definedName name="rrrr" localSheetId="15">#REF!</definedName>
    <definedName name="rrrr" localSheetId="18">#REF!</definedName>
    <definedName name="rrrr" localSheetId="16">#REF!</definedName>
    <definedName name="rrrr" localSheetId="19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3">#REF!</definedName>
    <definedName name="ssss" localSheetId="14">#REF!</definedName>
    <definedName name="ssss" localSheetId="12">#REF!</definedName>
    <definedName name="ssss" localSheetId="17">#REF!</definedName>
    <definedName name="ssss" localSheetId="15">#REF!</definedName>
    <definedName name="ssss" localSheetId="18">#REF!</definedName>
    <definedName name="ssss" localSheetId="16">#REF!</definedName>
    <definedName name="ssss" localSheetId="19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3">#REF!</definedName>
    <definedName name="tocFctGraph" localSheetId="14">#REF!</definedName>
    <definedName name="tocFctGraph" localSheetId="12">#REF!</definedName>
    <definedName name="tocFctGraph" localSheetId="17">#REF!</definedName>
    <definedName name="tocFctGraph" localSheetId="15">#REF!</definedName>
    <definedName name="tocFctGraph" localSheetId="18">#REF!</definedName>
    <definedName name="tocFctGraph" localSheetId="16">#REF!</definedName>
    <definedName name="tocFctGraph" localSheetId="19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3">#REF!</definedName>
    <definedName name="tocLinearFct" localSheetId="14">#REF!</definedName>
    <definedName name="tocLinearFct" localSheetId="12">#REF!</definedName>
    <definedName name="tocLinearFct" localSheetId="17">#REF!</definedName>
    <definedName name="tocLinearFct" localSheetId="15">#REF!</definedName>
    <definedName name="tocLinearFct" localSheetId="18">#REF!</definedName>
    <definedName name="tocLinearFct" localSheetId="16">#REF!</definedName>
    <definedName name="tocLinearFct" localSheetId="19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3">#REF!</definedName>
    <definedName name="tocNormberechnung" localSheetId="14">#REF!</definedName>
    <definedName name="tocNormberechnung" localSheetId="12">#REF!</definedName>
    <definedName name="tocNormberechnung" localSheetId="17">#REF!</definedName>
    <definedName name="tocNormberechnung" localSheetId="15">#REF!</definedName>
    <definedName name="tocNormberechnung" localSheetId="18">#REF!</definedName>
    <definedName name="tocNormberechnung" localSheetId="16">#REF!</definedName>
    <definedName name="tocNormberechnung" localSheetId="19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3">#REF!</definedName>
    <definedName name="tocRGBCalc" localSheetId="14">#REF!</definedName>
    <definedName name="tocRGBCalc" localSheetId="12">#REF!</definedName>
    <definedName name="tocRGBCalc" localSheetId="17">#REF!</definedName>
    <definedName name="tocRGBCalc" localSheetId="15">#REF!</definedName>
    <definedName name="tocRGBCalc" localSheetId="18">#REF!</definedName>
    <definedName name="tocRGBCalc" localSheetId="16">#REF!</definedName>
    <definedName name="tocRGBCalc" localSheetId="19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3">#REF!</definedName>
    <definedName name="ttttttt" localSheetId="14">#REF!</definedName>
    <definedName name="ttttttt" localSheetId="12">#REF!</definedName>
    <definedName name="ttttttt" localSheetId="17">#REF!</definedName>
    <definedName name="ttttttt" localSheetId="15">#REF!</definedName>
    <definedName name="ttttttt" localSheetId="18">#REF!</definedName>
    <definedName name="ttttttt" localSheetId="16">#REF!</definedName>
    <definedName name="ttttttt" localSheetId="19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3">#REF!</definedName>
    <definedName name="uu" localSheetId="14">#REF!</definedName>
    <definedName name="uu" localSheetId="12">#REF!</definedName>
    <definedName name="uu" localSheetId="17">#REF!</definedName>
    <definedName name="uu" localSheetId="15">#REF!</definedName>
    <definedName name="uu" localSheetId="18">#REF!</definedName>
    <definedName name="uu" localSheetId="16">#REF!</definedName>
    <definedName name="uu" localSheetId="19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3">#REF!</definedName>
    <definedName name="uuuuuuuu" localSheetId="14">#REF!</definedName>
    <definedName name="uuuuuuuu" localSheetId="12">#REF!</definedName>
    <definedName name="uuuuuuuu" localSheetId="17">#REF!</definedName>
    <definedName name="uuuuuuuu" localSheetId="15">#REF!</definedName>
    <definedName name="uuuuuuuu" localSheetId="18">#REF!</definedName>
    <definedName name="uuuuuuuu" localSheetId="16">#REF!</definedName>
    <definedName name="uuuuuuuu" localSheetId="19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3">[1]Sektoren!#REF!</definedName>
    <definedName name="x" localSheetId="14">[1]Sektoren!#REF!</definedName>
    <definedName name="x" localSheetId="12">[1]Sektoren!#REF!</definedName>
    <definedName name="x" localSheetId="17">[1]Sektoren!#REF!</definedName>
    <definedName name="x" localSheetId="15">[1]Sektoren!#REF!</definedName>
    <definedName name="x" localSheetId="18">[1]Sektoren!#REF!</definedName>
    <definedName name="x" localSheetId="16">[1]Sektoren!#REF!</definedName>
    <definedName name="x" localSheetId="19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3">#REF!</definedName>
    <definedName name="xxxxx" localSheetId="14">#REF!</definedName>
    <definedName name="xxxxx" localSheetId="12">#REF!</definedName>
    <definedName name="xxxxx" localSheetId="17">#REF!</definedName>
    <definedName name="xxxxx" localSheetId="15">#REF!</definedName>
    <definedName name="xxxxx" localSheetId="18">#REF!</definedName>
    <definedName name="xxxxx" localSheetId="16">#REF!</definedName>
    <definedName name="xxxxx" localSheetId="19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3">[1]Sektoren!#REF!</definedName>
    <definedName name="xxxxxxxx" localSheetId="14">[1]Sektoren!#REF!</definedName>
    <definedName name="xxxxxxxx" localSheetId="12">[1]Sektoren!#REF!</definedName>
    <definedName name="xxxxxxxx" localSheetId="17">[1]Sektoren!#REF!</definedName>
    <definedName name="xxxxxxxx" localSheetId="15">[1]Sektoren!#REF!</definedName>
    <definedName name="xxxxxxxx" localSheetId="18">[1]Sektoren!#REF!</definedName>
    <definedName name="xxxxxxxx" localSheetId="16">[1]Sektoren!#REF!</definedName>
    <definedName name="xxxxxxxx" localSheetId="19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3">#REF!</definedName>
    <definedName name="xxxxxxxxx" localSheetId="14">#REF!</definedName>
    <definedName name="xxxxxxxxx" localSheetId="12">#REF!</definedName>
    <definedName name="xxxxxxxxx" localSheetId="17">#REF!</definedName>
    <definedName name="xxxxxxxxx" localSheetId="15">#REF!</definedName>
    <definedName name="xxxxxxxxx" localSheetId="18">#REF!</definedName>
    <definedName name="xxxxxxxxx" localSheetId="16">#REF!</definedName>
    <definedName name="xxxxxxxxx" localSheetId="19">#REF!</definedName>
    <definedName name="xxxxxxxxx">#REF!</definedName>
    <definedName name="yyy" localSheetId="10">#REF!</definedName>
    <definedName name="yyy" localSheetId="13">#REF!</definedName>
    <definedName name="yyy" localSheetId="14">#REF!</definedName>
    <definedName name="yyy" localSheetId="12">#REF!</definedName>
    <definedName name="yyy" localSheetId="17">#REF!</definedName>
    <definedName name="yyy" localSheetId="18">#REF!</definedName>
    <definedName name="yyy" localSheetId="19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3">#REF!</definedName>
    <definedName name="zzzzzzzzzzz" localSheetId="14">#REF!</definedName>
    <definedName name="zzzzzzzzzzz" localSheetId="12">#REF!</definedName>
    <definedName name="zzzzzzzzzzz" localSheetId="17">#REF!</definedName>
    <definedName name="zzzzzzzzzzz" localSheetId="15">#REF!</definedName>
    <definedName name="zzzzzzzzzzz" localSheetId="18">#REF!</definedName>
    <definedName name="zzzzzzzzzzz" localSheetId="16">#REF!</definedName>
    <definedName name="zzzzzzzzzzz" localSheetId="19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6" i="20" l="1"/>
  <c r="E37" i="20" s="1"/>
  <c r="E35" i="20"/>
  <c r="D35" i="20"/>
  <c r="D36" i="20" s="1"/>
  <c r="C35" i="20"/>
  <c r="B35" i="20"/>
  <c r="C34" i="20"/>
  <c r="B34" i="20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E5" i="19"/>
  <c r="D5" i="19"/>
  <c r="B4" i="19"/>
  <c r="C4" i="19"/>
  <c r="B5" i="19"/>
  <c r="C5" i="19"/>
  <c r="B6" i="19"/>
  <c r="C6" i="19"/>
  <c r="D5" i="18"/>
  <c r="B27" i="18"/>
  <c r="D27" i="18"/>
  <c r="E27" i="18"/>
  <c r="C27" i="18" s="1"/>
  <c r="E6" i="20"/>
  <c r="E7" i="20" s="1"/>
  <c r="D6" i="20"/>
  <c r="D7" i="20" s="1"/>
  <c r="B7" i="20" s="1"/>
  <c r="B6" i="20"/>
  <c r="C5" i="20"/>
  <c r="B5" i="20"/>
  <c r="E5" i="18"/>
  <c r="E6" i="18" s="1"/>
  <c r="C6" i="18" s="1"/>
  <c r="D6" i="18"/>
  <c r="B6" i="18" s="1"/>
  <c r="C5" i="18"/>
  <c r="B5" i="18"/>
  <c r="C4" i="18"/>
  <c r="B4" i="18"/>
  <c r="E5" i="17"/>
  <c r="E6" i="17" s="1"/>
  <c r="D5" i="17"/>
  <c r="B5" i="17" s="1"/>
  <c r="C5" i="17"/>
  <c r="C4" i="17"/>
  <c r="B4" i="17"/>
  <c r="C8" i="10"/>
  <c r="C10" i="10"/>
  <c r="C15" i="10"/>
  <c r="C16" i="10"/>
  <c r="C22" i="10"/>
  <c r="C5" i="10"/>
  <c r="B5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B27" i="10" s="1"/>
  <c r="B31" i="20"/>
  <c r="B20" i="15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K6" i="17"/>
  <c r="K5" i="17"/>
  <c r="L5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E6" i="10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C27" i="10" s="1"/>
  <c r="D37" i="20" l="1"/>
  <c r="B36" i="20"/>
  <c r="C37" i="20"/>
  <c r="E38" i="20"/>
  <c r="C36" i="20"/>
  <c r="C7" i="19"/>
  <c r="B7" i="19"/>
  <c r="C7" i="20"/>
  <c r="E8" i="20"/>
  <c r="C6" i="20"/>
  <c r="D8" i="20"/>
  <c r="B23" i="10"/>
  <c r="B16" i="10"/>
  <c r="C21" i="10"/>
  <c r="B15" i="10"/>
  <c r="B7" i="10"/>
  <c r="C20" i="10"/>
  <c r="C26" i="10"/>
  <c r="C19" i="10"/>
  <c r="C11" i="10"/>
  <c r="B8" i="10"/>
  <c r="C14" i="10"/>
  <c r="B20" i="10"/>
  <c r="B12" i="10"/>
  <c r="C24" i="10"/>
  <c r="B19" i="10"/>
  <c r="B11" i="10"/>
  <c r="B24" i="10"/>
  <c r="D7" i="18"/>
  <c r="E7" i="18"/>
  <c r="D6" i="17"/>
  <c r="B6" i="17" s="1"/>
  <c r="C6" i="17"/>
  <c r="E7" i="17"/>
  <c r="D7" i="17"/>
  <c r="C25" i="10"/>
  <c r="C9" i="10"/>
  <c r="C13" i="10"/>
  <c r="C18" i="10"/>
  <c r="C12" i="10"/>
  <c r="C7" i="10"/>
  <c r="C23" i="10"/>
  <c r="C17" i="10"/>
  <c r="C6" i="10"/>
  <c r="B6" i="10"/>
  <c r="B26" i="10"/>
  <c r="B22" i="10"/>
  <c r="B18" i="10"/>
  <c r="B14" i="10"/>
  <c r="B10" i="10"/>
  <c r="B25" i="10"/>
  <c r="B21" i="10"/>
  <c r="B17" i="10"/>
  <c r="B13" i="10"/>
  <c r="B9" i="10"/>
  <c r="B21" i="15"/>
  <c r="B22" i="15" s="1"/>
  <c r="B23" i="15" s="1"/>
  <c r="B24" i="15" s="1"/>
  <c r="B25" i="15" s="1"/>
  <c r="B26" i="15" s="1"/>
  <c r="B27" i="15" s="1"/>
  <c r="B6" i="13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E39" i="20" l="1"/>
  <c r="C38" i="20"/>
  <c r="B37" i="20"/>
  <c r="D38" i="20"/>
  <c r="B8" i="19"/>
  <c r="C8" i="19"/>
  <c r="B8" i="20"/>
  <c r="D9" i="20"/>
  <c r="E9" i="20"/>
  <c r="C8" i="20"/>
  <c r="B7" i="18"/>
  <c r="D8" i="18"/>
  <c r="E8" i="18"/>
  <c r="C7" i="18"/>
  <c r="B7" i="17"/>
  <c r="D8" i="17"/>
  <c r="E8" i="17"/>
  <c r="C7" i="17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D39" i="20" l="1"/>
  <c r="B38" i="20"/>
  <c r="C39" i="20"/>
  <c r="E40" i="20"/>
  <c r="C9" i="19"/>
  <c r="B9" i="19"/>
  <c r="E10" i="20"/>
  <c r="C9" i="20"/>
  <c r="B9" i="20"/>
  <c r="D10" i="20"/>
  <c r="B8" i="18"/>
  <c r="D9" i="18"/>
  <c r="C8" i="18"/>
  <c r="E9" i="18"/>
  <c r="C8" i="17"/>
  <c r="E9" i="17"/>
  <c r="B8" i="17"/>
  <c r="D9" i="17"/>
  <c r="B30" i="7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9" i="8"/>
  <c r="B5" i="9"/>
  <c r="B27" i="8"/>
  <c r="B27" i="9"/>
  <c r="B11" i="9"/>
  <c r="B7" i="8"/>
  <c r="B4" i="9"/>
  <c r="B20" i="9"/>
  <c r="B9" i="8"/>
  <c r="B25" i="8"/>
  <c r="B21" i="8"/>
  <c r="B14" i="9"/>
  <c r="B8" i="9"/>
  <c r="B20" i="8"/>
  <c r="B12" i="9"/>
  <c r="B8" i="8"/>
  <c r="B13" i="8"/>
  <c r="B6" i="9"/>
  <c r="B13" i="9"/>
  <c r="B23" i="8"/>
  <c r="B10" i="9"/>
  <c r="B21" i="9"/>
  <c r="B15" i="8"/>
  <c r="B26" i="9"/>
  <c r="B12" i="8"/>
  <c r="B16" i="8"/>
  <c r="B19" i="9"/>
  <c r="B17" i="9"/>
  <c r="B23" i="9"/>
  <c r="B10" i="8"/>
  <c r="B17" i="8"/>
  <c r="B6" i="8"/>
  <c r="B14" i="8"/>
  <c r="B24" i="9"/>
  <c r="B26" i="8"/>
  <c r="B18" i="8"/>
  <c r="B15" i="9"/>
  <c r="B22" i="9"/>
  <c r="B24" i="8"/>
  <c r="B18" i="9"/>
  <c r="B16" i="9"/>
  <c r="B7" i="9"/>
  <c r="B9" i="9"/>
  <c r="B22" i="8"/>
  <c r="B11" i="8"/>
  <c r="B5" i="8"/>
  <c r="B4" i="8"/>
  <c r="B25" i="9"/>
  <c r="E41" i="20" l="1"/>
  <c r="C40" i="20"/>
  <c r="B39" i="20"/>
  <c r="D40" i="20"/>
  <c r="B10" i="19"/>
  <c r="C10" i="19"/>
  <c r="D11" i="20"/>
  <c r="B10" i="20"/>
  <c r="E11" i="20"/>
  <c r="C10" i="20"/>
  <c r="B9" i="18"/>
  <c r="D10" i="18"/>
  <c r="C9" i="18"/>
  <c r="E10" i="18"/>
  <c r="B9" i="17"/>
  <c r="D10" i="17"/>
  <c r="E10" i="17"/>
  <c r="C9" i="17"/>
  <c r="H9" i="5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D41" i="20" l="1"/>
  <c r="B40" i="20"/>
  <c r="C41" i="20"/>
  <c r="E42" i="20"/>
  <c r="C11" i="19"/>
  <c r="B11" i="19"/>
  <c r="E12" i="20"/>
  <c r="C11" i="20"/>
  <c r="B11" i="20"/>
  <c r="D12" i="20"/>
  <c r="C10" i="18"/>
  <c r="E11" i="18"/>
  <c r="B10" i="18"/>
  <c r="D11" i="18"/>
  <c r="C10" i="17"/>
  <c r="E11" i="17"/>
  <c r="B10" i="17"/>
  <c r="D11" i="17"/>
  <c r="I6" i="5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7" i="3"/>
  <c r="B20" i="2"/>
  <c r="B24" i="2"/>
  <c r="B26" i="2"/>
  <c r="B12" i="3"/>
  <c r="B6" i="2"/>
  <c r="B26" i="3"/>
  <c r="B7" i="3"/>
  <c r="B16" i="3"/>
  <c r="B25" i="3"/>
  <c r="B19" i="2"/>
  <c r="B23" i="3"/>
  <c r="B13" i="2"/>
  <c r="B22" i="3"/>
  <c r="B23" i="2"/>
  <c r="B4" i="3"/>
  <c r="B5" i="3"/>
  <c r="B21" i="3"/>
  <c r="B21" i="2"/>
  <c r="B25" i="2"/>
  <c r="B10" i="3"/>
  <c r="B6" i="3"/>
  <c r="B8" i="3"/>
  <c r="B17" i="3"/>
  <c r="B8" i="2"/>
  <c r="B16" i="2"/>
  <c r="B12" i="2"/>
  <c r="B14" i="3"/>
  <c r="B11" i="2"/>
  <c r="B14" i="2"/>
  <c r="B18" i="2"/>
  <c r="B5" i="2"/>
  <c r="B13" i="3"/>
  <c r="B17" i="2"/>
  <c r="B11" i="3"/>
  <c r="B10" i="2"/>
  <c r="B18" i="3"/>
  <c r="B24" i="3"/>
  <c r="B15" i="2"/>
  <c r="B15" i="3"/>
  <c r="B7" i="2"/>
  <c r="B27" i="2"/>
  <c r="B9" i="3"/>
  <c r="B9" i="2"/>
  <c r="B22" i="2"/>
  <c r="B20" i="3"/>
  <c r="B4" i="2"/>
  <c r="B19" i="3"/>
  <c r="E43" i="20" l="1"/>
  <c r="C42" i="20"/>
  <c r="B41" i="20"/>
  <c r="D42" i="20"/>
  <c r="B12" i="19"/>
  <c r="C12" i="19"/>
  <c r="D13" i="20"/>
  <c r="B12" i="20"/>
  <c r="E13" i="20"/>
  <c r="C12" i="20"/>
  <c r="D12" i="18"/>
  <c r="B11" i="18"/>
  <c r="E12" i="18"/>
  <c r="C11" i="18"/>
  <c r="E12" i="17"/>
  <c r="C11" i="17"/>
  <c r="B11" i="17"/>
  <c r="D12" i="17"/>
  <c r="B46" i="5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D43" i="20" l="1"/>
  <c r="B42" i="20"/>
  <c r="E44" i="20"/>
  <c r="C43" i="20"/>
  <c r="C13" i="19"/>
  <c r="B13" i="19"/>
  <c r="C13" i="20"/>
  <c r="E14" i="20"/>
  <c r="B13" i="20"/>
  <c r="D14" i="20"/>
  <c r="C12" i="18"/>
  <c r="E13" i="18"/>
  <c r="B12" i="18"/>
  <c r="D13" i="18"/>
  <c r="B12" i="17"/>
  <c r="D13" i="17"/>
  <c r="C12" i="17"/>
  <c r="E13" i="17"/>
  <c r="A41" i="5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E45" i="20" l="1"/>
  <c r="C44" i="20"/>
  <c r="B43" i="20"/>
  <c r="D44" i="20"/>
  <c r="B14" i="19"/>
  <c r="C14" i="19"/>
  <c r="D15" i="20"/>
  <c r="B14" i="20"/>
  <c r="E15" i="20"/>
  <c r="C14" i="20"/>
  <c r="B13" i="18"/>
  <c r="D14" i="18"/>
  <c r="E14" i="18"/>
  <c r="C13" i="18"/>
  <c r="E14" i="17"/>
  <c r="C13" i="17"/>
  <c r="B13" i="17"/>
  <c r="D14" i="17"/>
  <c r="B45" i="5"/>
  <c r="A42" i="5"/>
  <c r="A44" i="5"/>
  <c r="B47" i="5"/>
  <c r="B52" i="5"/>
  <c r="A49" i="5"/>
  <c r="C45" i="20" l="1"/>
  <c r="E46" i="20"/>
  <c r="D45" i="20"/>
  <c r="B44" i="20"/>
  <c r="C15" i="19"/>
  <c r="B15" i="19"/>
  <c r="E16" i="20"/>
  <c r="C15" i="20"/>
  <c r="B15" i="20"/>
  <c r="D16" i="20"/>
  <c r="C14" i="18"/>
  <c r="E15" i="18"/>
  <c r="B14" i="18"/>
  <c r="D15" i="18"/>
  <c r="B14" i="17"/>
  <c r="D15" i="17"/>
  <c r="C14" i="17"/>
  <c r="E15" i="17"/>
  <c r="B48" i="5"/>
  <c r="A45" i="5"/>
  <c r="B50" i="5"/>
  <c r="A47" i="5"/>
  <c r="B55" i="5"/>
  <c r="A52" i="5"/>
  <c r="E47" i="20" l="1"/>
  <c r="C46" i="20"/>
  <c r="B45" i="20"/>
  <c r="D46" i="20"/>
  <c r="B16" i="19"/>
  <c r="C16" i="19"/>
  <c r="D17" i="20"/>
  <c r="B16" i="20"/>
  <c r="E17" i="20"/>
  <c r="C16" i="20"/>
  <c r="B15" i="18"/>
  <c r="D16" i="18"/>
  <c r="E16" i="18"/>
  <c r="C15" i="18"/>
  <c r="E16" i="17"/>
  <c r="C15" i="17"/>
  <c r="B15" i="17"/>
  <c r="D16" i="17"/>
  <c r="B53" i="5"/>
  <c r="A50" i="5"/>
  <c r="B58" i="5"/>
  <c r="A55" i="5"/>
  <c r="B51" i="5"/>
  <c r="A48" i="5"/>
  <c r="E48" i="20" l="1"/>
  <c r="C47" i="20"/>
  <c r="D47" i="20"/>
  <c r="B46" i="20"/>
  <c r="C17" i="19"/>
  <c r="B17" i="19"/>
  <c r="E18" i="20"/>
  <c r="C17" i="20"/>
  <c r="B17" i="20"/>
  <c r="D18" i="20"/>
  <c r="C16" i="18"/>
  <c r="E17" i="18"/>
  <c r="B16" i="18"/>
  <c r="D17" i="18"/>
  <c r="B16" i="17"/>
  <c r="D17" i="17"/>
  <c r="C16" i="17"/>
  <c r="E17" i="17"/>
  <c r="B61" i="5"/>
  <c r="A58" i="5"/>
  <c r="B54" i="5"/>
  <c r="A51" i="5"/>
  <c r="B56" i="5"/>
  <c r="A53" i="5"/>
  <c r="B47" i="20" l="1"/>
  <c r="D48" i="20"/>
  <c r="E49" i="20"/>
  <c r="C48" i="20"/>
  <c r="B18" i="19"/>
  <c r="C18" i="19"/>
  <c r="D19" i="20"/>
  <c r="B18" i="20"/>
  <c r="E19" i="20"/>
  <c r="C18" i="20"/>
  <c r="B17" i="18"/>
  <c r="D18" i="18"/>
  <c r="C17" i="18"/>
  <c r="E18" i="18"/>
  <c r="E18" i="17"/>
  <c r="C17" i="17"/>
  <c r="B17" i="17"/>
  <c r="D18" i="17"/>
  <c r="B57" i="5"/>
  <c r="A54" i="5"/>
  <c r="A56" i="5"/>
  <c r="B59" i="5"/>
  <c r="B64" i="5"/>
  <c r="A61" i="5"/>
  <c r="C49" i="20" l="1"/>
  <c r="E50" i="20"/>
  <c r="D49" i="20"/>
  <c r="B48" i="20"/>
  <c r="C19" i="19"/>
  <c r="B19" i="19"/>
  <c r="C19" i="20"/>
  <c r="E20" i="20"/>
  <c r="B19" i="20"/>
  <c r="D20" i="20"/>
  <c r="B18" i="18"/>
  <c r="D19" i="18"/>
  <c r="C18" i="18"/>
  <c r="E19" i="18"/>
  <c r="B18" i="17"/>
  <c r="D19" i="17"/>
  <c r="C18" i="17"/>
  <c r="E19" i="17"/>
  <c r="B62" i="5"/>
  <c r="A59" i="5"/>
  <c r="B67" i="5"/>
  <c r="A64" i="5"/>
  <c r="A57" i="5"/>
  <c r="B60" i="5"/>
  <c r="B49" i="20" l="1"/>
  <c r="D50" i="20"/>
  <c r="E51" i="20"/>
  <c r="C50" i="20"/>
  <c r="B20" i="19"/>
  <c r="C20" i="19"/>
  <c r="E21" i="20"/>
  <c r="C20" i="20"/>
  <c r="D21" i="20"/>
  <c r="B20" i="20"/>
  <c r="B19" i="18"/>
  <c r="D20" i="18"/>
  <c r="E20" i="18"/>
  <c r="C19" i="18"/>
  <c r="E20" i="17"/>
  <c r="C19" i="17"/>
  <c r="B19" i="17"/>
  <c r="D20" i="17"/>
  <c r="B70" i="5"/>
  <c r="A67" i="5"/>
  <c r="B63" i="5"/>
  <c r="A60" i="5"/>
  <c r="B65" i="5"/>
  <c r="A62" i="5"/>
  <c r="C51" i="20" l="1"/>
  <c r="E52" i="20"/>
  <c r="D51" i="20"/>
  <c r="B50" i="20"/>
  <c r="C21" i="19"/>
  <c r="B21" i="19"/>
  <c r="B21" i="20"/>
  <c r="D22" i="20"/>
  <c r="E22" i="20"/>
  <c r="C21" i="20"/>
  <c r="C20" i="18"/>
  <c r="E21" i="18"/>
  <c r="B20" i="18"/>
  <c r="D21" i="18"/>
  <c r="C20" i="17"/>
  <c r="E21" i="17"/>
  <c r="B20" i="17"/>
  <c r="D21" i="17"/>
  <c r="B66" i="5"/>
  <c r="A63" i="5"/>
  <c r="B68" i="5"/>
  <c r="A65" i="5"/>
  <c r="B73" i="5"/>
  <c r="A70" i="5"/>
  <c r="B51" i="20" l="1"/>
  <c r="D52" i="20"/>
  <c r="E53" i="20"/>
  <c r="C52" i="20"/>
  <c r="B22" i="19"/>
  <c r="C22" i="19"/>
  <c r="E23" i="20"/>
  <c r="C22" i="20"/>
  <c r="D23" i="20"/>
  <c r="B22" i="20"/>
  <c r="B21" i="18"/>
  <c r="D22" i="18"/>
  <c r="E22" i="18"/>
  <c r="C21" i="18"/>
  <c r="E22" i="17"/>
  <c r="C21" i="17"/>
  <c r="B21" i="17"/>
  <c r="D22" i="17"/>
  <c r="B71" i="5"/>
  <c r="A68" i="5"/>
  <c r="B76" i="5"/>
  <c r="A73" i="5"/>
  <c r="B69" i="5"/>
  <c r="A66" i="5"/>
  <c r="C53" i="20" l="1"/>
  <c r="E54" i="20"/>
  <c r="D53" i="20"/>
  <c r="B52" i="20"/>
  <c r="C23" i="19"/>
  <c r="B23" i="19"/>
  <c r="B23" i="20"/>
  <c r="D24" i="20"/>
  <c r="E24" i="20"/>
  <c r="C23" i="20"/>
  <c r="C22" i="18"/>
  <c r="E23" i="18"/>
  <c r="B22" i="18"/>
  <c r="D23" i="18"/>
  <c r="B22" i="17"/>
  <c r="D23" i="17"/>
  <c r="C22" i="17"/>
  <c r="E23" i="17"/>
  <c r="B79" i="5"/>
  <c r="A76" i="5"/>
  <c r="B72" i="5"/>
  <c r="A69" i="5"/>
  <c r="B74" i="5"/>
  <c r="A71" i="5"/>
  <c r="B53" i="20" l="1"/>
  <c r="D54" i="20"/>
  <c r="E55" i="20"/>
  <c r="C54" i="20"/>
  <c r="B24" i="19"/>
  <c r="C24" i="19"/>
  <c r="E25" i="20"/>
  <c r="C24" i="20"/>
  <c r="D25" i="20"/>
  <c r="B24" i="20"/>
  <c r="B23" i="18"/>
  <c r="D24" i="18"/>
  <c r="C23" i="18"/>
  <c r="E24" i="18"/>
  <c r="E24" i="17"/>
  <c r="C23" i="17"/>
  <c r="B23" i="17"/>
  <c r="D24" i="17"/>
  <c r="B75" i="5"/>
  <c r="A72" i="5"/>
  <c r="B77" i="5"/>
  <c r="A74" i="5"/>
  <c r="B82" i="5"/>
  <c r="A79" i="5"/>
  <c r="D55" i="20" l="1"/>
  <c r="B54" i="20"/>
  <c r="C55" i="20"/>
  <c r="E56" i="20"/>
  <c r="C25" i="19"/>
  <c r="B25" i="19"/>
  <c r="B25" i="20"/>
  <c r="D26" i="20"/>
  <c r="C25" i="20"/>
  <c r="E26" i="20"/>
  <c r="C24" i="18"/>
  <c r="E25" i="18"/>
  <c r="B24" i="18"/>
  <c r="D25" i="18"/>
  <c r="B24" i="17"/>
  <c r="D25" i="17"/>
  <c r="C24" i="17"/>
  <c r="E25" i="17"/>
  <c r="B80" i="5"/>
  <c r="A77" i="5"/>
  <c r="B85" i="5"/>
  <c r="A82" i="5"/>
  <c r="B78" i="5"/>
  <c r="A75" i="5"/>
  <c r="E57" i="20" l="1"/>
  <c r="C57" i="20" s="1"/>
  <c r="C56" i="20"/>
  <c r="B55" i="20"/>
  <c r="D56" i="20"/>
  <c r="B26" i="19"/>
  <c r="B27" i="19"/>
  <c r="C27" i="19"/>
  <c r="C26" i="19"/>
  <c r="E27" i="20"/>
  <c r="C27" i="20" s="1"/>
  <c r="C26" i="20"/>
  <c r="D27" i="20"/>
  <c r="B27" i="20" s="1"/>
  <c r="B26" i="20"/>
  <c r="D26" i="18"/>
  <c r="B26" i="18" s="1"/>
  <c r="B25" i="18"/>
  <c r="E26" i="18"/>
  <c r="C26" i="18" s="1"/>
  <c r="C25" i="18"/>
  <c r="E26" i="17"/>
  <c r="C26" i="17" s="1"/>
  <c r="C25" i="17"/>
  <c r="B25" i="17"/>
  <c r="D26" i="17"/>
  <c r="B26" i="17" s="1"/>
  <c r="B88" i="5"/>
  <c r="A85" i="5"/>
  <c r="B81" i="5"/>
  <c r="A78" i="5"/>
  <c r="B83" i="5"/>
  <c r="A80" i="5"/>
  <c r="D57" i="20" l="1"/>
  <c r="B57" i="20" s="1"/>
  <c r="B56" i="20"/>
  <c r="B84" i="5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<sst xmlns="http://schemas.openxmlformats.org/spreadsheetml/2006/main" count="747" uniqueCount="268">
  <si>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</si>
  <si>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</si>
  <si>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</si>
  <si>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</si>
  <si>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</si>
  <si>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</si>
  <si>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</si>
  <si>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</si>
  <si>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</si>
  <si>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</si>
  <si>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</si>
  <si>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</si>
  <si>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</si>
  <si>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</si>
  <si>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</si>
  <si>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</si>
  <si>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</si>
  <si>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</si>
  <si>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</si>
  <si>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</si>
  <si>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</si>
  <si>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</si>
  <si>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</si>
  <si>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</si>
  <si>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</si>
  <si>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</si>
  <si>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</si>
  <si>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</si>
  <si>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</si>
  <si>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</si>
  <si>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</si>
  <si>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</si>
  <si>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</si>
  <si>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</si>
  <si>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</si>
  <si>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</si>
  <si>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</si>
  <si>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</si>
  <si>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</si>
  <si>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</si>
  <si>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</si>
  <si>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</si>
  <si>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</si>
  <si>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</si>
  <si>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</si>
  <si>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</si>
  <si>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</si>
  <si>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</si>
  <si>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</si>
  <si>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</si>
  <si>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</si>
  <si>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</si>
  <si>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</si>
  <si>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</si>
  <si>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</si>
  <si>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</si>
  <si>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</si>
  <si>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</si>
  <si>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</si>
  <si>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</si>
  <si>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</si>
  <si>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</si>
  <si>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</si>
  <si>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</si>
  <si>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</si>
  <si>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</si>
  <si>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</si>
  <si>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</si>
  <si>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</si>
  <si>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</si>
  <si>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</si>
  <si>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</si>
  <si>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</si>
  <si>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</si>
  <si>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</si>
  <si>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</si>
  <si>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</si>
  <si>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</si>
  <si>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</si>
  <si>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</si>
  <si>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</si>
  <si>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</si>
  <si>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</si>
  <si>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</si>
  <si>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</si>
  <si>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</si>
  <si>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</si>
  <si>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</si>
  <si>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</si>
  <si>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</si>
  <si>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</si>
  <si>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</si>
  <si>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</si>
  <si>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</si>
  <si>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</si>
  <si>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</si>
  <si>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</si>
  <si>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</si>
  <si>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</si>
  <si>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</si>
  <si>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</si>
  <si>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</si>
  <si>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</si>
  <si>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</si>
  <si>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</si>
  <si>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</si>
  <si>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</si>
  <si>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</si>
  <si>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</si>
  <si>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</si>
  <si>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</si>
  <si>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</si>
  <si>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</si>
  <si>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</si>
  <si>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</si>
  <si>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</si>
  <si>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</si>
  <si>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</si>
  <si>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</si>
  <si>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</si>
  <si>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</si>
  <si>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</si>
  <si>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</si>
  <si>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</si>
  <si>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</si>
  <si>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</si>
  <si>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</si>
  <si>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</si>
  <si>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</si>
  <si>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</si>
  <si>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</si>
  <si>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</si>
  <si>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</si>
  <si>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</si>
  <si>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</si>
  <si>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</si>
  <si>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</si>
  <si>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</si>
  <si>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</si>
  <si>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</si>
  <si>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</si>
  <si>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</si>
  <si>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</si>
  <si>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</si>
  <si>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</si>
  <si>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</si>
  <si>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</si>
  <si>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</si>
  <si>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</si>
  <si>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</si>
  <si>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</si>
  <si>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</si>
  <si>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</si>
  <si>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</si>
  <si>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</si>
  <si>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</si>
  <si>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</si>
  <si>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</si>
  <si>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</si>
  <si>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</si>
  <si>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</si>
  <si>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</si>
  <si>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</si>
  <si>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</si>
  <si>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</si>
  <si>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</si>
  <si>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</si>
  <si>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</si>
  <si>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</si>
  <si>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</si>
  <si>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</si>
  <si>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</si>
  <si>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</si>
  <si>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</si>
  <si>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</si>
  <si>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</si>
  <si>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</si>
  <si>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</si>
  <si>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</si>
  <si>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</si>
  <si>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</si>
  <si>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</si>
  <si>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</si>
  <si>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</si>
  <si>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</si>
  <si>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</si>
  <si>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</si>
  <si>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</si>
  <si>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</si>
  <si>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</si>
  <si>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</si>
  <si>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</si>
  <si>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</si>
  <si>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</si>
  <si>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</si>
  <si>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</si>
  <si>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</si>
  <si>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</si>
  <si>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</si>
  <si>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</si>
  <si>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</si>
  <si>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</si>
  <si>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</si>
  <si>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</si>
  <si>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</si>
  <si>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</si>
  <si>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</si>
  <si>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</si>
  <si>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</si>
  <si>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</si>
  <si>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</si>
  <si>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</si>
  <si>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</si>
  <si>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</si>
  <si>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</si>
  <si>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</si>
  <si>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</si>
  <si>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</si>
  <si>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</si>
  <si>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</si>
  <si>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</si>
  <si>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</si>
  <si>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</si>
  <si>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</si>
  <si>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</si>
  <si>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</si>
  <si>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</si>
  <si>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</si>
  <si>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</si>
  <si>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</si>
  <si>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</si>
  <si>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</si>
  <si>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</si>
  <si>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</si>
  <si>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</si>
  <si>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Views und Joins</t>
  </si>
  <si>
    <t>Python: Sequenzen (Menu für Umrechner), Loops, Variablen, Funktionen</t>
  </si>
  <si>
    <t>Python: REST-Services verwenden</t>
  </si>
  <si>
    <t>Keine Schule / Lehrer Weiterbildung</t>
  </si>
  <si>
    <t>Python: Functions</t>
  </si>
  <si>
    <t>Python: Functions / Parameterübergabe</t>
  </si>
  <si>
    <t>Kalender
Woche</t>
  </si>
  <si>
    <t>TI24BLf</t>
  </si>
  <si>
    <t>TI24BLeMa</t>
  </si>
  <si>
    <t>Informatik</t>
  </si>
  <si>
    <t>TA24BLf
TA24BMa
TE24BLe</t>
  </si>
  <si>
    <t>TA24BLe</t>
  </si>
  <si>
    <r>
      <rPr>
        <sz val="10"/>
        <color rgb="FF00B050"/>
        <rFont val="Arial"/>
        <family val="2"/>
      </rPr>
      <t>Karfreitag</t>
    </r>
    <r>
      <rPr>
        <sz val="10"/>
        <color rgb="FF00000A"/>
        <rFont val="Arial"/>
        <family val="2"/>
      </rPr>
      <t xml:space="preserve"> / Transaktionen, Functions, Stored-Procedures</t>
    </r>
  </si>
  <si>
    <r>
      <rPr>
        <sz val="11"/>
        <color rgb="FF00B050"/>
        <rFont val="Calibri"/>
        <family val="2"/>
        <scheme val="minor"/>
      </rPr>
      <t>Karfreitag</t>
    </r>
    <r>
      <rPr>
        <sz val="11"/>
        <color theme="1"/>
        <rFont val="Calibri"/>
        <family val="2"/>
        <scheme val="minor"/>
      </rPr>
      <t xml:space="preserve"> / Algorithmen implementieren</t>
    </r>
  </si>
  <si>
    <r>
      <rPr>
        <sz val="11"/>
        <color rgb="FF00B050"/>
        <rFont val="Calibri"/>
        <family val="2"/>
        <scheme val="minor"/>
      </rPr>
      <t>LKB</t>
    </r>
    <r>
      <rPr>
        <sz val="11"/>
        <color theme="1"/>
        <rFont val="Calibri"/>
        <family val="2"/>
        <scheme val="minor"/>
      </rPr>
      <t xml:space="preserve"> / Unterricht</t>
    </r>
  </si>
  <si>
    <t>Offerte / Rechnungsvorlage</t>
  </si>
  <si>
    <t>Zahlensysteme umrechnen (Bin, Oct, Dec, Hex)</t>
  </si>
  <si>
    <t>Polynome-Funktionen</t>
  </si>
  <si>
    <t/>
  </si>
  <si>
    <t>Messprotokolle und Grafik / Lineare Approximation (MSE)</t>
  </si>
  <si>
    <t>Flächenberechnungen / Volumenberechnungen / Einheiten-Umrechnen</t>
  </si>
  <si>
    <t>Kinematik 1</t>
  </si>
  <si>
    <t>Kinematik 2</t>
  </si>
  <si>
    <t>Leistungsnachweis</t>
  </si>
  <si>
    <t>Lineare Funktionen</t>
  </si>
  <si>
    <t>Primzahlen / Teiler</t>
  </si>
  <si>
    <t>Adressliste</t>
  </si>
  <si>
    <t>Datenverschlüsselung
- Symetrisch (Word, Excel Passwort Schutz)
- Hash-Funktionen
- Asymetrisch (PGP)
- Visieren und Verifizieren
- Zertifikat
- Tools</t>
  </si>
  <si>
    <t>Einheiten umrechnen</t>
  </si>
  <si>
    <t>Blind-Schein-Wirkleistung</t>
  </si>
  <si>
    <t>RCL-Glieder</t>
  </si>
  <si>
    <t>Rechnen mit Datum und Zeit</t>
  </si>
  <si>
    <r>
      <rPr>
        <sz val="10"/>
        <color theme="1" tint="4.9989318521683403E-2"/>
        <rFont val="Arial"/>
        <family val="2"/>
      </rPr>
      <t xml:space="preserve">Unterricht / </t>
    </r>
    <r>
      <rPr>
        <sz val="10"/>
        <color rgb="FF00B050"/>
        <rFont val="Arial"/>
        <family val="2"/>
      </rPr>
      <t>Karfreitag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</si>
</sst>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5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sz val="10"/>
      <color theme="1" tint="4.9989318521683403E-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3" fillId="5" borderId="0" xfId="0" applyFont="1" applyFill="1"/>
    <xf numFmtId="0" fontId="9" fillId="5" borderId="0" xfId="0" applyFont="1" applyFill="1"/>
    <xf numFmtId="164" fontId="0" fillId="0" borderId="26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3" borderId="28" xfId="0" applyFill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164" fontId="0" fillId="3" borderId="26" xfId="0" applyNumberFormat="1" applyFill="1" applyBorder="1"/>
    <xf numFmtId="164" fontId="0" fillId="0" borderId="26" xfId="0" applyNumberFormat="1" applyBorder="1"/>
    <xf numFmtId="164" fontId="0" fillId="0" borderId="33" xfId="0" applyNumberFormat="1" applyBorder="1"/>
    <xf numFmtId="164" fontId="0" fillId="0" borderId="25" xfId="0" applyNumberFormat="1" applyBorder="1"/>
    <xf numFmtId="164" fontId="0" fillId="0" borderId="27" xfId="0" applyNumberFormat="1" applyBorder="1"/>
    <xf numFmtId="0" fontId="0" fillId="0" borderId="34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5" xfId="0" applyBorder="1"/>
    <xf numFmtId="0" fontId="0" fillId="0" borderId="30" xfId="0" applyBorder="1"/>
    <xf numFmtId="164" fontId="0" fillId="6" borderId="5" xfId="0" applyNumberFormat="1" applyFill="1" applyBorder="1"/>
    <xf numFmtId="0" fontId="0" fillId="6" borderId="5" xfId="0" applyFill="1" applyBorder="1"/>
    <xf numFmtId="0" fontId="9" fillId="9" borderId="0" xfId="0" applyFont="1" applyFill="1"/>
    <xf numFmtId="0" fontId="0" fillId="9" borderId="0" xfId="0" applyFill="1"/>
    <xf numFmtId="0" fontId="0" fillId="0" borderId="5" xfId="0" applyBorder="1" applyAlignment="1">
      <alignment vertical="top" wrapText="1"/>
    </xf>
    <xf numFmtId="0" fontId="0" fillId="0" borderId="5" xfId="0" applyBorder="1" applyAlignment="1">
      <alignment vertical="top"/>
    </xf>
    <xf numFmtId="0" fontId="2" fillId="0" borderId="5" xfId="0" applyFont="1" applyBorder="1" applyAlignment="1">
      <alignment vertical="top" wrapText="1"/>
    </xf>
    <xf numFmtId="16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5" xfId="0" applyBorder="1" applyAlignment="1">
      <alignment wrapText="1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wrapText="1"/>
    </xf>
    <xf numFmtId="164" fontId="11" fillId="0" borderId="5" xfId="0" applyNumberFormat="1" applyFont="1" applyBorder="1" applyAlignment="1">
      <alignment vertical="top"/>
    </xf>
    <xf numFmtId="164" fontId="11" fillId="3" borderId="5" xfId="0" applyNumberFormat="1" applyFont="1" applyFill="1" applyBorder="1" applyAlignment="1">
      <alignment vertical="top"/>
    </xf>
    <xf numFmtId="0" fontId="0" fillId="9" borderId="5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5" xfId="0" applyFill="1" applyBorder="1" applyAlignment="1">
      <alignment horizontal="center" vertical="center" wrapText="1"/>
    </xf>
    <xf numFmtId="164" fontId="0" fillId="0" borderId="0" xfId="0" applyNumberFormat="1" applyAlignment="1">
      <alignment vertical="top"/>
    </xf>
    <xf numFmtId="164" fontId="11" fillId="0" borderId="5" xfId="0" applyNumberFormat="1" applyFont="1" applyBorder="1" applyAlignment="1">
      <alignment vertical="center"/>
    </xf>
    <xf numFmtId="164" fontId="11" fillId="3" borderId="5" xfId="0" applyNumberFormat="1" applyFont="1" applyFill="1" applyBorder="1" applyAlignment="1">
      <alignment vertical="center"/>
    </xf>
    <xf numFmtId="0" fontId="6" fillId="9" borderId="0" xfId="0" applyFont="1" applyFill="1"/>
    <xf numFmtId="0" fontId="7" fillId="0" borderId="5" xfId="0" applyFont="1" applyBorder="1"/>
    <xf numFmtId="0" fontId="0" fillId="0" borderId="5" xfId="0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0" fillId="3" borderId="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9" fillId="10" borderId="0" xfId="0" applyFont="1" applyFill="1"/>
    <xf numFmtId="0" fontId="3" fillId="10" borderId="0" xfId="0" applyFont="1" applyFill="1"/>
    <xf numFmtId="0" fontId="0" fillId="10" borderId="0" xfId="0" applyFill="1"/>
    <xf numFmtId="0" fontId="0" fillId="0" borderId="5" xfId="0" quotePrefix="1" applyBorder="1" applyAlignment="1">
      <alignment vertical="center"/>
    </xf>
    <xf numFmtId="0" fontId="9" fillId="10" borderId="5" xfId="0" applyFont="1" applyFill="1" applyBorder="1"/>
    <xf numFmtId="0" fontId="3" fillId="10" borderId="5" xfId="0" applyFont="1" applyFill="1" applyBorder="1"/>
    <xf numFmtId="0" fontId="0" fillId="10" borderId="5" xfId="0" applyFill="1" applyBorder="1"/>
    <xf numFmtId="0" fontId="0" fillId="3" borderId="4" xfId="0" applyFill="1" applyBorder="1" applyAlignment="1">
      <alignment horizontal="center" vertical="center"/>
    </xf>
    <xf numFmtId="0" fontId="0" fillId="8" borderId="31" xfId="0" applyFill="1" applyBorder="1"/>
    <xf numFmtId="0" fontId="0" fillId="8" borderId="32" xfId="0" applyFill="1" applyBorder="1"/>
    <xf numFmtId="0" fontId="12" fillId="0" borderId="5" xfId="0" applyFont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0" t="s">
        <v>217</v>
      </c>
      <c r="C2" s="79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89">
        <v>44798</v>
      </c>
      <c r="C5" s="73" t="s">
        <v>156</v>
      </c>
    </row>
    <row r="6" spans="2:3" x14ac:dyDescent="0.35">
      <c r="B6" s="90">
        <f t="shared" ref="B6:B28" si="0">B5+7</f>
        <v>44805</v>
      </c>
      <c r="C6" s="7"/>
    </row>
    <row r="7" spans="2:3" x14ac:dyDescent="0.35">
      <c r="B7" s="90">
        <f t="shared" si="0"/>
        <v>44812</v>
      </c>
      <c r="C7" s="7"/>
    </row>
    <row r="8" spans="2:3" ht="101.5" x14ac:dyDescent="0.35">
      <c r="B8" s="90">
        <f t="shared" si="0"/>
        <v>44819</v>
      </c>
      <c r="C8" s="72" t="s">
        <v>174</v>
      </c>
    </row>
    <row r="9" spans="2:3" x14ac:dyDescent="0.35">
      <c r="B9" s="90">
        <f t="shared" si="0"/>
        <v>44826</v>
      </c>
      <c r="C9" s="7"/>
    </row>
    <row r="10" spans="2:3" x14ac:dyDescent="0.35">
      <c r="B10" s="90">
        <f t="shared" si="0"/>
        <v>44833</v>
      </c>
      <c r="C10" s="65"/>
    </row>
    <row r="11" spans="2:3" ht="58" x14ac:dyDescent="0.35">
      <c r="B11" s="90">
        <f t="shared" si="0"/>
        <v>44840</v>
      </c>
      <c r="C11" s="76" t="s">
        <v>170</v>
      </c>
    </row>
    <row r="12" spans="2:3" x14ac:dyDescent="0.35">
      <c r="B12" s="92">
        <f t="shared" si="0"/>
        <v>44847</v>
      </c>
      <c r="C12" s="77" t="s">
        <v>36</v>
      </c>
    </row>
    <row r="13" spans="2:3" x14ac:dyDescent="0.35">
      <c r="B13" s="92">
        <f t="shared" si="0"/>
        <v>44854</v>
      </c>
      <c r="C13" s="77" t="s">
        <v>36</v>
      </c>
    </row>
    <row r="14" spans="2:3" ht="72.5" x14ac:dyDescent="0.35">
      <c r="B14" s="90">
        <f t="shared" si="0"/>
        <v>44861</v>
      </c>
      <c r="C14" s="72" t="s">
        <v>155</v>
      </c>
    </row>
    <row r="15" spans="2:3" x14ac:dyDescent="0.35">
      <c r="B15" s="90">
        <f t="shared" si="0"/>
        <v>44868</v>
      </c>
      <c r="C15" s="7"/>
    </row>
    <row r="16" spans="2:3" x14ac:dyDescent="0.35">
      <c r="B16" s="90">
        <f t="shared" si="0"/>
        <v>44875</v>
      </c>
      <c r="C16" s="7"/>
    </row>
    <row r="17" spans="2:3" ht="72.5" x14ac:dyDescent="0.35">
      <c r="B17" s="90">
        <f t="shared" si="0"/>
        <v>44882</v>
      </c>
      <c r="C17" s="72" t="s">
        <v>154</v>
      </c>
    </row>
    <row r="18" spans="2:3" x14ac:dyDescent="0.35">
      <c r="B18" s="90">
        <f t="shared" si="0"/>
        <v>44889</v>
      </c>
      <c r="C18" s="65"/>
    </row>
    <row r="19" spans="2:3" x14ac:dyDescent="0.35">
      <c r="B19" s="90">
        <f t="shared" si="0"/>
        <v>44896</v>
      </c>
      <c r="C19" s="7"/>
    </row>
    <row r="20" spans="2:3" x14ac:dyDescent="0.35">
      <c r="B20" s="90">
        <f t="shared" si="0"/>
        <v>44903</v>
      </c>
      <c r="C20" s="7"/>
    </row>
    <row r="21" spans="2:3" ht="29" x14ac:dyDescent="0.35">
      <c r="B21" s="90">
        <f t="shared" si="0"/>
        <v>44910</v>
      </c>
      <c r="C21" s="76" t="s">
        <v>171</v>
      </c>
    </row>
    <row r="22" spans="2:3" x14ac:dyDescent="0.35">
      <c r="B22" s="92">
        <f t="shared" si="0"/>
        <v>44917</v>
      </c>
      <c r="C22" s="77" t="s">
        <v>36</v>
      </c>
    </row>
    <row r="23" spans="2:3" x14ac:dyDescent="0.35">
      <c r="B23" s="92">
        <f t="shared" si="0"/>
        <v>44924</v>
      </c>
      <c r="C23" s="77" t="s">
        <v>36</v>
      </c>
    </row>
    <row r="24" spans="2:3" ht="72.5" x14ac:dyDescent="0.35">
      <c r="B24" s="90">
        <f t="shared" si="0"/>
        <v>44931</v>
      </c>
      <c r="C24" s="72" t="s">
        <v>173</v>
      </c>
    </row>
    <row r="25" spans="2:3" x14ac:dyDescent="0.35">
      <c r="B25" s="90">
        <f t="shared" si="0"/>
        <v>44938</v>
      </c>
      <c r="C25" s="34"/>
    </row>
    <row r="26" spans="2:3" ht="43.5" x14ac:dyDescent="0.35">
      <c r="B26" s="90">
        <f t="shared" si="0"/>
        <v>44945</v>
      </c>
      <c r="C26" s="76" t="s">
        <v>172</v>
      </c>
    </row>
    <row r="27" spans="2:3" x14ac:dyDescent="0.35">
      <c r="B27" s="90">
        <f t="shared" si="0"/>
        <v>44952</v>
      </c>
      <c r="C27" s="7" t="s">
        <v>153</v>
      </c>
    </row>
    <row r="28" spans="2:3" ht="15" thickBot="1" x14ac:dyDescent="0.4">
      <c r="B28" s="91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0" t="s">
        <v>216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0">
        <f t="shared" si="0"/>
        <v>44834</v>
      </c>
      <c r="C10" s="65"/>
    </row>
    <row r="11" spans="2:3" ht="58" x14ac:dyDescent="0.35">
      <c r="B11" s="90">
        <f t="shared" si="0"/>
        <v>44841</v>
      </c>
      <c r="C11" s="75" t="s">
        <v>166</v>
      </c>
    </row>
    <row r="12" spans="2:3" x14ac:dyDescent="0.35">
      <c r="B12" s="92">
        <f t="shared" si="0"/>
        <v>44848</v>
      </c>
      <c r="C12" s="77" t="s">
        <v>36</v>
      </c>
    </row>
    <row r="13" spans="2:3" x14ac:dyDescent="0.35">
      <c r="B13" s="92">
        <f t="shared" si="0"/>
        <v>44855</v>
      </c>
      <c r="C13" s="77" t="s">
        <v>36</v>
      </c>
    </row>
    <row r="14" spans="2:3" x14ac:dyDescent="0.35">
      <c r="B14" s="90">
        <f t="shared" si="0"/>
        <v>44862</v>
      </c>
      <c r="C14" s="74" t="s">
        <v>123</v>
      </c>
    </row>
    <row r="15" spans="2:3" x14ac:dyDescent="0.35">
      <c r="B15" s="90">
        <f t="shared" si="0"/>
        <v>44869</v>
      </c>
      <c r="C15" s="74" t="s">
        <v>125</v>
      </c>
    </row>
    <row r="16" spans="2:3" x14ac:dyDescent="0.35">
      <c r="B16" s="90">
        <f t="shared" si="0"/>
        <v>44876</v>
      </c>
      <c r="C16" s="74" t="s">
        <v>131</v>
      </c>
    </row>
    <row r="17" spans="2:3" x14ac:dyDescent="0.35">
      <c r="B17" s="90">
        <f t="shared" si="0"/>
        <v>44883</v>
      </c>
      <c r="C17" s="65"/>
    </row>
    <row r="18" spans="2:3" x14ac:dyDescent="0.35">
      <c r="B18" s="90">
        <f t="shared" si="0"/>
        <v>44890</v>
      </c>
      <c r="C18" s="74" t="s">
        <v>134</v>
      </c>
    </row>
    <row r="19" spans="2:3" ht="72.5" x14ac:dyDescent="0.35">
      <c r="B19" s="90">
        <f t="shared" si="0"/>
        <v>44897</v>
      </c>
      <c r="C19" s="75" t="s">
        <v>167</v>
      </c>
    </row>
    <row r="20" spans="2:3" x14ac:dyDescent="0.35">
      <c r="B20" s="90">
        <f t="shared" si="0"/>
        <v>44904</v>
      </c>
      <c r="C20" s="74" t="s">
        <v>121</v>
      </c>
    </row>
    <row r="21" spans="2:3" x14ac:dyDescent="0.35">
      <c r="B21" s="90">
        <f t="shared" si="0"/>
        <v>44911</v>
      </c>
      <c r="C21" s="74"/>
    </row>
    <row r="22" spans="2:3" x14ac:dyDescent="0.35">
      <c r="B22" s="90">
        <f t="shared" si="0"/>
        <v>44918</v>
      </c>
      <c r="C22" s="65"/>
    </row>
    <row r="23" spans="2:3" x14ac:dyDescent="0.35">
      <c r="B23" s="92">
        <f t="shared" si="0"/>
        <v>44925</v>
      </c>
      <c r="C23" s="77" t="s">
        <v>36</v>
      </c>
    </row>
    <row r="24" spans="2:3" x14ac:dyDescent="0.35">
      <c r="B24" s="92">
        <f t="shared" si="0"/>
        <v>44932</v>
      </c>
      <c r="C24" s="77" t="s">
        <v>36</v>
      </c>
    </row>
    <row r="25" spans="2:3" x14ac:dyDescent="0.35">
      <c r="B25" s="90">
        <f t="shared" si="0"/>
        <v>44939</v>
      </c>
      <c r="C25" s="74"/>
    </row>
    <row r="26" spans="2:3" ht="43.5" x14ac:dyDescent="0.35">
      <c r="B26" s="90">
        <f t="shared" si="0"/>
        <v>44946</v>
      </c>
      <c r="C26" s="75" t="s">
        <v>200</v>
      </c>
    </row>
    <row r="27" spans="2:3" x14ac:dyDescent="0.35">
      <c r="B27" s="90">
        <f t="shared" si="0"/>
        <v>44953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89">
        <v>44960</v>
      </c>
      <c r="C34" s="94" t="s">
        <v>111</v>
      </c>
    </row>
    <row r="35" spans="2:3" x14ac:dyDescent="0.35">
      <c r="B35" s="90">
        <v>44967</v>
      </c>
      <c r="C35" s="74" t="s">
        <v>203</v>
      </c>
    </row>
    <row r="36" spans="2:3" x14ac:dyDescent="0.35">
      <c r="B36" s="90">
        <v>44974</v>
      </c>
      <c r="C36" s="74" t="s">
        <v>202</v>
      </c>
    </row>
    <row r="37" spans="2:3" x14ac:dyDescent="0.35">
      <c r="B37" s="92">
        <v>44981</v>
      </c>
      <c r="C37" s="52" t="s">
        <v>36</v>
      </c>
    </row>
    <row r="38" spans="2:3" x14ac:dyDescent="0.35">
      <c r="B38" s="92">
        <v>44988</v>
      </c>
      <c r="C38" s="52" t="s">
        <v>36</v>
      </c>
    </row>
    <row r="39" spans="2:3" x14ac:dyDescent="0.35">
      <c r="B39" s="90">
        <v>44995</v>
      </c>
      <c r="C39" s="7" t="s">
        <v>131</v>
      </c>
    </row>
    <row r="40" spans="2:3" ht="58" x14ac:dyDescent="0.35">
      <c r="B40" s="90">
        <v>45002</v>
      </c>
      <c r="C40" s="76" t="s">
        <v>205</v>
      </c>
    </row>
    <row r="41" spans="2:3" x14ac:dyDescent="0.35">
      <c r="B41" s="90">
        <v>45009</v>
      </c>
      <c r="C41" s="7" t="s">
        <v>201</v>
      </c>
    </row>
    <row r="42" spans="2:3" x14ac:dyDescent="0.35">
      <c r="B42" s="90">
        <v>45016</v>
      </c>
      <c r="C42" s="7"/>
    </row>
    <row r="43" spans="2:3" x14ac:dyDescent="0.35">
      <c r="B43" s="90">
        <v>45023</v>
      </c>
      <c r="C43" s="7" t="s">
        <v>204</v>
      </c>
    </row>
    <row r="44" spans="2:3" x14ac:dyDescent="0.35">
      <c r="B44" s="90">
        <v>45030</v>
      </c>
      <c r="C44" s="7"/>
    </row>
    <row r="45" spans="2:3" x14ac:dyDescent="0.35">
      <c r="B45" s="92">
        <v>45037</v>
      </c>
      <c r="C45" s="52" t="s">
        <v>36</v>
      </c>
    </row>
    <row r="46" spans="2:3" x14ac:dyDescent="0.35">
      <c r="B46" s="92">
        <v>45044</v>
      </c>
      <c r="C46" s="52" t="s">
        <v>36</v>
      </c>
    </row>
    <row r="47" spans="2:3" x14ac:dyDescent="0.35">
      <c r="B47" s="90">
        <v>45051</v>
      </c>
      <c r="C47" s="7" t="s">
        <v>211</v>
      </c>
    </row>
    <row r="48" spans="2:3" x14ac:dyDescent="0.35">
      <c r="B48" s="90">
        <v>45058</v>
      </c>
      <c r="C48" s="7"/>
    </row>
    <row r="49" spans="2:3" x14ac:dyDescent="0.35">
      <c r="B49" s="92">
        <v>45065</v>
      </c>
      <c r="C49" s="52" t="s">
        <v>32</v>
      </c>
    </row>
    <row r="50" spans="2:3" ht="43" customHeight="1" x14ac:dyDescent="0.35">
      <c r="B50" s="90">
        <v>45072</v>
      </c>
      <c r="C50" s="76" t="s">
        <v>212</v>
      </c>
    </row>
    <row r="51" spans="2:3" x14ac:dyDescent="0.35">
      <c r="B51" s="90">
        <v>45079</v>
      </c>
      <c r="C51" s="7" t="s">
        <v>211</v>
      </c>
    </row>
    <row r="52" spans="2:3" x14ac:dyDescent="0.35">
      <c r="B52" s="90">
        <v>45086</v>
      </c>
      <c r="C52" s="7"/>
    </row>
    <row r="53" spans="2:3" x14ac:dyDescent="0.35">
      <c r="B53" s="90">
        <v>45093</v>
      </c>
      <c r="C53" s="7"/>
    </row>
    <row r="54" spans="2:3" x14ac:dyDescent="0.35">
      <c r="B54" s="90">
        <v>45100</v>
      </c>
      <c r="C54" s="65"/>
    </row>
    <row r="55" spans="2:3" ht="58" x14ac:dyDescent="0.35">
      <c r="B55" s="90">
        <v>45107</v>
      </c>
      <c r="C55" s="76" t="s">
        <v>213</v>
      </c>
    </row>
    <row r="56" spans="2:3" x14ac:dyDescent="0.35">
      <c r="B56" s="90">
        <v>45114</v>
      </c>
      <c r="C56" s="7" t="s">
        <v>152</v>
      </c>
    </row>
    <row r="57" spans="2:3" ht="15" thickBot="1" x14ac:dyDescent="0.4">
      <c r="B57" s="91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78" customWidth="1"/>
    <col min="3" max="3" width="40.81640625" customWidth="1"/>
    <col min="4" max="4" width="16.54296875" customWidth="1"/>
  </cols>
  <sheetData>
    <row r="2" spans="2:4" ht="18.5" x14ac:dyDescent="0.45">
      <c r="B2" s="100" t="s">
        <v>218</v>
      </c>
      <c r="C2" s="79"/>
    </row>
    <row r="3" spans="2:4" ht="15" thickBot="1" x14ac:dyDescent="0.4"/>
    <row r="4" spans="2:4" ht="15" thickBot="1" x14ac:dyDescent="0.4">
      <c r="B4" s="86" t="s">
        <v>48</v>
      </c>
      <c r="C4" s="43" t="s">
        <v>46</v>
      </c>
    </row>
    <row r="5" spans="2:4" ht="29.25" customHeight="1" x14ac:dyDescent="0.35">
      <c r="B5" s="84">
        <v>44795</v>
      </c>
      <c r="C5" s="85" t="s">
        <v>186</v>
      </c>
    </row>
    <row r="6" spans="2:4" ht="29" x14ac:dyDescent="0.35">
      <c r="B6" s="80">
        <f t="shared" ref="B6:B27" si="0">B5+7</f>
        <v>44802</v>
      </c>
      <c r="C6" s="72" t="s">
        <v>185</v>
      </c>
    </row>
    <row r="7" spans="2:4" ht="29" x14ac:dyDescent="0.35">
      <c r="B7" s="80">
        <f t="shared" si="0"/>
        <v>44809</v>
      </c>
      <c r="C7" s="72" t="s">
        <v>184</v>
      </c>
    </row>
    <row r="8" spans="2:4" ht="29" x14ac:dyDescent="0.35">
      <c r="B8" s="80">
        <f t="shared" si="0"/>
        <v>44816</v>
      </c>
      <c r="C8" s="72" t="s">
        <v>183</v>
      </c>
    </row>
    <row r="9" spans="2:4" x14ac:dyDescent="0.35">
      <c r="B9" s="80">
        <f t="shared" si="0"/>
        <v>44823</v>
      </c>
      <c r="C9" s="72" t="s">
        <v>182</v>
      </c>
    </row>
    <row r="10" spans="2:4" x14ac:dyDescent="0.35">
      <c r="B10" s="80">
        <f t="shared" si="0"/>
        <v>44830</v>
      </c>
      <c r="C10" s="72" t="s">
        <v>182</v>
      </c>
    </row>
    <row r="11" spans="2:4" x14ac:dyDescent="0.35">
      <c r="B11" s="80">
        <f t="shared" si="0"/>
        <v>44837</v>
      </c>
      <c r="C11" s="72" t="s">
        <v>182</v>
      </c>
    </row>
    <row r="12" spans="2:4" x14ac:dyDescent="0.35">
      <c r="B12" s="81">
        <f t="shared" si="0"/>
        <v>44844</v>
      </c>
      <c r="C12" s="158" t="s">
        <v>36</v>
      </c>
    </row>
    <row r="13" spans="2:4" x14ac:dyDescent="0.35">
      <c r="B13" s="81">
        <f t="shared" si="0"/>
        <v>44851</v>
      </c>
      <c r="C13" s="158"/>
    </row>
    <row r="14" spans="2:4" x14ac:dyDescent="0.35">
      <c r="B14" s="80">
        <f t="shared" si="0"/>
        <v>44858</v>
      </c>
      <c r="C14" s="72" t="s">
        <v>181</v>
      </c>
    </row>
    <row r="15" spans="2:4" x14ac:dyDescent="0.35">
      <c r="B15" s="80">
        <f t="shared" si="0"/>
        <v>44865</v>
      </c>
      <c r="C15" s="72" t="s">
        <v>187</v>
      </c>
    </row>
    <row r="16" spans="2:4" x14ac:dyDescent="0.35">
      <c r="B16" s="87">
        <f t="shared" si="0"/>
        <v>44872</v>
      </c>
      <c r="C16" s="88" t="s">
        <v>180</v>
      </c>
      <c r="D16" t="s">
        <v>179</v>
      </c>
    </row>
    <row r="17" spans="2:3" x14ac:dyDescent="0.35">
      <c r="B17" s="80">
        <f t="shared" si="0"/>
        <v>44879</v>
      </c>
      <c r="C17" s="72" t="s">
        <v>178</v>
      </c>
    </row>
    <row r="18" spans="2:3" x14ac:dyDescent="0.35">
      <c r="B18" s="80">
        <f t="shared" si="0"/>
        <v>44886</v>
      </c>
      <c r="C18" s="72" t="s">
        <v>177</v>
      </c>
    </row>
    <row r="19" spans="2:3" x14ac:dyDescent="0.35">
      <c r="B19" s="80">
        <f t="shared" si="0"/>
        <v>44893</v>
      </c>
      <c r="C19" s="72" t="s">
        <v>177</v>
      </c>
    </row>
    <row r="20" spans="2:3" x14ac:dyDescent="0.35">
      <c r="B20" s="80">
        <f t="shared" si="0"/>
        <v>44900</v>
      </c>
      <c r="C20" s="72" t="s">
        <v>176</v>
      </c>
    </row>
    <row r="21" spans="2:3" x14ac:dyDescent="0.35">
      <c r="B21" s="80">
        <f t="shared" si="0"/>
        <v>44907</v>
      </c>
      <c r="C21" s="72" t="s">
        <v>176</v>
      </c>
    </row>
    <row r="22" spans="2:3" x14ac:dyDescent="0.35">
      <c r="B22" s="80">
        <f t="shared" si="0"/>
        <v>44914</v>
      </c>
      <c r="C22" s="72" t="s">
        <v>176</v>
      </c>
    </row>
    <row r="23" spans="2:3" x14ac:dyDescent="0.35">
      <c r="B23" s="81">
        <f t="shared" si="0"/>
        <v>44921</v>
      </c>
      <c r="C23" s="98" t="s">
        <v>36</v>
      </c>
    </row>
    <row r="24" spans="2:3" x14ac:dyDescent="0.35">
      <c r="B24" s="81">
        <f t="shared" si="0"/>
        <v>44928</v>
      </c>
      <c r="C24" s="98" t="s">
        <v>36</v>
      </c>
    </row>
    <row r="25" spans="2:3" x14ac:dyDescent="0.35">
      <c r="B25" s="80">
        <f t="shared" si="0"/>
        <v>44935</v>
      </c>
      <c r="C25" s="72" t="s">
        <v>176</v>
      </c>
    </row>
    <row r="26" spans="2:3" x14ac:dyDescent="0.35">
      <c r="B26" s="80">
        <f t="shared" si="0"/>
        <v>44942</v>
      </c>
      <c r="C26" s="72" t="s">
        <v>176</v>
      </c>
    </row>
    <row r="27" spans="2:3" ht="15" thickBot="1" x14ac:dyDescent="0.4">
      <c r="B27" s="82">
        <f t="shared" si="0"/>
        <v>44949</v>
      </c>
      <c r="C27" s="83" t="s">
        <v>175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pageSetUpPr fitToPage="1"/>
  </sheetPr>
  <dimension ref="B2:C57"/>
  <sheetViews>
    <sheetView showGridLines="0" zoomScaleNormal="100" workbookViewId="0">
      <selection activeCell="D5" sqref="D5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0" t="s">
        <v>216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220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221</v>
      </c>
    </row>
    <row r="10" spans="2:3" x14ac:dyDescent="0.35">
      <c r="B10" s="90">
        <f t="shared" si="0"/>
        <v>45198</v>
      </c>
      <c r="C10" s="7"/>
    </row>
    <row r="11" spans="2:3" ht="87" x14ac:dyDescent="0.35">
      <c r="B11" s="90">
        <f t="shared" si="0"/>
        <v>45205</v>
      </c>
      <c r="C11" s="75" t="s">
        <v>224</v>
      </c>
    </row>
    <row r="12" spans="2:3" x14ac:dyDescent="0.35">
      <c r="B12" s="92">
        <f t="shared" si="0"/>
        <v>45212</v>
      </c>
      <c r="C12" s="77" t="s">
        <v>36</v>
      </c>
    </row>
    <row r="13" spans="2:3" x14ac:dyDescent="0.35">
      <c r="B13" s="92">
        <f t="shared" si="0"/>
        <v>45219</v>
      </c>
      <c r="C13" s="77" t="s">
        <v>36</v>
      </c>
    </row>
    <row r="14" spans="2:3" x14ac:dyDescent="0.35">
      <c r="B14" s="90">
        <f t="shared" si="0"/>
        <v>45226</v>
      </c>
      <c r="C14" s="74" t="s">
        <v>222</v>
      </c>
    </row>
    <row r="15" spans="2:3" x14ac:dyDescent="0.35">
      <c r="B15" s="90">
        <f t="shared" si="0"/>
        <v>45233</v>
      </c>
      <c r="C15" s="7"/>
    </row>
    <row r="16" spans="2:3" x14ac:dyDescent="0.35">
      <c r="B16" s="90">
        <f t="shared" si="0"/>
        <v>45240</v>
      </c>
      <c r="C16" s="74"/>
    </row>
    <row r="17" spans="2:3" x14ac:dyDescent="0.35">
      <c r="B17" s="90">
        <f t="shared" si="0"/>
        <v>45247</v>
      </c>
      <c r="C17" s="74" t="s">
        <v>225</v>
      </c>
    </row>
    <row r="18" spans="2:3" x14ac:dyDescent="0.35">
      <c r="B18" s="90">
        <f t="shared" si="0"/>
        <v>45254</v>
      </c>
      <c r="C18" s="7"/>
    </row>
    <row r="19" spans="2:3" x14ac:dyDescent="0.35">
      <c r="B19" s="90">
        <f t="shared" si="0"/>
        <v>45261</v>
      </c>
      <c r="C19" s="74" t="s">
        <v>234</v>
      </c>
    </row>
    <row r="20" spans="2:3" ht="43.5" x14ac:dyDescent="0.35">
      <c r="B20" s="90">
        <f t="shared" si="0"/>
        <v>45268</v>
      </c>
      <c r="C20" s="75" t="s">
        <v>232</v>
      </c>
    </row>
    <row r="21" spans="2:3" x14ac:dyDescent="0.35">
      <c r="B21" s="90">
        <f t="shared" si="0"/>
        <v>45275</v>
      </c>
      <c r="C21" s="74" t="s">
        <v>121</v>
      </c>
    </row>
    <row r="22" spans="2:3" x14ac:dyDescent="0.35">
      <c r="B22" s="90">
        <f t="shared" si="0"/>
        <v>45282</v>
      </c>
      <c r="C22" s="7"/>
    </row>
    <row r="23" spans="2:3" x14ac:dyDescent="0.35">
      <c r="B23" s="92">
        <f t="shared" si="0"/>
        <v>45289</v>
      </c>
      <c r="C23" s="77" t="s">
        <v>36</v>
      </c>
    </row>
    <row r="24" spans="2:3" x14ac:dyDescent="0.35">
      <c r="B24" s="92">
        <f t="shared" si="0"/>
        <v>45296</v>
      </c>
      <c r="C24" s="77" t="s">
        <v>36</v>
      </c>
    </row>
    <row r="25" spans="2:3" ht="72.5" x14ac:dyDescent="0.35">
      <c r="B25" s="90">
        <f t="shared" si="0"/>
        <v>45303</v>
      </c>
      <c r="C25" s="75" t="s">
        <v>233</v>
      </c>
    </row>
    <row r="26" spans="2:3" x14ac:dyDescent="0.35">
      <c r="B26" s="90">
        <f t="shared" si="0"/>
        <v>45310</v>
      </c>
      <c r="C26" s="75"/>
    </row>
    <row r="27" spans="2:3" x14ac:dyDescent="0.35">
      <c r="B27" s="90">
        <f t="shared" si="0"/>
        <v>45317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0">
        <f>B27+7</f>
        <v>45324</v>
      </c>
      <c r="C34" s="94" t="s">
        <v>111</v>
      </c>
    </row>
    <row r="35" spans="2:3" x14ac:dyDescent="0.35">
      <c r="B35" s="90">
        <f>B34+7</f>
        <v>45331</v>
      </c>
      <c r="C35" s="74" t="s">
        <v>219</v>
      </c>
    </row>
    <row r="36" spans="2:3" x14ac:dyDescent="0.35">
      <c r="B36" s="90">
        <f t="shared" ref="B36:B57" si="1">B35+7</f>
        <v>45338</v>
      </c>
      <c r="C36" s="7" t="s">
        <v>135</v>
      </c>
    </row>
    <row r="37" spans="2:3" x14ac:dyDescent="0.35">
      <c r="B37" s="92">
        <f t="shared" si="1"/>
        <v>45345</v>
      </c>
      <c r="C37" s="52" t="s">
        <v>36</v>
      </c>
    </row>
    <row r="38" spans="2:3" x14ac:dyDescent="0.35">
      <c r="B38" s="92">
        <f t="shared" si="1"/>
        <v>45352</v>
      </c>
      <c r="C38" s="52" t="s">
        <v>36</v>
      </c>
    </row>
    <row r="39" spans="2:3" x14ac:dyDescent="0.35">
      <c r="B39" s="90">
        <f t="shared" si="1"/>
        <v>45359</v>
      </c>
      <c r="C39" s="7" t="s">
        <v>131</v>
      </c>
    </row>
    <row r="40" spans="2:3" ht="58" x14ac:dyDescent="0.35">
      <c r="B40" s="90">
        <f t="shared" si="1"/>
        <v>45366</v>
      </c>
      <c r="C40" s="76" t="s">
        <v>205</v>
      </c>
    </row>
    <row r="41" spans="2:3" x14ac:dyDescent="0.35">
      <c r="B41" s="90">
        <f t="shared" si="1"/>
        <v>45373</v>
      </c>
      <c r="C41" s="7" t="s">
        <v>201</v>
      </c>
    </row>
    <row r="42" spans="2:3" x14ac:dyDescent="0.35">
      <c r="B42" s="92">
        <f t="shared" si="1"/>
        <v>45380</v>
      </c>
      <c r="C42" s="108" t="s">
        <v>127</v>
      </c>
    </row>
    <row r="43" spans="2:3" x14ac:dyDescent="0.35">
      <c r="B43" s="90">
        <f t="shared" si="1"/>
        <v>45387</v>
      </c>
      <c r="C43" s="7" t="s">
        <v>204</v>
      </c>
    </row>
    <row r="44" spans="2:3" x14ac:dyDescent="0.35">
      <c r="B44" s="90">
        <f t="shared" si="1"/>
        <v>45394</v>
      </c>
      <c r="C44" s="7" t="s">
        <v>223</v>
      </c>
    </row>
    <row r="45" spans="2:3" x14ac:dyDescent="0.35">
      <c r="B45" s="90">
        <f t="shared" si="1"/>
        <v>45401</v>
      </c>
      <c r="C45" s="74" t="s">
        <v>134</v>
      </c>
    </row>
    <row r="46" spans="2:3" x14ac:dyDescent="0.35">
      <c r="B46" s="92">
        <f t="shared" si="1"/>
        <v>45408</v>
      </c>
      <c r="C46" s="52" t="s">
        <v>36</v>
      </c>
    </row>
    <row r="47" spans="2:3" x14ac:dyDescent="0.35">
      <c r="B47" s="92">
        <f t="shared" si="1"/>
        <v>45415</v>
      </c>
      <c r="C47" s="52" t="s">
        <v>36</v>
      </c>
    </row>
    <row r="48" spans="2:3" x14ac:dyDescent="0.35">
      <c r="B48" s="92">
        <f t="shared" si="1"/>
        <v>45422</v>
      </c>
      <c r="C48" s="103" t="s">
        <v>73</v>
      </c>
    </row>
    <row r="49" spans="2:3" x14ac:dyDescent="0.35">
      <c r="B49" s="90">
        <f t="shared" si="1"/>
        <v>45429</v>
      </c>
      <c r="C49" s="65"/>
    </row>
    <row r="50" spans="2:3" ht="43" customHeight="1" x14ac:dyDescent="0.35">
      <c r="B50" s="90">
        <f t="shared" si="1"/>
        <v>45436</v>
      </c>
      <c r="C50" s="76" t="s">
        <v>212</v>
      </c>
    </row>
    <row r="51" spans="2:3" x14ac:dyDescent="0.35">
      <c r="B51" s="90">
        <f t="shared" si="1"/>
        <v>45443</v>
      </c>
      <c r="C51" s="7" t="s">
        <v>226</v>
      </c>
    </row>
    <row r="52" spans="2:3" x14ac:dyDescent="0.35">
      <c r="B52" s="90">
        <f t="shared" si="1"/>
        <v>45450</v>
      </c>
      <c r="C52" s="7"/>
    </row>
    <row r="53" spans="2:3" x14ac:dyDescent="0.35">
      <c r="B53" s="90">
        <f t="shared" si="1"/>
        <v>45457</v>
      </c>
      <c r="C53" s="7"/>
    </row>
    <row r="54" spans="2:3" x14ac:dyDescent="0.35">
      <c r="B54" s="90">
        <f t="shared" si="1"/>
        <v>45464</v>
      </c>
      <c r="C54" s="65"/>
    </row>
    <row r="55" spans="2:3" ht="58" x14ac:dyDescent="0.35">
      <c r="B55" s="90">
        <f t="shared" si="1"/>
        <v>45471</v>
      </c>
      <c r="C55" s="76" t="s">
        <v>213</v>
      </c>
    </row>
    <row r="56" spans="2:3" x14ac:dyDescent="0.35">
      <c r="B56" s="90">
        <f t="shared" si="1"/>
        <v>45478</v>
      </c>
      <c r="C56" s="7" t="s">
        <v>152</v>
      </c>
    </row>
    <row r="57" spans="2:3" ht="15" thickBot="1" x14ac:dyDescent="0.4">
      <c r="B57" s="91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3" t="s">
        <v>191</v>
      </c>
    </row>
    <row r="2" spans="2:6" ht="15" thickBot="1" x14ac:dyDescent="0.4"/>
    <row r="3" spans="2:6" ht="15" thickBot="1" x14ac:dyDescent="0.4">
      <c r="B3" s="102" t="s">
        <v>48</v>
      </c>
      <c r="C3" s="19" t="s">
        <v>46</v>
      </c>
    </row>
    <row r="4" spans="2:6" x14ac:dyDescent="0.35">
      <c r="B4" s="115">
        <v>45323</v>
      </c>
      <c r="C4" s="117" t="s">
        <v>61</v>
      </c>
    </row>
    <row r="5" spans="2:6" x14ac:dyDescent="0.35">
      <c r="B5" s="112">
        <f t="shared" ref="B5:B6" si="0">B4+7</f>
        <v>45330</v>
      </c>
      <c r="C5" s="118" t="s">
        <v>196</v>
      </c>
    </row>
    <row r="6" spans="2:6" x14ac:dyDescent="0.35">
      <c r="B6" s="113">
        <f t="shared" si="0"/>
        <v>45337</v>
      </c>
      <c r="C6" s="119"/>
    </row>
    <row r="7" spans="2:6" x14ac:dyDescent="0.35">
      <c r="B7" s="112">
        <f t="shared" ref="B7:B27" si="1">B6+7</f>
        <v>45344</v>
      </c>
      <c r="C7" s="118" t="s">
        <v>36</v>
      </c>
    </row>
    <row r="8" spans="2:6" x14ac:dyDescent="0.35">
      <c r="B8" s="112">
        <f t="shared" si="1"/>
        <v>45351</v>
      </c>
      <c r="C8" s="118" t="s">
        <v>36</v>
      </c>
    </row>
    <row r="9" spans="2:6" x14ac:dyDescent="0.35">
      <c r="B9" s="113">
        <f t="shared" si="1"/>
        <v>45358</v>
      </c>
      <c r="C9" s="120" t="s">
        <v>207</v>
      </c>
    </row>
    <row r="10" spans="2:6" x14ac:dyDescent="0.35">
      <c r="B10" s="101">
        <f t="shared" si="1"/>
        <v>45365</v>
      </c>
      <c r="C10" s="119"/>
    </row>
    <row r="11" spans="2:6" x14ac:dyDescent="0.35">
      <c r="B11" s="113">
        <f t="shared" si="1"/>
        <v>45372</v>
      </c>
      <c r="C11" s="121" t="s">
        <v>28</v>
      </c>
    </row>
    <row r="12" spans="2:6" x14ac:dyDescent="0.35">
      <c r="B12" s="113">
        <f t="shared" si="1"/>
        <v>45379</v>
      </c>
      <c r="C12" s="120" t="s">
        <v>208</v>
      </c>
    </row>
    <row r="13" spans="2:6" x14ac:dyDescent="0.35">
      <c r="B13" s="113">
        <f t="shared" si="1"/>
        <v>45386</v>
      </c>
      <c r="C13" s="119" t="s">
        <v>235</v>
      </c>
    </row>
    <row r="14" spans="2:6" x14ac:dyDescent="0.35">
      <c r="B14" s="113">
        <f t="shared" si="1"/>
        <v>45393</v>
      </c>
      <c r="C14" s="121"/>
    </row>
    <row r="15" spans="2:6" x14ac:dyDescent="0.35">
      <c r="B15" s="113">
        <f t="shared" si="1"/>
        <v>45400</v>
      </c>
      <c r="C15" s="120" t="s">
        <v>209</v>
      </c>
    </row>
    <row r="16" spans="2:6" x14ac:dyDescent="0.35">
      <c r="B16" s="112">
        <f t="shared" si="1"/>
        <v>45407</v>
      </c>
      <c r="C16" s="118" t="s">
        <v>36</v>
      </c>
      <c r="F16" s="95"/>
    </row>
    <row r="17" spans="2:6" x14ac:dyDescent="0.35">
      <c r="B17" s="112">
        <f t="shared" si="1"/>
        <v>45414</v>
      </c>
      <c r="C17" s="118" t="s">
        <v>36</v>
      </c>
      <c r="F17" s="96"/>
    </row>
    <row r="18" spans="2:6" x14ac:dyDescent="0.35">
      <c r="B18" s="112">
        <f t="shared" si="1"/>
        <v>45421</v>
      </c>
      <c r="C18" s="118" t="s">
        <v>73</v>
      </c>
      <c r="F18" s="96"/>
    </row>
    <row r="19" spans="2:6" x14ac:dyDescent="0.35">
      <c r="B19" s="101">
        <f t="shared" si="1"/>
        <v>45428</v>
      </c>
      <c r="C19" s="121" t="s">
        <v>28</v>
      </c>
      <c r="F19" s="97"/>
    </row>
    <row r="20" spans="2:6" x14ac:dyDescent="0.35">
      <c r="B20" s="124">
        <f t="shared" si="1"/>
        <v>45435</v>
      </c>
      <c r="C20" s="125" t="s">
        <v>238</v>
      </c>
      <c r="F20" s="97"/>
    </row>
    <row r="21" spans="2:6" x14ac:dyDescent="0.35">
      <c r="B21" s="114">
        <f t="shared" si="1"/>
        <v>45442</v>
      </c>
      <c r="C21" s="120" t="s">
        <v>210</v>
      </c>
    </row>
    <row r="22" spans="2:6" x14ac:dyDescent="0.35">
      <c r="B22" s="113">
        <f t="shared" si="1"/>
        <v>45449</v>
      </c>
      <c r="C22" s="119"/>
    </row>
    <row r="23" spans="2:6" x14ac:dyDescent="0.35">
      <c r="B23" s="113">
        <f t="shared" si="1"/>
        <v>45456</v>
      </c>
      <c r="C23" s="120" t="s">
        <v>206</v>
      </c>
    </row>
    <row r="24" spans="2:6" x14ac:dyDescent="0.35">
      <c r="B24" s="113">
        <f t="shared" si="1"/>
        <v>45463</v>
      </c>
      <c r="C24" s="120"/>
    </row>
    <row r="25" spans="2:6" x14ac:dyDescent="0.35">
      <c r="B25" s="101">
        <f t="shared" si="1"/>
        <v>45470</v>
      </c>
      <c r="C25" s="121" t="s">
        <v>214</v>
      </c>
    </row>
    <row r="26" spans="2:6" x14ac:dyDescent="0.35">
      <c r="B26" s="113">
        <f t="shared" si="1"/>
        <v>45477</v>
      </c>
      <c r="C26" s="122"/>
    </row>
    <row r="27" spans="2:6" ht="15" thickBot="1" x14ac:dyDescent="0.4">
      <c r="B27" s="116">
        <f t="shared" si="1"/>
        <v>45484</v>
      </c>
      <c r="C27" s="123"/>
    </row>
  </sheetData>
  <pageMargins left="0.7" right="0.7" top="0.78740157499999996" bottom="0.78740157499999996" header="0.3" footer="0.3"/>
  <pageSetup paperSize="9" scale="8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3" t="s">
        <v>190</v>
      </c>
    </row>
    <row r="2" spans="2:3" ht="15" thickBot="1" x14ac:dyDescent="0.4"/>
    <row r="3" spans="2:3" x14ac:dyDescent="0.35">
      <c r="B3" s="102" t="s">
        <v>48</v>
      </c>
      <c r="C3" s="19" t="s">
        <v>46</v>
      </c>
    </row>
    <row r="4" spans="2:3" x14ac:dyDescent="0.35">
      <c r="B4" s="32">
        <v>45323</v>
      </c>
      <c r="C4" s="8" t="s">
        <v>198</v>
      </c>
    </row>
    <row r="5" spans="2:3" x14ac:dyDescent="0.35">
      <c r="B5" s="30">
        <f t="shared" ref="B5:B27" si="0">B4+7</f>
        <v>45330</v>
      </c>
      <c r="C5" s="13" t="s">
        <v>196</v>
      </c>
    </row>
    <row r="6" spans="2:3" x14ac:dyDescent="0.35">
      <c r="B6" s="32">
        <f t="shared" si="0"/>
        <v>45337</v>
      </c>
      <c r="C6" s="8" t="s">
        <v>236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192</v>
      </c>
    </row>
    <row r="10" spans="2:3" x14ac:dyDescent="0.35">
      <c r="B10" s="109">
        <f t="shared" si="0"/>
        <v>45365</v>
      </c>
      <c r="C10" s="8" t="s">
        <v>199</v>
      </c>
    </row>
    <row r="11" spans="2:3" x14ac:dyDescent="0.35">
      <c r="B11" s="32">
        <f t="shared" si="0"/>
        <v>45372</v>
      </c>
      <c r="C11" s="110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239</v>
      </c>
    </row>
    <row r="14" spans="2:3" x14ac:dyDescent="0.35">
      <c r="B14" s="32">
        <f t="shared" si="0"/>
        <v>45393</v>
      </c>
      <c r="C14" s="8" t="s">
        <v>240</v>
      </c>
    </row>
    <row r="15" spans="2:3" x14ac:dyDescent="0.35">
      <c r="B15" s="32">
        <f t="shared" si="0"/>
        <v>45400</v>
      </c>
      <c r="C15" s="8" t="s">
        <v>193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09">
        <f t="shared" si="0"/>
        <v>45428</v>
      </c>
      <c r="C19" s="110" t="s">
        <v>28</v>
      </c>
    </row>
    <row r="20" spans="2:3" x14ac:dyDescent="0.35">
      <c r="B20" s="124">
        <f t="shared" si="0"/>
        <v>45435</v>
      </c>
      <c r="C20" s="125" t="s">
        <v>238</v>
      </c>
    </row>
    <row r="21" spans="2:3" x14ac:dyDescent="0.35">
      <c r="B21" s="32">
        <f t="shared" si="0"/>
        <v>45442</v>
      </c>
      <c r="C21" s="8" t="s">
        <v>194</v>
      </c>
    </row>
    <row r="22" spans="2:3" x14ac:dyDescent="0.35">
      <c r="B22" s="32">
        <f t="shared" si="0"/>
        <v>45449</v>
      </c>
      <c r="C22" s="8" t="s">
        <v>195</v>
      </c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197</v>
      </c>
    </row>
    <row r="25" spans="2:3" x14ac:dyDescent="0.35">
      <c r="B25" s="109">
        <f t="shared" si="0"/>
        <v>45470</v>
      </c>
      <c r="C25" s="111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237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F27"/>
  <sheetViews>
    <sheetView showGridLines="0" topLeftCell="A7" zoomScale="85" zoomScaleNormal="85" workbookViewId="0">
      <selection activeCell="B2" sqref="B2:F27"/>
    </sheetView>
  </sheetViews>
  <sheetFormatPr baseColWidth="10" defaultRowHeight="14.5" x14ac:dyDescent="0.35"/>
  <cols>
    <col min="3" max="3" width="0" hidden="1" customWidth="1"/>
    <col min="4" max="5" width="15.36328125" customWidth="1"/>
    <col min="6" max="6" width="53.1796875" customWidth="1"/>
  </cols>
  <sheetData>
    <row r="2" spans="2:6" ht="18.5" x14ac:dyDescent="0.45">
      <c r="B2" s="126" t="s">
        <v>215</v>
      </c>
      <c r="C2" s="126"/>
      <c r="D2" s="127"/>
      <c r="E2" s="127"/>
      <c r="F2" s="126"/>
    </row>
    <row r="4" spans="2:6" ht="29" x14ac:dyDescent="0.35">
      <c r="B4" s="138" t="s">
        <v>241</v>
      </c>
      <c r="C4" s="138" t="s">
        <v>241</v>
      </c>
      <c r="D4" s="139" t="s">
        <v>242</v>
      </c>
      <c r="E4" s="139" t="s">
        <v>243</v>
      </c>
      <c r="F4" s="140" t="s">
        <v>46</v>
      </c>
    </row>
    <row r="5" spans="2:6" ht="116" x14ac:dyDescent="0.35">
      <c r="B5" s="134">
        <f>WEEKNUM(D5)</f>
        <v>34</v>
      </c>
      <c r="C5" s="134">
        <f>WEEKNUM(E5)</f>
        <v>34</v>
      </c>
      <c r="D5" s="109">
        <v>45526</v>
      </c>
      <c r="E5" s="109">
        <v>45527</v>
      </c>
      <c r="F5" s="128" t="s">
        <v>157</v>
      </c>
    </row>
    <row r="6" spans="2:6" ht="72.5" x14ac:dyDescent="0.35">
      <c r="B6" s="134">
        <f t="shared" ref="B6:B27" si="0">WEEKNUM(D6)</f>
        <v>35</v>
      </c>
      <c r="C6" s="134">
        <f t="shared" ref="C6:C27" si="1">WEEKNUM(E6)</f>
        <v>35</v>
      </c>
      <c r="D6" s="109">
        <f t="shared" ref="D6:E27" si="2">D5+7</f>
        <v>45533</v>
      </c>
      <c r="E6" s="109">
        <f t="shared" si="2"/>
        <v>45534</v>
      </c>
      <c r="F6" s="128" t="s">
        <v>158</v>
      </c>
    </row>
    <row r="7" spans="2:6" ht="72.5" x14ac:dyDescent="0.35">
      <c r="B7" s="134">
        <f t="shared" si="0"/>
        <v>36</v>
      </c>
      <c r="C7" s="134">
        <f t="shared" si="1"/>
        <v>36</v>
      </c>
      <c r="D7" s="109">
        <f t="shared" si="2"/>
        <v>45540</v>
      </c>
      <c r="E7" s="109">
        <f t="shared" si="2"/>
        <v>45541</v>
      </c>
      <c r="F7" s="128" t="s">
        <v>162</v>
      </c>
    </row>
    <row r="8" spans="2:6" x14ac:dyDescent="0.35">
      <c r="B8" s="134">
        <f t="shared" si="0"/>
        <v>37</v>
      </c>
      <c r="C8" s="134">
        <f t="shared" si="1"/>
        <v>37</v>
      </c>
      <c r="D8" s="109">
        <f t="shared" si="2"/>
        <v>45547</v>
      </c>
      <c r="E8" s="109">
        <f t="shared" si="2"/>
        <v>45548</v>
      </c>
      <c r="F8" s="129" t="s">
        <v>165</v>
      </c>
    </row>
    <row r="9" spans="2:6" ht="72.5" x14ac:dyDescent="0.35">
      <c r="B9" s="134">
        <f t="shared" si="0"/>
        <v>38</v>
      </c>
      <c r="C9" s="134">
        <f t="shared" si="1"/>
        <v>38</v>
      </c>
      <c r="D9" s="109">
        <f t="shared" si="2"/>
        <v>45554</v>
      </c>
      <c r="E9" s="109">
        <f t="shared" si="2"/>
        <v>45555</v>
      </c>
      <c r="F9" s="128" t="s">
        <v>163</v>
      </c>
    </row>
    <row r="10" spans="2:6" ht="43.5" x14ac:dyDescent="0.35">
      <c r="B10" s="134">
        <f t="shared" si="0"/>
        <v>39</v>
      </c>
      <c r="C10" s="134">
        <f t="shared" si="1"/>
        <v>39</v>
      </c>
      <c r="D10" s="109">
        <f t="shared" si="2"/>
        <v>45561</v>
      </c>
      <c r="E10" s="109">
        <f t="shared" si="2"/>
        <v>45562</v>
      </c>
      <c r="F10" s="128" t="s">
        <v>159</v>
      </c>
    </row>
    <row r="11" spans="2:6" ht="43.5" x14ac:dyDescent="0.35">
      <c r="B11" s="134">
        <f t="shared" si="0"/>
        <v>40</v>
      </c>
      <c r="C11" s="134">
        <f t="shared" si="1"/>
        <v>40</v>
      </c>
      <c r="D11" s="109">
        <f t="shared" si="2"/>
        <v>45568</v>
      </c>
      <c r="E11" s="109">
        <f t="shared" si="2"/>
        <v>45569</v>
      </c>
      <c r="F11" s="130" t="s">
        <v>168</v>
      </c>
    </row>
    <row r="12" spans="2:6" x14ac:dyDescent="0.35">
      <c r="B12" s="134">
        <f t="shared" si="0"/>
        <v>41</v>
      </c>
      <c r="C12" s="134">
        <f t="shared" si="1"/>
        <v>41</v>
      </c>
      <c r="D12" s="131">
        <f t="shared" si="2"/>
        <v>45575</v>
      </c>
      <c r="E12" s="131">
        <f t="shared" si="2"/>
        <v>45576</v>
      </c>
      <c r="F12" s="132" t="s">
        <v>36</v>
      </c>
    </row>
    <row r="13" spans="2:6" x14ac:dyDescent="0.35">
      <c r="B13" s="134">
        <f t="shared" si="0"/>
        <v>42</v>
      </c>
      <c r="C13" s="134">
        <f t="shared" si="1"/>
        <v>42</v>
      </c>
      <c r="D13" s="131">
        <f t="shared" si="2"/>
        <v>45582</v>
      </c>
      <c r="E13" s="131">
        <f t="shared" si="2"/>
        <v>45583</v>
      </c>
      <c r="F13" s="132" t="s">
        <v>36</v>
      </c>
    </row>
    <row r="14" spans="2:6" ht="29" x14ac:dyDescent="0.35">
      <c r="B14" s="134">
        <f t="shared" si="0"/>
        <v>43</v>
      </c>
      <c r="C14" s="134">
        <f t="shared" si="1"/>
        <v>43</v>
      </c>
      <c r="D14" s="109">
        <f t="shared" si="2"/>
        <v>45589</v>
      </c>
      <c r="E14" s="109">
        <f t="shared" si="2"/>
        <v>45590</v>
      </c>
      <c r="F14" s="133" t="s">
        <v>160</v>
      </c>
    </row>
    <row r="15" spans="2:6" ht="43.5" x14ac:dyDescent="0.35">
      <c r="B15" s="134">
        <f t="shared" si="0"/>
        <v>44</v>
      </c>
      <c r="C15" s="134">
        <f t="shared" si="1"/>
        <v>44</v>
      </c>
      <c r="D15" s="109">
        <f t="shared" si="2"/>
        <v>45596</v>
      </c>
      <c r="E15" s="109">
        <f t="shared" si="2"/>
        <v>45597</v>
      </c>
      <c r="F15" s="128" t="s">
        <v>189</v>
      </c>
    </row>
    <row r="16" spans="2:6" x14ac:dyDescent="0.35">
      <c r="B16" s="134">
        <f t="shared" si="0"/>
        <v>45</v>
      </c>
      <c r="C16" s="134">
        <f t="shared" si="1"/>
        <v>45</v>
      </c>
      <c r="D16" s="109">
        <f t="shared" si="2"/>
        <v>45603</v>
      </c>
      <c r="E16" s="109">
        <f t="shared" si="2"/>
        <v>45604</v>
      </c>
      <c r="F16" s="129"/>
    </row>
    <row r="17" spans="2:6" ht="72.5" x14ac:dyDescent="0.35">
      <c r="B17" s="134">
        <f t="shared" si="0"/>
        <v>46</v>
      </c>
      <c r="C17" s="134">
        <f t="shared" si="1"/>
        <v>46</v>
      </c>
      <c r="D17" s="109">
        <f t="shared" si="2"/>
        <v>45610</v>
      </c>
      <c r="E17" s="109">
        <f t="shared" si="2"/>
        <v>45611</v>
      </c>
      <c r="F17" s="128" t="s">
        <v>188</v>
      </c>
    </row>
    <row r="18" spans="2:6" x14ac:dyDescent="0.35">
      <c r="B18" s="134">
        <f t="shared" si="0"/>
        <v>47</v>
      </c>
      <c r="C18" s="134">
        <f t="shared" si="1"/>
        <v>47</v>
      </c>
      <c r="D18" s="109">
        <f t="shared" si="2"/>
        <v>45617</v>
      </c>
      <c r="E18" s="109">
        <f t="shared" si="2"/>
        <v>45618</v>
      </c>
      <c r="F18" s="8"/>
    </row>
    <row r="19" spans="2:6" x14ac:dyDescent="0.35">
      <c r="B19" s="134">
        <f t="shared" si="0"/>
        <v>48</v>
      </c>
      <c r="C19" s="134">
        <f t="shared" si="1"/>
        <v>48</v>
      </c>
      <c r="D19" s="131">
        <f t="shared" si="2"/>
        <v>45624</v>
      </c>
      <c r="E19" s="109">
        <f t="shared" si="2"/>
        <v>45625</v>
      </c>
      <c r="F19" s="147" t="s">
        <v>249</v>
      </c>
    </row>
    <row r="20" spans="2:6" ht="43.5" x14ac:dyDescent="0.35">
      <c r="B20" s="134">
        <f t="shared" si="0"/>
        <v>49</v>
      </c>
      <c r="C20" s="134">
        <f t="shared" si="1"/>
        <v>49</v>
      </c>
      <c r="D20" s="109">
        <f t="shared" si="2"/>
        <v>45631</v>
      </c>
      <c r="E20" s="109">
        <f t="shared" si="2"/>
        <v>45632</v>
      </c>
      <c r="F20" s="128" t="s">
        <v>161</v>
      </c>
    </row>
    <row r="21" spans="2:6" ht="43.5" x14ac:dyDescent="0.35">
      <c r="B21" s="134">
        <f t="shared" si="0"/>
        <v>50</v>
      </c>
      <c r="C21" s="134">
        <f t="shared" si="1"/>
        <v>50</v>
      </c>
      <c r="D21" s="109">
        <f t="shared" si="2"/>
        <v>45638</v>
      </c>
      <c r="E21" s="109">
        <f t="shared" si="2"/>
        <v>45639</v>
      </c>
      <c r="F21" s="130" t="s">
        <v>169</v>
      </c>
    </row>
    <row r="22" spans="2:6" x14ac:dyDescent="0.35">
      <c r="B22" s="134">
        <f t="shared" si="0"/>
        <v>51</v>
      </c>
      <c r="C22" s="134">
        <f t="shared" si="1"/>
        <v>51</v>
      </c>
      <c r="D22" s="109">
        <f t="shared" si="2"/>
        <v>45645</v>
      </c>
      <c r="E22" s="109">
        <f t="shared" si="2"/>
        <v>45646</v>
      </c>
      <c r="F22" s="129" t="s">
        <v>164</v>
      </c>
    </row>
    <row r="23" spans="2:6" x14ac:dyDescent="0.35">
      <c r="B23" s="134">
        <f t="shared" si="0"/>
        <v>52</v>
      </c>
      <c r="C23" s="134">
        <f t="shared" si="1"/>
        <v>52</v>
      </c>
      <c r="D23" s="131">
        <f t="shared" si="2"/>
        <v>45652</v>
      </c>
      <c r="E23" s="131">
        <f t="shared" si="2"/>
        <v>45653</v>
      </c>
      <c r="F23" s="132" t="s">
        <v>36</v>
      </c>
    </row>
    <row r="24" spans="2:6" x14ac:dyDescent="0.35">
      <c r="B24" s="134">
        <f t="shared" si="0"/>
        <v>1</v>
      </c>
      <c r="C24" s="134">
        <f t="shared" si="1"/>
        <v>1</v>
      </c>
      <c r="D24" s="131">
        <f t="shared" si="2"/>
        <v>45659</v>
      </c>
      <c r="E24" s="131">
        <f t="shared" si="2"/>
        <v>45660</v>
      </c>
      <c r="F24" s="132" t="s">
        <v>36</v>
      </c>
    </row>
    <row r="25" spans="2:6" x14ac:dyDescent="0.35">
      <c r="B25" s="134">
        <f t="shared" si="0"/>
        <v>2</v>
      </c>
      <c r="C25" s="134">
        <f t="shared" si="1"/>
        <v>2</v>
      </c>
      <c r="D25" s="109">
        <f t="shared" si="2"/>
        <v>45666</v>
      </c>
      <c r="E25" s="109">
        <f t="shared" si="2"/>
        <v>45667</v>
      </c>
      <c r="F25" s="130"/>
    </row>
    <row r="26" spans="2:6" x14ac:dyDescent="0.35">
      <c r="B26" s="134">
        <f t="shared" si="0"/>
        <v>3</v>
      </c>
      <c r="C26" s="134">
        <f t="shared" si="1"/>
        <v>3</v>
      </c>
      <c r="D26" s="109">
        <f t="shared" si="2"/>
        <v>45673</v>
      </c>
      <c r="E26" s="109">
        <f t="shared" si="2"/>
        <v>45674</v>
      </c>
      <c r="F26" s="129" t="s">
        <v>93</v>
      </c>
    </row>
    <row r="27" spans="2:6" x14ac:dyDescent="0.35">
      <c r="B27" s="134">
        <f t="shared" si="0"/>
        <v>4</v>
      </c>
      <c r="C27" s="134">
        <f t="shared" si="1"/>
        <v>4</v>
      </c>
      <c r="D27" s="109">
        <f t="shared" si="2"/>
        <v>45680</v>
      </c>
      <c r="E27" s="109">
        <f t="shared" si="2"/>
        <v>45681</v>
      </c>
      <c r="F27" s="8"/>
    </row>
  </sheetData>
  <pageMargins left="0.7" right="0.7" top="0.78740157499999996" bottom="0.78740157499999996" header="0.3" footer="0.3"/>
  <pageSetup paperSize="9" scale="8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L28"/>
  <sheetViews>
    <sheetView showGridLines="0" zoomScale="70" zoomScaleNormal="70" workbookViewId="0">
      <selection activeCell="K16" sqref="K16"/>
    </sheetView>
  </sheetViews>
  <sheetFormatPr baseColWidth="10" defaultRowHeight="14.5" x14ac:dyDescent="0.35"/>
  <cols>
    <col min="2" max="2" width="12.54296875" customWidth="1"/>
    <col min="3" max="3" width="12.54296875" hidden="1" customWidth="1"/>
    <col min="4" max="5" width="16.7265625" customWidth="1"/>
    <col min="6" max="6" width="46.6328125" customWidth="1"/>
    <col min="7" max="9" width="5" customWidth="1"/>
    <col min="10" max="10" width="23.6328125" customWidth="1"/>
    <col min="11" max="11" width="23.08984375" customWidth="1"/>
  </cols>
  <sheetData>
    <row r="1" spans="2:12" ht="19" thickBot="1" x14ac:dyDescent="0.5">
      <c r="B1" s="151" t="s">
        <v>217</v>
      </c>
      <c r="C1" s="151"/>
      <c r="D1" s="153"/>
      <c r="E1" s="153"/>
      <c r="F1" s="153"/>
    </row>
    <row r="2" spans="2:12" ht="15" thickBot="1" x14ac:dyDescent="0.4">
      <c r="J2" s="159" t="s">
        <v>230</v>
      </c>
      <c r="K2" s="160"/>
    </row>
    <row r="3" spans="2:12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40" t="s">
        <v>46</v>
      </c>
      <c r="J3" s="48" t="s">
        <v>227</v>
      </c>
      <c r="K3" s="104">
        <v>2023</v>
      </c>
    </row>
    <row r="4" spans="2:12" x14ac:dyDescent="0.35">
      <c r="B4" s="134">
        <f>WEEKNUM(D4)</f>
        <v>34</v>
      </c>
      <c r="C4" s="134">
        <f>WEEKNUM(E4)</f>
        <v>34</v>
      </c>
      <c r="D4" s="109">
        <v>45526</v>
      </c>
      <c r="E4" s="109">
        <v>45527</v>
      </c>
      <c r="F4" s="8"/>
      <c r="J4" s="37" t="s">
        <v>228</v>
      </c>
      <c r="K4" s="52">
        <v>5</v>
      </c>
    </row>
    <row r="5" spans="2:12" ht="87.5" thickBot="1" x14ac:dyDescent="0.4">
      <c r="B5" s="134">
        <f t="shared" ref="B5:C26" si="0">WEEKNUM(D5)</f>
        <v>35</v>
      </c>
      <c r="C5" s="134">
        <f t="shared" si="0"/>
        <v>35</v>
      </c>
      <c r="D5" s="109">
        <f t="shared" ref="D5:E20" si="1">D4+7</f>
        <v>45533</v>
      </c>
      <c r="E5" s="109">
        <f t="shared" si="1"/>
        <v>45534</v>
      </c>
      <c r="F5" s="133" t="s">
        <v>156</v>
      </c>
      <c r="J5" s="105" t="s">
        <v>229</v>
      </c>
      <c r="K5" s="106">
        <f>("4.1."&amp;K3)+K4*7-7-MOD("2.1."&amp;K3,7)</f>
        <v>44956</v>
      </c>
      <c r="L5" s="107">
        <f>WEEKNUM(K5)</f>
        <v>5</v>
      </c>
    </row>
    <row r="6" spans="2:12" x14ac:dyDescent="0.35">
      <c r="B6" s="134">
        <f t="shared" si="0"/>
        <v>36</v>
      </c>
      <c r="C6" s="134">
        <f t="shared" si="0"/>
        <v>36</v>
      </c>
      <c r="D6" s="109">
        <f t="shared" si="1"/>
        <v>45540</v>
      </c>
      <c r="E6" s="109">
        <f t="shared" si="1"/>
        <v>45541</v>
      </c>
      <c r="F6" s="8"/>
      <c r="J6" t="s">
        <v>231</v>
      </c>
      <c r="K6" t="str">
        <f>TEXT(DATE(K$3,1,7*K$4-3-WEEKDAY(DATE(K$3,,),3)),"TT.MM.JJJJ")&amp;" - "&amp;TEXT(DATE(K$3,1,7*K$4+3-WEEKDAY(DATE(K$3,,),3)),"TT.MM.JJJJ")</f>
        <v>30.01.2023 - 05.02.2023</v>
      </c>
    </row>
    <row r="7" spans="2:12" x14ac:dyDescent="0.35">
      <c r="B7" s="134">
        <f t="shared" si="0"/>
        <v>37</v>
      </c>
      <c r="C7" s="134">
        <f t="shared" si="0"/>
        <v>37</v>
      </c>
      <c r="D7" s="109">
        <f t="shared" si="1"/>
        <v>45547</v>
      </c>
      <c r="E7" s="109">
        <f t="shared" si="1"/>
        <v>45548</v>
      </c>
      <c r="F7" s="8"/>
    </row>
    <row r="8" spans="2:12" ht="101.5" x14ac:dyDescent="0.35">
      <c r="B8" s="134">
        <f t="shared" si="0"/>
        <v>38</v>
      </c>
      <c r="C8" s="134">
        <f t="shared" si="0"/>
        <v>38</v>
      </c>
      <c r="D8" s="109">
        <f t="shared" si="1"/>
        <v>45554</v>
      </c>
      <c r="E8" s="109">
        <f t="shared" si="1"/>
        <v>45555</v>
      </c>
      <c r="F8" s="133" t="s">
        <v>174</v>
      </c>
    </row>
    <row r="9" spans="2:12" x14ac:dyDescent="0.35">
      <c r="B9" s="134">
        <f t="shared" si="0"/>
        <v>39</v>
      </c>
      <c r="C9" s="134">
        <f t="shared" si="0"/>
        <v>39</v>
      </c>
      <c r="D9" s="109">
        <f t="shared" si="1"/>
        <v>45561</v>
      </c>
      <c r="E9" s="109">
        <f t="shared" si="1"/>
        <v>45562</v>
      </c>
      <c r="F9" s="8"/>
    </row>
    <row r="10" spans="2:12" ht="58" x14ac:dyDescent="0.35">
      <c r="B10" s="134">
        <f t="shared" si="0"/>
        <v>40</v>
      </c>
      <c r="C10" s="134">
        <f t="shared" si="0"/>
        <v>40</v>
      </c>
      <c r="D10" s="109">
        <f t="shared" si="1"/>
        <v>45568</v>
      </c>
      <c r="E10" s="109">
        <f t="shared" si="1"/>
        <v>45569</v>
      </c>
      <c r="F10" s="111" t="s">
        <v>170</v>
      </c>
    </row>
    <row r="11" spans="2:12" x14ac:dyDescent="0.35">
      <c r="B11" s="134">
        <f t="shared" si="0"/>
        <v>41</v>
      </c>
      <c r="C11" s="134">
        <f t="shared" si="0"/>
        <v>41</v>
      </c>
      <c r="D11" s="131">
        <f t="shared" si="1"/>
        <v>45575</v>
      </c>
      <c r="E11" s="131">
        <f t="shared" si="1"/>
        <v>45576</v>
      </c>
      <c r="F11" s="132" t="s">
        <v>36</v>
      </c>
    </row>
    <row r="12" spans="2:12" x14ac:dyDescent="0.35">
      <c r="B12" s="134">
        <f t="shared" si="0"/>
        <v>42</v>
      </c>
      <c r="C12" s="134">
        <f t="shared" si="0"/>
        <v>42</v>
      </c>
      <c r="D12" s="131">
        <f t="shared" si="1"/>
        <v>45582</v>
      </c>
      <c r="E12" s="131">
        <f t="shared" si="1"/>
        <v>45583</v>
      </c>
      <c r="F12" s="132" t="s">
        <v>36</v>
      </c>
    </row>
    <row r="13" spans="2:12" x14ac:dyDescent="0.35">
      <c r="B13" s="134">
        <f t="shared" si="0"/>
        <v>43</v>
      </c>
      <c r="C13" s="134">
        <f t="shared" si="0"/>
        <v>43</v>
      </c>
      <c r="D13" s="109">
        <f t="shared" si="1"/>
        <v>45589</v>
      </c>
      <c r="E13" s="109">
        <f t="shared" si="1"/>
        <v>45590</v>
      </c>
      <c r="F13" s="8"/>
    </row>
    <row r="14" spans="2:12" ht="72.5" x14ac:dyDescent="0.35">
      <c r="B14" s="134">
        <f t="shared" si="0"/>
        <v>44</v>
      </c>
      <c r="C14" s="134">
        <f t="shared" si="0"/>
        <v>44</v>
      </c>
      <c r="D14" s="109">
        <f t="shared" si="1"/>
        <v>45596</v>
      </c>
      <c r="E14" s="109">
        <f t="shared" si="1"/>
        <v>45597</v>
      </c>
      <c r="F14" s="133" t="s">
        <v>155</v>
      </c>
    </row>
    <row r="15" spans="2:12" x14ac:dyDescent="0.35">
      <c r="B15" s="134">
        <f t="shared" si="0"/>
        <v>45</v>
      </c>
      <c r="C15" s="134">
        <f t="shared" si="0"/>
        <v>45</v>
      </c>
      <c r="D15" s="109">
        <f t="shared" si="1"/>
        <v>45603</v>
      </c>
      <c r="E15" s="109">
        <f t="shared" si="1"/>
        <v>45604</v>
      </c>
      <c r="F15" s="8"/>
    </row>
    <row r="16" spans="2:12" x14ac:dyDescent="0.35">
      <c r="B16" s="134">
        <f t="shared" si="0"/>
        <v>46</v>
      </c>
      <c r="C16" s="134">
        <f t="shared" si="0"/>
        <v>46</v>
      </c>
      <c r="D16" s="109">
        <f t="shared" si="1"/>
        <v>45610</v>
      </c>
      <c r="E16" s="109">
        <f t="shared" si="1"/>
        <v>45611</v>
      </c>
      <c r="F16" s="8"/>
    </row>
    <row r="17" spans="2:6" ht="101.5" x14ac:dyDescent="0.35">
      <c r="B17" s="134">
        <f t="shared" si="0"/>
        <v>47</v>
      </c>
      <c r="C17" s="134">
        <f t="shared" si="0"/>
        <v>47</v>
      </c>
      <c r="D17" s="109">
        <f t="shared" si="1"/>
        <v>45617</v>
      </c>
      <c r="E17" s="109">
        <f t="shared" si="1"/>
        <v>45618</v>
      </c>
      <c r="F17" s="133" t="s">
        <v>262</v>
      </c>
    </row>
    <row r="18" spans="2:6" x14ac:dyDescent="0.35">
      <c r="B18" s="134">
        <f t="shared" si="0"/>
        <v>48</v>
      </c>
      <c r="C18" s="134">
        <f t="shared" si="0"/>
        <v>48</v>
      </c>
      <c r="D18" s="131">
        <f t="shared" si="1"/>
        <v>45624</v>
      </c>
      <c r="E18" s="109">
        <f t="shared" si="1"/>
        <v>45625</v>
      </c>
      <c r="F18" s="147" t="s">
        <v>249</v>
      </c>
    </row>
    <row r="19" spans="2:6" x14ac:dyDescent="0.35">
      <c r="B19" s="134">
        <f t="shared" si="0"/>
        <v>49</v>
      </c>
      <c r="C19" s="134">
        <f t="shared" si="0"/>
        <v>49</v>
      </c>
      <c r="D19" s="109">
        <f t="shared" si="1"/>
        <v>45631</v>
      </c>
      <c r="E19" s="109">
        <f t="shared" si="1"/>
        <v>45632</v>
      </c>
      <c r="F19" s="8"/>
    </row>
    <row r="20" spans="2:6" x14ac:dyDescent="0.35">
      <c r="B20" s="134">
        <f t="shared" si="0"/>
        <v>50</v>
      </c>
      <c r="C20" s="134">
        <f t="shared" si="0"/>
        <v>50</v>
      </c>
      <c r="D20" s="109">
        <f t="shared" si="1"/>
        <v>45638</v>
      </c>
      <c r="E20" s="109">
        <f t="shared" si="1"/>
        <v>45639</v>
      </c>
    </row>
    <row r="21" spans="2:6" ht="29" x14ac:dyDescent="0.35">
      <c r="B21" s="134">
        <f t="shared" si="0"/>
        <v>51</v>
      </c>
      <c r="C21" s="134">
        <f t="shared" si="0"/>
        <v>51</v>
      </c>
      <c r="D21" s="109">
        <f t="shared" ref="D21:E26" si="2">D20+7</f>
        <v>45645</v>
      </c>
      <c r="E21" s="109">
        <f t="shared" si="2"/>
        <v>45646</v>
      </c>
      <c r="F21" s="111" t="s">
        <v>171</v>
      </c>
    </row>
    <row r="22" spans="2:6" x14ac:dyDescent="0.35">
      <c r="B22" s="134">
        <f t="shared" si="0"/>
        <v>52</v>
      </c>
      <c r="C22" s="134">
        <f t="shared" si="0"/>
        <v>52</v>
      </c>
      <c r="D22" s="131">
        <f t="shared" si="2"/>
        <v>45652</v>
      </c>
      <c r="E22" s="131">
        <f t="shared" si="2"/>
        <v>45653</v>
      </c>
      <c r="F22" s="132" t="s">
        <v>36</v>
      </c>
    </row>
    <row r="23" spans="2:6" x14ac:dyDescent="0.35">
      <c r="B23" s="134">
        <f t="shared" si="0"/>
        <v>1</v>
      </c>
      <c r="C23" s="134">
        <f t="shared" si="0"/>
        <v>1</v>
      </c>
      <c r="D23" s="131">
        <f t="shared" si="2"/>
        <v>45659</v>
      </c>
      <c r="E23" s="131">
        <f t="shared" si="2"/>
        <v>45660</v>
      </c>
      <c r="F23" s="135" t="s">
        <v>36</v>
      </c>
    </row>
    <row r="24" spans="2:6" ht="72.5" x14ac:dyDescent="0.35">
      <c r="B24" s="134">
        <f t="shared" si="0"/>
        <v>2</v>
      </c>
      <c r="C24" s="134">
        <f t="shared" si="0"/>
        <v>2</v>
      </c>
      <c r="D24" s="109">
        <f t="shared" si="2"/>
        <v>45666</v>
      </c>
      <c r="E24" s="109">
        <f t="shared" si="2"/>
        <v>45667</v>
      </c>
      <c r="F24" s="133" t="s">
        <v>173</v>
      </c>
    </row>
    <row r="25" spans="2:6" x14ac:dyDescent="0.35">
      <c r="B25" s="134">
        <f t="shared" si="0"/>
        <v>3</v>
      </c>
      <c r="C25" s="134">
        <f t="shared" si="0"/>
        <v>3</v>
      </c>
      <c r="D25" s="109">
        <f t="shared" si="2"/>
        <v>45673</v>
      </c>
      <c r="E25" s="109">
        <f t="shared" si="2"/>
        <v>45674</v>
      </c>
      <c r="F25" s="8" t="s">
        <v>153</v>
      </c>
    </row>
    <row r="26" spans="2:6" x14ac:dyDescent="0.35">
      <c r="B26" s="134">
        <f t="shared" si="0"/>
        <v>4</v>
      </c>
      <c r="C26" s="134">
        <f t="shared" si="0"/>
        <v>4</v>
      </c>
      <c r="D26" s="109">
        <f t="shared" si="2"/>
        <v>45680</v>
      </c>
      <c r="E26" s="109">
        <f t="shared" si="2"/>
        <v>45681</v>
      </c>
      <c r="F26" s="111"/>
    </row>
    <row r="27" spans="2:6" x14ac:dyDescent="0.35">
      <c r="B27" s="78"/>
      <c r="C27" s="78"/>
      <c r="D27" s="142"/>
      <c r="E27" s="142"/>
    </row>
    <row r="28" spans="2:6" x14ac:dyDescent="0.35">
      <c r="B28" s="142"/>
    </row>
  </sheetData>
  <mergeCells count="1">
    <mergeCell ref="J2:K2"/>
  </mergeCells>
  <pageMargins left="0.7" right="0.7" top="0.78740157499999996" bottom="0.78740157499999996" header="0.3" footer="0.3"/>
  <pageSetup paperSize="9" scale="49" orientation="portrait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3D35-783E-49DB-B4FB-1F72077F52B6}">
  <sheetPr codeName="Tabelle19">
    <tabColor rgb="FF92D050"/>
    <pageSetUpPr fitToPage="1"/>
  </sheetPr>
  <dimension ref="B2:F57"/>
  <sheetViews>
    <sheetView showGridLines="0" tabSelected="1" topLeftCell="A10" zoomScale="70" zoomScaleNormal="70" workbookViewId="0">
      <selection activeCell="O39" sqref="O39"/>
    </sheetView>
  </sheetViews>
  <sheetFormatPr baseColWidth="10" defaultRowHeight="14.5" x14ac:dyDescent="0.35"/>
  <cols>
    <col min="2" max="2" width="12.7265625" customWidth="1"/>
    <col min="3" max="3" width="13.7265625" hidden="1" customWidth="1"/>
    <col min="4" max="5" width="13.453125" customWidth="1"/>
    <col min="6" max="6" width="79.1796875" customWidth="1"/>
  </cols>
  <sheetData>
    <row r="2" spans="2:6" ht="18.5" x14ac:dyDescent="0.45">
      <c r="B2" s="155" t="s">
        <v>244</v>
      </c>
      <c r="C2" s="156"/>
      <c r="D2" s="157"/>
      <c r="E2" s="157"/>
      <c r="F2" s="157"/>
    </row>
    <row r="3" spans="2:6" x14ac:dyDescent="0.35">
      <c r="B3" s="8"/>
      <c r="C3" s="8"/>
      <c r="D3" s="8"/>
      <c r="E3" s="8"/>
      <c r="F3" s="8"/>
    </row>
    <row r="4" spans="2:6" ht="43.5" x14ac:dyDescent="0.35">
      <c r="B4" s="138" t="s">
        <v>241</v>
      </c>
      <c r="C4" s="138" t="s">
        <v>241</v>
      </c>
      <c r="D4" s="141" t="s">
        <v>245</v>
      </c>
      <c r="E4" s="139" t="s">
        <v>246</v>
      </c>
      <c r="F4" s="55" t="s">
        <v>46</v>
      </c>
    </row>
    <row r="5" spans="2:6" x14ac:dyDescent="0.35">
      <c r="B5" s="134">
        <f>WEEKNUM(D5)</f>
        <v>34</v>
      </c>
      <c r="C5" s="134">
        <f>WEEKNUM(E5)</f>
        <v>34</v>
      </c>
      <c r="D5" s="143">
        <v>45526</v>
      </c>
      <c r="E5" s="143">
        <v>45527</v>
      </c>
      <c r="F5" s="147" t="s">
        <v>250</v>
      </c>
    </row>
    <row r="6" spans="2:6" x14ac:dyDescent="0.35">
      <c r="B6" s="134">
        <f t="shared" ref="B6:C27" si="0">WEEKNUM(D6)</f>
        <v>35</v>
      </c>
      <c r="C6" s="134">
        <f t="shared" si="0"/>
        <v>35</v>
      </c>
      <c r="D6" s="143">
        <f t="shared" ref="D6:E21" si="1">D5+7</f>
        <v>45533</v>
      </c>
      <c r="E6" s="143">
        <f t="shared" si="1"/>
        <v>45534</v>
      </c>
      <c r="F6" s="8"/>
    </row>
    <row r="7" spans="2:6" x14ac:dyDescent="0.35">
      <c r="B7" s="134">
        <f t="shared" si="0"/>
        <v>36</v>
      </c>
      <c r="C7" s="134">
        <f t="shared" si="0"/>
        <v>36</v>
      </c>
      <c r="D7" s="143">
        <f t="shared" si="1"/>
        <v>45540</v>
      </c>
      <c r="E7" s="143">
        <f t="shared" si="1"/>
        <v>45541</v>
      </c>
      <c r="F7" s="147"/>
    </row>
    <row r="8" spans="2:6" x14ac:dyDescent="0.35">
      <c r="B8" s="134">
        <f t="shared" si="0"/>
        <v>37</v>
      </c>
      <c r="C8" s="134">
        <f t="shared" si="0"/>
        <v>37</v>
      </c>
      <c r="D8" s="143">
        <f t="shared" si="1"/>
        <v>45547</v>
      </c>
      <c r="E8" s="143">
        <f t="shared" si="1"/>
        <v>45548</v>
      </c>
      <c r="F8" s="8" t="s">
        <v>261</v>
      </c>
    </row>
    <row r="9" spans="2:6" x14ac:dyDescent="0.35">
      <c r="B9" s="134">
        <f t="shared" si="0"/>
        <v>38</v>
      </c>
      <c r="C9" s="134">
        <f t="shared" si="0"/>
        <v>38</v>
      </c>
      <c r="D9" s="143">
        <f t="shared" si="1"/>
        <v>45554</v>
      </c>
      <c r="E9" s="143">
        <f t="shared" si="1"/>
        <v>45555</v>
      </c>
      <c r="F9" s="154" t="s">
        <v>253</v>
      </c>
    </row>
    <row r="10" spans="2:6" x14ac:dyDescent="0.35">
      <c r="B10" s="134">
        <f t="shared" si="0"/>
        <v>39</v>
      </c>
      <c r="C10" s="134">
        <f t="shared" si="0"/>
        <v>39</v>
      </c>
      <c r="D10" s="143">
        <f t="shared" si="1"/>
        <v>45561</v>
      </c>
      <c r="E10" s="143">
        <f t="shared" si="1"/>
        <v>45562</v>
      </c>
      <c r="F10" s="8"/>
    </row>
    <row r="11" spans="2:6" x14ac:dyDescent="0.35">
      <c r="B11" s="134">
        <f t="shared" si="0"/>
        <v>40</v>
      </c>
      <c r="C11" s="134">
        <f t="shared" si="0"/>
        <v>40</v>
      </c>
      <c r="D11" s="143">
        <f t="shared" si="1"/>
        <v>45568</v>
      </c>
      <c r="E11" s="143">
        <f t="shared" si="1"/>
        <v>45569</v>
      </c>
      <c r="F11" s="154" t="s">
        <v>254</v>
      </c>
    </row>
    <row r="12" spans="2:6" x14ac:dyDescent="0.35">
      <c r="B12" s="134">
        <f t="shared" si="0"/>
        <v>41</v>
      </c>
      <c r="C12" s="134">
        <f t="shared" si="0"/>
        <v>41</v>
      </c>
      <c r="D12" s="144">
        <f t="shared" si="1"/>
        <v>45575</v>
      </c>
      <c r="E12" s="144">
        <f t="shared" si="1"/>
        <v>45576</v>
      </c>
      <c r="F12" s="149" t="s">
        <v>36</v>
      </c>
    </row>
    <row r="13" spans="2:6" x14ac:dyDescent="0.35">
      <c r="B13" s="134">
        <f t="shared" si="0"/>
        <v>42</v>
      </c>
      <c r="C13" s="134">
        <f t="shared" si="0"/>
        <v>42</v>
      </c>
      <c r="D13" s="144">
        <f t="shared" si="1"/>
        <v>45582</v>
      </c>
      <c r="E13" s="144">
        <f t="shared" si="1"/>
        <v>45583</v>
      </c>
      <c r="F13" s="149" t="s">
        <v>36</v>
      </c>
    </row>
    <row r="14" spans="2:6" x14ac:dyDescent="0.35">
      <c r="B14" s="134">
        <f t="shared" si="0"/>
        <v>43</v>
      </c>
      <c r="C14" s="134">
        <f t="shared" si="0"/>
        <v>43</v>
      </c>
      <c r="D14" s="143">
        <f t="shared" si="1"/>
        <v>45589</v>
      </c>
      <c r="E14" s="143">
        <f t="shared" si="1"/>
        <v>45590</v>
      </c>
      <c r="F14" s="8"/>
    </row>
    <row r="15" spans="2:6" x14ac:dyDescent="0.35">
      <c r="B15" s="134">
        <f t="shared" si="0"/>
        <v>44</v>
      </c>
      <c r="C15" s="134">
        <f t="shared" si="0"/>
        <v>44</v>
      </c>
      <c r="D15" s="143">
        <f t="shared" si="1"/>
        <v>45596</v>
      </c>
      <c r="E15" s="143">
        <f t="shared" si="1"/>
        <v>45597</v>
      </c>
      <c r="F15" s="129" t="s">
        <v>255</v>
      </c>
    </row>
    <row r="16" spans="2:6" x14ac:dyDescent="0.35">
      <c r="B16" s="134">
        <f t="shared" si="0"/>
        <v>45</v>
      </c>
      <c r="C16" s="134">
        <f t="shared" si="0"/>
        <v>45</v>
      </c>
      <c r="D16" s="143">
        <f t="shared" si="1"/>
        <v>45603</v>
      </c>
      <c r="E16" s="143">
        <f t="shared" si="1"/>
        <v>45604</v>
      </c>
      <c r="F16" s="8"/>
    </row>
    <row r="17" spans="2:6" x14ac:dyDescent="0.35">
      <c r="B17" s="134">
        <f t="shared" si="0"/>
        <v>46</v>
      </c>
      <c r="C17" s="134">
        <f t="shared" si="0"/>
        <v>46</v>
      </c>
      <c r="D17" s="143">
        <f t="shared" si="1"/>
        <v>45610</v>
      </c>
      <c r="E17" s="143">
        <f t="shared" si="1"/>
        <v>45611</v>
      </c>
      <c r="F17" s="147" t="s">
        <v>256</v>
      </c>
    </row>
    <row r="18" spans="2:6" x14ac:dyDescent="0.35">
      <c r="B18" s="134">
        <f t="shared" si="0"/>
        <v>47</v>
      </c>
      <c r="C18" s="134">
        <f t="shared" si="0"/>
        <v>47</v>
      </c>
      <c r="D18" s="143">
        <f t="shared" si="1"/>
        <v>45617</v>
      </c>
      <c r="E18" s="143">
        <f t="shared" si="1"/>
        <v>45618</v>
      </c>
      <c r="F18" s="8" t="s">
        <v>257</v>
      </c>
    </row>
    <row r="19" spans="2:6" x14ac:dyDescent="0.35">
      <c r="B19" s="134">
        <f t="shared" si="0"/>
        <v>48</v>
      </c>
      <c r="C19" s="134">
        <f t="shared" si="0"/>
        <v>48</v>
      </c>
      <c r="D19" s="144">
        <f t="shared" si="1"/>
        <v>45624</v>
      </c>
      <c r="E19" s="143">
        <f t="shared" si="1"/>
        <v>45625</v>
      </c>
      <c r="F19" s="147" t="s">
        <v>249</v>
      </c>
    </row>
    <row r="20" spans="2:6" x14ac:dyDescent="0.35">
      <c r="B20" s="134">
        <f t="shared" si="0"/>
        <v>49</v>
      </c>
      <c r="C20" s="134">
        <f t="shared" si="0"/>
        <v>49</v>
      </c>
      <c r="D20" s="143">
        <f t="shared" si="1"/>
        <v>45631</v>
      </c>
      <c r="E20" s="143">
        <f t="shared" si="1"/>
        <v>45632</v>
      </c>
      <c r="F20" s="8"/>
    </row>
    <row r="21" spans="2:6" x14ac:dyDescent="0.35">
      <c r="B21" s="134">
        <f t="shared" si="0"/>
        <v>50</v>
      </c>
      <c r="C21" s="134">
        <f t="shared" si="0"/>
        <v>50</v>
      </c>
      <c r="D21" s="143">
        <f t="shared" si="1"/>
        <v>45638</v>
      </c>
      <c r="E21" s="143">
        <f t="shared" si="1"/>
        <v>45639</v>
      </c>
      <c r="F21" s="8"/>
    </row>
    <row r="22" spans="2:6" x14ac:dyDescent="0.35">
      <c r="B22" s="134">
        <f t="shared" si="0"/>
        <v>51</v>
      </c>
      <c r="C22" s="134">
        <f t="shared" si="0"/>
        <v>51</v>
      </c>
      <c r="D22" s="143">
        <f t="shared" ref="D22:E27" si="2">D21+7</f>
        <v>45645</v>
      </c>
      <c r="E22" s="143">
        <f t="shared" si="2"/>
        <v>45646</v>
      </c>
      <c r="F22" s="148" t="s">
        <v>258</v>
      </c>
    </row>
    <row r="23" spans="2:6" x14ac:dyDescent="0.35">
      <c r="B23" s="134">
        <f t="shared" si="0"/>
        <v>52</v>
      </c>
      <c r="C23" s="134">
        <f t="shared" si="0"/>
        <v>52</v>
      </c>
      <c r="D23" s="144">
        <f t="shared" si="2"/>
        <v>45652</v>
      </c>
      <c r="E23" s="144">
        <f t="shared" si="2"/>
        <v>45653</v>
      </c>
      <c r="F23" s="149" t="s">
        <v>36</v>
      </c>
    </row>
    <row r="24" spans="2:6" x14ac:dyDescent="0.35">
      <c r="B24" s="134">
        <f t="shared" si="0"/>
        <v>1</v>
      </c>
      <c r="C24" s="134">
        <f t="shared" si="0"/>
        <v>1</v>
      </c>
      <c r="D24" s="144">
        <f t="shared" si="2"/>
        <v>45659</v>
      </c>
      <c r="E24" s="144">
        <f t="shared" si="2"/>
        <v>45660</v>
      </c>
      <c r="F24" s="149" t="s">
        <v>36</v>
      </c>
    </row>
    <row r="25" spans="2:6" ht="17" customHeight="1" x14ac:dyDescent="0.35">
      <c r="B25" s="134">
        <f t="shared" si="0"/>
        <v>2</v>
      </c>
      <c r="C25" s="134">
        <f t="shared" si="0"/>
        <v>2</v>
      </c>
      <c r="D25" s="143">
        <f t="shared" si="2"/>
        <v>45666</v>
      </c>
      <c r="E25" s="143">
        <f t="shared" si="2"/>
        <v>45667</v>
      </c>
      <c r="F25" s="147" t="s">
        <v>259</v>
      </c>
    </row>
    <row r="26" spans="2:6" x14ac:dyDescent="0.35">
      <c r="B26" s="134">
        <f t="shared" si="0"/>
        <v>3</v>
      </c>
      <c r="C26" s="134">
        <f t="shared" si="0"/>
        <v>3</v>
      </c>
      <c r="D26" s="143">
        <f t="shared" si="2"/>
        <v>45673</v>
      </c>
      <c r="E26" s="143">
        <f t="shared" si="2"/>
        <v>45674</v>
      </c>
      <c r="F26" s="8" t="s">
        <v>204</v>
      </c>
    </row>
    <row r="27" spans="2:6" x14ac:dyDescent="0.35">
      <c r="B27" s="134">
        <f t="shared" si="0"/>
        <v>4</v>
      </c>
      <c r="C27" s="134">
        <f t="shared" si="0"/>
        <v>4</v>
      </c>
      <c r="D27" s="143">
        <f t="shared" si="2"/>
        <v>45680</v>
      </c>
      <c r="E27" s="143">
        <f t="shared" si="2"/>
        <v>45681</v>
      </c>
    </row>
    <row r="28" spans="2:6" x14ac:dyDescent="0.35">
      <c r="B28" s="29"/>
    </row>
    <row r="29" spans="2:6" x14ac:dyDescent="0.35">
      <c r="B29" s="29"/>
    </row>
    <row r="30" spans="2:6" x14ac:dyDescent="0.35">
      <c r="B30" s="29"/>
    </row>
    <row r="31" spans="2:6" ht="18.5" x14ac:dyDescent="0.45">
      <c r="B31" s="151" t="str">
        <f>B2</f>
        <v>Informatik</v>
      </c>
      <c r="C31" s="152"/>
      <c r="D31" s="153"/>
      <c r="E31" s="153"/>
      <c r="F31" s="153"/>
    </row>
    <row r="33" spans="2:6" ht="43.5" x14ac:dyDescent="0.35">
      <c r="B33" s="138" t="s">
        <v>241</v>
      </c>
      <c r="C33" s="138" t="s">
        <v>241</v>
      </c>
      <c r="D33" s="141" t="s">
        <v>245</v>
      </c>
      <c r="E33" s="139" t="s">
        <v>246</v>
      </c>
      <c r="F33" s="55" t="s">
        <v>46</v>
      </c>
    </row>
    <row r="34" spans="2:6" x14ac:dyDescent="0.35">
      <c r="B34" s="134">
        <f>WEEKNUM(D34)</f>
        <v>5</v>
      </c>
      <c r="C34" s="134">
        <f>WEEKNUM(E34)</f>
        <v>5</v>
      </c>
      <c r="D34" s="136">
        <v>45687</v>
      </c>
      <c r="E34" s="136">
        <v>45688</v>
      </c>
      <c r="F34" s="129" t="s">
        <v>134</v>
      </c>
    </row>
    <row r="35" spans="2:6" x14ac:dyDescent="0.35">
      <c r="B35" s="134">
        <f t="shared" ref="B35:C56" si="3">WEEKNUM(D35)</f>
        <v>6</v>
      </c>
      <c r="C35" s="134">
        <f t="shared" si="3"/>
        <v>6</v>
      </c>
      <c r="D35" s="137">
        <f>D34+7</f>
        <v>45694</v>
      </c>
      <c r="E35" s="137">
        <f t="shared" ref="D35:E50" si="4">E34+7</f>
        <v>45695</v>
      </c>
      <c r="F35" s="13" t="s">
        <v>196</v>
      </c>
    </row>
    <row r="36" spans="2:6" x14ac:dyDescent="0.35">
      <c r="B36" s="134">
        <f t="shared" si="3"/>
        <v>7</v>
      </c>
      <c r="C36" s="134">
        <f t="shared" si="3"/>
        <v>7</v>
      </c>
      <c r="D36" s="136">
        <f t="shared" si="4"/>
        <v>45701</v>
      </c>
      <c r="E36" s="136">
        <f t="shared" si="4"/>
        <v>45702</v>
      </c>
      <c r="F36" s="8"/>
    </row>
    <row r="37" spans="2:6" x14ac:dyDescent="0.35">
      <c r="B37" s="134">
        <f t="shared" si="3"/>
        <v>8</v>
      </c>
      <c r="C37" s="134">
        <f t="shared" si="3"/>
        <v>8</v>
      </c>
      <c r="D37" s="137">
        <f t="shared" si="4"/>
        <v>45708</v>
      </c>
      <c r="E37" s="137">
        <f t="shared" si="4"/>
        <v>45709</v>
      </c>
      <c r="F37" s="13" t="s">
        <v>36</v>
      </c>
    </row>
    <row r="38" spans="2:6" x14ac:dyDescent="0.35">
      <c r="B38" s="134">
        <f t="shared" si="3"/>
        <v>9</v>
      </c>
      <c r="C38" s="134">
        <f t="shared" si="3"/>
        <v>9</v>
      </c>
      <c r="D38" s="137">
        <f t="shared" si="4"/>
        <v>45715</v>
      </c>
      <c r="E38" s="137">
        <f t="shared" si="4"/>
        <v>45716</v>
      </c>
      <c r="F38" s="13" t="s">
        <v>36</v>
      </c>
    </row>
    <row r="39" spans="2:6" x14ac:dyDescent="0.35">
      <c r="B39" s="134">
        <f t="shared" si="3"/>
        <v>10</v>
      </c>
      <c r="C39" s="134">
        <f t="shared" si="3"/>
        <v>10</v>
      </c>
      <c r="D39" s="136">
        <f t="shared" si="4"/>
        <v>45722</v>
      </c>
      <c r="E39" s="136">
        <f t="shared" si="4"/>
        <v>45723</v>
      </c>
      <c r="F39" s="8"/>
    </row>
    <row r="40" spans="2:6" x14ac:dyDescent="0.35">
      <c r="B40" s="134">
        <f t="shared" si="3"/>
        <v>11</v>
      </c>
      <c r="C40" s="134">
        <f t="shared" si="3"/>
        <v>11</v>
      </c>
      <c r="D40" s="136">
        <f t="shared" si="4"/>
        <v>45729</v>
      </c>
      <c r="E40" s="136">
        <f t="shared" si="4"/>
        <v>45730</v>
      </c>
      <c r="F40" s="8" t="s">
        <v>263</v>
      </c>
    </row>
    <row r="41" spans="2:6" x14ac:dyDescent="0.35">
      <c r="B41" s="134">
        <f t="shared" si="3"/>
        <v>12</v>
      </c>
      <c r="C41" s="134">
        <f t="shared" si="3"/>
        <v>12</v>
      </c>
      <c r="D41" s="136">
        <f t="shared" si="4"/>
        <v>45736</v>
      </c>
      <c r="E41" s="136">
        <f t="shared" si="4"/>
        <v>45737</v>
      </c>
      <c r="F41" s="8"/>
    </row>
    <row r="42" spans="2:6" x14ac:dyDescent="0.35">
      <c r="B42" s="134">
        <f t="shared" si="3"/>
        <v>13</v>
      </c>
      <c r="C42" s="134">
        <f t="shared" si="3"/>
        <v>13</v>
      </c>
      <c r="D42" s="136">
        <f t="shared" si="4"/>
        <v>45743</v>
      </c>
      <c r="E42" s="136">
        <f t="shared" si="4"/>
        <v>45744</v>
      </c>
      <c r="F42" s="147" t="s">
        <v>251</v>
      </c>
    </row>
    <row r="43" spans="2:6" x14ac:dyDescent="0.35">
      <c r="B43" s="134">
        <f t="shared" si="3"/>
        <v>14</v>
      </c>
      <c r="C43" s="134">
        <f t="shared" si="3"/>
        <v>14</v>
      </c>
      <c r="D43" s="136">
        <f t="shared" si="4"/>
        <v>45750</v>
      </c>
      <c r="E43" s="136">
        <f t="shared" si="4"/>
        <v>45751</v>
      </c>
      <c r="F43" s="8"/>
    </row>
    <row r="44" spans="2:6" x14ac:dyDescent="0.35">
      <c r="B44" s="134">
        <f t="shared" si="3"/>
        <v>15</v>
      </c>
      <c r="C44" s="134">
        <f t="shared" si="3"/>
        <v>15</v>
      </c>
      <c r="D44" s="136">
        <f t="shared" si="4"/>
        <v>45757</v>
      </c>
      <c r="E44" s="136">
        <f t="shared" si="4"/>
        <v>45758</v>
      </c>
      <c r="F44" s="8" t="s">
        <v>266</v>
      </c>
    </row>
    <row r="45" spans="2:6" x14ac:dyDescent="0.35">
      <c r="B45" s="134">
        <f t="shared" si="3"/>
        <v>16</v>
      </c>
      <c r="C45" s="134">
        <f t="shared" si="3"/>
        <v>16</v>
      </c>
      <c r="D45" s="136">
        <f t="shared" si="4"/>
        <v>45764</v>
      </c>
      <c r="E45" s="137">
        <f t="shared" si="4"/>
        <v>45765</v>
      </c>
      <c r="F45" s="161" t="s">
        <v>267</v>
      </c>
    </row>
    <row r="46" spans="2:6" x14ac:dyDescent="0.35">
      <c r="B46" s="134">
        <f t="shared" si="3"/>
        <v>17</v>
      </c>
      <c r="C46" s="134">
        <f t="shared" si="3"/>
        <v>17</v>
      </c>
      <c r="D46" s="137">
        <f t="shared" si="4"/>
        <v>45771</v>
      </c>
      <c r="E46" s="137">
        <f t="shared" si="4"/>
        <v>45772</v>
      </c>
      <c r="F46" s="13" t="s">
        <v>36</v>
      </c>
    </row>
    <row r="47" spans="2:6" x14ac:dyDescent="0.35">
      <c r="B47" s="134">
        <f t="shared" si="3"/>
        <v>18</v>
      </c>
      <c r="C47" s="134">
        <f t="shared" si="3"/>
        <v>18</v>
      </c>
      <c r="D47" s="137">
        <f t="shared" si="4"/>
        <v>45778</v>
      </c>
      <c r="E47" s="137">
        <f t="shared" si="4"/>
        <v>45779</v>
      </c>
      <c r="F47" s="13" t="s">
        <v>36</v>
      </c>
    </row>
    <row r="48" spans="2:6" x14ac:dyDescent="0.35">
      <c r="B48" s="134">
        <f t="shared" si="3"/>
        <v>19</v>
      </c>
      <c r="C48" s="134">
        <f t="shared" si="3"/>
        <v>19</v>
      </c>
      <c r="D48" s="136">
        <f t="shared" si="4"/>
        <v>45785</v>
      </c>
      <c r="E48" s="136">
        <f t="shared" si="4"/>
        <v>45786</v>
      </c>
      <c r="F48" s="8" t="s">
        <v>223</v>
      </c>
    </row>
    <row r="49" spans="2:6" x14ac:dyDescent="0.35">
      <c r="B49" s="134">
        <f t="shared" si="3"/>
        <v>20</v>
      </c>
      <c r="C49" s="134">
        <f t="shared" si="3"/>
        <v>20</v>
      </c>
      <c r="D49" s="136">
        <f t="shared" si="4"/>
        <v>45792</v>
      </c>
      <c r="E49" s="136">
        <f t="shared" si="4"/>
        <v>45793</v>
      </c>
      <c r="F49" s="8" t="s">
        <v>264</v>
      </c>
    </row>
    <row r="50" spans="2:6" ht="15" customHeight="1" x14ac:dyDescent="0.35">
      <c r="B50" s="134">
        <f t="shared" si="3"/>
        <v>21</v>
      </c>
      <c r="C50" s="134">
        <f t="shared" si="3"/>
        <v>21</v>
      </c>
      <c r="D50" s="136">
        <f t="shared" si="4"/>
        <v>45799</v>
      </c>
      <c r="E50" s="136">
        <f t="shared" si="4"/>
        <v>45800</v>
      </c>
      <c r="F50" s="111"/>
    </row>
    <row r="51" spans="2:6" x14ac:dyDescent="0.35">
      <c r="B51" s="134">
        <f t="shared" si="3"/>
        <v>22</v>
      </c>
      <c r="C51" s="134">
        <f t="shared" si="3"/>
        <v>22</v>
      </c>
      <c r="D51" s="137">
        <f t="shared" ref="D51:E57" si="5">D50+7</f>
        <v>45806</v>
      </c>
      <c r="E51" s="137">
        <f t="shared" si="5"/>
        <v>45807</v>
      </c>
      <c r="F51" s="13" t="s">
        <v>73</v>
      </c>
    </row>
    <row r="52" spans="2:6" x14ac:dyDescent="0.35">
      <c r="B52" s="134">
        <f t="shared" si="3"/>
        <v>23</v>
      </c>
      <c r="C52" s="134">
        <f t="shared" si="3"/>
        <v>23</v>
      </c>
      <c r="D52" s="136">
        <f t="shared" si="5"/>
        <v>45813</v>
      </c>
      <c r="E52" s="136">
        <f t="shared" si="5"/>
        <v>45814</v>
      </c>
      <c r="F52" s="36" t="s">
        <v>252</v>
      </c>
    </row>
    <row r="53" spans="2:6" x14ac:dyDescent="0.35">
      <c r="B53" s="134">
        <f t="shared" si="3"/>
        <v>24</v>
      </c>
      <c r="C53" s="134">
        <f t="shared" si="3"/>
        <v>24</v>
      </c>
      <c r="D53" s="136">
        <f t="shared" si="5"/>
        <v>45820</v>
      </c>
      <c r="E53" s="136">
        <f t="shared" si="5"/>
        <v>45821</v>
      </c>
      <c r="F53" s="8"/>
    </row>
    <row r="54" spans="2:6" x14ac:dyDescent="0.35">
      <c r="B54" s="134">
        <f t="shared" si="3"/>
        <v>25</v>
      </c>
      <c r="C54" s="134">
        <f t="shared" si="3"/>
        <v>25</v>
      </c>
      <c r="D54" s="136">
        <f t="shared" si="5"/>
        <v>45827</v>
      </c>
      <c r="E54" s="136">
        <f t="shared" si="5"/>
        <v>45828</v>
      </c>
      <c r="F54" s="111" t="s">
        <v>258</v>
      </c>
    </row>
    <row r="55" spans="2:6" x14ac:dyDescent="0.35">
      <c r="B55" s="134">
        <f t="shared" si="3"/>
        <v>26</v>
      </c>
      <c r="C55" s="134">
        <f t="shared" si="3"/>
        <v>26</v>
      </c>
      <c r="D55" s="136">
        <f t="shared" si="5"/>
        <v>45834</v>
      </c>
      <c r="E55" s="136">
        <f t="shared" si="5"/>
        <v>45835</v>
      </c>
      <c r="F55" s="111"/>
    </row>
    <row r="56" spans="2:6" x14ac:dyDescent="0.35">
      <c r="B56" s="134">
        <f t="shared" si="3"/>
        <v>27</v>
      </c>
      <c r="C56" s="134">
        <f t="shared" si="3"/>
        <v>27</v>
      </c>
      <c r="D56" s="136">
        <f t="shared" si="5"/>
        <v>45841</v>
      </c>
      <c r="E56" s="136">
        <f t="shared" si="5"/>
        <v>45842</v>
      </c>
      <c r="F56" s="8" t="s">
        <v>265</v>
      </c>
    </row>
    <row r="57" spans="2:6" x14ac:dyDescent="0.35">
      <c r="B57" s="134">
        <f t="shared" ref="B57:C57" si="6">WEEKNUM(D57)</f>
        <v>28</v>
      </c>
      <c r="C57" s="134">
        <f t="shared" si="6"/>
        <v>28</v>
      </c>
      <c r="D57" s="136">
        <f t="shared" si="5"/>
        <v>45848</v>
      </c>
      <c r="E57" s="136">
        <f t="shared" si="5"/>
        <v>45849</v>
      </c>
      <c r="F57" s="8"/>
    </row>
  </sheetData>
  <pageMargins left="0.7" right="0.7" top="0.78740157499999996" bottom="0.78740157499999996" header="0.3" footer="0.3"/>
  <pageSetup paperSize="9" scale="67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AD41-B67D-4D92-BA65-96DCB7B22744}">
  <sheetPr codeName="Tabelle17">
    <tabColor rgb="FF92D050"/>
    <pageSetUpPr fitToPage="1"/>
  </sheetPr>
  <dimension ref="B1:J27"/>
  <sheetViews>
    <sheetView showGridLines="0" zoomScaleNormal="100" workbookViewId="0">
      <selection activeCell="B1" sqref="B1:G27"/>
    </sheetView>
  </sheetViews>
  <sheetFormatPr baseColWidth="10" defaultRowHeight="14.5" x14ac:dyDescent="0.35"/>
  <cols>
    <col min="2" max="3" width="10.90625" customWidth="1"/>
    <col min="4" max="5" width="15.81640625" customWidth="1"/>
    <col min="6" max="6" width="0" hidden="1" customWidth="1"/>
    <col min="7" max="7" width="47.453125" customWidth="1"/>
  </cols>
  <sheetData>
    <row r="1" spans="2:10" ht="35.25" customHeight="1" x14ac:dyDescent="0.6">
      <c r="B1" s="145" t="s">
        <v>191</v>
      </c>
      <c r="C1" s="126"/>
      <c r="D1" s="127"/>
      <c r="E1" s="127"/>
      <c r="F1" s="127"/>
      <c r="G1" s="127"/>
    </row>
    <row r="2" spans="2:10" ht="15" thickBot="1" x14ac:dyDescent="0.4"/>
    <row r="3" spans="2:10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50"/>
      <c r="G3" s="141" t="s">
        <v>46</v>
      </c>
    </row>
    <row r="4" spans="2:10" x14ac:dyDescent="0.35">
      <c r="B4" s="134">
        <f>WEEKNUM(D4)</f>
        <v>5</v>
      </c>
      <c r="C4" s="134">
        <f>WEEKNUM(E4)</f>
        <v>5</v>
      </c>
      <c r="D4" s="109">
        <v>45687</v>
      </c>
      <c r="E4" s="109">
        <v>45688</v>
      </c>
      <c r="F4" s="32"/>
      <c r="G4" s="8" t="s">
        <v>61</v>
      </c>
    </row>
    <row r="5" spans="2:10" x14ac:dyDescent="0.35">
      <c r="B5" s="134">
        <f t="shared" ref="B5:C26" si="0">WEEKNUM(D5)</f>
        <v>6</v>
      </c>
      <c r="C5" s="134">
        <f t="shared" si="0"/>
        <v>6</v>
      </c>
      <c r="D5" s="131">
        <f>D4+7</f>
        <v>45694</v>
      </c>
      <c r="E5" s="131">
        <f t="shared" ref="D5:E20" si="1">E4+7</f>
        <v>45695</v>
      </c>
      <c r="F5" s="30"/>
      <c r="G5" s="13" t="s">
        <v>196</v>
      </c>
    </row>
    <row r="6" spans="2:10" x14ac:dyDescent="0.35">
      <c r="B6" s="134">
        <f t="shared" si="0"/>
        <v>7</v>
      </c>
      <c r="C6" s="134">
        <f t="shared" si="0"/>
        <v>7</v>
      </c>
      <c r="D6" s="109">
        <f t="shared" si="1"/>
        <v>45701</v>
      </c>
      <c r="E6" s="109">
        <f t="shared" si="1"/>
        <v>45702</v>
      </c>
      <c r="F6" s="32"/>
      <c r="G6" s="8"/>
    </row>
    <row r="7" spans="2:10" x14ac:dyDescent="0.35">
      <c r="B7" s="134">
        <f t="shared" si="0"/>
        <v>8</v>
      </c>
      <c r="C7" s="134">
        <f t="shared" si="0"/>
        <v>8</v>
      </c>
      <c r="D7" s="131">
        <f t="shared" si="1"/>
        <v>45708</v>
      </c>
      <c r="E7" s="131">
        <f t="shared" si="1"/>
        <v>45709</v>
      </c>
      <c r="F7" s="30"/>
      <c r="G7" s="13" t="s">
        <v>36</v>
      </c>
    </row>
    <row r="8" spans="2:10" x14ac:dyDescent="0.35">
      <c r="B8" s="134">
        <f t="shared" si="0"/>
        <v>9</v>
      </c>
      <c r="C8" s="134">
        <f t="shared" si="0"/>
        <v>9</v>
      </c>
      <c r="D8" s="131">
        <f t="shared" si="1"/>
        <v>45715</v>
      </c>
      <c r="E8" s="131">
        <f t="shared" si="1"/>
        <v>45716</v>
      </c>
      <c r="F8" s="30"/>
      <c r="G8" s="13" t="s">
        <v>36</v>
      </c>
    </row>
    <row r="9" spans="2:10" x14ac:dyDescent="0.35">
      <c r="B9" s="134">
        <f t="shared" si="0"/>
        <v>10</v>
      </c>
      <c r="C9" s="134">
        <f t="shared" si="0"/>
        <v>10</v>
      </c>
      <c r="D9" s="109">
        <f t="shared" si="1"/>
        <v>45722</v>
      </c>
      <c r="E9" s="109">
        <f t="shared" si="1"/>
        <v>45723</v>
      </c>
      <c r="F9" s="32"/>
      <c r="G9" s="146" t="s">
        <v>207</v>
      </c>
    </row>
    <row r="10" spans="2:10" x14ac:dyDescent="0.35">
      <c r="B10" s="134">
        <f t="shared" si="0"/>
        <v>11</v>
      </c>
      <c r="C10" s="134">
        <f t="shared" si="0"/>
        <v>11</v>
      </c>
      <c r="D10" s="109">
        <f t="shared" si="1"/>
        <v>45729</v>
      </c>
      <c r="E10" s="109">
        <f t="shared" si="1"/>
        <v>45730</v>
      </c>
      <c r="F10" s="109"/>
      <c r="G10" s="8"/>
    </row>
    <row r="11" spans="2:10" x14ac:dyDescent="0.35">
      <c r="B11" s="134">
        <f t="shared" si="0"/>
        <v>12</v>
      </c>
      <c r="C11" s="134">
        <f t="shared" si="0"/>
        <v>12</v>
      </c>
      <c r="D11" s="109">
        <f t="shared" si="1"/>
        <v>45736</v>
      </c>
      <c r="E11" s="109">
        <f t="shared" si="1"/>
        <v>45737</v>
      </c>
      <c r="F11" s="32"/>
      <c r="G11" s="111" t="s">
        <v>28</v>
      </c>
    </row>
    <row r="12" spans="2:10" x14ac:dyDescent="0.35">
      <c r="B12" s="134">
        <f t="shared" si="0"/>
        <v>13</v>
      </c>
      <c r="C12" s="134">
        <f t="shared" si="0"/>
        <v>13</v>
      </c>
      <c r="D12" s="109">
        <f t="shared" si="1"/>
        <v>45743</v>
      </c>
      <c r="E12" s="109">
        <f t="shared" si="1"/>
        <v>45744</v>
      </c>
      <c r="F12" s="32"/>
      <c r="G12" s="146" t="s">
        <v>208</v>
      </c>
    </row>
    <row r="13" spans="2:10" x14ac:dyDescent="0.35">
      <c r="B13" s="134">
        <f t="shared" si="0"/>
        <v>14</v>
      </c>
      <c r="C13" s="134">
        <f t="shared" si="0"/>
        <v>14</v>
      </c>
      <c r="D13" s="109">
        <f t="shared" si="1"/>
        <v>45750</v>
      </c>
      <c r="E13" s="109">
        <f t="shared" si="1"/>
        <v>45751</v>
      </c>
      <c r="F13" s="32"/>
      <c r="G13" s="8" t="s">
        <v>235</v>
      </c>
    </row>
    <row r="14" spans="2:10" x14ac:dyDescent="0.35">
      <c r="B14" s="134">
        <f t="shared" si="0"/>
        <v>15</v>
      </c>
      <c r="C14" s="134">
        <f t="shared" si="0"/>
        <v>15</v>
      </c>
      <c r="D14" s="109">
        <f t="shared" si="1"/>
        <v>45757</v>
      </c>
      <c r="E14" s="109">
        <f t="shared" si="1"/>
        <v>45758</v>
      </c>
      <c r="F14" s="32"/>
      <c r="G14" s="111"/>
    </row>
    <row r="15" spans="2:10" x14ac:dyDescent="0.35">
      <c r="B15" s="134">
        <f t="shared" si="0"/>
        <v>16</v>
      </c>
      <c r="C15" s="134">
        <f t="shared" si="0"/>
        <v>16</v>
      </c>
      <c r="D15" s="109">
        <f t="shared" si="1"/>
        <v>45764</v>
      </c>
      <c r="E15" s="131">
        <f t="shared" si="1"/>
        <v>45765</v>
      </c>
      <c r="F15" s="32"/>
      <c r="G15" s="146" t="s">
        <v>247</v>
      </c>
    </row>
    <row r="16" spans="2:10" x14ac:dyDescent="0.35">
      <c r="B16" s="134">
        <f t="shared" si="0"/>
        <v>17</v>
      </c>
      <c r="C16" s="134">
        <f t="shared" si="0"/>
        <v>17</v>
      </c>
      <c r="D16" s="131">
        <f t="shared" si="1"/>
        <v>45771</v>
      </c>
      <c r="E16" s="131">
        <f t="shared" si="1"/>
        <v>45772</v>
      </c>
      <c r="F16" s="30"/>
      <c r="G16" s="13" t="s">
        <v>36</v>
      </c>
      <c r="J16" s="95"/>
    </row>
    <row r="17" spans="2:10" x14ac:dyDescent="0.35">
      <c r="B17" s="134">
        <f t="shared" si="0"/>
        <v>18</v>
      </c>
      <c r="C17" s="134">
        <f t="shared" si="0"/>
        <v>18</v>
      </c>
      <c r="D17" s="131">
        <f t="shared" si="1"/>
        <v>45778</v>
      </c>
      <c r="E17" s="131">
        <f t="shared" si="1"/>
        <v>45779</v>
      </c>
      <c r="F17" s="30"/>
      <c r="G17" s="13" t="s">
        <v>36</v>
      </c>
      <c r="J17" s="96"/>
    </row>
    <row r="18" spans="2:10" x14ac:dyDescent="0.35">
      <c r="B18" s="134">
        <f t="shared" si="0"/>
        <v>19</v>
      </c>
      <c r="C18" s="134">
        <f t="shared" si="0"/>
        <v>19</v>
      </c>
      <c r="D18" s="109">
        <f t="shared" si="1"/>
        <v>45785</v>
      </c>
      <c r="E18" s="109">
        <f t="shared" si="1"/>
        <v>45786</v>
      </c>
      <c r="F18" s="30"/>
      <c r="G18" s="146" t="s">
        <v>210</v>
      </c>
      <c r="J18" s="96"/>
    </row>
    <row r="19" spans="2:10" x14ac:dyDescent="0.35">
      <c r="B19" s="134">
        <f t="shared" si="0"/>
        <v>20</v>
      </c>
      <c r="C19" s="134">
        <f t="shared" si="0"/>
        <v>20</v>
      </c>
      <c r="D19" s="109">
        <f t="shared" si="1"/>
        <v>45792</v>
      </c>
      <c r="E19" s="109">
        <f t="shared" si="1"/>
        <v>45793</v>
      </c>
      <c r="F19" s="109"/>
      <c r="J19" s="97"/>
    </row>
    <row r="20" spans="2:10" x14ac:dyDescent="0.35">
      <c r="B20" s="134">
        <f t="shared" si="0"/>
        <v>21</v>
      </c>
      <c r="C20" s="134">
        <f t="shared" si="0"/>
        <v>21</v>
      </c>
      <c r="D20" s="109">
        <f t="shared" si="1"/>
        <v>45799</v>
      </c>
      <c r="E20" s="109">
        <f t="shared" si="1"/>
        <v>45800</v>
      </c>
      <c r="F20" s="124"/>
      <c r="G20" s="8"/>
      <c r="J20" s="97"/>
    </row>
    <row r="21" spans="2:10" x14ac:dyDescent="0.35">
      <c r="B21" s="134">
        <f t="shared" si="0"/>
        <v>22</v>
      </c>
      <c r="C21" s="134">
        <f t="shared" si="0"/>
        <v>22</v>
      </c>
      <c r="D21" s="131">
        <f t="shared" ref="D21:E27" si="2">D20+7</f>
        <v>45806</v>
      </c>
      <c r="E21" s="131">
        <f t="shared" si="2"/>
        <v>45807</v>
      </c>
      <c r="F21" s="32"/>
      <c r="G21" s="13" t="s">
        <v>73</v>
      </c>
    </row>
    <row r="22" spans="2:10" x14ac:dyDescent="0.35">
      <c r="B22" s="134">
        <f t="shared" si="0"/>
        <v>23</v>
      </c>
      <c r="C22" s="134">
        <f t="shared" si="0"/>
        <v>23</v>
      </c>
      <c r="D22" s="109">
        <f t="shared" si="2"/>
        <v>45813</v>
      </c>
      <c r="E22" s="109">
        <f t="shared" si="2"/>
        <v>45814</v>
      </c>
      <c r="F22" s="32"/>
      <c r="G22" s="111" t="s">
        <v>28</v>
      </c>
    </row>
    <row r="23" spans="2:10" x14ac:dyDescent="0.35">
      <c r="B23" s="134">
        <f t="shared" si="0"/>
        <v>24</v>
      </c>
      <c r="C23" s="134">
        <f t="shared" si="0"/>
        <v>24</v>
      </c>
      <c r="D23" s="109">
        <f t="shared" si="2"/>
        <v>45820</v>
      </c>
      <c r="E23" s="109">
        <f t="shared" si="2"/>
        <v>45821</v>
      </c>
      <c r="F23" s="32"/>
      <c r="G23" s="8"/>
    </row>
    <row r="24" spans="2:10" x14ac:dyDescent="0.35">
      <c r="B24" s="134">
        <f t="shared" si="0"/>
        <v>25</v>
      </c>
      <c r="C24" s="134">
        <f t="shared" si="0"/>
        <v>25</v>
      </c>
      <c r="D24" s="109">
        <f t="shared" si="2"/>
        <v>45827</v>
      </c>
      <c r="E24" s="109">
        <f t="shared" si="2"/>
        <v>45828</v>
      </c>
      <c r="F24" s="32"/>
      <c r="G24" s="146" t="s">
        <v>206</v>
      </c>
    </row>
    <row r="25" spans="2:10" x14ac:dyDescent="0.35">
      <c r="B25" s="134">
        <f t="shared" si="0"/>
        <v>26</v>
      </c>
      <c r="C25" s="134">
        <f t="shared" si="0"/>
        <v>26</v>
      </c>
      <c r="D25" s="109">
        <f t="shared" si="2"/>
        <v>45834</v>
      </c>
      <c r="E25" s="109">
        <f t="shared" si="2"/>
        <v>45835</v>
      </c>
      <c r="F25" s="109"/>
      <c r="G25" s="111"/>
    </row>
    <row r="26" spans="2:10" x14ac:dyDescent="0.35">
      <c r="B26" s="134">
        <f t="shared" si="0"/>
        <v>27</v>
      </c>
      <c r="C26" s="134">
        <f t="shared" si="0"/>
        <v>27</v>
      </c>
      <c r="D26" s="109">
        <f t="shared" si="2"/>
        <v>45841</v>
      </c>
      <c r="E26" s="109">
        <f t="shared" si="2"/>
        <v>45842</v>
      </c>
      <c r="F26" s="32"/>
      <c r="G26" s="8"/>
    </row>
    <row r="27" spans="2:10" x14ac:dyDescent="0.35">
      <c r="B27" s="134">
        <f t="shared" ref="B27" si="3">WEEKNUM(D27)</f>
        <v>28</v>
      </c>
      <c r="C27" s="134">
        <f t="shared" ref="C27" si="4">WEEKNUM(E27)</f>
        <v>28</v>
      </c>
      <c r="D27" s="109">
        <f t="shared" si="2"/>
        <v>45848</v>
      </c>
      <c r="E27" s="109">
        <f t="shared" si="2"/>
        <v>45849</v>
      </c>
      <c r="F27" s="32"/>
      <c r="G27" s="8"/>
    </row>
  </sheetData>
  <pageMargins left="0.7" right="0.7" top="0.78740157499999996" bottom="0.78740157499999996" header="0.3" footer="0.3"/>
  <pageSetup paperSize="9" scale="77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1866-B31B-44C0-901E-760B722431CC}">
  <sheetPr codeName="Tabelle18">
    <tabColor rgb="FF92D050"/>
    <pageSetUpPr fitToPage="1"/>
  </sheetPr>
  <dimension ref="B1:F27"/>
  <sheetViews>
    <sheetView showGridLines="0" zoomScaleNormal="100" workbookViewId="0">
      <selection activeCell="M16" sqref="M16"/>
    </sheetView>
  </sheetViews>
  <sheetFormatPr baseColWidth="10" defaultRowHeight="14.5" x14ac:dyDescent="0.35"/>
  <cols>
    <col min="2" max="2" width="12.7265625" customWidth="1"/>
    <col min="3" max="3" width="8.54296875" hidden="1" customWidth="1"/>
    <col min="4" max="4" width="11.81640625" bestFit="1" customWidth="1"/>
    <col min="5" max="5" width="11.26953125" bestFit="1" customWidth="1"/>
    <col min="6" max="6" width="64.6328125" customWidth="1"/>
  </cols>
  <sheetData>
    <row r="1" spans="2:6" ht="34.5" customHeight="1" x14ac:dyDescent="0.6">
      <c r="B1" s="145" t="s">
        <v>190</v>
      </c>
      <c r="C1" s="126"/>
      <c r="D1" s="127"/>
      <c r="E1" s="127"/>
      <c r="F1" s="127"/>
    </row>
    <row r="3" spans="2:6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40" t="s">
        <v>46</v>
      </c>
    </row>
    <row r="4" spans="2:6" x14ac:dyDescent="0.35">
      <c r="B4" s="134">
        <f>WEEKNUM(D4)</f>
        <v>5</v>
      </c>
      <c r="C4" s="134">
        <f>WEEKNUM(E4)</f>
        <v>5</v>
      </c>
      <c r="D4" s="136">
        <v>45687</v>
      </c>
      <c r="E4" s="136">
        <v>45688</v>
      </c>
      <c r="F4" s="8" t="s">
        <v>198</v>
      </c>
    </row>
    <row r="5" spans="2:6" x14ac:dyDescent="0.35">
      <c r="B5" s="134">
        <f t="shared" ref="B5:C26" si="0">WEEKNUM(D5)</f>
        <v>6</v>
      </c>
      <c r="C5" s="134">
        <f t="shared" si="0"/>
        <v>6</v>
      </c>
      <c r="D5" s="137">
        <f>D4+7</f>
        <v>45694</v>
      </c>
      <c r="E5" s="137">
        <f t="shared" ref="D5:E20" si="1">E4+7</f>
        <v>45695</v>
      </c>
      <c r="F5" s="13" t="s">
        <v>196</v>
      </c>
    </row>
    <row r="6" spans="2:6" x14ac:dyDescent="0.35">
      <c r="B6" s="134">
        <f t="shared" si="0"/>
        <v>7</v>
      </c>
      <c r="C6" s="134">
        <f t="shared" si="0"/>
        <v>7</v>
      </c>
      <c r="D6" s="136">
        <f t="shared" si="1"/>
        <v>45701</v>
      </c>
      <c r="E6" s="136">
        <f t="shared" si="1"/>
        <v>45702</v>
      </c>
      <c r="F6" s="8" t="s">
        <v>236</v>
      </c>
    </row>
    <row r="7" spans="2:6" x14ac:dyDescent="0.35">
      <c r="B7" s="134">
        <f t="shared" si="0"/>
        <v>8</v>
      </c>
      <c r="C7" s="134">
        <f t="shared" si="0"/>
        <v>8</v>
      </c>
      <c r="D7" s="137">
        <f t="shared" si="1"/>
        <v>45708</v>
      </c>
      <c r="E7" s="137">
        <f t="shared" si="1"/>
        <v>45709</v>
      </c>
      <c r="F7" s="13" t="s">
        <v>36</v>
      </c>
    </row>
    <row r="8" spans="2:6" x14ac:dyDescent="0.35">
      <c r="B8" s="134">
        <f t="shared" si="0"/>
        <v>9</v>
      </c>
      <c r="C8" s="134">
        <f t="shared" si="0"/>
        <v>9</v>
      </c>
      <c r="D8" s="137">
        <f t="shared" si="1"/>
        <v>45715</v>
      </c>
      <c r="E8" s="137">
        <f t="shared" si="1"/>
        <v>45716</v>
      </c>
      <c r="F8" s="13" t="s">
        <v>36</v>
      </c>
    </row>
    <row r="9" spans="2:6" x14ac:dyDescent="0.35">
      <c r="B9" s="134">
        <f t="shared" si="0"/>
        <v>10</v>
      </c>
      <c r="C9" s="134">
        <f t="shared" si="0"/>
        <v>10</v>
      </c>
      <c r="D9" s="136">
        <f t="shared" si="1"/>
        <v>45722</v>
      </c>
      <c r="E9" s="136">
        <f t="shared" si="1"/>
        <v>45723</v>
      </c>
      <c r="F9" s="8" t="s">
        <v>192</v>
      </c>
    </row>
    <row r="10" spans="2:6" x14ac:dyDescent="0.35">
      <c r="B10" s="134">
        <f t="shared" si="0"/>
        <v>11</v>
      </c>
      <c r="C10" s="134">
        <f t="shared" si="0"/>
        <v>11</v>
      </c>
      <c r="D10" s="136">
        <f t="shared" si="1"/>
        <v>45729</v>
      </c>
      <c r="E10" s="136">
        <f t="shared" si="1"/>
        <v>45730</v>
      </c>
      <c r="F10" s="8" t="s">
        <v>199</v>
      </c>
    </row>
    <row r="11" spans="2:6" x14ac:dyDescent="0.35">
      <c r="B11" s="134">
        <f t="shared" si="0"/>
        <v>12</v>
      </c>
      <c r="C11" s="134">
        <f t="shared" si="0"/>
        <v>12</v>
      </c>
      <c r="D11" s="136">
        <f t="shared" si="1"/>
        <v>45736</v>
      </c>
      <c r="E11" s="136">
        <f t="shared" si="1"/>
        <v>45737</v>
      </c>
      <c r="F11" s="110" t="s">
        <v>28</v>
      </c>
    </row>
    <row r="12" spans="2:6" x14ac:dyDescent="0.35">
      <c r="B12" s="134">
        <f t="shared" si="0"/>
        <v>13</v>
      </c>
      <c r="C12" s="134">
        <f t="shared" si="0"/>
        <v>13</v>
      </c>
      <c r="D12" s="136">
        <f t="shared" si="1"/>
        <v>45743</v>
      </c>
      <c r="E12" s="136">
        <f t="shared" si="1"/>
        <v>45744</v>
      </c>
      <c r="F12" s="8" t="s">
        <v>106</v>
      </c>
    </row>
    <row r="13" spans="2:6" x14ac:dyDescent="0.35">
      <c r="B13" s="134">
        <f t="shared" si="0"/>
        <v>14</v>
      </c>
      <c r="C13" s="134">
        <f t="shared" si="0"/>
        <v>14</v>
      </c>
      <c r="D13" s="136">
        <f t="shared" si="1"/>
        <v>45750</v>
      </c>
      <c r="E13" s="136">
        <f t="shared" si="1"/>
        <v>45751</v>
      </c>
      <c r="F13" s="8" t="s">
        <v>239</v>
      </c>
    </row>
    <row r="14" spans="2:6" x14ac:dyDescent="0.35">
      <c r="B14" s="134">
        <f t="shared" si="0"/>
        <v>15</v>
      </c>
      <c r="C14" s="134">
        <f t="shared" si="0"/>
        <v>15</v>
      </c>
      <c r="D14" s="136">
        <f t="shared" si="1"/>
        <v>45757</v>
      </c>
      <c r="E14" s="136">
        <f t="shared" si="1"/>
        <v>45758</v>
      </c>
      <c r="F14" s="8" t="s">
        <v>240</v>
      </c>
    </row>
    <row r="15" spans="2:6" x14ac:dyDescent="0.35">
      <c r="B15" s="134">
        <f t="shared" si="0"/>
        <v>16</v>
      </c>
      <c r="C15" s="134">
        <f t="shared" si="0"/>
        <v>16</v>
      </c>
      <c r="D15" s="136">
        <f t="shared" si="1"/>
        <v>45764</v>
      </c>
      <c r="E15" s="137">
        <f t="shared" si="1"/>
        <v>45765</v>
      </c>
      <c r="F15" s="8" t="s">
        <v>248</v>
      </c>
    </row>
    <row r="16" spans="2:6" x14ac:dyDescent="0.35">
      <c r="B16" s="134">
        <f t="shared" si="0"/>
        <v>17</v>
      </c>
      <c r="C16" s="134">
        <f t="shared" si="0"/>
        <v>17</v>
      </c>
      <c r="D16" s="137">
        <f t="shared" si="1"/>
        <v>45771</v>
      </c>
      <c r="E16" s="137">
        <f t="shared" si="1"/>
        <v>45772</v>
      </c>
      <c r="F16" s="13" t="s">
        <v>36</v>
      </c>
    </row>
    <row r="17" spans="2:6" x14ac:dyDescent="0.35">
      <c r="B17" s="134">
        <f t="shared" si="0"/>
        <v>18</v>
      </c>
      <c r="C17" s="134">
        <f t="shared" si="0"/>
        <v>18</v>
      </c>
      <c r="D17" s="137">
        <f t="shared" si="1"/>
        <v>45778</v>
      </c>
      <c r="E17" s="137">
        <f t="shared" si="1"/>
        <v>45779</v>
      </c>
      <c r="F17" s="13" t="s">
        <v>36</v>
      </c>
    </row>
    <row r="18" spans="2:6" x14ac:dyDescent="0.35">
      <c r="B18" s="134">
        <f t="shared" si="0"/>
        <v>19</v>
      </c>
      <c r="C18" s="134">
        <f t="shared" si="0"/>
        <v>19</v>
      </c>
      <c r="D18" s="136">
        <f t="shared" si="1"/>
        <v>45785</v>
      </c>
      <c r="E18" s="136">
        <f t="shared" si="1"/>
        <v>45786</v>
      </c>
      <c r="F18" s="8" t="s">
        <v>260</v>
      </c>
    </row>
    <row r="19" spans="2:6" x14ac:dyDescent="0.35">
      <c r="B19" s="134">
        <f t="shared" si="0"/>
        <v>20</v>
      </c>
      <c r="C19" s="134">
        <f t="shared" si="0"/>
        <v>20</v>
      </c>
      <c r="D19" s="136">
        <f t="shared" si="1"/>
        <v>45792</v>
      </c>
      <c r="E19" s="136">
        <f t="shared" si="1"/>
        <v>45793</v>
      </c>
      <c r="F19" s="110"/>
    </row>
    <row r="20" spans="2:6" x14ac:dyDescent="0.35">
      <c r="B20" s="134">
        <f t="shared" si="0"/>
        <v>21</v>
      </c>
      <c r="C20" s="134">
        <f t="shared" si="0"/>
        <v>21</v>
      </c>
      <c r="D20" s="136">
        <f t="shared" si="1"/>
        <v>45799</v>
      </c>
      <c r="E20" s="136">
        <f t="shared" si="1"/>
        <v>45800</v>
      </c>
      <c r="F20" s="8"/>
    </row>
    <row r="21" spans="2:6" x14ac:dyDescent="0.35">
      <c r="B21" s="134">
        <f t="shared" si="0"/>
        <v>22</v>
      </c>
      <c r="C21" s="134">
        <f t="shared" si="0"/>
        <v>22</v>
      </c>
      <c r="D21" s="137">
        <f t="shared" ref="D21:E27" si="2">D20+7</f>
        <v>45806</v>
      </c>
      <c r="E21" s="137">
        <f t="shared" si="2"/>
        <v>45807</v>
      </c>
      <c r="F21" s="13" t="s">
        <v>73</v>
      </c>
    </row>
    <row r="22" spans="2:6" x14ac:dyDescent="0.35">
      <c r="B22" s="134">
        <f t="shared" si="0"/>
        <v>23</v>
      </c>
      <c r="C22" s="134">
        <f t="shared" si="0"/>
        <v>23</v>
      </c>
      <c r="D22" s="136">
        <f t="shared" si="2"/>
        <v>45813</v>
      </c>
      <c r="E22" s="136">
        <f t="shared" si="2"/>
        <v>45814</v>
      </c>
      <c r="F22" s="111" t="s">
        <v>28</v>
      </c>
    </row>
    <row r="23" spans="2:6" x14ac:dyDescent="0.35">
      <c r="B23" s="134">
        <f t="shared" si="0"/>
        <v>24</v>
      </c>
      <c r="C23" s="134">
        <f t="shared" si="0"/>
        <v>24</v>
      </c>
      <c r="D23" s="136">
        <f t="shared" si="2"/>
        <v>45820</v>
      </c>
      <c r="E23" s="136">
        <f t="shared" si="2"/>
        <v>45821</v>
      </c>
      <c r="F23" s="8" t="s">
        <v>107</v>
      </c>
    </row>
    <row r="24" spans="2:6" x14ac:dyDescent="0.35">
      <c r="B24" s="134">
        <f t="shared" si="0"/>
        <v>25</v>
      </c>
      <c r="C24" s="134">
        <f t="shared" si="0"/>
        <v>25</v>
      </c>
      <c r="D24" s="136">
        <f t="shared" si="2"/>
        <v>45827</v>
      </c>
      <c r="E24" s="136">
        <f t="shared" si="2"/>
        <v>45828</v>
      </c>
      <c r="F24" s="8"/>
    </row>
    <row r="25" spans="2:6" x14ac:dyDescent="0.35">
      <c r="B25" s="134">
        <f t="shared" si="0"/>
        <v>26</v>
      </c>
      <c r="C25" s="134">
        <f t="shared" si="0"/>
        <v>26</v>
      </c>
      <c r="D25" s="136">
        <f t="shared" si="2"/>
        <v>45834</v>
      </c>
      <c r="E25" s="136">
        <f t="shared" si="2"/>
        <v>45835</v>
      </c>
      <c r="F25" s="8"/>
    </row>
    <row r="26" spans="2:6" x14ac:dyDescent="0.35">
      <c r="B26" s="134">
        <f t="shared" si="0"/>
        <v>27</v>
      </c>
      <c r="C26" s="134">
        <f t="shared" si="0"/>
        <v>27</v>
      </c>
      <c r="D26" s="136">
        <f t="shared" si="2"/>
        <v>45841</v>
      </c>
      <c r="E26" s="136">
        <f t="shared" si="2"/>
        <v>45842</v>
      </c>
      <c r="F26" s="8" t="s">
        <v>237</v>
      </c>
    </row>
    <row r="27" spans="2:6" x14ac:dyDescent="0.35">
      <c r="B27" s="134">
        <f t="shared" ref="B27" si="3">WEEKNUM(D27)</f>
        <v>28</v>
      </c>
      <c r="C27" s="134">
        <f t="shared" ref="C27" si="4">WEEKNUM(E27)</f>
        <v>28</v>
      </c>
      <c r="D27" s="136">
        <f t="shared" si="2"/>
        <v>45848</v>
      </c>
      <c r="E27" s="136">
        <f t="shared" si="2"/>
        <v>45849</v>
      </c>
      <c r="F27" s="8"/>
    </row>
  </sheetData>
  <pageMargins left="0.7" right="0.7" top="0.78740157499999996" bottom="0.78740157499999996" header="0.3" footer="0.3"/>
  <pageSetup paperSize="9" scale="7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23_24_Semesterprogramm_Math</vt:lpstr>
      <vt:lpstr>23_24_Semesterprogramm_M164</vt:lpstr>
      <vt:lpstr>23_24_Semesterprogramm_M319</vt:lpstr>
      <vt:lpstr>24_25_Semesterprogramm_M162</vt:lpstr>
      <vt:lpstr>24_25_Semesterprogramm_M231</vt:lpstr>
      <vt:lpstr>24_25_Semesterprogramm_Info</vt:lpstr>
      <vt:lpstr>24_25_Semesterprogramm_M164</vt:lpstr>
      <vt:lpstr>24_25_Semesterprogramm_M319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2025-03-05T10:32:10Z</cp:lastPrinted>
  <dcterms:created xsi:type="dcterms:W3CDTF">2019-08-07T07:33:56Z</dcterms:created>
  <dcterms:modified xsi:type="dcterms:W3CDTF">2025-03-05T10:32:33Z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