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Landwirtschaft\Documents\SoruceCode\SchulungsUnterlagen\Semesterprogramme\"/>
    </mc:Choice>
  </mc:AlternateContent>
  <xr:revisionPtr revIDLastSave="0" documentId="13_ncr:1_{19727225-C089-4702-9841-E9F34CB967AE}" xr6:coauthVersionLast="47" xr6:coauthVersionMax="47" xr10:uidLastSave="{00000000-0000-0000-0000-000000000000}"/>
  <bookViews>
    <workbookView xWindow="-110" yWindow="-110" windowWidth="19420" windowHeight="10300" tabRatio="820" firstSheet="16" activeTab="17" xr2:uid="{00000000-000D-0000-FFFF-FFFF00000000}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2_23_Semesterprogramm_M231" sheetId="11" r:id="rId10"/>
    <sheet name="22_23_Semesterprogramm_Mathe" sheetId="12" r:id="rId11"/>
    <sheet name="22_23_Semesterprogramm_M242" sheetId="13" r:id="rId12"/>
    <sheet name="23_24_Semesterprogramm_Math" sheetId="16" r:id="rId13"/>
    <sheet name="23_24_Semesterprogramm_M164" sheetId="15" r:id="rId14"/>
    <sheet name="23_24_Semesterprogramm_M319" sheetId="14" r:id="rId15"/>
    <sheet name="24_25_Semesterprogramm_M162" sheetId="10" r:id="rId16"/>
    <sheet name="24_25_Semesterprogramm_M231" sheetId="17" r:id="rId17"/>
    <sheet name="24_25_Semesterprogramm_Info" sheetId="20" r:id="rId18"/>
    <sheet name="24_25_Semesterprogramm_M164" sheetId="18" r:id="rId19"/>
    <sheet name="24_25_Semesterprogramm_M319" sheetId="19" r:id="rId20"/>
  </sheets>
  <functionGroups builtInGroupCount="19"/>
  <externalReferences>
    <externalReference r:id="rId21"/>
    <externalReference r:id="rId22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3">[1]Sektoren!#REF!</definedName>
    <definedName name="aa" localSheetId="14">[1]Sektoren!#REF!</definedName>
    <definedName name="aa" localSheetId="12">[1]Sektoren!#REF!</definedName>
    <definedName name="aa" localSheetId="17">[1]Sektoren!#REF!</definedName>
    <definedName name="aa" localSheetId="15">[1]Sektoren!#REF!</definedName>
    <definedName name="aa" localSheetId="18">[1]Sektoren!#REF!</definedName>
    <definedName name="aa" localSheetId="16">[1]Sektoren!#REF!</definedName>
    <definedName name="aa" localSheetId="19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3">[1]Sektoren!#REF!</definedName>
    <definedName name="aaaa" localSheetId="14">[1]Sektoren!#REF!</definedName>
    <definedName name="aaaa" localSheetId="12">[1]Sektoren!#REF!</definedName>
    <definedName name="aaaa" localSheetId="17">[1]Sektoren!#REF!</definedName>
    <definedName name="aaaa" localSheetId="15">[1]Sektoren!#REF!</definedName>
    <definedName name="aaaa" localSheetId="18">[1]Sektoren!#REF!</definedName>
    <definedName name="aaaa" localSheetId="16">[1]Sektoren!#REF!</definedName>
    <definedName name="aaaa" localSheetId="19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3">[2]Kreisbogen!#REF!</definedName>
    <definedName name="aassssss" localSheetId="14">[2]Kreisbogen!#REF!</definedName>
    <definedName name="aassssss" localSheetId="12">[2]Kreisbogen!#REF!</definedName>
    <definedName name="aassssss" localSheetId="17">[2]Kreisbogen!#REF!</definedName>
    <definedName name="aassssss" localSheetId="15">[2]Kreisbogen!#REF!</definedName>
    <definedName name="aassssss" localSheetId="18">[2]Kreisbogen!#REF!</definedName>
    <definedName name="aassssss" localSheetId="16">[2]Kreisbogen!#REF!</definedName>
    <definedName name="aassssss" localSheetId="19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3">#REF!</definedName>
    <definedName name="days" localSheetId="14">#REF!</definedName>
    <definedName name="days" localSheetId="12">#REF!</definedName>
    <definedName name="days" localSheetId="17">#REF!</definedName>
    <definedName name="days" localSheetId="15">#REF!</definedName>
    <definedName name="days" localSheetId="18">#REF!</definedName>
    <definedName name="days" localSheetId="16">#REF!</definedName>
    <definedName name="days" localSheetId="19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3">#REF!</definedName>
    <definedName name="eeeeeeeee" localSheetId="14">#REF!</definedName>
    <definedName name="eeeeeeeee" localSheetId="12">#REF!</definedName>
    <definedName name="eeeeeeeee" localSheetId="17">#REF!</definedName>
    <definedName name="eeeeeeeee" localSheetId="15">#REF!</definedName>
    <definedName name="eeeeeeeee" localSheetId="18">#REF!</definedName>
    <definedName name="eeeeeeeee" localSheetId="16">#REF!</definedName>
    <definedName name="eeeeeeeee" localSheetId="19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3">[2]Kreisbogen!#REF!</definedName>
    <definedName name="qqq" localSheetId="14">[2]Kreisbogen!#REF!</definedName>
    <definedName name="qqq" localSheetId="12">[2]Kreisbogen!#REF!</definedName>
    <definedName name="qqq" localSheetId="17">[2]Kreisbogen!#REF!</definedName>
    <definedName name="qqq" localSheetId="15">[2]Kreisbogen!#REF!</definedName>
    <definedName name="qqq" localSheetId="18">[2]Kreisbogen!#REF!</definedName>
    <definedName name="qqq" localSheetId="16">[2]Kreisbogen!#REF!</definedName>
    <definedName name="qqq" localSheetId="19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3">#REF!</definedName>
    <definedName name="rates" localSheetId="14">#REF!</definedName>
    <definedName name="rates" localSheetId="12">#REF!</definedName>
    <definedName name="rates" localSheetId="17">#REF!</definedName>
    <definedName name="rates" localSheetId="15">#REF!</definedName>
    <definedName name="rates" localSheetId="18">#REF!</definedName>
    <definedName name="rates" localSheetId="16">#REF!</definedName>
    <definedName name="rates" localSheetId="19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3">#REF!</definedName>
    <definedName name="rrrr" localSheetId="14">#REF!</definedName>
    <definedName name="rrrr" localSheetId="12">#REF!</definedName>
    <definedName name="rrrr" localSheetId="17">#REF!</definedName>
    <definedName name="rrrr" localSheetId="15">#REF!</definedName>
    <definedName name="rrrr" localSheetId="18">#REF!</definedName>
    <definedName name="rrrr" localSheetId="16">#REF!</definedName>
    <definedName name="rrrr" localSheetId="19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3">#REF!</definedName>
    <definedName name="ssss" localSheetId="14">#REF!</definedName>
    <definedName name="ssss" localSheetId="12">#REF!</definedName>
    <definedName name="ssss" localSheetId="17">#REF!</definedName>
    <definedName name="ssss" localSheetId="15">#REF!</definedName>
    <definedName name="ssss" localSheetId="18">#REF!</definedName>
    <definedName name="ssss" localSheetId="16">#REF!</definedName>
    <definedName name="ssss" localSheetId="19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3">#REF!</definedName>
    <definedName name="tocFctGraph" localSheetId="14">#REF!</definedName>
    <definedName name="tocFctGraph" localSheetId="12">#REF!</definedName>
    <definedName name="tocFctGraph" localSheetId="17">#REF!</definedName>
    <definedName name="tocFctGraph" localSheetId="15">#REF!</definedName>
    <definedName name="tocFctGraph" localSheetId="18">#REF!</definedName>
    <definedName name="tocFctGraph" localSheetId="16">#REF!</definedName>
    <definedName name="tocFctGraph" localSheetId="19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3">#REF!</definedName>
    <definedName name="tocLinearFct" localSheetId="14">#REF!</definedName>
    <definedName name="tocLinearFct" localSheetId="12">#REF!</definedName>
    <definedName name="tocLinearFct" localSheetId="17">#REF!</definedName>
    <definedName name="tocLinearFct" localSheetId="15">#REF!</definedName>
    <definedName name="tocLinearFct" localSheetId="18">#REF!</definedName>
    <definedName name="tocLinearFct" localSheetId="16">#REF!</definedName>
    <definedName name="tocLinearFct" localSheetId="19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3">#REF!</definedName>
    <definedName name="tocNormberechnung" localSheetId="14">#REF!</definedName>
    <definedName name="tocNormberechnung" localSheetId="12">#REF!</definedName>
    <definedName name="tocNormberechnung" localSheetId="17">#REF!</definedName>
    <definedName name="tocNormberechnung" localSheetId="15">#REF!</definedName>
    <definedName name="tocNormberechnung" localSheetId="18">#REF!</definedName>
    <definedName name="tocNormberechnung" localSheetId="16">#REF!</definedName>
    <definedName name="tocNormberechnung" localSheetId="19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3">#REF!</definedName>
    <definedName name="tocRGBCalc" localSheetId="14">#REF!</definedName>
    <definedName name="tocRGBCalc" localSheetId="12">#REF!</definedName>
    <definedName name="tocRGBCalc" localSheetId="17">#REF!</definedName>
    <definedName name="tocRGBCalc" localSheetId="15">#REF!</definedName>
    <definedName name="tocRGBCalc" localSheetId="18">#REF!</definedName>
    <definedName name="tocRGBCalc" localSheetId="16">#REF!</definedName>
    <definedName name="tocRGBCalc" localSheetId="19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3">#REF!</definedName>
    <definedName name="ttttttt" localSheetId="14">#REF!</definedName>
    <definedName name="ttttttt" localSheetId="12">#REF!</definedName>
    <definedName name="ttttttt" localSheetId="17">#REF!</definedName>
    <definedName name="ttttttt" localSheetId="15">#REF!</definedName>
    <definedName name="ttttttt" localSheetId="18">#REF!</definedName>
    <definedName name="ttttttt" localSheetId="16">#REF!</definedName>
    <definedName name="ttttttt" localSheetId="19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3">#REF!</definedName>
    <definedName name="uu" localSheetId="14">#REF!</definedName>
    <definedName name="uu" localSheetId="12">#REF!</definedName>
    <definedName name="uu" localSheetId="17">#REF!</definedName>
    <definedName name="uu" localSheetId="15">#REF!</definedName>
    <definedName name="uu" localSheetId="18">#REF!</definedName>
    <definedName name="uu" localSheetId="16">#REF!</definedName>
    <definedName name="uu" localSheetId="19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3">#REF!</definedName>
    <definedName name="uuuuuuuu" localSheetId="14">#REF!</definedName>
    <definedName name="uuuuuuuu" localSheetId="12">#REF!</definedName>
    <definedName name="uuuuuuuu" localSheetId="17">#REF!</definedName>
    <definedName name="uuuuuuuu" localSheetId="15">#REF!</definedName>
    <definedName name="uuuuuuuu" localSheetId="18">#REF!</definedName>
    <definedName name="uuuuuuuu" localSheetId="16">#REF!</definedName>
    <definedName name="uuuuuuuu" localSheetId="19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3">[1]Sektoren!#REF!</definedName>
    <definedName name="x" localSheetId="14">[1]Sektoren!#REF!</definedName>
    <definedName name="x" localSheetId="12">[1]Sektoren!#REF!</definedName>
    <definedName name="x" localSheetId="17">[1]Sektoren!#REF!</definedName>
    <definedName name="x" localSheetId="15">[1]Sektoren!#REF!</definedName>
    <definedName name="x" localSheetId="18">[1]Sektoren!#REF!</definedName>
    <definedName name="x" localSheetId="16">[1]Sektoren!#REF!</definedName>
    <definedName name="x" localSheetId="19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3">#REF!</definedName>
    <definedName name="xxxxx" localSheetId="14">#REF!</definedName>
    <definedName name="xxxxx" localSheetId="12">#REF!</definedName>
    <definedName name="xxxxx" localSheetId="17">#REF!</definedName>
    <definedName name="xxxxx" localSheetId="15">#REF!</definedName>
    <definedName name="xxxxx" localSheetId="18">#REF!</definedName>
    <definedName name="xxxxx" localSheetId="16">#REF!</definedName>
    <definedName name="xxxxx" localSheetId="19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3">[1]Sektoren!#REF!</definedName>
    <definedName name="xxxxxxxx" localSheetId="14">[1]Sektoren!#REF!</definedName>
    <definedName name="xxxxxxxx" localSheetId="12">[1]Sektoren!#REF!</definedName>
    <definedName name="xxxxxxxx" localSheetId="17">[1]Sektoren!#REF!</definedName>
    <definedName name="xxxxxxxx" localSheetId="15">[1]Sektoren!#REF!</definedName>
    <definedName name="xxxxxxxx" localSheetId="18">[1]Sektoren!#REF!</definedName>
    <definedName name="xxxxxxxx" localSheetId="16">[1]Sektoren!#REF!</definedName>
    <definedName name="xxxxxxxx" localSheetId="19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3">#REF!</definedName>
    <definedName name="xxxxxxxxx" localSheetId="14">#REF!</definedName>
    <definedName name="xxxxxxxxx" localSheetId="12">#REF!</definedName>
    <definedName name="xxxxxxxxx" localSheetId="17">#REF!</definedName>
    <definedName name="xxxxxxxxx" localSheetId="15">#REF!</definedName>
    <definedName name="xxxxxxxxx" localSheetId="18">#REF!</definedName>
    <definedName name="xxxxxxxxx" localSheetId="16">#REF!</definedName>
    <definedName name="xxxxxxxxx" localSheetId="19">#REF!</definedName>
    <definedName name="xxxxxxxxx">#REF!</definedName>
    <definedName name="yyy" localSheetId="10">#REF!</definedName>
    <definedName name="yyy" localSheetId="13">#REF!</definedName>
    <definedName name="yyy" localSheetId="14">#REF!</definedName>
    <definedName name="yyy" localSheetId="12">#REF!</definedName>
    <definedName name="yyy" localSheetId="17">#REF!</definedName>
    <definedName name="yyy" localSheetId="18">#REF!</definedName>
    <definedName name="yyy" localSheetId="19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3">#REF!</definedName>
    <definedName name="zzzzzzzzzzz" localSheetId="14">#REF!</definedName>
    <definedName name="zzzzzzzzzzz" localSheetId="12">#REF!</definedName>
    <definedName name="zzzzzzzzzzz" localSheetId="17">#REF!</definedName>
    <definedName name="zzzzzzzzzzz" localSheetId="15">#REF!</definedName>
    <definedName name="zzzzzzzzzzz" localSheetId="18">#REF!</definedName>
    <definedName name="zzzzzzzzzzz" localSheetId="16">#REF!</definedName>
    <definedName name="zzzzzzzzzzz" localSheetId="19">#REF!</definedName>
    <definedName name="zzzzzzzzzz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6" i="20" l="1"/>
  <c r="E37" i="20" s="1"/>
  <c r="E35" i="20"/>
  <c r="D35" i="20"/>
  <c r="D36" i="20" s="1"/>
  <c r="C35" i="20"/>
  <c r="B35" i="20"/>
  <c r="C34" i="20"/>
  <c r="B34" i="20"/>
  <c r="E6" i="19"/>
  <c r="E7" i="19" s="1"/>
  <c r="E8" i="19" s="1"/>
  <c r="E9" i="19" s="1"/>
  <c r="E10" i="19" s="1"/>
  <c r="E11" i="19" s="1"/>
  <c r="E12" i="19" s="1"/>
  <c r="E13" i="19" s="1"/>
  <c r="E14" i="19" s="1"/>
  <c r="E15" i="19" s="1"/>
  <c r="E16" i="19" s="1"/>
  <c r="E17" i="19" s="1"/>
  <c r="E18" i="19" s="1"/>
  <c r="E19" i="19" s="1"/>
  <c r="E20" i="19" s="1"/>
  <c r="E21" i="19" s="1"/>
  <c r="E22" i="19" s="1"/>
  <c r="E23" i="19" s="1"/>
  <c r="E24" i="19" s="1"/>
  <c r="E25" i="19" s="1"/>
  <c r="E26" i="19" s="1"/>
  <c r="E27" i="19" s="1"/>
  <c r="D6" i="19"/>
  <c r="D7" i="19" s="1"/>
  <c r="D8" i="19" s="1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E5" i="19"/>
  <c r="D5" i="19"/>
  <c r="B4" i="19"/>
  <c r="C4" i="19"/>
  <c r="B5" i="19"/>
  <c r="C5" i="19"/>
  <c r="B6" i="19"/>
  <c r="C6" i="19"/>
  <c r="D5" i="18"/>
  <c r="B27" i="18"/>
  <c r="D27" i="18"/>
  <c r="E27" i="18"/>
  <c r="C27" i="18" s="1"/>
  <c r="E6" i="20"/>
  <c r="E7" i="20" s="1"/>
  <c r="D6" i="20"/>
  <c r="D7" i="20" s="1"/>
  <c r="B7" i="20" s="1"/>
  <c r="B6" i="20"/>
  <c r="C5" i="20"/>
  <c r="B5" i="20"/>
  <c r="E5" i="18"/>
  <c r="E6" i="18" s="1"/>
  <c r="C6" i="18" s="1"/>
  <c r="D6" i="18"/>
  <c r="B6" i="18" s="1"/>
  <c r="C5" i="18"/>
  <c r="B5" i="18"/>
  <c r="C4" i="18"/>
  <c r="B4" i="18"/>
  <c r="E5" i="17"/>
  <c r="E6" i="17" s="1"/>
  <c r="D5" i="17"/>
  <c r="B5" i="17" s="1"/>
  <c r="C5" i="17"/>
  <c r="C4" i="17"/>
  <c r="B4" i="17"/>
  <c r="C8" i="10"/>
  <c r="C10" i="10"/>
  <c r="C15" i="10"/>
  <c r="C16" i="10"/>
  <c r="C22" i="10"/>
  <c r="C5" i="10"/>
  <c r="B5" i="10"/>
  <c r="D6" i="10"/>
  <c r="D7" i="10" s="1"/>
  <c r="D8" i="10" s="1"/>
  <c r="D9" i="10" s="1"/>
  <c r="D10" i="10" s="1"/>
  <c r="D11" i="10" s="1"/>
  <c r="D12" i="10" s="1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B27" i="10" s="1"/>
  <c r="B31" i="20"/>
  <c r="B20" i="15"/>
  <c r="B5" i="14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5" i="15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K6" i="17"/>
  <c r="K5" i="17"/>
  <c r="L5" i="17" s="1"/>
  <c r="B31" i="16"/>
  <c r="B6" i="16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31" i="12"/>
  <c r="E6" i="10"/>
  <c r="E7" i="10" s="1"/>
  <c r="E8" i="10" s="1"/>
  <c r="E9" i="10" s="1"/>
  <c r="E10" i="10" s="1"/>
  <c r="E11" i="10" s="1"/>
  <c r="E12" i="10" s="1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C27" i="10" s="1"/>
  <c r="D37" i="20" l="1"/>
  <c r="B36" i="20"/>
  <c r="C37" i="20"/>
  <c r="E38" i="20"/>
  <c r="C36" i="20"/>
  <c r="C7" i="19"/>
  <c r="B7" i="19"/>
  <c r="C7" i="20"/>
  <c r="E8" i="20"/>
  <c r="C6" i="20"/>
  <c r="D8" i="20"/>
  <c r="B23" i="10"/>
  <c r="B16" i="10"/>
  <c r="C21" i="10"/>
  <c r="B15" i="10"/>
  <c r="B7" i="10"/>
  <c r="C20" i="10"/>
  <c r="C26" i="10"/>
  <c r="C19" i="10"/>
  <c r="C11" i="10"/>
  <c r="B8" i="10"/>
  <c r="C14" i="10"/>
  <c r="B20" i="10"/>
  <c r="B12" i="10"/>
  <c r="C24" i="10"/>
  <c r="B19" i="10"/>
  <c r="B11" i="10"/>
  <c r="B24" i="10"/>
  <c r="D7" i="18"/>
  <c r="E7" i="18"/>
  <c r="D6" i="17"/>
  <c r="B6" i="17" s="1"/>
  <c r="C6" i="17"/>
  <c r="E7" i="17"/>
  <c r="D7" i="17"/>
  <c r="C25" i="10"/>
  <c r="C9" i="10"/>
  <c r="C13" i="10"/>
  <c r="C18" i="10"/>
  <c r="C12" i="10"/>
  <c r="C7" i="10"/>
  <c r="C23" i="10"/>
  <c r="C17" i="10"/>
  <c r="C6" i="10"/>
  <c r="B6" i="10"/>
  <c r="B26" i="10"/>
  <c r="B22" i="10"/>
  <c r="B18" i="10"/>
  <c r="B14" i="10"/>
  <c r="B10" i="10"/>
  <c r="B25" i="10"/>
  <c r="B21" i="10"/>
  <c r="B17" i="10"/>
  <c r="B13" i="10"/>
  <c r="B9" i="10"/>
  <c r="B21" i="15"/>
  <c r="B22" i="15" s="1"/>
  <c r="B23" i="15" s="1"/>
  <c r="B24" i="15" s="1"/>
  <c r="B25" i="15" s="1"/>
  <c r="B26" i="15" s="1"/>
  <c r="B27" i="15" s="1"/>
  <c r="B6" i="13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E39" i="20" l="1"/>
  <c r="C38" i="20"/>
  <c r="B37" i="20"/>
  <c r="D38" i="20"/>
  <c r="B8" i="19"/>
  <c r="C8" i="19"/>
  <c r="B8" i="20"/>
  <c r="D9" i="20"/>
  <c r="E9" i="20"/>
  <c r="C8" i="20"/>
  <c r="B7" i="18"/>
  <c r="D8" i="18"/>
  <c r="E8" i="18"/>
  <c r="C7" i="18"/>
  <c r="B7" i="17"/>
  <c r="D8" i="17"/>
  <c r="E8" i="17"/>
  <c r="C7" i="17"/>
  <c r="B6" i="12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D39" i="20" l="1"/>
  <c r="B38" i="20"/>
  <c r="C39" i="20"/>
  <c r="E40" i="20"/>
  <c r="C9" i="19"/>
  <c r="B9" i="19"/>
  <c r="E10" i="20"/>
  <c r="C9" i="20"/>
  <c r="B9" i="20"/>
  <c r="D10" i="20"/>
  <c r="B8" i="18"/>
  <c r="D9" i="18"/>
  <c r="C8" i="18"/>
  <c r="E9" i="18"/>
  <c r="C8" i="17"/>
  <c r="E9" i="17"/>
  <c r="B8" i="17"/>
  <c r="D9" i="17"/>
  <c r="B30" i="7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19" i="8"/>
  <c r="B5" i="9"/>
  <c r="B27" i="8"/>
  <c r="B27" i="9"/>
  <c r="B11" i="9"/>
  <c r="B7" i="8"/>
  <c r="B4" i="9"/>
  <c r="B20" i="9"/>
  <c r="B9" i="8"/>
  <c r="B25" i="8"/>
  <c r="B21" i="8"/>
  <c r="B14" i="9"/>
  <c r="B8" i="9"/>
  <c r="B20" i="8"/>
  <c r="B12" i="9"/>
  <c r="B8" i="8"/>
  <c r="B13" i="8"/>
  <c r="B6" i="9"/>
  <c r="B13" i="9"/>
  <c r="B23" i="8"/>
  <c r="B10" i="9"/>
  <c r="B21" i="9"/>
  <c r="B15" i="8"/>
  <c r="B26" i="9"/>
  <c r="B12" i="8"/>
  <c r="B16" i="8"/>
  <c r="B19" i="9"/>
  <c r="B17" i="9"/>
  <c r="B23" i="9"/>
  <c r="B10" i="8"/>
  <c r="B17" i="8"/>
  <c r="B6" i="8"/>
  <c r="B14" i="8"/>
  <c r="B24" i="9"/>
  <c r="B26" i="8"/>
  <c r="B18" i="8"/>
  <c r="B15" i="9"/>
  <c r="B22" i="9"/>
  <c r="B24" i="8"/>
  <c r="B18" i="9"/>
  <c r="B16" i="9"/>
  <c r="B7" i="9"/>
  <c r="B9" i="9"/>
  <c r="B22" i="8"/>
  <c r="B11" i="8"/>
  <c r="B5" i="8"/>
  <c r="B4" i="8"/>
  <c r="B25" i="9"/>
  <c r="E41" i="20" l="1"/>
  <c r="C40" i="20"/>
  <c r="B39" i="20"/>
  <c r="D40" i="20"/>
  <c r="B10" i="19"/>
  <c r="C10" i="19"/>
  <c r="D11" i="20"/>
  <c r="B10" i="20"/>
  <c r="E11" i="20"/>
  <c r="C10" i="20"/>
  <c r="B9" i="18"/>
  <c r="D10" i="18"/>
  <c r="C9" i="18"/>
  <c r="E10" i="18"/>
  <c r="B9" i="17"/>
  <c r="D10" i="17"/>
  <c r="E10" i="17"/>
  <c r="C9" i="17"/>
  <c r="H9" i="5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D41" i="20" l="1"/>
  <c r="B40" i="20"/>
  <c r="C41" i="20"/>
  <c r="E42" i="20"/>
  <c r="C11" i="19"/>
  <c r="B11" i="19"/>
  <c r="E12" i="20"/>
  <c r="C11" i="20"/>
  <c r="B11" i="20"/>
  <c r="D12" i="20"/>
  <c r="C10" i="18"/>
  <c r="E11" i="18"/>
  <c r="B10" i="18"/>
  <c r="D11" i="18"/>
  <c r="C10" i="17"/>
  <c r="E11" i="17"/>
  <c r="B10" i="17"/>
  <c r="D11" i="17"/>
  <c r="I6" i="5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27" i="3"/>
  <c r="B20" i="2"/>
  <c r="B24" i="2"/>
  <c r="B26" i="2"/>
  <c r="B12" i="3"/>
  <c r="B6" i="2"/>
  <c r="B26" i="3"/>
  <c r="B7" i="3"/>
  <c r="B16" i="3"/>
  <c r="B25" i="3"/>
  <c r="B19" i="2"/>
  <c r="B23" i="3"/>
  <c r="B13" i="2"/>
  <c r="B22" i="3"/>
  <c r="B23" i="2"/>
  <c r="B4" i="3"/>
  <c r="B5" i="3"/>
  <c r="B21" i="3"/>
  <c r="B21" i="2"/>
  <c r="B25" i="2"/>
  <c r="B10" i="3"/>
  <c r="B6" i="3"/>
  <c r="B8" i="3"/>
  <c r="B17" i="3"/>
  <c r="B8" i="2"/>
  <c r="B16" i="2"/>
  <c r="B12" i="2"/>
  <c r="B14" i="3"/>
  <c r="B11" i="2"/>
  <c r="B14" i="2"/>
  <c r="B18" i="2"/>
  <c r="B5" i="2"/>
  <c r="B13" i="3"/>
  <c r="B17" i="2"/>
  <c r="B11" i="3"/>
  <c r="B10" i="2"/>
  <c r="B18" i="3"/>
  <c r="B24" i="3"/>
  <c r="B15" i="2"/>
  <c r="B15" i="3"/>
  <c r="B7" i="2"/>
  <c r="B27" i="2"/>
  <c r="B9" i="3"/>
  <c r="B9" i="2"/>
  <c r="B22" i="2"/>
  <c r="B20" i="3"/>
  <c r="B4" i="2"/>
  <c r="B19" i="3"/>
  <c r="E43" i="20" l="1"/>
  <c r="C42" i="20"/>
  <c r="B41" i="20"/>
  <c r="D42" i="20"/>
  <c r="B12" i="19"/>
  <c r="C12" i="19"/>
  <c r="D13" i="20"/>
  <c r="B12" i="20"/>
  <c r="E13" i="20"/>
  <c r="C12" i="20"/>
  <c r="D12" i="18"/>
  <c r="B11" i="18"/>
  <c r="E12" i="18"/>
  <c r="C11" i="18"/>
  <c r="E12" i="17"/>
  <c r="C11" i="17"/>
  <c r="B11" i="17"/>
  <c r="D12" i="17"/>
  <c r="B46" i="5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D43" i="20" l="1"/>
  <c r="B42" i="20"/>
  <c r="E44" i="20"/>
  <c r="C43" i="20"/>
  <c r="C13" i="19"/>
  <c r="B13" i="19"/>
  <c r="C13" i="20"/>
  <c r="E14" i="20"/>
  <c r="B13" i="20"/>
  <c r="D14" i="20"/>
  <c r="C12" i="18"/>
  <c r="E13" i="18"/>
  <c r="B12" i="18"/>
  <c r="D13" i="18"/>
  <c r="B12" i="17"/>
  <c r="D13" i="17"/>
  <c r="C12" i="17"/>
  <c r="E13" i="17"/>
  <c r="A41" i="5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E45" i="20" l="1"/>
  <c r="C44" i="20"/>
  <c r="B43" i="20"/>
  <c r="D44" i="20"/>
  <c r="B14" i="19"/>
  <c r="C14" i="19"/>
  <c r="D15" i="20"/>
  <c r="B14" i="20"/>
  <c r="E15" i="20"/>
  <c r="C14" i="20"/>
  <c r="B13" i="18"/>
  <c r="D14" i="18"/>
  <c r="E14" i="18"/>
  <c r="C13" i="18"/>
  <c r="E14" i="17"/>
  <c r="C13" i="17"/>
  <c r="B13" i="17"/>
  <c r="D14" i="17"/>
  <c r="B45" i="5"/>
  <c r="A42" i="5"/>
  <c r="A44" i="5"/>
  <c r="B47" i="5"/>
  <c r="B52" i="5"/>
  <c r="A49" i="5"/>
  <c r="C45" i="20" l="1"/>
  <c r="E46" i="20"/>
  <c r="D45" i="20"/>
  <c r="B44" i="20"/>
  <c r="C15" i="19"/>
  <c r="B15" i="19"/>
  <c r="E16" i="20"/>
  <c r="C15" i="20"/>
  <c r="B15" i="20"/>
  <c r="D16" i="20"/>
  <c r="C14" i="18"/>
  <c r="E15" i="18"/>
  <c r="B14" i="18"/>
  <c r="D15" i="18"/>
  <c r="B14" i="17"/>
  <c r="D15" i="17"/>
  <c r="C14" i="17"/>
  <c r="E15" i="17"/>
  <c r="B48" i="5"/>
  <c r="A45" i="5"/>
  <c r="B50" i="5"/>
  <c r="A47" i="5"/>
  <c r="B55" i="5"/>
  <c r="A52" i="5"/>
  <c r="E47" i="20" l="1"/>
  <c r="C46" i="20"/>
  <c r="B45" i="20"/>
  <c r="D46" i="20"/>
  <c r="B16" i="19"/>
  <c r="C16" i="19"/>
  <c r="D17" i="20"/>
  <c r="B16" i="20"/>
  <c r="E17" i="20"/>
  <c r="C16" i="20"/>
  <c r="B15" i="18"/>
  <c r="D16" i="18"/>
  <c r="E16" i="18"/>
  <c r="C15" i="18"/>
  <c r="E16" i="17"/>
  <c r="C15" i="17"/>
  <c r="B15" i="17"/>
  <c r="D16" i="17"/>
  <c r="B53" i="5"/>
  <c r="A50" i="5"/>
  <c r="B58" i="5"/>
  <c r="A55" i="5"/>
  <c r="B51" i="5"/>
  <c r="A48" i="5"/>
  <c r="E48" i="20" l="1"/>
  <c r="C47" i="20"/>
  <c r="D47" i="20"/>
  <c r="B46" i="20"/>
  <c r="C17" i="19"/>
  <c r="B17" i="19"/>
  <c r="E18" i="20"/>
  <c r="C17" i="20"/>
  <c r="B17" i="20"/>
  <c r="D18" i="20"/>
  <c r="C16" i="18"/>
  <c r="E17" i="18"/>
  <c r="B16" i="18"/>
  <c r="D17" i="18"/>
  <c r="B16" i="17"/>
  <c r="D17" i="17"/>
  <c r="C16" i="17"/>
  <c r="E17" i="17"/>
  <c r="B61" i="5"/>
  <c r="A58" i="5"/>
  <c r="B54" i="5"/>
  <c r="A51" i="5"/>
  <c r="B56" i="5"/>
  <c r="A53" i="5"/>
  <c r="B47" i="20" l="1"/>
  <c r="D48" i="20"/>
  <c r="E49" i="20"/>
  <c r="C48" i="20"/>
  <c r="B18" i="19"/>
  <c r="C18" i="19"/>
  <c r="D19" i="20"/>
  <c r="B18" i="20"/>
  <c r="E19" i="20"/>
  <c r="C18" i="20"/>
  <c r="B17" i="18"/>
  <c r="D18" i="18"/>
  <c r="C17" i="18"/>
  <c r="E18" i="18"/>
  <c r="E18" i="17"/>
  <c r="C17" i="17"/>
  <c r="B17" i="17"/>
  <c r="D18" i="17"/>
  <c r="B57" i="5"/>
  <c r="A54" i="5"/>
  <c r="A56" i="5"/>
  <c r="B59" i="5"/>
  <c r="B64" i="5"/>
  <c r="A61" i="5"/>
  <c r="C49" i="20" l="1"/>
  <c r="E50" i="20"/>
  <c r="D49" i="20"/>
  <c r="B48" i="20"/>
  <c r="C19" i="19"/>
  <c r="B19" i="19"/>
  <c r="C19" i="20"/>
  <c r="E20" i="20"/>
  <c r="B19" i="20"/>
  <c r="D20" i="20"/>
  <c r="B18" i="18"/>
  <c r="D19" i="18"/>
  <c r="C18" i="18"/>
  <c r="E19" i="18"/>
  <c r="B18" i="17"/>
  <c r="D19" i="17"/>
  <c r="C18" i="17"/>
  <c r="E19" i="17"/>
  <c r="B62" i="5"/>
  <c r="A59" i="5"/>
  <c r="B67" i="5"/>
  <c r="A64" i="5"/>
  <c r="A57" i="5"/>
  <c r="B60" i="5"/>
  <c r="B49" i="20" l="1"/>
  <c r="D50" i="20"/>
  <c r="E51" i="20"/>
  <c r="C50" i="20"/>
  <c r="B20" i="19"/>
  <c r="C20" i="19"/>
  <c r="E21" i="20"/>
  <c r="C20" i="20"/>
  <c r="D21" i="20"/>
  <c r="B20" i="20"/>
  <c r="B19" i="18"/>
  <c r="D20" i="18"/>
  <c r="E20" i="18"/>
  <c r="C19" i="18"/>
  <c r="E20" i="17"/>
  <c r="C19" i="17"/>
  <c r="B19" i="17"/>
  <c r="D20" i="17"/>
  <c r="B70" i="5"/>
  <c r="A67" i="5"/>
  <c r="B63" i="5"/>
  <c r="A60" i="5"/>
  <c r="B65" i="5"/>
  <c r="A62" i="5"/>
  <c r="C51" i="20" l="1"/>
  <c r="E52" i="20"/>
  <c r="D51" i="20"/>
  <c r="B50" i="20"/>
  <c r="C21" i="19"/>
  <c r="B21" i="19"/>
  <c r="B21" i="20"/>
  <c r="D22" i="20"/>
  <c r="E22" i="20"/>
  <c r="C21" i="20"/>
  <c r="C20" i="18"/>
  <c r="E21" i="18"/>
  <c r="B20" i="18"/>
  <c r="D21" i="18"/>
  <c r="C20" i="17"/>
  <c r="E21" i="17"/>
  <c r="B20" i="17"/>
  <c r="D21" i="17"/>
  <c r="B66" i="5"/>
  <c r="A63" i="5"/>
  <c r="B68" i="5"/>
  <c r="A65" i="5"/>
  <c r="B73" i="5"/>
  <c r="A70" i="5"/>
  <c r="B51" i="20" l="1"/>
  <c r="D52" i="20"/>
  <c r="E53" i="20"/>
  <c r="C52" i="20"/>
  <c r="B22" i="19"/>
  <c r="C22" i="19"/>
  <c r="E23" i="20"/>
  <c r="C22" i="20"/>
  <c r="D23" i="20"/>
  <c r="B22" i="20"/>
  <c r="B21" i="18"/>
  <c r="D22" i="18"/>
  <c r="E22" i="18"/>
  <c r="C21" i="18"/>
  <c r="E22" i="17"/>
  <c r="C21" i="17"/>
  <c r="B21" i="17"/>
  <c r="D22" i="17"/>
  <c r="B71" i="5"/>
  <c r="A68" i="5"/>
  <c r="B76" i="5"/>
  <c r="A73" i="5"/>
  <c r="B69" i="5"/>
  <c r="A66" i="5"/>
  <c r="C53" i="20" l="1"/>
  <c r="E54" i="20"/>
  <c r="D53" i="20"/>
  <c r="B52" i="20"/>
  <c r="C23" i="19"/>
  <c r="B23" i="19"/>
  <c r="B23" i="20"/>
  <c r="D24" i="20"/>
  <c r="E24" i="20"/>
  <c r="C23" i="20"/>
  <c r="C22" i="18"/>
  <c r="E23" i="18"/>
  <c r="B22" i="18"/>
  <c r="D23" i="18"/>
  <c r="B22" i="17"/>
  <c r="D23" i="17"/>
  <c r="C22" i="17"/>
  <c r="E23" i="17"/>
  <c r="B79" i="5"/>
  <c r="A76" i="5"/>
  <c r="B72" i="5"/>
  <c r="A69" i="5"/>
  <c r="B74" i="5"/>
  <c r="A71" i="5"/>
  <c r="B53" i="20" l="1"/>
  <c r="D54" i="20"/>
  <c r="E55" i="20"/>
  <c r="C54" i="20"/>
  <c r="B24" i="19"/>
  <c r="C24" i="19"/>
  <c r="E25" i="20"/>
  <c r="C24" i="20"/>
  <c r="D25" i="20"/>
  <c r="B24" i="20"/>
  <c r="B23" i="18"/>
  <c r="D24" i="18"/>
  <c r="C23" i="18"/>
  <c r="E24" i="18"/>
  <c r="E24" i="17"/>
  <c r="C23" i="17"/>
  <c r="B23" i="17"/>
  <c r="D24" i="17"/>
  <c r="B75" i="5"/>
  <c r="A72" i="5"/>
  <c r="B77" i="5"/>
  <c r="A74" i="5"/>
  <c r="B82" i="5"/>
  <c r="A79" i="5"/>
  <c r="D55" i="20" l="1"/>
  <c r="B54" i="20"/>
  <c r="C55" i="20"/>
  <c r="E56" i="20"/>
  <c r="C25" i="19"/>
  <c r="B25" i="19"/>
  <c r="B25" i="20"/>
  <c r="D26" i="20"/>
  <c r="C25" i="20"/>
  <c r="E26" i="20"/>
  <c r="C24" i="18"/>
  <c r="E25" i="18"/>
  <c r="B24" i="18"/>
  <c r="D25" i="18"/>
  <c r="B24" i="17"/>
  <c r="D25" i="17"/>
  <c r="C24" i="17"/>
  <c r="E25" i="17"/>
  <c r="B80" i="5"/>
  <c r="A77" i="5"/>
  <c r="B85" i="5"/>
  <c r="A82" i="5"/>
  <c r="B78" i="5"/>
  <c r="A75" i="5"/>
  <c r="E57" i="20" l="1"/>
  <c r="C57" i="20" s="1"/>
  <c r="C56" i="20"/>
  <c r="B55" i="20"/>
  <c r="D56" i="20"/>
  <c r="B26" i="19"/>
  <c r="B27" i="19"/>
  <c r="C27" i="19"/>
  <c r="C26" i="19"/>
  <c r="E27" i="20"/>
  <c r="C27" i="20" s="1"/>
  <c r="C26" i="20"/>
  <c r="D27" i="20"/>
  <c r="B27" i="20" s="1"/>
  <c r="B26" i="20"/>
  <c r="D26" i="18"/>
  <c r="B26" i="18" s="1"/>
  <c r="B25" i="18"/>
  <c r="E26" i="18"/>
  <c r="C26" i="18" s="1"/>
  <c r="C25" i="18"/>
  <c r="E26" i="17"/>
  <c r="C26" i="17" s="1"/>
  <c r="C25" i="17"/>
  <c r="B25" i="17"/>
  <c r="D26" i="17"/>
  <c r="B26" i="17" s="1"/>
  <c r="B88" i="5"/>
  <c r="A85" i="5"/>
  <c r="B81" i="5"/>
  <c r="A78" i="5"/>
  <c r="B83" i="5"/>
  <c r="A80" i="5"/>
  <c r="D57" i="20" l="1"/>
  <c r="B57" i="20" s="1"/>
  <c r="B56" i="20"/>
  <c r="B84" i="5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<sst xmlns="http://schemas.openxmlformats.org/spreadsheetml/2006/main" count="747" uniqueCount="263">
  <si>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</si>
  <si>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</si>
  <si>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</si>
  <si>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</si>
  <si>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</si>
  <si>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</si>
  <si>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</si>
  <si>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</si>
  <si>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</si>
  <si>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</si>
  <si>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</si>
  <si>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</si>
  <si>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</si>
  <si>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</si>
  <si>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</si>
  <si>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</si>
  <si>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</si>
  <si>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</si>
  <si>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</si>
  <si>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</si>
  <si>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</si>
  <si>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</si>
  <si>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</si>
  <si>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</si>
  <si>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</si>
  <si>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</si>
  <si>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</si>
  <si>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</si>
  <si>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</si>
  <si>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</si>
  <si>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</si>
  <si>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</si>
  <si>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</si>
  <si>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</si>
  <si>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</si>
  <si>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</si>
  <si>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</si>
  <si>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</si>
  <si>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</si>
  <si>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</si>
  <si>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</si>
  <si>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</si>
  <si>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</si>
  <si>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</si>
  <si>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</si>
  <si>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</si>
  <si>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</si>
  <si>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</si>
  <si>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</si>
  <si>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</si>
  <si>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</si>
  <si>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</si>
  <si>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</si>
  <si>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</si>
  <si>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</si>
  <si>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</si>
  <si>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</si>
  <si>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</si>
  <si>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</si>
  <si>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</si>
  <si>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</si>
  <si>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</si>
  <si>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</si>
  <si>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</si>
  <si>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</si>
  <si>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</si>
  <si>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</si>
  <si>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</si>
  <si>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</si>
  <si>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</si>
  <si>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</si>
  <si>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</si>
  <si>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</si>
  <si>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</si>
  <si>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</si>
  <si>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</si>
  <si>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</si>
  <si>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</si>
  <si>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</si>
  <si>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</si>
  <si>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</si>
  <si>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</si>
  <si>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</si>
  <si>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</si>
  <si>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</si>
  <si>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</si>
  <si>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</si>
  <si>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</si>
  <si>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</si>
  <si>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</si>
  <si>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</si>
  <si>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</si>
  <si>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</si>
  <si>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</si>
  <si>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</si>
  <si>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</si>
  <si>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</si>
  <si>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</si>
  <si>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</si>
  <si>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</si>
  <si>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</si>
  <si>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</si>
  <si>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</si>
  <si>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</si>
  <si>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</si>
  <si>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</si>
  <si>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</si>
  <si>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</si>
  <si>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</si>
  <si>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</si>
  <si>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</si>
  <si>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</si>
  <si>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</si>
  <si>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</si>
  <si>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</si>
  <si>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</si>
  <si>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</si>
  <si>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</si>
  <si>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</si>
  <si>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</si>
  <si>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</si>
  <si>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</si>
  <si>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</si>
  <si>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</si>
  <si>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</si>
  <si>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</si>
  <si>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</si>
  <si>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</si>
  <si>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</si>
  <si>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</si>
  <si>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</si>
  <si>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</si>
  <si>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</si>
  <si>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</si>
  <si>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</si>
  <si>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</si>
  <si>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</si>
  <si>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</si>
  <si>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</si>
  <si>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</si>
  <si>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</si>
  <si>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</si>
  <si>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</si>
  <si>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</si>
  <si>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</si>
  <si>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</si>
  <si>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</si>
  <si>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</si>
  <si>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</si>
  <si>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</si>
  <si>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</si>
  <si>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</si>
  <si>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</si>
  <si>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</si>
  <si>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</si>
  <si>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</si>
  <si>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</si>
  <si>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</si>
  <si>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</si>
  <si>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</si>
  <si>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</si>
  <si>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</si>
  <si>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</si>
  <si>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</si>
  <si>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</si>
  <si>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</si>
  <si>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</si>
  <si>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</si>
  <si>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Daten in Excel aufbereiten und auswerten (eine Arbeit unter Zeitvorgaben nach Spezifikation implementieren)</t>
  </si>
  <si>
    <t>Prüfung
- Regulär Expression
- XML (3 Grundoperationen)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</si>
  <si>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</si>
  <si>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</si>
  <si>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</si>
  <si>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</si>
  <si>
    <t>Datenschutz / Datensicherheit
- Lizenzierung
- Copyright
- Sharing / Publizieren
- Ehrverlezend
- Cookies
- ABG von Sozialen Medien</t>
  </si>
  <si>
    <t>Besprechung</t>
  </si>
  <si>
    <t>Projekt</t>
  </si>
  <si>
    <t>STD</t>
  </si>
  <si>
    <t>Hardware/Lernzielkontrolle</t>
  </si>
  <si>
    <t>Waltis letzter Tag</t>
  </si>
  <si>
    <t>Hardware</t>
  </si>
  <si>
    <t>Repetition bis Bytemaskierung</t>
  </si>
  <si>
    <t>Bytemaskierung</t>
  </si>
  <si>
    <t>BytePort verschiedene Beispiele testen
Bitverarbeitung</t>
  </si>
  <si>
    <t>Weiter mit Aufgabe Zähler mit Besprechung
BytePort anschauen</t>
  </si>
  <si>
    <t>Erster Download P0/P1
Aufgabe Zähler</t>
  </si>
  <si>
    <t xml:space="preserve">Einführung uC
DYPS Installation BYOD </t>
  </si>
  <si>
    <r>
      <rPr>
        <sz val="11"/>
        <color rgb="FFFF0000"/>
        <rFont val="Calibri"/>
        <family val="2"/>
        <scheme val="minor"/>
      </rPr>
      <t>Prüfung</t>
    </r>
    <r>
      <rPr>
        <sz val="11"/>
        <color theme="1"/>
        <rFont val="Calibri"/>
        <family val="2"/>
        <scheme val="minor"/>
      </rPr>
      <t xml:space="preserve"> /Start Hardware</t>
    </r>
  </si>
  <si>
    <t>XML
- Aufbau, Struktur
- Validierung (Schema)
- Transformation (XSLT)
- Datenzugriff (xPath)</t>
  </si>
  <si>
    <t>Persistente Daten
- Text-Dateien (ASCII, SVG, HTML, kml….)
- Binär-Dateien (docx, xlsx, jpg, gif,Meta-Tags,….)</t>
  </si>
  <si>
    <t>M319 Applikationen entwerfen und implementieren</t>
  </si>
  <si>
    <t>M164 Datenbanken erstellen und Daten einfügen</t>
  </si>
  <si>
    <t>Python: Loops und Boolsche Operationen, format-strings</t>
  </si>
  <si>
    <t>Algorithmen implementieren</t>
  </si>
  <si>
    <t>Primzahlen</t>
  </si>
  <si>
    <t>Teiler Listen</t>
  </si>
  <si>
    <t>Schneesporttag</t>
  </si>
  <si>
    <t>Excel: eigenen Procedures/Functions</t>
  </si>
  <si>
    <t>Python: Installation, "Hello World", print(), input()</t>
  </si>
  <si>
    <t>Python: Variablen, Implizite Typen, if-then-else</t>
  </si>
  <si>
    <t>Prüfung
- Gleichungen
- Formeln umformen</t>
  </si>
  <si>
    <t>Winkelberechnungen</t>
  </si>
  <si>
    <t>Volumenberechnungen</t>
  </si>
  <si>
    <t>Flächenberechnungen</t>
  </si>
  <si>
    <t>Winkelfunktionen: Sinus, Cosinus, Tangens</t>
  </si>
  <si>
    <t>Prüfung
- Pythagoras
- Flächen- und Volumenberechnungen
- Bogenmass</t>
  </si>
  <si>
    <t>DB access via Python / User-Rights</t>
  </si>
  <si>
    <t>CRUD DML (Select, Insert, Update, Delete)</t>
  </si>
  <si>
    <t>Normalisierung / Inner Joins / Outer Joins / Views</t>
  </si>
  <si>
    <t>Transaktionen, Functions, Stored-Procedures</t>
  </si>
  <si>
    <t>DDL: Create Schema, Tables and Relations</t>
  </si>
  <si>
    <t>Koordinaten-Systeme (Kartesisch/Polar)</t>
  </si>
  <si>
    <t xml:space="preserve">Prüfung
- Winkelberechnungen und Winkelfunktionen
</t>
  </si>
  <si>
    <t xml:space="preserve">Prüfung
- Koordinaten umrechnen
- Vektoren
</t>
  </si>
  <si>
    <t xml:space="preserve">Prüfung </t>
  </si>
  <si>
    <t>M162 Daten analysieren und modellieren</t>
  </si>
  <si>
    <t>Mathe</t>
  </si>
  <si>
    <t>M231 Datenschutz und Datensicherheit</t>
  </si>
  <si>
    <t>M242 Mikroprozessoranwendungen realisieren</t>
  </si>
  <si>
    <t>Flächenberechnungen / Volumenberechnungen</t>
  </si>
  <si>
    <t>Taschenrechner / Zahlenräume - Datentypen / Kopfrechnen / Abschätzen</t>
  </si>
  <si>
    <t>Brüche (4 Grundoperationen) / Kürzen / Erweitern</t>
  </si>
  <si>
    <t xml:space="preserve">Koordinatensysteme / Werte-Tabellen / Funktionsgraphen (Polynome,…) / Messprotokolle </t>
  </si>
  <si>
    <t>Vektoren, Koordinaten-Systeme (Kartesisch/Polar)</t>
  </si>
  <si>
    <t>Prüfung
- Kopfrechnen / Abschätzen
- Taschenrechner
- Zahlensystem umrechnen
- Rechnen mit Einheiten, Massvorsätze und 10er-Potenzen
- Bruchrechnen</t>
  </si>
  <si>
    <t>Proportionen / Dreisatz / Lineare Funktionen</t>
  </si>
  <si>
    <t>Potenzen / Wurzeln / Logarithmen</t>
  </si>
  <si>
    <t>Jahr:</t>
  </si>
  <si>
    <t>Kalenderwoche:</t>
  </si>
  <si>
    <t>Datum:</t>
  </si>
  <si>
    <t>Kalenderwoche berechnen:</t>
  </si>
  <si>
    <t>Mo-So:</t>
  </si>
  <si>
    <t>Prüfung
- Kennlinien und Graphen
- Formeln umformen</t>
  </si>
  <si>
    <t xml:space="preserve">Prüfung
- Termumformungen
- Gleichungen
- Lineare Funktionen
</t>
  </si>
  <si>
    <t>Formeln umformen</t>
  </si>
  <si>
    <t>Views und Joins</t>
  </si>
  <si>
    <t>Python: Sequenzen (Menu für Umrechner), Loops, Variablen, Funktionen</t>
  </si>
  <si>
    <t>Python: REST-Services verwenden</t>
  </si>
  <si>
    <t>Keine Schule / Lehrer Weiterbildung</t>
  </si>
  <si>
    <t>Python: Functions</t>
  </si>
  <si>
    <t>Python: Functions / Parameterübergabe</t>
  </si>
  <si>
    <t>Kalender
Woche</t>
  </si>
  <si>
    <t>TI24BLf</t>
  </si>
  <si>
    <t>TI24BLeMa</t>
  </si>
  <si>
    <t>Informatik</t>
  </si>
  <si>
    <t>TA24BLf
TA24BMa
TE24BLe</t>
  </si>
  <si>
    <t>TA24BLe</t>
  </si>
  <si>
    <r>
      <rPr>
        <sz val="10"/>
        <color rgb="FF00B050"/>
        <rFont val="Arial"/>
        <family val="2"/>
      </rPr>
      <t>Karfreitag</t>
    </r>
    <r>
      <rPr>
        <sz val="10"/>
        <color rgb="FF00000A"/>
        <rFont val="Arial"/>
        <family val="2"/>
      </rPr>
      <t xml:space="preserve"> / Transaktionen, Functions, Stored-Procedures</t>
    </r>
  </si>
  <si>
    <r>
      <rPr>
        <sz val="11"/>
        <color rgb="FF00B050"/>
        <rFont val="Calibri"/>
        <family val="2"/>
        <scheme val="minor"/>
      </rPr>
      <t>Karfreitag</t>
    </r>
    <r>
      <rPr>
        <sz val="11"/>
        <color theme="1"/>
        <rFont val="Calibri"/>
        <family val="2"/>
        <scheme val="minor"/>
      </rPr>
      <t xml:space="preserve"> / Algorithmen implementieren</t>
    </r>
  </si>
  <si>
    <r>
      <rPr>
        <sz val="11"/>
        <color rgb="FF00B050"/>
        <rFont val="Calibri"/>
        <family val="2"/>
        <scheme val="minor"/>
      </rPr>
      <t>LKB</t>
    </r>
    <r>
      <rPr>
        <sz val="11"/>
        <color theme="1"/>
        <rFont val="Calibri"/>
        <family val="2"/>
        <scheme val="minor"/>
      </rPr>
      <t xml:space="preserve"> / Unterricht</t>
    </r>
  </si>
  <si>
    <r>
      <rPr>
        <sz val="10"/>
        <color rgb="FF00B050"/>
        <rFont val="Arial"/>
        <family val="2"/>
      </rPr>
      <t>Karfreitag</t>
    </r>
    <r>
      <rPr>
        <sz val="10"/>
        <color rgb="FF00000A"/>
        <rFont val="Arial"/>
        <family val="2"/>
      </rPr>
      <t xml:space="preserve"> / Unterricht</t>
    </r>
  </si>
  <si>
    <t>Offerte / Rechnungsvorlage</t>
  </si>
  <si>
    <t>Zahlensysteme umrechnen (Bin, Oct, Dec, Hex)</t>
  </si>
  <si>
    <t>Polynome-Funktionen</t>
  </si>
  <si>
    <t/>
  </si>
  <si>
    <t>Messprotokolle und Grafik / Lineare Approximation (MSE)</t>
  </si>
  <si>
    <t>Flächenberechnungen / Volumenberechnungen / Einheiten-Umrechnen</t>
  </si>
  <si>
    <t>Kinematik 1</t>
  </si>
  <si>
    <t>Kinematik 2</t>
  </si>
  <si>
    <t>Leistungsnachweis</t>
  </si>
  <si>
    <t>Lineare Funktionen</t>
  </si>
  <si>
    <t>Primzahlen / Teiler</t>
  </si>
  <si>
    <t>Adressliste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</si>
</sst>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d\ dd/mm/yyyy"/>
  </numFmts>
  <fonts count="14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00000A"/>
      <name val="Arial"/>
      <family val="2"/>
    </font>
    <font>
      <b/>
      <u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Arial"/>
      <family val="2"/>
    </font>
    <font>
      <sz val="11"/>
      <color rgb="FF00B05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61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Border="1"/>
    <xf numFmtId="164" fontId="0" fillId="0" borderId="5" xfId="0" applyNumberFormat="1" applyBorder="1"/>
    <xf numFmtId="164" fontId="0" fillId="0" borderId="2" xfId="0" applyNumberFormat="1" applyBorder="1"/>
    <xf numFmtId="0" fontId="4" fillId="0" borderId="4" xfId="0" applyFont="1" applyBorder="1"/>
    <xf numFmtId="0" fontId="5" fillId="0" borderId="0" xfId="0" applyFont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Border="1"/>
    <xf numFmtId="164" fontId="0" fillId="0" borderId="6" xfId="0" applyNumberFormat="1" applyBorder="1"/>
    <xf numFmtId="164" fontId="0" fillId="3" borderId="6" xfId="0" applyNumberFormat="1" applyFill="1" applyBorder="1"/>
    <xf numFmtId="164" fontId="0" fillId="0" borderId="3" xfId="0" applyNumberFormat="1" applyBorder="1"/>
    <xf numFmtId="0" fontId="0" fillId="0" borderId="22" xfId="0" applyBorder="1"/>
    <xf numFmtId="0" fontId="0" fillId="0" borderId="23" xfId="0" applyBorder="1"/>
    <xf numFmtId="14" fontId="0" fillId="6" borderId="2" xfId="0" applyNumberFormat="1" applyFill="1" applyBorder="1"/>
    <xf numFmtId="0" fontId="0" fillId="6" borderId="2" xfId="0" applyFill="1" applyBorder="1"/>
    <xf numFmtId="164" fontId="0" fillId="6" borderId="2" xfId="0" applyNumberFormat="1" applyFill="1" applyBorder="1"/>
    <xf numFmtId="0" fontId="0" fillId="0" borderId="24" xfId="0" applyBorder="1"/>
    <xf numFmtId="0" fontId="2" fillId="0" borderId="0" xfId="0" applyFont="1"/>
    <xf numFmtId="0" fontId="0" fillId="0" borderId="4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  <xf numFmtId="0" fontId="0" fillId="3" borderId="4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164" fontId="0" fillId="0" borderId="6" xfId="0" applyNumberFormat="1" applyBorder="1" applyAlignment="1">
      <alignment horizontal="left" vertical="center"/>
    </xf>
    <xf numFmtId="164" fontId="0" fillId="3" borderId="6" xfId="0" applyNumberFormat="1" applyFill="1" applyBorder="1" applyAlignment="1">
      <alignment horizontal="left" vertical="center"/>
    </xf>
    <xf numFmtId="164" fontId="0" fillId="0" borderId="3" xfId="0" applyNumberFormat="1" applyBorder="1" applyAlignment="1">
      <alignment horizontal="left" vertical="center"/>
    </xf>
    <xf numFmtId="0" fontId="0" fillId="0" borderId="1" xfId="0" applyBorder="1" applyAlignment="1">
      <alignment wrapText="1"/>
    </xf>
    <xf numFmtId="164" fontId="0" fillId="0" borderId="15" xfId="0" applyNumberFormat="1" applyBorder="1" applyAlignment="1">
      <alignment horizontal="left" vertical="center"/>
    </xf>
    <xf numFmtId="0" fontId="0" fillId="0" borderId="13" xfId="0" applyBorder="1" applyAlignment="1">
      <alignment wrapText="1"/>
    </xf>
    <xf numFmtId="0" fontId="0" fillId="5" borderId="18" xfId="0" applyFill="1" applyBorder="1" applyAlignment="1">
      <alignment horizontal="left" vertical="center"/>
    </xf>
    <xf numFmtId="164" fontId="0" fillId="7" borderId="6" xfId="0" applyNumberFormat="1" applyFill="1" applyBorder="1" applyAlignment="1">
      <alignment horizontal="left" vertical="center"/>
    </xf>
    <xf numFmtId="0" fontId="0" fillId="7" borderId="4" xfId="0" applyFill="1" applyBorder="1" applyAlignment="1">
      <alignment wrapText="1"/>
    </xf>
    <xf numFmtId="164" fontId="0" fillId="0" borderId="9" xfId="0" applyNumberFormat="1" applyBorder="1" applyAlignment="1">
      <alignment vertical="top"/>
    </xf>
    <xf numFmtId="164" fontId="0" fillId="0" borderId="6" xfId="0" applyNumberFormat="1" applyBorder="1" applyAlignment="1">
      <alignment vertical="top"/>
    </xf>
    <xf numFmtId="164" fontId="0" fillId="0" borderId="3" xfId="0" applyNumberFormat="1" applyBorder="1" applyAlignment="1">
      <alignment vertical="top"/>
    </xf>
    <xf numFmtId="164" fontId="0" fillId="3" borderId="6" xfId="0" applyNumberFormat="1" applyFill="1" applyBorder="1" applyAlignment="1">
      <alignment vertical="top"/>
    </xf>
    <xf numFmtId="0" fontId="6" fillId="0" borderId="0" xfId="0" applyFont="1"/>
    <xf numFmtId="0" fontId="0" fillId="0" borderId="7" xfId="0" applyBorder="1" applyAlignment="1">
      <alignment vertical="top"/>
    </xf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0" fillId="3" borderId="4" xfId="0" applyFill="1" applyBorder="1" applyAlignment="1">
      <alignment horizontal="center"/>
    </xf>
    <xf numFmtId="0" fontId="3" fillId="5" borderId="0" xfId="0" applyFont="1" applyFill="1"/>
    <xf numFmtId="0" fontId="9" fillId="5" borderId="0" xfId="0" applyFont="1" applyFill="1"/>
    <xf numFmtId="164" fontId="0" fillId="0" borderId="26" xfId="0" applyNumberFormat="1" applyBorder="1" applyAlignment="1">
      <alignment vertical="top"/>
    </xf>
    <xf numFmtId="0" fontId="0" fillId="4" borderId="12" xfId="0" applyFill="1" applyBorder="1" applyAlignment="1">
      <alignment horizontal="center"/>
    </xf>
    <xf numFmtId="0" fontId="0" fillId="3" borderId="28" xfId="0" applyFill="1" applyBorder="1"/>
    <xf numFmtId="0" fontId="0" fillId="3" borderId="7" xfId="0" applyFill="1" applyBorder="1"/>
    <xf numFmtId="0" fontId="10" fillId="0" borderId="3" xfId="0" applyFont="1" applyBorder="1" applyAlignment="1">
      <alignment vertical="top"/>
    </xf>
    <xf numFmtId="164" fontId="10" fillId="0" borderId="1" xfId="0" applyNumberFormat="1" applyFont="1" applyBorder="1" applyAlignment="1">
      <alignment vertical="top"/>
    </xf>
    <xf numFmtId="0" fontId="10" fillId="0" borderId="1" xfId="0" applyFont="1" applyBorder="1" applyAlignment="1">
      <alignment horizontal="center" vertical="top"/>
    </xf>
    <xf numFmtId="0" fontId="0" fillId="3" borderId="22" xfId="0" applyFill="1" applyBorder="1"/>
    <xf numFmtId="164" fontId="0" fillId="0" borderId="5" xfId="0" applyNumberFormat="1" applyBorder="1" applyAlignment="1">
      <alignment vertical="top"/>
    </xf>
    <xf numFmtId="0" fontId="2" fillId="0" borderId="5" xfId="0" applyFont="1" applyBorder="1"/>
    <xf numFmtId="0" fontId="2" fillId="0" borderId="5" xfId="0" applyFont="1" applyBorder="1" applyAlignment="1">
      <alignment wrapText="1"/>
    </xf>
    <xf numFmtId="164" fontId="0" fillId="3" borderId="26" xfId="0" applyNumberFormat="1" applyFill="1" applyBorder="1"/>
    <xf numFmtId="164" fontId="0" fillId="0" borderId="26" xfId="0" applyNumberFormat="1" applyBorder="1"/>
    <xf numFmtId="164" fontId="0" fillId="0" borderId="33" xfId="0" applyNumberFormat="1" applyBorder="1"/>
    <xf numFmtId="164" fontId="0" fillId="0" borderId="25" xfId="0" applyNumberFormat="1" applyBorder="1"/>
    <xf numFmtId="164" fontId="0" fillId="0" borderId="27" xfId="0" applyNumberFormat="1" applyBorder="1"/>
    <xf numFmtId="0" fontId="0" fillId="0" borderId="34" xfId="0" applyBorder="1"/>
    <xf numFmtId="0" fontId="0" fillId="3" borderId="29" xfId="0" applyFill="1" applyBorder="1"/>
    <xf numFmtId="0" fontId="0" fillId="0" borderId="29" xfId="0" applyBorder="1"/>
    <xf numFmtId="0" fontId="7" fillId="0" borderId="29" xfId="0" applyFont="1" applyBorder="1"/>
    <xf numFmtId="0" fontId="2" fillId="0" borderId="29" xfId="0" applyFont="1" applyBorder="1" applyAlignment="1">
      <alignment wrapText="1"/>
    </xf>
    <xf numFmtId="0" fontId="0" fillId="0" borderId="35" xfId="0" applyBorder="1"/>
    <xf numFmtId="0" fontId="0" fillId="0" borderId="30" xfId="0" applyBorder="1"/>
    <xf numFmtId="164" fontId="0" fillId="6" borderId="5" xfId="0" applyNumberFormat="1" applyFill="1" applyBorder="1"/>
    <xf numFmtId="0" fontId="0" fillId="6" borderId="5" xfId="0" applyFill="1" applyBorder="1"/>
    <xf numFmtId="0" fontId="9" fillId="9" borderId="0" xfId="0" applyFont="1" applyFill="1"/>
    <xf numFmtId="0" fontId="0" fillId="9" borderId="0" xfId="0" applyFill="1"/>
    <xf numFmtId="0" fontId="0" fillId="0" borderId="5" xfId="0" applyBorder="1" applyAlignment="1">
      <alignment vertical="top" wrapText="1"/>
    </xf>
    <xf numFmtId="0" fontId="0" fillId="0" borderId="5" xfId="0" applyBorder="1" applyAlignment="1">
      <alignment vertical="top"/>
    </xf>
    <xf numFmtId="0" fontId="2" fillId="0" borderId="5" xfId="0" applyFont="1" applyBorder="1" applyAlignment="1">
      <alignment vertical="top" wrapText="1"/>
    </xf>
    <xf numFmtId="164" fontId="0" fillId="3" borderId="5" xfId="0" applyNumberFormat="1" applyFill="1" applyBorder="1" applyAlignment="1">
      <alignment vertical="top"/>
    </xf>
    <xf numFmtId="0" fontId="0" fillId="3" borderId="5" xfId="0" applyFill="1" applyBorder="1" applyAlignment="1">
      <alignment vertical="top"/>
    </xf>
    <xf numFmtId="0" fontId="0" fillId="0" borderId="5" xfId="0" applyBorder="1" applyAlignment="1">
      <alignment wrapText="1"/>
    </xf>
    <xf numFmtId="0" fontId="0" fillId="0" borderId="5" xfId="0" applyBorder="1" applyAlignment="1">
      <alignment horizontal="center" vertical="center"/>
    </xf>
    <xf numFmtId="0" fontId="0" fillId="3" borderId="5" xfId="0" applyFill="1" applyBorder="1" applyAlignment="1">
      <alignment wrapText="1"/>
    </xf>
    <xf numFmtId="164" fontId="11" fillId="0" borderId="5" xfId="0" applyNumberFormat="1" applyFont="1" applyBorder="1" applyAlignment="1">
      <alignment vertical="top"/>
    </xf>
    <xf numFmtId="164" fontId="11" fillId="3" borderId="5" xfId="0" applyNumberFormat="1" applyFont="1" applyFill="1" applyBorder="1" applyAlignment="1">
      <alignment vertical="top"/>
    </xf>
    <xf numFmtId="0" fontId="0" fillId="9" borderId="5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0" fillId="4" borderId="5" xfId="0" applyFill="1" applyBorder="1" applyAlignment="1">
      <alignment vertical="center"/>
    </xf>
    <xf numFmtId="0" fontId="0" fillId="4" borderId="5" xfId="0" applyFill="1" applyBorder="1" applyAlignment="1">
      <alignment horizontal="center" vertical="center" wrapText="1"/>
    </xf>
    <xf numFmtId="164" fontId="0" fillId="0" borderId="0" xfId="0" applyNumberFormat="1" applyAlignment="1">
      <alignment vertical="top"/>
    </xf>
    <xf numFmtId="164" fontId="11" fillId="0" borderId="5" xfId="0" applyNumberFormat="1" applyFont="1" applyBorder="1" applyAlignment="1">
      <alignment vertical="center"/>
    </xf>
    <xf numFmtId="164" fontId="11" fillId="3" borderId="5" xfId="0" applyNumberFormat="1" applyFont="1" applyFill="1" applyBorder="1" applyAlignment="1">
      <alignment vertical="center"/>
    </xf>
    <xf numFmtId="0" fontId="6" fillId="9" borderId="0" xfId="0" applyFont="1" applyFill="1"/>
    <xf numFmtId="0" fontId="7" fillId="0" borderId="5" xfId="0" applyFont="1" applyBorder="1"/>
    <xf numFmtId="0" fontId="0" fillId="0" borderId="5" xfId="0" applyBorder="1" applyAlignment="1">
      <alignment vertical="center"/>
    </xf>
    <xf numFmtId="0" fontId="2" fillId="0" borderId="5" xfId="0" applyFont="1" applyBorder="1" applyAlignment="1">
      <alignment vertical="center" wrapText="1"/>
    </xf>
    <xf numFmtId="0" fontId="0" fillId="3" borderId="5" xfId="0" applyFill="1" applyBorder="1" applyAlignment="1">
      <alignment vertical="center"/>
    </xf>
    <xf numFmtId="0" fontId="0" fillId="4" borderId="10" xfId="0" applyFill="1" applyBorder="1" applyAlignment="1">
      <alignment vertical="center"/>
    </xf>
    <xf numFmtId="0" fontId="9" fillId="10" borderId="0" xfId="0" applyFont="1" applyFill="1"/>
    <xf numFmtId="0" fontId="3" fillId="10" borderId="0" xfId="0" applyFont="1" applyFill="1"/>
    <xf numFmtId="0" fontId="0" fillId="10" borderId="0" xfId="0" applyFill="1"/>
    <xf numFmtId="0" fontId="0" fillId="0" borderId="5" xfId="0" quotePrefix="1" applyBorder="1" applyAlignment="1">
      <alignment vertical="center"/>
    </xf>
    <xf numFmtId="0" fontId="0" fillId="3" borderId="4" xfId="0" applyFill="1" applyBorder="1" applyAlignment="1">
      <alignment horizontal="center" vertical="center"/>
    </xf>
    <xf numFmtId="0" fontId="0" fillId="8" borderId="31" xfId="0" applyFill="1" applyBorder="1"/>
    <xf numFmtId="0" fontId="0" fillId="8" borderId="32" xfId="0" applyFill="1" applyBorder="1"/>
    <xf numFmtId="0" fontId="9" fillId="10" borderId="5" xfId="0" applyFont="1" applyFill="1" applyBorder="1"/>
    <xf numFmtId="0" fontId="3" fillId="10" borderId="5" xfId="0" applyFont="1" applyFill="1" applyBorder="1"/>
    <xf numFmtId="0" fontId="0" fillId="10" borderId="5" xfId="0" applyFill="1" applyBorder="1"/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B2:E40"/>
  <sheetViews>
    <sheetView showGridLines="0" workbookViewId="0">
      <selection activeCell="B3" sqref="B3:E27"/>
    </sheetView>
  </sheetViews>
  <sheetFormatPr baseColWidth="10" defaultRowHeight="14.5" x14ac:dyDescent="0.35"/>
  <cols>
    <col min="2" max="2" width="3.72656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6"/>
  <dimension ref="B2:E40"/>
  <sheetViews>
    <sheetView showGridLines="0" workbookViewId="0">
      <selection activeCell="E22" sqref="E22"/>
    </sheetView>
  </sheetViews>
  <sheetFormatPr baseColWidth="10" defaultRowHeight="14.5" x14ac:dyDescent="0.35"/>
  <cols>
    <col min="2" max="2" width="8.269531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E45"/>
  <sheetViews>
    <sheetView workbookViewId="0">
      <selection activeCell="N35" sqref="N35"/>
    </sheetView>
  </sheetViews>
  <sheetFormatPr baseColWidth="10" defaultRowHeight="14.5" x14ac:dyDescent="0.35"/>
  <sheetData>
    <row r="1" spans="1:5" ht="21" x14ac:dyDescent="0.5">
      <c r="A1" s="1" t="s">
        <v>0</v>
      </c>
    </row>
    <row r="5" spans="1:5" x14ac:dyDescent="0.35">
      <c r="B5" t="s">
        <v>1</v>
      </c>
    </row>
    <row r="6" spans="1:5" x14ac:dyDescent="0.35">
      <c r="C6" t="s">
        <v>12</v>
      </c>
    </row>
    <row r="7" spans="1:5" x14ac:dyDescent="0.35">
      <c r="D7" t="s">
        <v>13</v>
      </c>
    </row>
    <row r="8" spans="1:5" x14ac:dyDescent="0.35">
      <c r="D8" t="s">
        <v>22</v>
      </c>
    </row>
    <row r="9" spans="1:5" x14ac:dyDescent="0.35">
      <c r="C9" t="s">
        <v>16</v>
      </c>
    </row>
    <row r="10" spans="1:5" x14ac:dyDescent="0.35">
      <c r="D10" t="s">
        <v>17</v>
      </c>
    </row>
    <row r="11" spans="1:5" x14ac:dyDescent="0.35">
      <c r="E11" t="s">
        <v>18</v>
      </c>
    </row>
    <row r="12" spans="1:5" x14ac:dyDescent="0.35">
      <c r="E12" t="s">
        <v>19</v>
      </c>
    </row>
    <row r="13" spans="1:5" x14ac:dyDescent="0.35">
      <c r="C13" t="s">
        <v>20</v>
      </c>
    </row>
    <row r="14" spans="1:5" x14ac:dyDescent="0.35">
      <c r="C14" t="s">
        <v>21</v>
      </c>
    </row>
    <row r="16" spans="1:5" x14ac:dyDescent="0.35">
      <c r="C16" t="s">
        <v>14</v>
      </c>
    </row>
    <row r="17" spans="2:4" x14ac:dyDescent="0.35">
      <c r="D17" t="s">
        <v>15</v>
      </c>
    </row>
    <row r="19" spans="2:4" x14ac:dyDescent="0.35">
      <c r="C19" t="s">
        <v>23</v>
      </c>
    </row>
    <row r="24" spans="2:4" x14ac:dyDescent="0.35">
      <c r="B24" t="s">
        <v>2</v>
      </c>
    </row>
    <row r="25" spans="2:4" x14ac:dyDescent="0.35">
      <c r="C25" t="s">
        <v>5</v>
      </c>
    </row>
    <row r="26" spans="2:4" x14ac:dyDescent="0.35">
      <c r="D26" t="s">
        <v>9</v>
      </c>
    </row>
    <row r="27" spans="2:4" x14ac:dyDescent="0.35">
      <c r="D27" t="s">
        <v>10</v>
      </c>
    </row>
    <row r="33" spans="2:4" x14ac:dyDescent="0.35">
      <c r="C33" t="s">
        <v>6</v>
      </c>
    </row>
    <row r="34" spans="2:4" x14ac:dyDescent="0.35">
      <c r="D34" t="s">
        <v>8</v>
      </c>
    </row>
    <row r="35" spans="2:4" x14ac:dyDescent="0.35">
      <c r="B35" t="s">
        <v>3</v>
      </c>
    </row>
    <row r="36" spans="2:4" x14ac:dyDescent="0.35">
      <c r="C36" t="s">
        <v>7</v>
      </c>
    </row>
    <row r="37" spans="2:4" x14ac:dyDescent="0.35">
      <c r="D37" t="s">
        <v>11</v>
      </c>
    </row>
    <row r="38" spans="2:4" x14ac:dyDescent="0.35">
      <c r="D38" t="s">
        <v>25</v>
      </c>
    </row>
    <row r="39" spans="2:4" x14ac:dyDescent="0.35">
      <c r="D39" t="s">
        <v>24</v>
      </c>
    </row>
    <row r="45" spans="2:4" x14ac:dyDescent="0.35">
      <c r="B45" t="s">
        <v>4</v>
      </c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4.5" x14ac:dyDescent="0.35"/>
  <cols>
    <col min="1" max="1" width="5" customWidth="1"/>
    <col min="2" max="2" width="18.54296875" customWidth="1"/>
    <col min="4" max="4" width="13.453125" bestFit="1" customWidth="1"/>
    <col min="5" max="5" width="14.453125" customWidth="1"/>
    <col min="8" max="8" width="14.54296875" customWidth="1"/>
    <col min="9" max="9" width="13" bestFit="1" customWidth="1"/>
    <col min="10" max="10" width="12.26953125" bestFit="1" customWidth="1"/>
  </cols>
  <sheetData>
    <row r="4" spans="2:10" x14ac:dyDescent="0.35">
      <c r="B4" t="s">
        <v>76</v>
      </c>
      <c r="D4" s="2">
        <v>44025</v>
      </c>
      <c r="E4" s="2">
        <v>44058</v>
      </c>
    </row>
    <row r="5" spans="2:10" ht="15" thickBot="1" x14ac:dyDescent="0.4"/>
    <row r="6" spans="2:10" x14ac:dyDescent="0.35">
      <c r="B6" s="48" t="s">
        <v>64</v>
      </c>
      <c r="C6" s="16" t="s">
        <v>65</v>
      </c>
      <c r="D6" s="31">
        <v>44060</v>
      </c>
      <c r="E6" s="31">
        <v>44226</v>
      </c>
      <c r="F6" s="16"/>
      <c r="G6" s="16"/>
      <c r="H6" s="31">
        <f>D6+1</f>
        <v>44061</v>
      </c>
      <c r="I6" s="31">
        <f>H6+2</f>
        <v>44063</v>
      </c>
      <c r="J6" s="49">
        <f>I6+1</f>
        <v>44064</v>
      </c>
    </row>
    <row r="7" spans="2:10" x14ac:dyDescent="0.35">
      <c r="B7" s="37" t="s">
        <v>66</v>
      </c>
      <c r="C7" s="8"/>
      <c r="D7" s="32">
        <v>44107</v>
      </c>
      <c r="E7" s="32">
        <v>44122</v>
      </c>
      <c r="F7" s="8"/>
      <c r="G7" s="8"/>
      <c r="H7" s="8"/>
      <c r="I7" s="8"/>
      <c r="J7" s="7"/>
    </row>
    <row r="8" spans="2:10" x14ac:dyDescent="0.35">
      <c r="B8" s="37" t="s">
        <v>67</v>
      </c>
      <c r="C8" s="8"/>
      <c r="D8" s="32">
        <v>44184</v>
      </c>
      <c r="E8" s="32">
        <v>44199</v>
      </c>
      <c r="F8" s="8"/>
      <c r="G8" s="8"/>
      <c r="H8" s="8"/>
      <c r="I8" s="8"/>
      <c r="J8" s="7"/>
    </row>
    <row r="9" spans="2:10" x14ac:dyDescent="0.35">
      <c r="B9" s="37" t="s">
        <v>70</v>
      </c>
      <c r="C9" s="8" t="s">
        <v>69</v>
      </c>
      <c r="D9" s="32">
        <v>44228</v>
      </c>
      <c r="E9" s="32">
        <v>44394</v>
      </c>
      <c r="F9" s="8"/>
      <c r="G9" s="8"/>
      <c r="H9" s="32">
        <f>D9+1</f>
        <v>44229</v>
      </c>
      <c r="I9" s="32">
        <f>H9+2</f>
        <v>44231</v>
      </c>
      <c r="J9" s="50">
        <f>I9+1</f>
        <v>44232</v>
      </c>
    </row>
    <row r="10" spans="2:10" x14ac:dyDescent="0.35">
      <c r="B10" s="37" t="s">
        <v>71</v>
      </c>
      <c r="C10" s="8"/>
      <c r="D10" s="32">
        <v>44247</v>
      </c>
      <c r="E10" s="32">
        <v>44262</v>
      </c>
      <c r="F10" s="8"/>
      <c r="G10" s="8"/>
      <c r="H10" s="8"/>
      <c r="I10" s="8"/>
      <c r="J10" s="7"/>
    </row>
    <row r="11" spans="2:10" x14ac:dyDescent="0.35">
      <c r="B11" s="37" t="s">
        <v>77</v>
      </c>
      <c r="C11" s="8"/>
      <c r="D11" s="32">
        <v>44288</v>
      </c>
      <c r="E11" s="32">
        <v>44291</v>
      </c>
      <c r="F11" s="8"/>
      <c r="G11" s="8"/>
      <c r="H11" s="8"/>
      <c r="I11" s="8"/>
      <c r="J11" s="7"/>
    </row>
    <row r="12" spans="2:10" x14ac:dyDescent="0.35">
      <c r="B12" s="37" t="s">
        <v>68</v>
      </c>
      <c r="C12" s="8"/>
      <c r="D12" s="32">
        <v>44310</v>
      </c>
      <c r="E12" s="32">
        <v>44325</v>
      </c>
      <c r="F12" s="8"/>
      <c r="G12" s="8"/>
      <c r="H12" s="8"/>
      <c r="I12" s="8"/>
      <c r="J12" s="7"/>
    </row>
    <row r="13" spans="2:10" x14ac:dyDescent="0.35">
      <c r="B13" s="51" t="s">
        <v>72</v>
      </c>
      <c r="C13" s="8"/>
      <c r="D13" s="32">
        <v>44317</v>
      </c>
      <c r="E13" s="32"/>
      <c r="F13" s="8"/>
      <c r="G13" s="8"/>
      <c r="H13" s="8"/>
      <c r="I13" s="8"/>
      <c r="J13" s="7"/>
    </row>
    <row r="14" spans="2:10" x14ac:dyDescent="0.35">
      <c r="B14" s="37" t="s">
        <v>73</v>
      </c>
      <c r="C14" s="8"/>
      <c r="D14" s="32">
        <v>44329</v>
      </c>
      <c r="E14" s="32">
        <v>44332</v>
      </c>
      <c r="F14" s="8"/>
      <c r="G14" s="8"/>
      <c r="H14" s="8"/>
      <c r="I14" s="8"/>
      <c r="J14" s="7"/>
    </row>
    <row r="15" spans="2:10" x14ac:dyDescent="0.35">
      <c r="B15" s="37" t="s">
        <v>74</v>
      </c>
      <c r="C15" s="8"/>
      <c r="D15" s="32">
        <v>44338</v>
      </c>
      <c r="E15" s="32">
        <v>44340</v>
      </c>
      <c r="F15" s="8"/>
      <c r="G15" s="8"/>
      <c r="H15" s="8"/>
      <c r="I15" s="8"/>
      <c r="J15" s="7"/>
    </row>
    <row r="16" spans="2:10" x14ac:dyDescent="0.35">
      <c r="B16" s="37"/>
      <c r="C16" s="8"/>
      <c r="D16" s="32"/>
      <c r="E16" s="32"/>
      <c r="F16" s="8"/>
      <c r="G16" s="8"/>
      <c r="H16" s="8"/>
      <c r="I16" s="8"/>
      <c r="J16" s="7"/>
    </row>
    <row r="17" spans="2:10" ht="15" thickBot="1" x14ac:dyDescent="0.4">
      <c r="B17" s="38" t="s">
        <v>75</v>
      </c>
      <c r="C17" s="4"/>
      <c r="D17" s="33">
        <v>44394</v>
      </c>
      <c r="E17" s="33">
        <v>44430</v>
      </c>
      <c r="F17" s="4"/>
      <c r="G17" s="4"/>
      <c r="H17" s="4"/>
      <c r="I17" s="4"/>
      <c r="J17" s="3"/>
    </row>
    <row r="18" spans="2:10" ht="15" thickBot="1" x14ac:dyDescent="0.4">
      <c r="D18" s="29"/>
      <c r="E18" s="29"/>
    </row>
    <row r="19" spans="2:10" x14ac:dyDescent="0.35">
      <c r="B19" s="48" t="s">
        <v>64</v>
      </c>
      <c r="C19" s="16" t="s">
        <v>65</v>
      </c>
      <c r="D19" s="31">
        <v>44431</v>
      </c>
      <c r="E19" s="31">
        <v>44590</v>
      </c>
      <c r="F19" s="16"/>
      <c r="G19" s="16"/>
      <c r="H19" s="31">
        <f>D19+1</f>
        <v>44432</v>
      </c>
      <c r="I19" s="31">
        <f>H19+2</f>
        <v>44434</v>
      </c>
      <c r="J19" s="49">
        <f>I19+1</f>
        <v>44435</v>
      </c>
    </row>
    <row r="20" spans="2:10" x14ac:dyDescent="0.35">
      <c r="B20" s="37" t="s">
        <v>66</v>
      </c>
      <c r="C20" s="8"/>
      <c r="D20" s="32">
        <v>44478</v>
      </c>
      <c r="E20" s="32">
        <v>44493</v>
      </c>
      <c r="F20" s="8"/>
      <c r="G20" s="8"/>
      <c r="H20" s="8"/>
      <c r="I20" s="8"/>
      <c r="J20" s="7"/>
    </row>
    <row r="21" spans="2:10" x14ac:dyDescent="0.35">
      <c r="B21" s="37" t="s">
        <v>67</v>
      </c>
      <c r="C21" s="8"/>
      <c r="D21" s="32">
        <v>44548</v>
      </c>
      <c r="E21" s="32">
        <v>44563</v>
      </c>
      <c r="F21" s="8"/>
      <c r="G21" s="8"/>
      <c r="H21" s="8"/>
      <c r="I21" s="8"/>
      <c r="J21" s="7"/>
    </row>
    <row r="22" spans="2:10" x14ac:dyDescent="0.35">
      <c r="B22" s="37" t="s">
        <v>70</v>
      </c>
      <c r="C22" s="8" t="s">
        <v>69</v>
      </c>
      <c r="D22" s="32">
        <v>44592</v>
      </c>
      <c r="E22" s="32">
        <v>44758</v>
      </c>
      <c r="F22" s="8"/>
      <c r="G22" s="8"/>
      <c r="H22" s="32">
        <f>D22+1</f>
        <v>44593</v>
      </c>
      <c r="I22" s="32">
        <f>H22+2</f>
        <v>44595</v>
      </c>
      <c r="J22" s="50">
        <f>I22+1</f>
        <v>44596</v>
      </c>
    </row>
    <row r="23" spans="2:10" x14ac:dyDescent="0.35">
      <c r="B23" s="37" t="s">
        <v>71</v>
      </c>
      <c r="C23" s="8"/>
      <c r="D23" s="32">
        <v>44611</v>
      </c>
      <c r="E23" s="32">
        <v>44626</v>
      </c>
      <c r="F23" s="8"/>
      <c r="G23" s="8"/>
      <c r="H23" s="8"/>
      <c r="I23" s="8"/>
      <c r="J23" s="7"/>
    </row>
    <row r="24" spans="2:10" x14ac:dyDescent="0.35">
      <c r="B24" s="37" t="s">
        <v>77</v>
      </c>
      <c r="C24" s="8"/>
      <c r="D24" s="32">
        <v>44666</v>
      </c>
      <c r="E24" s="32">
        <v>44669</v>
      </c>
      <c r="F24" s="8"/>
      <c r="G24" s="8"/>
      <c r="H24" s="8"/>
      <c r="I24" s="8"/>
      <c r="J24" s="7"/>
    </row>
    <row r="25" spans="2:10" x14ac:dyDescent="0.35">
      <c r="B25" s="37" t="s">
        <v>68</v>
      </c>
      <c r="C25" s="8"/>
      <c r="D25" s="32">
        <v>44667</v>
      </c>
      <c r="E25" s="32">
        <v>44682</v>
      </c>
      <c r="F25" s="8"/>
      <c r="G25" s="8"/>
      <c r="H25" s="8"/>
      <c r="I25" s="8"/>
      <c r="J25" s="7"/>
    </row>
    <row r="26" spans="2:10" x14ac:dyDescent="0.35">
      <c r="B26" s="51" t="s">
        <v>72</v>
      </c>
      <c r="C26" s="8"/>
      <c r="D26" s="32">
        <v>44682</v>
      </c>
      <c r="E26" s="32"/>
      <c r="F26" s="8"/>
      <c r="G26" s="8"/>
      <c r="H26" s="8"/>
      <c r="I26" s="8"/>
      <c r="J26" s="7"/>
    </row>
    <row r="27" spans="2:10" x14ac:dyDescent="0.35">
      <c r="B27" s="37" t="s">
        <v>73</v>
      </c>
      <c r="C27" s="8"/>
      <c r="D27" s="32">
        <v>44707</v>
      </c>
      <c r="E27" s="32">
        <v>44709</v>
      </c>
      <c r="F27" s="8"/>
      <c r="G27" s="8"/>
      <c r="H27" s="8"/>
      <c r="I27" s="8"/>
      <c r="J27" s="7"/>
    </row>
    <row r="28" spans="2:10" x14ac:dyDescent="0.35">
      <c r="B28" s="37" t="s">
        <v>74</v>
      </c>
      <c r="C28" s="8"/>
      <c r="D28" s="32">
        <v>44716</v>
      </c>
      <c r="E28" s="32">
        <v>44718</v>
      </c>
      <c r="F28" s="8"/>
      <c r="G28" s="8"/>
      <c r="H28" s="8"/>
      <c r="I28" s="8"/>
      <c r="J28" s="7"/>
    </row>
    <row r="29" spans="2:10" x14ac:dyDescent="0.35">
      <c r="B29" s="37"/>
      <c r="C29" s="8"/>
      <c r="D29" s="32"/>
      <c r="E29" s="32"/>
      <c r="F29" s="8"/>
      <c r="G29" s="8"/>
      <c r="H29" s="8"/>
      <c r="I29" s="8"/>
      <c r="J29" s="7"/>
    </row>
    <row r="30" spans="2:10" ht="15" thickBot="1" x14ac:dyDescent="0.4">
      <c r="B30" s="38" t="s">
        <v>78</v>
      </c>
      <c r="C30" s="4"/>
      <c r="D30" s="33">
        <v>44758</v>
      </c>
      <c r="E30" s="33">
        <v>44794</v>
      </c>
      <c r="F30" s="4"/>
      <c r="G30" s="4"/>
      <c r="H30" s="4"/>
      <c r="I30" s="4"/>
      <c r="J30" s="3"/>
    </row>
    <row r="31" spans="2:10" ht="15" thickBot="1" x14ac:dyDescent="0.4">
      <c r="D31" s="29"/>
      <c r="E31" s="29"/>
    </row>
    <row r="32" spans="2:10" x14ac:dyDescent="0.35">
      <c r="B32" s="48" t="s">
        <v>64</v>
      </c>
      <c r="C32" s="16" t="s">
        <v>65</v>
      </c>
      <c r="D32" s="31">
        <v>44795</v>
      </c>
      <c r="E32" s="31">
        <v>44954</v>
      </c>
      <c r="F32" s="16"/>
      <c r="G32" s="16"/>
      <c r="H32" s="31">
        <f>D32+1</f>
        <v>44796</v>
      </c>
      <c r="I32" s="31">
        <f>H32+2</f>
        <v>44798</v>
      </c>
      <c r="J32" s="49">
        <f>I32+1</f>
        <v>44799</v>
      </c>
    </row>
    <row r="33" spans="1:10" x14ac:dyDescent="0.35">
      <c r="B33" s="37" t="s">
        <v>66</v>
      </c>
      <c r="C33" s="8"/>
      <c r="D33" s="32">
        <v>44842</v>
      </c>
      <c r="E33" s="32">
        <v>44857</v>
      </c>
      <c r="F33" s="8"/>
      <c r="G33" s="8"/>
      <c r="H33" s="8"/>
      <c r="I33" s="8"/>
      <c r="J33" s="7"/>
    </row>
    <row r="34" spans="1:10" x14ac:dyDescent="0.35">
      <c r="B34" s="37" t="s">
        <v>67</v>
      </c>
      <c r="C34" s="8"/>
      <c r="D34" s="32">
        <v>44919</v>
      </c>
      <c r="E34" s="32">
        <v>44934</v>
      </c>
      <c r="F34" s="8"/>
      <c r="G34" s="8"/>
      <c r="H34" s="8"/>
      <c r="I34" s="8"/>
      <c r="J34" s="7"/>
    </row>
    <row r="35" spans="1:10" ht="15" thickBot="1" x14ac:dyDescent="0.4">
      <c r="B35" s="38"/>
      <c r="C35" s="4"/>
      <c r="D35" s="4"/>
      <c r="E35" s="4"/>
      <c r="F35" s="4"/>
      <c r="G35" s="4"/>
      <c r="H35" s="4"/>
      <c r="I35" s="4"/>
      <c r="J35" s="3"/>
    </row>
    <row r="38" spans="1:10" ht="15" thickBot="1" x14ac:dyDescent="0.4"/>
    <row r="39" spans="1:10" ht="15" thickBot="1" x14ac:dyDescent="0.4">
      <c r="A39" s="41" t="s">
        <v>120</v>
      </c>
      <c r="B39" s="42" t="s">
        <v>48</v>
      </c>
      <c r="C39" s="42" t="s">
        <v>114</v>
      </c>
      <c r="D39" s="43" t="s">
        <v>115</v>
      </c>
    </row>
    <row r="40" spans="1:10" x14ac:dyDescent="0.35">
      <c r="A40" s="39">
        <f>_xlfn.ISOWEEKNUM(B40)</f>
        <v>34</v>
      </c>
      <c r="B40" s="40">
        <f>H6</f>
        <v>44061</v>
      </c>
      <c r="C40" s="23" t="s">
        <v>116</v>
      </c>
      <c r="D40" s="22" t="s">
        <v>116</v>
      </c>
    </row>
    <row r="41" spans="1:10" x14ac:dyDescent="0.35">
      <c r="A41" s="37">
        <f t="shared" ref="A41:A104" si="0">_xlfn.ISOWEEKNUM(B41)</f>
        <v>34</v>
      </c>
      <c r="B41" s="32">
        <f>I6</f>
        <v>44063</v>
      </c>
      <c r="C41" s="36" t="s">
        <v>118</v>
      </c>
      <c r="D41" s="7" t="s">
        <v>117</v>
      </c>
    </row>
    <row r="42" spans="1:10" x14ac:dyDescent="0.35">
      <c r="A42" s="37">
        <f t="shared" si="0"/>
        <v>34</v>
      </c>
      <c r="B42" s="32">
        <f>J6</f>
        <v>44064</v>
      </c>
      <c r="C42" s="36" t="s">
        <v>119</v>
      </c>
      <c r="D42" s="7"/>
    </row>
    <row r="43" spans="1:10" x14ac:dyDescent="0.35">
      <c r="A43" s="53">
        <f t="shared" si="0"/>
        <v>35</v>
      </c>
      <c r="B43" s="54">
        <f>B40+7</f>
        <v>44068</v>
      </c>
      <c r="C43" s="55" t="s">
        <v>116</v>
      </c>
      <c r="D43" s="56" t="s">
        <v>116</v>
      </c>
    </row>
    <row r="44" spans="1:10" x14ac:dyDescent="0.35">
      <c r="A44" s="53">
        <f t="shared" si="0"/>
        <v>35</v>
      </c>
      <c r="B44" s="54">
        <f t="shared" ref="B44:B109" si="1">B41+7</f>
        <v>44070</v>
      </c>
      <c r="C44" s="55" t="s">
        <v>118</v>
      </c>
      <c r="D44" s="56" t="s">
        <v>117</v>
      </c>
    </row>
    <row r="45" spans="1:10" x14ac:dyDescent="0.35">
      <c r="A45" s="53">
        <f t="shared" si="0"/>
        <v>35</v>
      </c>
      <c r="B45" s="54">
        <f t="shared" si="1"/>
        <v>44071</v>
      </c>
      <c r="C45" s="55" t="s">
        <v>119</v>
      </c>
      <c r="D45" s="56"/>
    </row>
    <row r="46" spans="1:10" x14ac:dyDescent="0.35">
      <c r="A46" s="37">
        <f t="shared" si="0"/>
        <v>36</v>
      </c>
      <c r="B46" s="32">
        <f t="shared" si="1"/>
        <v>44075</v>
      </c>
      <c r="C46" s="8" t="s">
        <v>116</v>
      </c>
      <c r="D46" s="7" t="s">
        <v>116</v>
      </c>
    </row>
    <row r="47" spans="1:10" x14ac:dyDescent="0.35">
      <c r="A47" s="37">
        <f t="shared" si="0"/>
        <v>36</v>
      </c>
      <c r="B47" s="32">
        <f t="shared" si="1"/>
        <v>44077</v>
      </c>
      <c r="C47" s="8" t="s">
        <v>118</v>
      </c>
      <c r="D47" s="7" t="s">
        <v>117</v>
      </c>
    </row>
    <row r="48" spans="1:10" x14ac:dyDescent="0.35">
      <c r="A48" s="37">
        <f t="shared" si="0"/>
        <v>36</v>
      </c>
      <c r="B48" s="32">
        <f t="shared" si="1"/>
        <v>44078</v>
      </c>
      <c r="C48" s="8" t="s">
        <v>119</v>
      </c>
      <c r="D48" s="7"/>
    </row>
    <row r="49" spans="1:4" x14ac:dyDescent="0.35">
      <c r="A49" s="53">
        <f t="shared" si="0"/>
        <v>37</v>
      </c>
      <c r="B49" s="54">
        <f t="shared" si="1"/>
        <v>44082</v>
      </c>
      <c r="C49" s="55" t="s">
        <v>116</v>
      </c>
      <c r="D49" s="56" t="s">
        <v>116</v>
      </c>
    </row>
    <row r="50" spans="1:4" x14ac:dyDescent="0.35">
      <c r="A50" s="53">
        <f t="shared" si="0"/>
        <v>37</v>
      </c>
      <c r="B50" s="54">
        <f t="shared" si="1"/>
        <v>44084</v>
      </c>
      <c r="C50" s="55" t="s">
        <v>118</v>
      </c>
      <c r="D50" s="56" t="s">
        <v>117</v>
      </c>
    </row>
    <row r="51" spans="1:4" x14ac:dyDescent="0.35">
      <c r="A51" s="53">
        <f t="shared" si="0"/>
        <v>37</v>
      </c>
      <c r="B51" s="54">
        <f t="shared" si="1"/>
        <v>44085</v>
      </c>
      <c r="C51" s="55" t="s">
        <v>119</v>
      </c>
      <c r="D51" s="56"/>
    </row>
    <row r="52" spans="1:4" x14ac:dyDescent="0.35">
      <c r="A52" s="37">
        <f t="shared" si="0"/>
        <v>38</v>
      </c>
      <c r="B52" s="32">
        <f t="shared" si="1"/>
        <v>44089</v>
      </c>
      <c r="C52" s="8" t="s">
        <v>116</v>
      </c>
      <c r="D52" s="7" t="s">
        <v>116</v>
      </c>
    </row>
    <row r="53" spans="1:4" x14ac:dyDescent="0.35">
      <c r="A53" s="37">
        <f t="shared" si="0"/>
        <v>38</v>
      </c>
      <c r="B53" s="32">
        <f t="shared" si="1"/>
        <v>44091</v>
      </c>
      <c r="C53" s="8" t="s">
        <v>118</v>
      </c>
      <c r="D53" s="7" t="s">
        <v>117</v>
      </c>
    </row>
    <row r="54" spans="1:4" x14ac:dyDescent="0.35">
      <c r="A54" s="37">
        <f t="shared" si="0"/>
        <v>38</v>
      </c>
      <c r="B54" s="32">
        <f t="shared" si="1"/>
        <v>44092</v>
      </c>
      <c r="C54" s="8" t="s">
        <v>119</v>
      </c>
      <c r="D54" s="7"/>
    </row>
    <row r="55" spans="1:4" x14ac:dyDescent="0.35">
      <c r="A55" s="53">
        <f t="shared" si="0"/>
        <v>39</v>
      </c>
      <c r="B55" s="54">
        <f t="shared" si="1"/>
        <v>44096</v>
      </c>
      <c r="C55" s="55" t="s">
        <v>116</v>
      </c>
      <c r="D55" s="56" t="s">
        <v>116</v>
      </c>
    </row>
    <row r="56" spans="1:4" x14ac:dyDescent="0.35">
      <c r="A56" s="53">
        <f t="shared" si="0"/>
        <v>39</v>
      </c>
      <c r="B56" s="54">
        <f t="shared" si="1"/>
        <v>44098</v>
      </c>
      <c r="C56" s="55" t="s">
        <v>118</v>
      </c>
      <c r="D56" s="56" t="s">
        <v>117</v>
      </c>
    </row>
    <row r="57" spans="1:4" x14ac:dyDescent="0.35">
      <c r="A57" s="53">
        <f t="shared" si="0"/>
        <v>39</v>
      </c>
      <c r="B57" s="54">
        <f t="shared" si="1"/>
        <v>44099</v>
      </c>
      <c r="C57" s="55" t="s">
        <v>119</v>
      </c>
      <c r="D57" s="56"/>
    </row>
    <row r="58" spans="1:4" x14ac:dyDescent="0.35">
      <c r="A58" s="37">
        <f t="shared" si="0"/>
        <v>40</v>
      </c>
      <c r="B58" s="32">
        <f t="shared" si="1"/>
        <v>44103</v>
      </c>
      <c r="C58" s="8" t="s">
        <v>116</v>
      </c>
      <c r="D58" s="7" t="s">
        <v>116</v>
      </c>
    </row>
    <row r="59" spans="1:4" x14ac:dyDescent="0.35">
      <c r="A59" s="37">
        <f t="shared" si="0"/>
        <v>40</v>
      </c>
      <c r="B59" s="32">
        <f t="shared" si="1"/>
        <v>44105</v>
      </c>
      <c r="C59" s="8" t="s">
        <v>118</v>
      </c>
      <c r="D59" s="7" t="s">
        <v>117</v>
      </c>
    </row>
    <row r="60" spans="1:4" x14ac:dyDescent="0.35">
      <c r="A60" s="37">
        <f t="shared" si="0"/>
        <v>40</v>
      </c>
      <c r="B60" s="32">
        <f t="shared" si="1"/>
        <v>44106</v>
      </c>
      <c r="C60" s="8" t="s">
        <v>119</v>
      </c>
      <c r="D60" s="7"/>
    </row>
    <row r="61" spans="1:4" x14ac:dyDescent="0.35">
      <c r="A61" s="37">
        <f t="shared" si="0"/>
        <v>41</v>
      </c>
      <c r="B61" s="30">
        <f t="shared" si="1"/>
        <v>44110</v>
      </c>
      <c r="C61" s="13"/>
      <c r="D61" s="52"/>
    </row>
    <row r="62" spans="1:4" x14ac:dyDescent="0.35">
      <c r="A62" s="37">
        <f t="shared" si="0"/>
        <v>41</v>
      </c>
      <c r="B62" s="30">
        <f t="shared" si="1"/>
        <v>44112</v>
      </c>
      <c r="C62" s="13"/>
      <c r="D62" s="52"/>
    </row>
    <row r="63" spans="1:4" x14ac:dyDescent="0.35">
      <c r="A63" s="37">
        <f t="shared" si="0"/>
        <v>41</v>
      </c>
      <c r="B63" s="30">
        <f t="shared" si="1"/>
        <v>44113</v>
      </c>
      <c r="C63" s="13"/>
      <c r="D63" s="52"/>
    </row>
    <row r="64" spans="1:4" x14ac:dyDescent="0.35">
      <c r="A64" s="37">
        <f t="shared" si="0"/>
        <v>42</v>
      </c>
      <c r="B64" s="30">
        <f t="shared" si="1"/>
        <v>44117</v>
      </c>
      <c r="C64" s="13"/>
      <c r="D64" s="52"/>
    </row>
    <row r="65" spans="1:4" x14ac:dyDescent="0.35">
      <c r="A65" s="37">
        <f t="shared" si="0"/>
        <v>42</v>
      </c>
      <c r="B65" s="30">
        <f t="shared" si="1"/>
        <v>44119</v>
      </c>
      <c r="C65" s="13"/>
      <c r="D65" s="52"/>
    </row>
    <row r="66" spans="1:4" x14ac:dyDescent="0.35">
      <c r="A66" s="37">
        <f t="shared" si="0"/>
        <v>42</v>
      </c>
      <c r="B66" s="30">
        <f t="shared" si="1"/>
        <v>44120</v>
      </c>
      <c r="C66" s="13"/>
      <c r="D66" s="52"/>
    </row>
    <row r="67" spans="1:4" x14ac:dyDescent="0.35">
      <c r="A67" s="53">
        <f t="shared" si="0"/>
        <v>43</v>
      </c>
      <c r="B67" s="54">
        <f t="shared" si="1"/>
        <v>44124</v>
      </c>
      <c r="C67" s="55" t="s">
        <v>116</v>
      </c>
      <c r="D67" s="56" t="s">
        <v>116</v>
      </c>
    </row>
    <row r="68" spans="1:4" x14ac:dyDescent="0.35">
      <c r="A68" s="53">
        <f t="shared" si="0"/>
        <v>43</v>
      </c>
      <c r="B68" s="54">
        <f t="shared" si="1"/>
        <v>44126</v>
      </c>
      <c r="C68" s="55" t="s">
        <v>118</v>
      </c>
      <c r="D68" s="56" t="s">
        <v>117</v>
      </c>
    </row>
    <row r="69" spans="1:4" x14ac:dyDescent="0.35">
      <c r="A69" s="53">
        <f t="shared" si="0"/>
        <v>43</v>
      </c>
      <c r="B69" s="54">
        <f t="shared" si="1"/>
        <v>44127</v>
      </c>
      <c r="C69" s="55" t="s">
        <v>119</v>
      </c>
      <c r="D69" s="56"/>
    </row>
    <row r="70" spans="1:4" x14ac:dyDescent="0.35">
      <c r="A70" s="37">
        <f t="shared" si="0"/>
        <v>44</v>
      </c>
      <c r="B70" s="32">
        <f t="shared" si="1"/>
        <v>44131</v>
      </c>
      <c r="C70" s="8" t="s">
        <v>116</v>
      </c>
      <c r="D70" s="7" t="s">
        <v>116</v>
      </c>
    </row>
    <row r="71" spans="1:4" x14ac:dyDescent="0.35">
      <c r="A71" s="37">
        <f t="shared" si="0"/>
        <v>44</v>
      </c>
      <c r="B71" s="32">
        <f t="shared" si="1"/>
        <v>44133</v>
      </c>
      <c r="C71" s="8" t="s">
        <v>118</v>
      </c>
      <c r="D71" s="7" t="s">
        <v>117</v>
      </c>
    </row>
    <row r="72" spans="1:4" x14ac:dyDescent="0.35">
      <c r="A72" s="37">
        <f t="shared" si="0"/>
        <v>44</v>
      </c>
      <c r="B72" s="32">
        <f t="shared" si="1"/>
        <v>44134</v>
      </c>
      <c r="C72" s="8" t="s">
        <v>119</v>
      </c>
      <c r="D72" s="7"/>
    </row>
    <row r="73" spans="1:4" x14ac:dyDescent="0.35">
      <c r="A73" s="53">
        <f t="shared" si="0"/>
        <v>45</v>
      </c>
      <c r="B73" s="54">
        <f t="shared" si="1"/>
        <v>44138</v>
      </c>
      <c r="C73" s="55" t="s">
        <v>116</v>
      </c>
      <c r="D73" s="56" t="s">
        <v>116</v>
      </c>
    </row>
    <row r="74" spans="1:4" x14ac:dyDescent="0.35">
      <c r="A74" s="53">
        <f t="shared" si="0"/>
        <v>45</v>
      </c>
      <c r="B74" s="54">
        <f t="shared" si="1"/>
        <v>44140</v>
      </c>
      <c r="C74" s="55" t="s">
        <v>118</v>
      </c>
      <c r="D74" s="56" t="s">
        <v>117</v>
      </c>
    </row>
    <row r="75" spans="1:4" x14ac:dyDescent="0.35">
      <c r="A75" s="53">
        <f t="shared" si="0"/>
        <v>45</v>
      </c>
      <c r="B75" s="54">
        <f t="shared" si="1"/>
        <v>44141</v>
      </c>
      <c r="C75" s="55" t="s">
        <v>119</v>
      </c>
      <c r="D75" s="56"/>
    </row>
    <row r="76" spans="1:4" x14ac:dyDescent="0.35">
      <c r="A76" s="37">
        <f t="shared" si="0"/>
        <v>46</v>
      </c>
      <c r="B76" s="32">
        <f t="shared" si="1"/>
        <v>44145</v>
      </c>
      <c r="C76" s="8" t="s">
        <v>116</v>
      </c>
      <c r="D76" s="7"/>
    </row>
    <row r="77" spans="1:4" x14ac:dyDescent="0.35">
      <c r="A77" s="37">
        <f t="shared" si="0"/>
        <v>46</v>
      </c>
      <c r="B77" s="32">
        <f t="shared" si="1"/>
        <v>44147</v>
      </c>
      <c r="C77" s="8" t="s">
        <v>118</v>
      </c>
      <c r="D77" s="7" t="s">
        <v>117</v>
      </c>
    </row>
    <row r="78" spans="1:4" x14ac:dyDescent="0.35">
      <c r="A78" s="37">
        <f t="shared" si="0"/>
        <v>46</v>
      </c>
      <c r="B78" s="32">
        <f t="shared" si="1"/>
        <v>44148</v>
      </c>
      <c r="C78" s="8" t="s">
        <v>119</v>
      </c>
      <c r="D78" s="7"/>
    </row>
    <row r="79" spans="1:4" x14ac:dyDescent="0.35">
      <c r="A79" s="53">
        <f t="shared" si="0"/>
        <v>47</v>
      </c>
      <c r="B79" s="54">
        <f t="shared" si="1"/>
        <v>44152</v>
      </c>
      <c r="C79" s="55" t="s">
        <v>116</v>
      </c>
      <c r="D79" s="56"/>
    </row>
    <row r="80" spans="1:4" x14ac:dyDescent="0.35">
      <c r="A80" s="53">
        <f t="shared" si="0"/>
        <v>47</v>
      </c>
      <c r="B80" s="54">
        <f t="shared" si="1"/>
        <v>44154</v>
      </c>
      <c r="C80" s="55" t="s">
        <v>118</v>
      </c>
      <c r="D80" s="56" t="s">
        <v>117</v>
      </c>
    </row>
    <row r="81" spans="1:4" x14ac:dyDescent="0.35">
      <c r="A81" s="53">
        <f t="shared" si="0"/>
        <v>47</v>
      </c>
      <c r="B81" s="54">
        <f t="shared" si="1"/>
        <v>44155</v>
      </c>
      <c r="C81" s="55" t="s">
        <v>119</v>
      </c>
      <c r="D81" s="56"/>
    </row>
    <row r="82" spans="1:4" x14ac:dyDescent="0.35">
      <c r="A82" s="37">
        <f t="shared" si="0"/>
        <v>48</v>
      </c>
      <c r="B82" s="32">
        <f t="shared" si="1"/>
        <v>44159</v>
      </c>
      <c r="C82" s="8" t="s">
        <v>116</v>
      </c>
      <c r="D82" s="7"/>
    </row>
    <row r="83" spans="1:4" x14ac:dyDescent="0.35">
      <c r="A83" s="37">
        <f t="shared" si="0"/>
        <v>48</v>
      </c>
      <c r="B83" s="32">
        <f t="shared" si="1"/>
        <v>44161</v>
      </c>
      <c r="C83" s="8" t="s">
        <v>118</v>
      </c>
      <c r="D83" s="7" t="s">
        <v>117</v>
      </c>
    </row>
    <row r="84" spans="1:4" x14ac:dyDescent="0.35">
      <c r="A84" s="37">
        <f t="shared" si="0"/>
        <v>48</v>
      </c>
      <c r="B84" s="32">
        <f t="shared" si="1"/>
        <v>44162</v>
      </c>
      <c r="C84" s="8" t="s">
        <v>119</v>
      </c>
      <c r="D84" s="7"/>
    </row>
    <row r="85" spans="1:4" x14ac:dyDescent="0.35">
      <c r="A85" s="53">
        <f t="shared" si="0"/>
        <v>49</v>
      </c>
      <c r="B85" s="54">
        <f t="shared" si="1"/>
        <v>44166</v>
      </c>
      <c r="C85" s="55" t="s">
        <v>116</v>
      </c>
      <c r="D85" s="56"/>
    </row>
    <row r="86" spans="1:4" x14ac:dyDescent="0.35">
      <c r="A86" s="53">
        <f t="shared" si="0"/>
        <v>49</v>
      </c>
      <c r="B86" s="54">
        <f t="shared" si="1"/>
        <v>44168</v>
      </c>
      <c r="C86" s="55" t="s">
        <v>118</v>
      </c>
      <c r="D86" s="56" t="s">
        <v>117</v>
      </c>
    </row>
    <row r="87" spans="1:4" x14ac:dyDescent="0.35">
      <c r="A87" s="53">
        <f t="shared" si="0"/>
        <v>49</v>
      </c>
      <c r="B87" s="54">
        <f t="shared" si="1"/>
        <v>44169</v>
      </c>
      <c r="C87" s="55" t="s">
        <v>119</v>
      </c>
      <c r="D87" s="56"/>
    </row>
    <row r="88" spans="1:4" x14ac:dyDescent="0.35">
      <c r="A88" s="37">
        <f t="shared" si="0"/>
        <v>50</v>
      </c>
      <c r="B88" s="32">
        <f t="shared" si="1"/>
        <v>44173</v>
      </c>
      <c r="C88" s="8" t="s">
        <v>116</v>
      </c>
      <c r="D88" s="7"/>
    </row>
    <row r="89" spans="1:4" x14ac:dyDescent="0.35">
      <c r="A89" s="37">
        <f t="shared" si="0"/>
        <v>50</v>
      </c>
      <c r="B89" s="32">
        <f t="shared" si="1"/>
        <v>44175</v>
      </c>
      <c r="C89" s="8" t="s">
        <v>118</v>
      </c>
      <c r="D89" s="7" t="s">
        <v>117</v>
      </c>
    </row>
    <row r="90" spans="1:4" x14ac:dyDescent="0.35">
      <c r="A90" s="37">
        <f t="shared" si="0"/>
        <v>50</v>
      </c>
      <c r="B90" s="32">
        <f t="shared" si="1"/>
        <v>44176</v>
      </c>
      <c r="C90" s="8" t="s">
        <v>119</v>
      </c>
      <c r="D90" s="7"/>
    </row>
    <row r="91" spans="1:4" x14ac:dyDescent="0.35">
      <c r="A91" s="53">
        <f t="shared" si="0"/>
        <v>51</v>
      </c>
      <c r="B91" s="54">
        <f t="shared" si="1"/>
        <v>44180</v>
      </c>
      <c r="C91" s="55" t="s">
        <v>116</v>
      </c>
      <c r="D91" s="56"/>
    </row>
    <row r="92" spans="1:4" x14ac:dyDescent="0.35">
      <c r="A92" s="53">
        <f t="shared" si="0"/>
        <v>51</v>
      </c>
      <c r="B92" s="54">
        <f t="shared" si="1"/>
        <v>44182</v>
      </c>
      <c r="C92" s="55" t="s">
        <v>118</v>
      </c>
      <c r="D92" s="56" t="s">
        <v>117</v>
      </c>
    </row>
    <row r="93" spans="1:4" x14ac:dyDescent="0.35">
      <c r="A93" s="53">
        <f t="shared" si="0"/>
        <v>51</v>
      </c>
      <c r="B93" s="54">
        <f t="shared" si="1"/>
        <v>44183</v>
      </c>
      <c r="C93" s="55" t="s">
        <v>119</v>
      </c>
      <c r="D93" s="56"/>
    </row>
    <row r="94" spans="1:4" x14ac:dyDescent="0.35">
      <c r="A94" s="37">
        <f t="shared" si="0"/>
        <v>52</v>
      </c>
      <c r="B94" s="30">
        <f t="shared" si="1"/>
        <v>44187</v>
      </c>
      <c r="C94" s="13"/>
      <c r="D94" s="52"/>
    </row>
    <row r="95" spans="1:4" x14ac:dyDescent="0.35">
      <c r="A95" s="37">
        <f t="shared" si="0"/>
        <v>52</v>
      </c>
      <c r="B95" s="30">
        <f t="shared" si="1"/>
        <v>44189</v>
      </c>
      <c r="C95" s="13"/>
      <c r="D95" s="52"/>
    </row>
    <row r="96" spans="1:4" x14ac:dyDescent="0.35">
      <c r="A96" s="37">
        <f t="shared" si="0"/>
        <v>52</v>
      </c>
      <c r="B96" s="30">
        <f t="shared" si="1"/>
        <v>44190</v>
      </c>
      <c r="C96" s="13"/>
      <c r="D96" s="52"/>
    </row>
    <row r="97" spans="1:4" x14ac:dyDescent="0.35">
      <c r="A97" s="37">
        <f t="shared" si="0"/>
        <v>53</v>
      </c>
      <c r="B97" s="30">
        <f t="shared" si="1"/>
        <v>44194</v>
      </c>
      <c r="C97" s="13"/>
      <c r="D97" s="52"/>
    </row>
    <row r="98" spans="1:4" x14ac:dyDescent="0.35">
      <c r="A98" s="37">
        <f t="shared" si="0"/>
        <v>53</v>
      </c>
      <c r="B98" s="30">
        <f t="shared" si="1"/>
        <v>44196</v>
      </c>
      <c r="C98" s="13"/>
      <c r="D98" s="52"/>
    </row>
    <row r="99" spans="1:4" x14ac:dyDescent="0.35">
      <c r="A99" s="37">
        <f t="shared" si="0"/>
        <v>53</v>
      </c>
      <c r="B99" s="30">
        <f t="shared" si="1"/>
        <v>44197</v>
      </c>
      <c r="C99" s="13"/>
      <c r="D99" s="52"/>
    </row>
    <row r="100" spans="1:4" x14ac:dyDescent="0.35">
      <c r="A100" s="53">
        <f t="shared" si="0"/>
        <v>1</v>
      </c>
      <c r="B100" s="54">
        <f t="shared" si="1"/>
        <v>44201</v>
      </c>
      <c r="C100" s="55" t="s">
        <v>116</v>
      </c>
      <c r="D100" s="56"/>
    </row>
    <row r="101" spans="1:4" x14ac:dyDescent="0.35">
      <c r="A101" s="53">
        <f t="shared" si="0"/>
        <v>1</v>
      </c>
      <c r="B101" s="54">
        <f t="shared" si="1"/>
        <v>44203</v>
      </c>
      <c r="C101" s="55" t="s">
        <v>118</v>
      </c>
      <c r="D101" s="56" t="s">
        <v>117</v>
      </c>
    </row>
    <row r="102" spans="1:4" x14ac:dyDescent="0.35">
      <c r="A102" s="53">
        <f t="shared" si="0"/>
        <v>1</v>
      </c>
      <c r="B102" s="54">
        <f t="shared" si="1"/>
        <v>44204</v>
      </c>
      <c r="C102" s="55" t="s">
        <v>119</v>
      </c>
      <c r="D102" s="56"/>
    </row>
    <row r="103" spans="1:4" x14ac:dyDescent="0.35">
      <c r="A103" s="37">
        <f t="shared" si="0"/>
        <v>2</v>
      </c>
      <c r="B103" s="32">
        <f t="shared" si="1"/>
        <v>44208</v>
      </c>
      <c r="C103" s="8" t="s">
        <v>116</v>
      </c>
      <c r="D103" s="7"/>
    </row>
    <row r="104" spans="1:4" x14ac:dyDescent="0.35">
      <c r="A104" s="37">
        <f t="shared" si="0"/>
        <v>2</v>
      </c>
      <c r="B104" s="32">
        <f t="shared" si="1"/>
        <v>44210</v>
      </c>
      <c r="C104" s="8" t="s">
        <v>118</v>
      </c>
      <c r="D104" s="7" t="s">
        <v>117</v>
      </c>
    </row>
    <row r="105" spans="1:4" x14ac:dyDescent="0.35">
      <c r="A105" s="37">
        <f t="shared" ref="A105:A111" si="2">_xlfn.ISOWEEKNUM(B105)</f>
        <v>2</v>
      </c>
      <c r="B105" s="32">
        <f t="shared" si="1"/>
        <v>44211</v>
      </c>
      <c r="C105" s="8" t="s">
        <v>119</v>
      </c>
      <c r="D105" s="7"/>
    </row>
    <row r="106" spans="1:4" x14ac:dyDescent="0.35">
      <c r="A106" s="53">
        <f t="shared" si="2"/>
        <v>3</v>
      </c>
      <c r="B106" s="54">
        <f t="shared" si="1"/>
        <v>44215</v>
      </c>
      <c r="C106" s="55" t="s">
        <v>116</v>
      </c>
      <c r="D106" s="56"/>
    </row>
    <row r="107" spans="1:4" x14ac:dyDescent="0.35">
      <c r="A107" s="53">
        <f t="shared" si="2"/>
        <v>3</v>
      </c>
      <c r="B107" s="54">
        <f t="shared" si="1"/>
        <v>44217</v>
      </c>
      <c r="C107" s="55" t="s">
        <v>118</v>
      </c>
      <c r="D107" s="56" t="s">
        <v>117</v>
      </c>
    </row>
    <row r="108" spans="1:4" x14ac:dyDescent="0.35">
      <c r="A108" s="53">
        <f t="shared" si="2"/>
        <v>3</v>
      </c>
      <c r="B108" s="54">
        <f t="shared" ref="B108" si="3">B105+7</f>
        <v>44218</v>
      </c>
      <c r="C108" s="55" t="s">
        <v>119</v>
      </c>
      <c r="D108" s="56"/>
    </row>
    <row r="109" spans="1:4" x14ac:dyDescent="0.35">
      <c r="A109" s="37">
        <f t="shared" si="2"/>
        <v>4</v>
      </c>
      <c r="B109" s="32">
        <f t="shared" si="1"/>
        <v>44222</v>
      </c>
      <c r="C109" s="8" t="s">
        <v>116</v>
      </c>
      <c r="D109" s="7"/>
    </row>
    <row r="110" spans="1:4" x14ac:dyDescent="0.35">
      <c r="A110" s="37">
        <f t="shared" si="2"/>
        <v>4</v>
      </c>
      <c r="B110" s="32">
        <f t="shared" ref="B110:B111" si="4">B107+7</f>
        <v>44224</v>
      </c>
      <c r="C110" s="8" t="s">
        <v>118</v>
      </c>
      <c r="D110" s="7" t="s">
        <v>117</v>
      </c>
    </row>
    <row r="111" spans="1:4" ht="15" thickBot="1" x14ac:dyDescent="0.4">
      <c r="A111" s="44">
        <f t="shared" si="2"/>
        <v>4</v>
      </c>
      <c r="B111" s="45">
        <f t="shared" si="4"/>
        <v>44225</v>
      </c>
      <c r="C111" s="46" t="s">
        <v>119</v>
      </c>
      <c r="D111" s="47"/>
    </row>
    <row r="112" spans="1:4" x14ac:dyDescent="0.35">
      <c r="A112" s="57">
        <f t="shared" ref="A112:A114" si="5">_xlfn.ISOWEEKNUM(B112)</f>
        <v>5</v>
      </c>
      <c r="B112" s="58">
        <f>B109+7</f>
        <v>44229</v>
      </c>
      <c r="C112" s="59"/>
      <c r="D112" s="60" t="s">
        <v>130</v>
      </c>
    </row>
    <row r="113" spans="1:4" x14ac:dyDescent="0.35">
      <c r="A113" s="53">
        <f t="shared" si="5"/>
        <v>5</v>
      </c>
      <c r="B113" s="54">
        <f>B110+7</f>
        <v>44231</v>
      </c>
      <c r="C113" s="55" t="s">
        <v>128</v>
      </c>
      <c r="D113" s="56" t="s">
        <v>117</v>
      </c>
    </row>
    <row r="114" spans="1:4" x14ac:dyDescent="0.35">
      <c r="A114" s="53">
        <f t="shared" si="5"/>
        <v>5</v>
      </c>
      <c r="B114" s="54">
        <f>B111+7</f>
        <v>44232</v>
      </c>
      <c r="C114" s="55" t="s">
        <v>129</v>
      </c>
      <c r="D114" s="56"/>
    </row>
    <row r="115" spans="1:4" x14ac:dyDescent="0.35">
      <c r="A115" s="37">
        <f t="shared" ref="A115:A162" si="6">_xlfn.ISOWEEKNUM(B115)</f>
        <v>6</v>
      </c>
      <c r="B115" s="32">
        <f t="shared" ref="B115:B178" si="7">B112+7</f>
        <v>44236</v>
      </c>
      <c r="C115" s="8"/>
      <c r="D115" s="7" t="s">
        <v>130</v>
      </c>
    </row>
    <row r="116" spans="1:4" x14ac:dyDescent="0.35">
      <c r="A116" s="37">
        <f t="shared" si="6"/>
        <v>6</v>
      </c>
      <c r="B116" s="32">
        <f t="shared" si="7"/>
        <v>44238</v>
      </c>
      <c r="C116" s="8" t="s">
        <v>128</v>
      </c>
      <c r="D116" s="7" t="s">
        <v>117</v>
      </c>
    </row>
    <row r="117" spans="1:4" x14ac:dyDescent="0.35">
      <c r="A117" s="37">
        <f t="shared" si="6"/>
        <v>6</v>
      </c>
      <c r="B117" s="32">
        <f t="shared" si="7"/>
        <v>44239</v>
      </c>
      <c r="C117" s="8" t="s">
        <v>129</v>
      </c>
      <c r="D117" s="7"/>
    </row>
    <row r="118" spans="1:4" x14ac:dyDescent="0.35">
      <c r="A118" s="53">
        <f t="shared" si="6"/>
        <v>7</v>
      </c>
      <c r="B118" s="54">
        <f t="shared" si="7"/>
        <v>44243</v>
      </c>
      <c r="C118" s="55"/>
      <c r="D118" s="56" t="s">
        <v>130</v>
      </c>
    </row>
    <row r="119" spans="1:4" x14ac:dyDescent="0.35">
      <c r="A119" s="53">
        <f t="shared" si="6"/>
        <v>7</v>
      </c>
      <c r="B119" s="54">
        <f t="shared" si="7"/>
        <v>44245</v>
      </c>
      <c r="C119" s="55" t="s">
        <v>128</v>
      </c>
      <c r="D119" s="56" t="s">
        <v>117</v>
      </c>
    </row>
    <row r="120" spans="1:4" x14ac:dyDescent="0.35">
      <c r="A120" s="53">
        <f t="shared" si="6"/>
        <v>7</v>
      </c>
      <c r="B120" s="54">
        <f t="shared" si="7"/>
        <v>44246</v>
      </c>
      <c r="C120" s="55" t="s">
        <v>129</v>
      </c>
      <c r="D120" s="56"/>
    </row>
    <row r="121" spans="1:4" x14ac:dyDescent="0.35">
      <c r="A121" s="37">
        <f t="shared" si="6"/>
        <v>8</v>
      </c>
      <c r="B121" s="30">
        <f t="shared" si="7"/>
        <v>44250</v>
      </c>
      <c r="C121" s="13"/>
      <c r="D121" s="52"/>
    </row>
    <row r="122" spans="1:4" x14ac:dyDescent="0.35">
      <c r="A122" s="37">
        <f t="shared" si="6"/>
        <v>8</v>
      </c>
      <c r="B122" s="30">
        <f t="shared" si="7"/>
        <v>44252</v>
      </c>
      <c r="C122" s="13"/>
      <c r="D122" s="52"/>
    </row>
    <row r="123" spans="1:4" x14ac:dyDescent="0.35">
      <c r="A123" s="37">
        <f t="shared" si="6"/>
        <v>8</v>
      </c>
      <c r="B123" s="30">
        <f t="shared" si="7"/>
        <v>44253</v>
      </c>
      <c r="C123" s="13"/>
      <c r="D123" s="52"/>
    </row>
    <row r="124" spans="1:4" x14ac:dyDescent="0.35">
      <c r="A124" s="37">
        <f t="shared" si="6"/>
        <v>9</v>
      </c>
      <c r="B124" s="30">
        <f t="shared" si="7"/>
        <v>44257</v>
      </c>
      <c r="C124" s="13"/>
      <c r="D124" s="52"/>
    </row>
    <row r="125" spans="1:4" x14ac:dyDescent="0.35">
      <c r="A125" s="37">
        <f t="shared" si="6"/>
        <v>9</v>
      </c>
      <c r="B125" s="30">
        <f t="shared" si="7"/>
        <v>44259</v>
      </c>
      <c r="C125" s="13"/>
      <c r="D125" s="52"/>
    </row>
    <row r="126" spans="1:4" x14ac:dyDescent="0.35">
      <c r="A126" s="37">
        <f t="shared" si="6"/>
        <v>9</v>
      </c>
      <c r="B126" s="30">
        <f t="shared" si="7"/>
        <v>44260</v>
      </c>
      <c r="C126" s="13"/>
      <c r="D126" s="52"/>
    </row>
    <row r="127" spans="1:4" x14ac:dyDescent="0.35">
      <c r="A127" s="37">
        <f t="shared" si="6"/>
        <v>10</v>
      </c>
      <c r="B127" s="32">
        <f t="shared" si="7"/>
        <v>44264</v>
      </c>
      <c r="C127" s="8"/>
      <c r="D127" s="7" t="s">
        <v>130</v>
      </c>
    </row>
    <row r="128" spans="1:4" x14ac:dyDescent="0.35">
      <c r="A128" s="37">
        <f t="shared" si="6"/>
        <v>10</v>
      </c>
      <c r="B128" s="32">
        <f t="shared" si="7"/>
        <v>44266</v>
      </c>
      <c r="C128" s="8" t="s">
        <v>128</v>
      </c>
      <c r="D128" s="7" t="s">
        <v>117</v>
      </c>
    </row>
    <row r="129" spans="1:4" x14ac:dyDescent="0.35">
      <c r="A129" s="37">
        <f t="shared" si="6"/>
        <v>10</v>
      </c>
      <c r="B129" s="32">
        <f t="shared" si="7"/>
        <v>44267</v>
      </c>
      <c r="C129" s="8" t="s">
        <v>129</v>
      </c>
      <c r="D129" s="7"/>
    </row>
    <row r="130" spans="1:4" x14ac:dyDescent="0.35">
      <c r="A130" s="53">
        <f t="shared" si="6"/>
        <v>11</v>
      </c>
      <c r="B130" s="54">
        <f t="shared" si="7"/>
        <v>44271</v>
      </c>
      <c r="C130" s="55"/>
      <c r="D130" s="56" t="s">
        <v>130</v>
      </c>
    </row>
    <row r="131" spans="1:4" x14ac:dyDescent="0.35">
      <c r="A131" s="53">
        <f t="shared" si="6"/>
        <v>11</v>
      </c>
      <c r="B131" s="54">
        <f t="shared" si="7"/>
        <v>44273</v>
      </c>
      <c r="C131" s="55" t="s">
        <v>128</v>
      </c>
      <c r="D131" s="56" t="s">
        <v>117</v>
      </c>
    </row>
    <row r="132" spans="1:4" x14ac:dyDescent="0.35">
      <c r="A132" s="53">
        <f t="shared" si="6"/>
        <v>11</v>
      </c>
      <c r="B132" s="54">
        <f t="shared" si="7"/>
        <v>44274</v>
      </c>
      <c r="C132" s="55" t="s">
        <v>129</v>
      </c>
      <c r="D132" s="56"/>
    </row>
    <row r="133" spans="1:4" x14ac:dyDescent="0.35">
      <c r="A133" s="37">
        <f t="shared" si="6"/>
        <v>12</v>
      </c>
      <c r="B133" s="32">
        <f t="shared" si="7"/>
        <v>44278</v>
      </c>
      <c r="C133" s="8"/>
      <c r="D133" s="7" t="s">
        <v>130</v>
      </c>
    </row>
    <row r="134" spans="1:4" x14ac:dyDescent="0.35">
      <c r="A134" s="37">
        <f t="shared" si="6"/>
        <v>12</v>
      </c>
      <c r="B134" s="32">
        <f t="shared" si="7"/>
        <v>44280</v>
      </c>
      <c r="C134" s="8" t="s">
        <v>128</v>
      </c>
      <c r="D134" s="7" t="s">
        <v>117</v>
      </c>
    </row>
    <row r="135" spans="1:4" x14ac:dyDescent="0.35">
      <c r="A135" s="37">
        <f t="shared" si="6"/>
        <v>12</v>
      </c>
      <c r="B135" s="32">
        <f t="shared" si="7"/>
        <v>44281</v>
      </c>
      <c r="C135" s="8" t="s">
        <v>129</v>
      </c>
      <c r="D135" s="7"/>
    </row>
    <row r="136" spans="1:4" x14ac:dyDescent="0.35">
      <c r="A136" s="53">
        <f t="shared" si="6"/>
        <v>13</v>
      </c>
      <c r="B136" s="54">
        <f t="shared" si="7"/>
        <v>44285</v>
      </c>
      <c r="C136" s="55"/>
      <c r="D136" s="56" t="s">
        <v>130</v>
      </c>
    </row>
    <row r="137" spans="1:4" x14ac:dyDescent="0.35">
      <c r="A137" s="53">
        <f t="shared" si="6"/>
        <v>13</v>
      </c>
      <c r="B137" s="54">
        <f t="shared" si="7"/>
        <v>44287</v>
      </c>
      <c r="C137" s="55" t="s">
        <v>128</v>
      </c>
      <c r="D137" s="56" t="s">
        <v>117</v>
      </c>
    </row>
    <row r="138" spans="1:4" x14ac:dyDescent="0.35">
      <c r="A138" s="37">
        <f t="shared" si="6"/>
        <v>13</v>
      </c>
      <c r="B138" s="30">
        <f t="shared" si="7"/>
        <v>44288</v>
      </c>
      <c r="C138" s="13" t="s">
        <v>127</v>
      </c>
      <c r="D138" s="52"/>
    </row>
    <row r="139" spans="1:4" x14ac:dyDescent="0.35">
      <c r="A139" s="37">
        <f t="shared" si="6"/>
        <v>14</v>
      </c>
      <c r="B139" s="32">
        <f t="shared" si="7"/>
        <v>44292</v>
      </c>
      <c r="C139" s="8"/>
      <c r="D139" s="7" t="s">
        <v>130</v>
      </c>
    </row>
    <row r="140" spans="1:4" x14ac:dyDescent="0.35">
      <c r="A140" s="37">
        <f t="shared" si="6"/>
        <v>14</v>
      </c>
      <c r="B140" s="32">
        <f t="shared" si="7"/>
        <v>44294</v>
      </c>
      <c r="C140" s="8" t="s">
        <v>128</v>
      </c>
      <c r="D140" s="7" t="s">
        <v>117</v>
      </c>
    </row>
    <row r="141" spans="1:4" x14ac:dyDescent="0.35">
      <c r="A141" s="37">
        <f t="shared" si="6"/>
        <v>14</v>
      </c>
      <c r="B141" s="32">
        <f t="shared" si="7"/>
        <v>44295</v>
      </c>
      <c r="C141" s="8" t="s">
        <v>129</v>
      </c>
      <c r="D141" s="7"/>
    </row>
    <row r="142" spans="1:4" x14ac:dyDescent="0.35">
      <c r="A142" s="53">
        <f t="shared" si="6"/>
        <v>15</v>
      </c>
      <c r="B142" s="54">
        <f t="shared" si="7"/>
        <v>44299</v>
      </c>
      <c r="C142" s="55"/>
      <c r="D142" s="56" t="s">
        <v>130</v>
      </c>
    </row>
    <row r="143" spans="1:4" x14ac:dyDescent="0.35">
      <c r="A143" s="53">
        <f t="shared" si="6"/>
        <v>15</v>
      </c>
      <c r="B143" s="54">
        <f t="shared" si="7"/>
        <v>44301</v>
      </c>
      <c r="C143" s="55" t="s">
        <v>128</v>
      </c>
      <c r="D143" s="56" t="s">
        <v>117</v>
      </c>
    </row>
    <row r="144" spans="1:4" x14ac:dyDescent="0.35">
      <c r="A144" s="53">
        <f t="shared" si="6"/>
        <v>15</v>
      </c>
      <c r="B144" s="54">
        <f t="shared" si="7"/>
        <v>44302</v>
      </c>
      <c r="C144" s="55" t="s">
        <v>129</v>
      </c>
      <c r="D144" s="56"/>
    </row>
    <row r="145" spans="1:4" x14ac:dyDescent="0.35">
      <c r="A145" s="37">
        <f t="shared" si="6"/>
        <v>16</v>
      </c>
      <c r="B145" s="32">
        <f t="shared" si="7"/>
        <v>44306</v>
      </c>
      <c r="C145" s="8"/>
      <c r="D145" s="7" t="s">
        <v>130</v>
      </c>
    </row>
    <row r="146" spans="1:4" x14ac:dyDescent="0.35">
      <c r="A146" s="37">
        <f t="shared" si="6"/>
        <v>16</v>
      </c>
      <c r="B146" s="32">
        <f t="shared" si="7"/>
        <v>44308</v>
      </c>
      <c r="C146" s="8" t="s">
        <v>128</v>
      </c>
      <c r="D146" s="7" t="s">
        <v>117</v>
      </c>
    </row>
    <row r="147" spans="1:4" x14ac:dyDescent="0.35">
      <c r="A147" s="37">
        <f t="shared" si="6"/>
        <v>16</v>
      </c>
      <c r="B147" s="32">
        <f t="shared" si="7"/>
        <v>44309</v>
      </c>
      <c r="C147" s="8" t="s">
        <v>129</v>
      </c>
      <c r="D147" s="7"/>
    </row>
    <row r="148" spans="1:4" x14ac:dyDescent="0.35">
      <c r="A148" s="37">
        <f t="shared" si="6"/>
        <v>17</v>
      </c>
      <c r="B148" s="30">
        <f t="shared" si="7"/>
        <v>44313</v>
      </c>
      <c r="C148" s="13"/>
      <c r="D148" s="52"/>
    </row>
    <row r="149" spans="1:4" x14ac:dyDescent="0.35">
      <c r="A149" s="37">
        <f t="shared" si="6"/>
        <v>17</v>
      </c>
      <c r="B149" s="30">
        <f t="shared" si="7"/>
        <v>44315</v>
      </c>
      <c r="C149" s="13"/>
      <c r="D149" s="52"/>
    </row>
    <row r="150" spans="1:4" x14ac:dyDescent="0.35">
      <c r="A150" s="37">
        <f t="shared" si="6"/>
        <v>17</v>
      </c>
      <c r="B150" s="30">
        <f t="shared" si="7"/>
        <v>44316</v>
      </c>
      <c r="C150" s="13"/>
      <c r="D150" s="52"/>
    </row>
    <row r="151" spans="1:4" x14ac:dyDescent="0.35">
      <c r="A151" s="37">
        <f t="shared" si="6"/>
        <v>18</v>
      </c>
      <c r="B151" s="30">
        <f t="shared" si="7"/>
        <v>44320</v>
      </c>
      <c r="C151" s="13"/>
      <c r="D151" s="52"/>
    </row>
    <row r="152" spans="1:4" x14ac:dyDescent="0.35">
      <c r="A152" s="37">
        <f t="shared" si="6"/>
        <v>18</v>
      </c>
      <c r="B152" s="30">
        <f t="shared" si="7"/>
        <v>44322</v>
      </c>
      <c r="C152" s="13"/>
      <c r="D152" s="52"/>
    </row>
    <row r="153" spans="1:4" x14ac:dyDescent="0.35">
      <c r="A153" s="37">
        <f t="shared" si="6"/>
        <v>18</v>
      </c>
      <c r="B153" s="30">
        <f t="shared" si="7"/>
        <v>44323</v>
      </c>
      <c r="C153" s="13"/>
      <c r="D153" s="52"/>
    </row>
    <row r="154" spans="1:4" x14ac:dyDescent="0.35">
      <c r="A154" s="53">
        <f t="shared" si="6"/>
        <v>19</v>
      </c>
      <c r="B154" s="54">
        <f t="shared" si="7"/>
        <v>44327</v>
      </c>
      <c r="C154" s="55" t="s">
        <v>130</v>
      </c>
      <c r="D154" s="56" t="s">
        <v>130</v>
      </c>
    </row>
    <row r="155" spans="1:4" x14ac:dyDescent="0.35">
      <c r="A155" s="37">
        <f t="shared" si="6"/>
        <v>19</v>
      </c>
      <c r="B155" s="30">
        <f t="shared" si="7"/>
        <v>44329</v>
      </c>
      <c r="C155" s="13" t="s">
        <v>32</v>
      </c>
      <c r="D155" s="52"/>
    </row>
    <row r="156" spans="1:4" x14ac:dyDescent="0.35">
      <c r="A156" s="37">
        <f t="shared" si="6"/>
        <v>19</v>
      </c>
      <c r="B156" s="30">
        <f t="shared" si="7"/>
        <v>44330</v>
      </c>
      <c r="C156" s="13"/>
      <c r="D156" s="52"/>
    </row>
    <row r="157" spans="1:4" x14ac:dyDescent="0.35">
      <c r="A157" s="37">
        <f t="shared" si="6"/>
        <v>20</v>
      </c>
      <c r="B157" s="32">
        <f t="shared" si="7"/>
        <v>44334</v>
      </c>
      <c r="C157" s="8" t="s">
        <v>130</v>
      </c>
      <c r="D157" s="7" t="s">
        <v>130</v>
      </c>
    </row>
    <row r="158" spans="1:4" x14ac:dyDescent="0.35">
      <c r="A158" s="37">
        <f t="shared" si="6"/>
        <v>20</v>
      </c>
      <c r="B158" s="32">
        <f t="shared" si="7"/>
        <v>44336</v>
      </c>
      <c r="C158" s="8" t="s">
        <v>128</v>
      </c>
      <c r="D158" s="7" t="s">
        <v>117</v>
      </c>
    </row>
    <row r="159" spans="1:4" x14ac:dyDescent="0.35">
      <c r="A159" s="37">
        <f t="shared" si="6"/>
        <v>20</v>
      </c>
      <c r="B159" s="32">
        <f t="shared" si="7"/>
        <v>44337</v>
      </c>
      <c r="C159" s="8" t="s">
        <v>129</v>
      </c>
      <c r="D159" s="7"/>
    </row>
    <row r="160" spans="1:4" x14ac:dyDescent="0.35">
      <c r="A160" s="53">
        <f t="shared" si="6"/>
        <v>21</v>
      </c>
      <c r="B160" s="54">
        <f t="shared" si="7"/>
        <v>44341</v>
      </c>
      <c r="C160" s="55" t="s">
        <v>130</v>
      </c>
      <c r="D160" s="56" t="s">
        <v>130</v>
      </c>
    </row>
    <row r="161" spans="1:4" x14ac:dyDescent="0.35">
      <c r="A161" s="53">
        <f t="shared" si="6"/>
        <v>21</v>
      </c>
      <c r="B161" s="54">
        <f t="shared" si="7"/>
        <v>44343</v>
      </c>
      <c r="C161" s="55" t="s">
        <v>128</v>
      </c>
      <c r="D161" s="56" t="s">
        <v>117</v>
      </c>
    </row>
    <row r="162" spans="1:4" x14ac:dyDescent="0.35">
      <c r="A162" s="53">
        <f t="shared" si="6"/>
        <v>21</v>
      </c>
      <c r="B162" s="54">
        <f t="shared" si="7"/>
        <v>44344</v>
      </c>
      <c r="C162" s="55" t="s">
        <v>129</v>
      </c>
      <c r="D162" s="56"/>
    </row>
    <row r="163" spans="1:4" x14ac:dyDescent="0.35">
      <c r="A163" s="37">
        <f t="shared" ref="A163:A174" si="8">_xlfn.ISOWEEKNUM(B163)</f>
        <v>22</v>
      </c>
      <c r="B163" s="32">
        <f t="shared" si="7"/>
        <v>44348</v>
      </c>
      <c r="C163" s="8" t="s">
        <v>130</v>
      </c>
      <c r="D163" s="7" t="s">
        <v>130</v>
      </c>
    </row>
    <row r="164" spans="1:4" x14ac:dyDescent="0.35">
      <c r="A164" s="37">
        <f t="shared" si="8"/>
        <v>22</v>
      </c>
      <c r="B164" s="32">
        <f t="shared" si="7"/>
        <v>44350</v>
      </c>
      <c r="C164" s="8" t="s">
        <v>128</v>
      </c>
      <c r="D164" s="7" t="s">
        <v>117</v>
      </c>
    </row>
    <row r="165" spans="1:4" x14ac:dyDescent="0.35">
      <c r="A165" s="37">
        <f t="shared" si="8"/>
        <v>22</v>
      </c>
      <c r="B165" s="32">
        <f t="shared" si="7"/>
        <v>44351</v>
      </c>
      <c r="C165" s="8" t="s">
        <v>129</v>
      </c>
      <c r="D165" s="7"/>
    </row>
    <row r="166" spans="1:4" x14ac:dyDescent="0.35">
      <c r="A166" s="53">
        <f t="shared" si="8"/>
        <v>23</v>
      </c>
      <c r="B166" s="54">
        <f t="shared" si="7"/>
        <v>44355</v>
      </c>
      <c r="C166" s="55" t="s">
        <v>130</v>
      </c>
      <c r="D166" s="56" t="s">
        <v>130</v>
      </c>
    </row>
    <row r="167" spans="1:4" x14ac:dyDescent="0.35">
      <c r="A167" s="53">
        <f t="shared" si="8"/>
        <v>23</v>
      </c>
      <c r="B167" s="54">
        <f t="shared" si="7"/>
        <v>44357</v>
      </c>
      <c r="C167" s="55" t="s">
        <v>128</v>
      </c>
      <c r="D167" s="56" t="s">
        <v>117</v>
      </c>
    </row>
    <row r="168" spans="1:4" x14ac:dyDescent="0.35">
      <c r="A168" s="53">
        <f t="shared" si="8"/>
        <v>23</v>
      </c>
      <c r="B168" s="54">
        <f t="shared" si="7"/>
        <v>44358</v>
      </c>
      <c r="C168" s="55" t="s">
        <v>129</v>
      </c>
      <c r="D168" s="56"/>
    </row>
    <row r="169" spans="1:4" x14ac:dyDescent="0.35">
      <c r="A169" s="37">
        <f t="shared" si="8"/>
        <v>24</v>
      </c>
      <c r="B169" s="32">
        <f t="shared" si="7"/>
        <v>44362</v>
      </c>
      <c r="C169" s="8" t="s">
        <v>130</v>
      </c>
      <c r="D169" s="7" t="s">
        <v>130</v>
      </c>
    </row>
    <row r="170" spans="1:4" x14ac:dyDescent="0.35">
      <c r="A170" s="37">
        <f t="shared" si="8"/>
        <v>24</v>
      </c>
      <c r="B170" s="32">
        <f t="shared" si="7"/>
        <v>44364</v>
      </c>
      <c r="C170" s="8" t="s">
        <v>128</v>
      </c>
      <c r="D170" s="7" t="s">
        <v>117</v>
      </c>
    </row>
    <row r="171" spans="1:4" x14ac:dyDescent="0.35">
      <c r="A171" s="37">
        <f t="shared" si="8"/>
        <v>24</v>
      </c>
      <c r="B171" s="32">
        <f t="shared" si="7"/>
        <v>44365</v>
      </c>
      <c r="C171" s="8" t="s">
        <v>129</v>
      </c>
      <c r="D171" s="7"/>
    </row>
    <row r="172" spans="1:4" x14ac:dyDescent="0.35">
      <c r="A172" s="53">
        <f t="shared" si="8"/>
        <v>25</v>
      </c>
      <c r="B172" s="54">
        <f t="shared" si="7"/>
        <v>44369</v>
      </c>
      <c r="C172" s="55" t="s">
        <v>130</v>
      </c>
      <c r="D172" s="56" t="s">
        <v>130</v>
      </c>
    </row>
    <row r="173" spans="1:4" x14ac:dyDescent="0.35">
      <c r="A173" s="53">
        <f t="shared" si="8"/>
        <v>25</v>
      </c>
      <c r="B173" s="54">
        <f t="shared" si="7"/>
        <v>44371</v>
      </c>
      <c r="C173" s="55" t="s">
        <v>128</v>
      </c>
      <c r="D173" s="56" t="s">
        <v>117</v>
      </c>
    </row>
    <row r="174" spans="1:4" x14ac:dyDescent="0.35">
      <c r="A174" s="53">
        <f t="shared" si="8"/>
        <v>25</v>
      </c>
      <c r="B174" s="54">
        <f t="shared" si="7"/>
        <v>44372</v>
      </c>
      <c r="C174" s="55" t="s">
        <v>129</v>
      </c>
      <c r="D174" s="56"/>
    </row>
    <row r="175" spans="1:4" x14ac:dyDescent="0.35">
      <c r="A175" s="37">
        <f t="shared" ref="A175:A183" si="9">_xlfn.ISOWEEKNUM(B175)</f>
        <v>26</v>
      </c>
      <c r="B175" s="32">
        <f t="shared" si="7"/>
        <v>44376</v>
      </c>
      <c r="C175" s="8" t="s">
        <v>130</v>
      </c>
      <c r="D175" s="7" t="s">
        <v>130</v>
      </c>
    </row>
    <row r="176" spans="1:4" x14ac:dyDescent="0.35">
      <c r="A176" s="37">
        <f t="shared" si="9"/>
        <v>26</v>
      </c>
      <c r="B176" s="32">
        <f t="shared" si="7"/>
        <v>44378</v>
      </c>
      <c r="C176" s="8" t="s">
        <v>128</v>
      </c>
      <c r="D176" s="7" t="s">
        <v>117</v>
      </c>
    </row>
    <row r="177" spans="1:4" x14ac:dyDescent="0.35">
      <c r="A177" s="37">
        <f t="shared" si="9"/>
        <v>26</v>
      </c>
      <c r="B177" s="32">
        <f t="shared" si="7"/>
        <v>44379</v>
      </c>
      <c r="C177" s="8" t="s">
        <v>129</v>
      </c>
      <c r="D177" s="7"/>
    </row>
    <row r="178" spans="1:4" x14ac:dyDescent="0.35">
      <c r="A178" s="53">
        <f t="shared" si="9"/>
        <v>27</v>
      </c>
      <c r="B178" s="54">
        <f t="shared" si="7"/>
        <v>44383</v>
      </c>
      <c r="C178" s="55" t="s">
        <v>130</v>
      </c>
      <c r="D178" s="56" t="s">
        <v>130</v>
      </c>
    </row>
    <row r="179" spans="1:4" x14ac:dyDescent="0.35">
      <c r="A179" s="53">
        <f t="shared" si="9"/>
        <v>27</v>
      </c>
      <c r="B179" s="54">
        <f t="shared" ref="B179:B183" si="10">B176+7</f>
        <v>44385</v>
      </c>
      <c r="C179" s="55" t="s">
        <v>128</v>
      </c>
      <c r="D179" s="56" t="s">
        <v>117</v>
      </c>
    </row>
    <row r="180" spans="1:4" x14ac:dyDescent="0.35">
      <c r="A180" s="53">
        <f t="shared" si="9"/>
        <v>27</v>
      </c>
      <c r="B180" s="54">
        <f t="shared" si="10"/>
        <v>44386</v>
      </c>
      <c r="C180" s="55" t="s">
        <v>129</v>
      </c>
      <c r="D180" s="56"/>
    </row>
    <row r="181" spans="1:4" x14ac:dyDescent="0.35">
      <c r="A181" s="37">
        <f t="shared" si="9"/>
        <v>28</v>
      </c>
      <c r="B181" s="32">
        <f t="shared" si="10"/>
        <v>44390</v>
      </c>
      <c r="C181" s="8" t="s">
        <v>130</v>
      </c>
      <c r="D181" s="7" t="s">
        <v>130</v>
      </c>
    </row>
    <row r="182" spans="1:4" x14ac:dyDescent="0.35">
      <c r="A182" s="37">
        <f t="shared" si="9"/>
        <v>28</v>
      </c>
      <c r="B182" s="32">
        <f t="shared" si="10"/>
        <v>44392</v>
      </c>
      <c r="C182" s="8" t="s">
        <v>128</v>
      </c>
      <c r="D182" s="7" t="s">
        <v>117</v>
      </c>
    </row>
    <row r="183" spans="1:4" ht="15" thickBot="1" x14ac:dyDescent="0.4">
      <c r="A183" s="38">
        <f t="shared" si="9"/>
        <v>28</v>
      </c>
      <c r="B183" s="33">
        <f t="shared" si="10"/>
        <v>44393</v>
      </c>
      <c r="C183" s="4" t="s">
        <v>129</v>
      </c>
      <c r="D183" s="3"/>
    </row>
  </sheetData>
  <autoFilter ref="A39:D183" xr:uid="{00000000-0009-0000-0000-000003000000}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62" customWidth="1"/>
    <col min="5" max="5" width="54" customWidth="1"/>
  </cols>
  <sheetData>
    <row r="1" spans="2:4" ht="40.5" customHeight="1" x14ac:dyDescent="0.55000000000000004">
      <c r="B1" s="35" t="s">
        <v>63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'2020-2021'!J6</f>
        <v>44064</v>
      </c>
      <c r="C4" s="16"/>
      <c r="D4" s="15" t="s">
        <v>80</v>
      </c>
    </row>
    <row r="5" spans="2:4" x14ac:dyDescent="0.35">
      <c r="B5" s="32">
        <f t="shared" ref="B5:B27" si="0">B4+7</f>
        <v>44071</v>
      </c>
      <c r="C5" s="8"/>
      <c r="D5" s="7" t="s">
        <v>81</v>
      </c>
    </row>
    <row r="6" spans="2:4" x14ac:dyDescent="0.35">
      <c r="B6" s="32">
        <f t="shared" si="0"/>
        <v>44078</v>
      </c>
      <c r="C6" s="8"/>
      <c r="D6" s="7" t="s">
        <v>82</v>
      </c>
    </row>
    <row r="7" spans="2:4" x14ac:dyDescent="0.35">
      <c r="B7" s="32">
        <f t="shared" si="0"/>
        <v>44085</v>
      </c>
      <c r="C7" s="8"/>
      <c r="D7" s="7" t="s">
        <v>83</v>
      </c>
    </row>
    <row r="8" spans="2:4" x14ac:dyDescent="0.35">
      <c r="B8" s="32">
        <f t="shared" si="0"/>
        <v>44092</v>
      </c>
      <c r="C8" s="8"/>
      <c r="D8" s="7" t="s">
        <v>84</v>
      </c>
    </row>
    <row r="9" spans="2:4" x14ac:dyDescent="0.35">
      <c r="B9" s="32">
        <f t="shared" si="0"/>
        <v>44099</v>
      </c>
      <c r="C9" s="8"/>
      <c r="D9" s="11" t="s">
        <v>28</v>
      </c>
    </row>
    <row r="10" spans="2:4" x14ac:dyDescent="0.35">
      <c r="B10" s="32">
        <f t="shared" si="0"/>
        <v>44106</v>
      </c>
      <c r="C10" s="8"/>
      <c r="D10" s="7" t="s">
        <v>85</v>
      </c>
    </row>
    <row r="11" spans="2:4" x14ac:dyDescent="0.35">
      <c r="B11" s="30">
        <f t="shared" si="0"/>
        <v>44113</v>
      </c>
      <c r="C11" s="13" t="s">
        <v>36</v>
      </c>
      <c r="D11" s="7"/>
    </row>
    <row r="12" spans="2:4" x14ac:dyDescent="0.35">
      <c r="B12" s="30">
        <f t="shared" si="0"/>
        <v>44120</v>
      </c>
      <c r="C12" s="13" t="s">
        <v>36</v>
      </c>
      <c r="D12" s="7"/>
    </row>
    <row r="13" spans="2:4" x14ac:dyDescent="0.35">
      <c r="B13" s="32">
        <f t="shared" si="0"/>
        <v>44127</v>
      </c>
      <c r="C13" s="8"/>
      <c r="D13" s="7" t="s">
        <v>86</v>
      </c>
    </row>
    <row r="14" spans="2:4" x14ac:dyDescent="0.35">
      <c r="B14" s="32">
        <f t="shared" si="0"/>
        <v>44134</v>
      </c>
      <c r="C14" s="8"/>
      <c r="D14" s="7" t="s">
        <v>87</v>
      </c>
    </row>
    <row r="15" spans="2:4" x14ac:dyDescent="0.35">
      <c r="B15" s="32">
        <f t="shared" si="0"/>
        <v>44141</v>
      </c>
      <c r="C15" s="8"/>
      <c r="D15" s="7" t="s">
        <v>88</v>
      </c>
    </row>
    <row r="16" spans="2:4" x14ac:dyDescent="0.35">
      <c r="B16" s="32">
        <f t="shared" si="0"/>
        <v>44148</v>
      </c>
      <c r="C16" s="8"/>
      <c r="D16" s="7" t="s">
        <v>89</v>
      </c>
    </row>
    <row r="17" spans="2:4" x14ac:dyDescent="0.35">
      <c r="B17" s="32">
        <f t="shared" si="0"/>
        <v>44155</v>
      </c>
      <c r="C17" s="8"/>
      <c r="D17" s="11" t="s">
        <v>28</v>
      </c>
    </row>
    <row r="18" spans="2:4" x14ac:dyDescent="0.35">
      <c r="B18" s="32">
        <f t="shared" si="0"/>
        <v>44162</v>
      </c>
      <c r="C18" s="8"/>
      <c r="D18" s="7" t="s">
        <v>90</v>
      </c>
    </row>
    <row r="19" spans="2:4" x14ac:dyDescent="0.35">
      <c r="B19" s="32">
        <f t="shared" si="0"/>
        <v>44169</v>
      </c>
      <c r="C19" s="8"/>
      <c r="D19" s="7" t="s">
        <v>91</v>
      </c>
    </row>
    <row r="20" spans="2:4" x14ac:dyDescent="0.35">
      <c r="B20" s="32">
        <f t="shared" si="0"/>
        <v>44176</v>
      </c>
      <c r="C20" s="8"/>
      <c r="D20" s="7" t="s">
        <v>91</v>
      </c>
    </row>
    <row r="21" spans="2:4" x14ac:dyDescent="0.35">
      <c r="B21" s="32">
        <f t="shared" si="0"/>
        <v>44183</v>
      </c>
      <c r="C21" s="8"/>
      <c r="D21" s="7" t="s">
        <v>91</v>
      </c>
    </row>
    <row r="22" spans="2:4" x14ac:dyDescent="0.35">
      <c r="B22" s="30">
        <f t="shared" si="0"/>
        <v>44190</v>
      </c>
      <c r="C22" s="13" t="s">
        <v>36</v>
      </c>
      <c r="D22" s="7"/>
    </row>
    <row r="23" spans="2:4" x14ac:dyDescent="0.35">
      <c r="B23" s="30">
        <f t="shared" si="0"/>
        <v>44197</v>
      </c>
      <c r="C23" s="13" t="s">
        <v>36</v>
      </c>
      <c r="D23" s="7"/>
    </row>
    <row r="24" spans="2:4" x14ac:dyDescent="0.35">
      <c r="B24" s="32">
        <f t="shared" si="0"/>
        <v>44204</v>
      </c>
      <c r="C24" s="8"/>
      <c r="D24" s="34" t="s">
        <v>92</v>
      </c>
    </row>
    <row r="25" spans="2:4" x14ac:dyDescent="0.35">
      <c r="B25" s="32">
        <f t="shared" si="0"/>
        <v>44211</v>
      </c>
      <c r="C25" s="8"/>
      <c r="D25" s="11" t="s">
        <v>28</v>
      </c>
    </row>
    <row r="26" spans="2:4" x14ac:dyDescent="0.35">
      <c r="B26" s="32">
        <f t="shared" si="0"/>
        <v>44218</v>
      </c>
      <c r="C26" s="8"/>
      <c r="D26" s="7" t="s">
        <v>93</v>
      </c>
    </row>
    <row r="27" spans="2:4" ht="15" thickBot="1" x14ac:dyDescent="0.4">
      <c r="B27" s="33">
        <f t="shared" si="0"/>
        <v>44225</v>
      </c>
      <c r="C27" s="4"/>
      <c r="D27" s="3" t="s">
        <v>94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3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54.453125" customWidth="1"/>
    <col min="5" max="5" width="54" customWidth="1"/>
  </cols>
  <sheetData>
    <row r="1" spans="2:4" ht="43.5" customHeight="1" x14ac:dyDescent="0.55000000000000004">
      <c r="B1" s="35" t="s">
        <v>79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'2020-2021'!I6</f>
        <v>44063</v>
      </c>
      <c r="C4" s="16"/>
      <c r="D4" s="15" t="s">
        <v>95</v>
      </c>
    </row>
    <row r="5" spans="2:4" x14ac:dyDescent="0.35">
      <c r="B5" s="32">
        <f t="shared" ref="B5:B27" si="0">B4+7</f>
        <v>44070</v>
      </c>
      <c r="C5" s="8"/>
      <c r="D5" s="7" t="s">
        <v>96</v>
      </c>
    </row>
    <row r="6" spans="2:4" x14ac:dyDescent="0.35">
      <c r="B6" s="32">
        <f t="shared" si="0"/>
        <v>44077</v>
      </c>
      <c r="C6" s="8"/>
      <c r="D6" s="7" t="s">
        <v>97</v>
      </c>
    </row>
    <row r="7" spans="2:4" x14ac:dyDescent="0.35">
      <c r="B7" s="32">
        <f t="shared" si="0"/>
        <v>44084</v>
      </c>
      <c r="C7" s="8"/>
      <c r="D7" s="7" t="s">
        <v>97</v>
      </c>
    </row>
    <row r="8" spans="2:4" x14ac:dyDescent="0.35">
      <c r="B8" s="32">
        <f t="shared" si="0"/>
        <v>44091</v>
      </c>
      <c r="C8" s="8"/>
      <c r="D8" s="7" t="s">
        <v>97</v>
      </c>
    </row>
    <row r="9" spans="2:4" x14ac:dyDescent="0.35">
      <c r="B9" s="32">
        <f t="shared" si="0"/>
        <v>44098</v>
      </c>
      <c r="C9" s="8"/>
      <c r="D9" s="11" t="s">
        <v>28</v>
      </c>
    </row>
    <row r="10" spans="2:4" x14ac:dyDescent="0.35">
      <c r="B10" s="32">
        <f t="shared" si="0"/>
        <v>44105</v>
      </c>
      <c r="C10" s="8"/>
      <c r="D10" s="7" t="s">
        <v>98</v>
      </c>
    </row>
    <row r="11" spans="2:4" x14ac:dyDescent="0.35">
      <c r="B11" s="30">
        <f t="shared" si="0"/>
        <v>44112</v>
      </c>
      <c r="C11" s="13" t="s">
        <v>36</v>
      </c>
      <c r="D11" s="7"/>
    </row>
    <row r="12" spans="2:4" x14ac:dyDescent="0.35">
      <c r="B12" s="30">
        <f t="shared" si="0"/>
        <v>44119</v>
      </c>
      <c r="C12" s="13" t="s">
        <v>36</v>
      </c>
      <c r="D12" s="7"/>
    </row>
    <row r="13" spans="2:4" x14ac:dyDescent="0.35">
      <c r="B13" s="32">
        <f t="shared" si="0"/>
        <v>44126</v>
      </c>
      <c r="C13" s="8"/>
      <c r="D13" s="7" t="s">
        <v>99</v>
      </c>
    </row>
    <row r="14" spans="2:4" x14ac:dyDescent="0.35">
      <c r="B14" s="32">
        <f t="shared" si="0"/>
        <v>44133</v>
      </c>
      <c r="C14" s="8"/>
      <c r="D14" s="7" t="s">
        <v>100</v>
      </c>
    </row>
    <row r="15" spans="2:4" x14ac:dyDescent="0.35">
      <c r="B15" s="32">
        <f t="shared" si="0"/>
        <v>44140</v>
      </c>
      <c r="C15" s="8"/>
      <c r="D15" s="7" t="s">
        <v>101</v>
      </c>
    </row>
    <row r="16" spans="2:4" x14ac:dyDescent="0.35">
      <c r="B16" s="32">
        <f t="shared" si="0"/>
        <v>44147</v>
      </c>
      <c r="C16" s="8"/>
      <c r="D16" s="7" t="s">
        <v>104</v>
      </c>
    </row>
    <row r="17" spans="2:4" x14ac:dyDescent="0.35">
      <c r="B17" s="32">
        <f t="shared" si="0"/>
        <v>44154</v>
      </c>
      <c r="C17" s="8"/>
      <c r="D17" s="11" t="s">
        <v>28</v>
      </c>
    </row>
    <row r="18" spans="2:4" x14ac:dyDescent="0.35">
      <c r="B18" s="32">
        <f t="shared" si="0"/>
        <v>44161</v>
      </c>
      <c r="C18" s="8"/>
      <c r="D18" s="7" t="s">
        <v>102</v>
      </c>
    </row>
    <row r="19" spans="2:4" x14ac:dyDescent="0.35">
      <c r="B19" s="32">
        <f t="shared" si="0"/>
        <v>44168</v>
      </c>
      <c r="C19" s="8"/>
      <c r="D19" s="7" t="s">
        <v>103</v>
      </c>
    </row>
    <row r="20" spans="2:4" x14ac:dyDescent="0.35">
      <c r="B20" s="32">
        <f t="shared" si="0"/>
        <v>44175</v>
      </c>
      <c r="C20" s="8"/>
      <c r="D20" s="7" t="s">
        <v>105</v>
      </c>
    </row>
    <row r="21" spans="2:4" x14ac:dyDescent="0.35">
      <c r="B21" s="32">
        <f t="shared" si="0"/>
        <v>44182</v>
      </c>
      <c r="C21" s="8"/>
      <c r="D21" s="7" t="s">
        <v>105</v>
      </c>
    </row>
    <row r="22" spans="2:4" x14ac:dyDescent="0.35">
      <c r="B22" s="30">
        <f t="shared" si="0"/>
        <v>44189</v>
      </c>
      <c r="C22" s="13" t="s">
        <v>36</v>
      </c>
      <c r="D22" s="7"/>
    </row>
    <row r="23" spans="2:4" x14ac:dyDescent="0.35">
      <c r="B23" s="30">
        <f t="shared" si="0"/>
        <v>44196</v>
      </c>
      <c r="C23" s="13" t="s">
        <v>36</v>
      </c>
      <c r="D23" s="7"/>
    </row>
    <row r="24" spans="2:4" x14ac:dyDescent="0.35">
      <c r="B24" s="32">
        <f t="shared" si="0"/>
        <v>44203</v>
      </c>
      <c r="C24" s="8"/>
      <c r="D24" s="34" t="s">
        <v>106</v>
      </c>
    </row>
    <row r="25" spans="2:4" x14ac:dyDescent="0.35">
      <c r="B25" s="32">
        <f t="shared" si="0"/>
        <v>44210</v>
      </c>
      <c r="C25" s="8"/>
      <c r="D25" s="11" t="s">
        <v>28</v>
      </c>
    </row>
    <row r="26" spans="2:4" x14ac:dyDescent="0.35">
      <c r="B26" s="32">
        <f t="shared" si="0"/>
        <v>44217</v>
      </c>
      <c r="C26" s="8"/>
      <c r="D26" s="7" t="s">
        <v>107</v>
      </c>
    </row>
    <row r="27" spans="2:4" ht="15" thickBot="1" x14ac:dyDescent="0.4">
      <c r="B27" s="33">
        <f t="shared" si="0"/>
        <v>44224</v>
      </c>
      <c r="C27" s="4"/>
      <c r="D27" s="7" t="s">
        <v>107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4.5" x14ac:dyDescent="0.35"/>
  <cols>
    <col min="2" max="2" width="15.81640625" customWidth="1"/>
    <col min="3" max="3" width="18.26953125" customWidth="1"/>
    <col min="4" max="4" width="84.1796875" customWidth="1"/>
    <col min="5" max="5" width="82.7265625" customWidth="1"/>
  </cols>
  <sheetData>
    <row r="1" spans="2:4" ht="37.5" customHeight="1" x14ac:dyDescent="0.55000000000000004">
      <c r="B1" s="35" t="s">
        <v>108</v>
      </c>
    </row>
    <row r="2" spans="2:4" ht="15" thickBot="1" x14ac:dyDescent="0.4"/>
    <row r="3" spans="2:4" ht="15" thickBot="1" x14ac:dyDescent="0.4">
      <c r="B3" s="21" t="s">
        <v>48</v>
      </c>
      <c r="C3" s="20" t="s">
        <v>47</v>
      </c>
      <c r="D3" s="19" t="s">
        <v>46</v>
      </c>
    </row>
    <row r="4" spans="2:4" ht="15" thickBot="1" x14ac:dyDescent="0.4">
      <c r="B4" s="61">
        <f>'2020-2021'!I6</f>
        <v>44063</v>
      </c>
      <c r="C4" s="16"/>
      <c r="D4" s="66" t="s">
        <v>136</v>
      </c>
    </row>
    <row r="5" spans="2:4" x14ac:dyDescent="0.35">
      <c r="B5" s="62">
        <f t="shared" ref="B5:B27" si="0">B4+7</f>
        <v>44070</v>
      </c>
      <c r="C5" s="8"/>
      <c r="D5" s="15" t="s">
        <v>133</v>
      </c>
    </row>
    <row r="6" spans="2:4" x14ac:dyDescent="0.35">
      <c r="B6" s="62">
        <f t="shared" si="0"/>
        <v>44077</v>
      </c>
      <c r="C6" s="8"/>
      <c r="D6" s="7" t="s">
        <v>124</v>
      </c>
    </row>
    <row r="7" spans="2:4" x14ac:dyDescent="0.35">
      <c r="B7" s="62">
        <f t="shared" si="0"/>
        <v>44084</v>
      </c>
      <c r="C7" s="8"/>
      <c r="D7" s="7" t="s">
        <v>135</v>
      </c>
    </row>
    <row r="8" spans="2:4" x14ac:dyDescent="0.35">
      <c r="B8" s="62">
        <f t="shared" si="0"/>
        <v>44091</v>
      </c>
      <c r="C8" s="8"/>
      <c r="D8" s="7" t="s">
        <v>122</v>
      </c>
    </row>
    <row r="9" spans="2:4" x14ac:dyDescent="0.35">
      <c r="B9" s="62">
        <f t="shared" si="0"/>
        <v>44098</v>
      </c>
      <c r="C9" s="8"/>
      <c r="D9" s="11" t="s">
        <v>28</v>
      </c>
    </row>
    <row r="10" spans="2:4" x14ac:dyDescent="0.35">
      <c r="B10" s="62">
        <f t="shared" si="0"/>
        <v>44105</v>
      </c>
      <c r="C10" s="8"/>
      <c r="D10" s="7" t="s">
        <v>123</v>
      </c>
    </row>
    <row r="11" spans="2:4" x14ac:dyDescent="0.35">
      <c r="B11" s="63">
        <f t="shared" si="0"/>
        <v>44112</v>
      </c>
      <c r="C11" s="13" t="s">
        <v>36</v>
      </c>
      <c r="D11" s="7"/>
    </row>
    <row r="12" spans="2:4" x14ac:dyDescent="0.35">
      <c r="B12" s="63">
        <f t="shared" si="0"/>
        <v>44119</v>
      </c>
      <c r="C12" s="13" t="s">
        <v>36</v>
      </c>
      <c r="D12" s="7"/>
    </row>
    <row r="13" spans="2:4" x14ac:dyDescent="0.35">
      <c r="B13" s="62">
        <f t="shared" si="0"/>
        <v>44126</v>
      </c>
      <c r="C13" s="8"/>
      <c r="D13" s="65"/>
    </row>
    <row r="14" spans="2:4" x14ac:dyDescent="0.35">
      <c r="B14" s="62">
        <f t="shared" si="0"/>
        <v>44133</v>
      </c>
      <c r="C14" s="8"/>
      <c r="D14" s="7" t="s">
        <v>125</v>
      </c>
    </row>
    <row r="15" spans="2:4" x14ac:dyDescent="0.35">
      <c r="B15" s="62">
        <f t="shared" si="0"/>
        <v>44140</v>
      </c>
      <c r="C15" s="8"/>
      <c r="D15" s="7" t="s">
        <v>131</v>
      </c>
    </row>
    <row r="16" spans="2:4" x14ac:dyDescent="0.35">
      <c r="B16" s="62">
        <f t="shared" si="0"/>
        <v>44147</v>
      </c>
      <c r="C16" s="8"/>
      <c r="D16" s="7" t="s">
        <v>134</v>
      </c>
    </row>
    <row r="17" spans="2:4" x14ac:dyDescent="0.35">
      <c r="B17" s="62">
        <f t="shared" si="0"/>
        <v>44154</v>
      </c>
      <c r="C17" s="8"/>
      <c r="D17" s="11" t="s">
        <v>28</v>
      </c>
    </row>
    <row r="18" spans="2:4" x14ac:dyDescent="0.35">
      <c r="B18" s="62">
        <f t="shared" si="0"/>
        <v>44161</v>
      </c>
      <c r="C18" s="8"/>
      <c r="D18" s="7" t="s">
        <v>121</v>
      </c>
    </row>
    <row r="19" spans="2:4" x14ac:dyDescent="0.35">
      <c r="B19" s="62">
        <f t="shared" si="0"/>
        <v>44168</v>
      </c>
      <c r="C19" s="8"/>
      <c r="D19" s="7"/>
    </row>
    <row r="20" spans="2:4" x14ac:dyDescent="0.35">
      <c r="B20" s="62">
        <f t="shared" si="0"/>
        <v>44175</v>
      </c>
      <c r="C20" s="8"/>
      <c r="D20" s="7" t="s">
        <v>111</v>
      </c>
    </row>
    <row r="21" spans="2:4" x14ac:dyDescent="0.35">
      <c r="B21" s="62">
        <f t="shared" si="0"/>
        <v>44182</v>
      </c>
      <c r="C21" s="8"/>
      <c r="D21" s="7"/>
    </row>
    <row r="22" spans="2:4" x14ac:dyDescent="0.35">
      <c r="B22" s="63">
        <f t="shared" si="0"/>
        <v>44189</v>
      </c>
      <c r="C22" s="13" t="s">
        <v>36</v>
      </c>
      <c r="D22" s="7"/>
    </row>
    <row r="23" spans="2:4" x14ac:dyDescent="0.35">
      <c r="B23" s="63">
        <f t="shared" si="0"/>
        <v>44196</v>
      </c>
      <c r="C23" s="13" t="s">
        <v>36</v>
      </c>
      <c r="D23" s="7"/>
    </row>
    <row r="24" spans="2:4" x14ac:dyDescent="0.35">
      <c r="B24" s="62">
        <f t="shared" si="0"/>
        <v>44203</v>
      </c>
      <c r="C24" s="8"/>
      <c r="D24" s="34"/>
    </row>
    <row r="25" spans="2:4" x14ac:dyDescent="0.35">
      <c r="B25" s="62">
        <f t="shared" si="0"/>
        <v>44210</v>
      </c>
      <c r="C25" s="8"/>
      <c r="D25" s="11" t="s">
        <v>28</v>
      </c>
    </row>
    <row r="26" spans="2:4" x14ac:dyDescent="0.35">
      <c r="B26" s="62">
        <f t="shared" si="0"/>
        <v>44217</v>
      </c>
      <c r="C26" s="8"/>
      <c r="D26" s="7" t="s">
        <v>110</v>
      </c>
    </row>
    <row r="27" spans="2:4" ht="15" thickBot="1" x14ac:dyDescent="0.4">
      <c r="B27" s="64">
        <f t="shared" si="0"/>
        <v>44224</v>
      </c>
      <c r="C27" s="4"/>
      <c r="D27" s="3"/>
    </row>
    <row r="28" spans="2:4" ht="15" thickBot="1" x14ac:dyDescent="0.4"/>
    <row r="29" spans="2:4" x14ac:dyDescent="0.35">
      <c r="B29" s="31">
        <v>44231</v>
      </c>
      <c r="C29" s="16"/>
      <c r="D29" s="15"/>
    </row>
    <row r="30" spans="2:4" x14ac:dyDescent="0.35">
      <c r="B30" s="32">
        <f t="shared" ref="B30:B52" si="1">B29+7</f>
        <v>44238</v>
      </c>
      <c r="C30" s="8"/>
      <c r="D30" s="7" t="s">
        <v>109</v>
      </c>
    </row>
    <row r="31" spans="2:4" x14ac:dyDescent="0.35">
      <c r="B31" s="32">
        <f t="shared" si="1"/>
        <v>44245</v>
      </c>
      <c r="C31" s="8"/>
      <c r="D31" s="7"/>
    </row>
    <row r="32" spans="2:4" x14ac:dyDescent="0.35">
      <c r="B32" s="30">
        <f t="shared" si="1"/>
        <v>44252</v>
      </c>
      <c r="C32" s="13" t="s">
        <v>36</v>
      </c>
      <c r="D32" s="7"/>
    </row>
    <row r="33" spans="2:6" x14ac:dyDescent="0.35">
      <c r="B33" s="30">
        <f t="shared" si="1"/>
        <v>44259</v>
      </c>
      <c r="C33" s="13" t="s">
        <v>36</v>
      </c>
      <c r="D33" s="7"/>
    </row>
    <row r="34" spans="2:6" x14ac:dyDescent="0.35">
      <c r="B34" s="32">
        <f t="shared" si="1"/>
        <v>44266</v>
      </c>
      <c r="C34" s="8"/>
      <c r="D34" s="7" t="s">
        <v>142</v>
      </c>
    </row>
    <row r="35" spans="2:6" x14ac:dyDescent="0.35">
      <c r="B35" s="32">
        <f t="shared" si="1"/>
        <v>44273</v>
      </c>
      <c r="C35" s="8"/>
      <c r="D35" s="11" t="s">
        <v>28</v>
      </c>
    </row>
    <row r="36" spans="2:6" x14ac:dyDescent="0.35">
      <c r="B36" s="32">
        <f t="shared" si="1"/>
        <v>44280</v>
      </c>
      <c r="C36" s="8"/>
      <c r="D36" s="7"/>
    </row>
    <row r="37" spans="2:6" x14ac:dyDescent="0.35">
      <c r="B37" s="32">
        <f t="shared" si="1"/>
        <v>44287</v>
      </c>
      <c r="C37" s="8" t="s">
        <v>137</v>
      </c>
      <c r="D37" s="7" t="s">
        <v>112</v>
      </c>
    </row>
    <row r="38" spans="2:6" x14ac:dyDescent="0.35">
      <c r="B38" s="32">
        <f t="shared" si="1"/>
        <v>44294</v>
      </c>
      <c r="C38" s="8"/>
      <c r="D38" s="7"/>
    </row>
    <row r="39" spans="2:6" x14ac:dyDescent="0.35">
      <c r="B39" s="32">
        <f t="shared" si="1"/>
        <v>44301</v>
      </c>
      <c r="C39" s="8"/>
      <c r="D39" s="7"/>
    </row>
    <row r="40" spans="2:6" x14ac:dyDescent="0.35">
      <c r="B40" s="32">
        <f t="shared" si="1"/>
        <v>44308</v>
      </c>
      <c r="C40" s="8"/>
      <c r="D40" s="7" t="s">
        <v>126</v>
      </c>
    </row>
    <row r="41" spans="2:6" x14ac:dyDescent="0.35">
      <c r="B41" s="30">
        <f t="shared" si="1"/>
        <v>44315</v>
      </c>
      <c r="C41" s="13" t="s">
        <v>36</v>
      </c>
      <c r="D41" s="7"/>
      <c r="F41" s="71"/>
    </row>
    <row r="42" spans="2:6" x14ac:dyDescent="0.35">
      <c r="B42" s="30">
        <f t="shared" si="1"/>
        <v>44322</v>
      </c>
      <c r="C42" s="13" t="s">
        <v>36</v>
      </c>
      <c r="D42" s="7"/>
    </row>
    <row r="43" spans="2:6" x14ac:dyDescent="0.35">
      <c r="B43" s="30">
        <f t="shared" si="1"/>
        <v>44329</v>
      </c>
      <c r="C43" s="13" t="s">
        <v>139</v>
      </c>
      <c r="D43" s="7"/>
    </row>
    <row r="44" spans="2:6" x14ac:dyDescent="0.35">
      <c r="B44" s="32">
        <f t="shared" si="1"/>
        <v>44336</v>
      </c>
      <c r="C44" s="8"/>
      <c r="D44" s="11" t="s">
        <v>28</v>
      </c>
    </row>
    <row r="45" spans="2:6" x14ac:dyDescent="0.35">
      <c r="B45" s="32">
        <f t="shared" si="1"/>
        <v>44343</v>
      </c>
      <c r="C45" s="8"/>
      <c r="D45" s="7"/>
    </row>
    <row r="46" spans="2:6" x14ac:dyDescent="0.35">
      <c r="B46" s="32">
        <f t="shared" si="1"/>
        <v>44350</v>
      </c>
      <c r="C46" s="8"/>
      <c r="D46" s="7" t="s">
        <v>132</v>
      </c>
    </row>
    <row r="47" spans="2:6" x14ac:dyDescent="0.35">
      <c r="B47" s="32">
        <f t="shared" si="1"/>
        <v>44357</v>
      </c>
      <c r="C47" s="8"/>
      <c r="D47" s="7"/>
    </row>
    <row r="48" spans="2:6" x14ac:dyDescent="0.35">
      <c r="B48" s="32">
        <f t="shared" si="1"/>
        <v>44364</v>
      </c>
      <c r="C48" s="8"/>
      <c r="D48" s="7" t="s">
        <v>113</v>
      </c>
    </row>
    <row r="49" spans="2:4" x14ac:dyDescent="0.35">
      <c r="B49" s="32">
        <f t="shared" si="1"/>
        <v>44371</v>
      </c>
      <c r="C49" s="8"/>
      <c r="D49" s="7"/>
    </row>
    <row r="50" spans="2:4" x14ac:dyDescent="0.35">
      <c r="B50" s="32">
        <f t="shared" si="1"/>
        <v>44378</v>
      </c>
      <c r="C50" s="8"/>
      <c r="D50" s="11" t="s">
        <v>28</v>
      </c>
    </row>
    <row r="51" spans="2:4" x14ac:dyDescent="0.35">
      <c r="B51" s="32">
        <f t="shared" si="1"/>
        <v>44385</v>
      </c>
      <c r="C51" s="8"/>
      <c r="D51" s="7"/>
    </row>
    <row r="52" spans="2:4" ht="15" thickBot="1" x14ac:dyDescent="0.4">
      <c r="B52" s="69">
        <f t="shared" si="1"/>
        <v>44392</v>
      </c>
      <c r="C52" s="68" t="s">
        <v>138</v>
      </c>
      <c r="D52" s="3"/>
    </row>
    <row r="53" spans="2:4" x14ac:dyDescent="0.35">
      <c r="B53" s="29"/>
    </row>
    <row r="54" spans="2:4" x14ac:dyDescent="0.35">
      <c r="B54" s="29"/>
    </row>
    <row r="55" spans="2:4" x14ac:dyDescent="0.35">
      <c r="B55" s="29"/>
    </row>
    <row r="56" spans="2:4" x14ac:dyDescent="0.35">
      <c r="B56" s="29"/>
    </row>
    <row r="57" spans="2:4" x14ac:dyDescent="0.35">
      <c r="B57" s="29"/>
    </row>
    <row r="58" spans="2:4" x14ac:dyDescent="0.35">
      <c r="B58" s="29"/>
    </row>
    <row r="59" spans="2:4" x14ac:dyDescent="0.35">
      <c r="B59" s="29"/>
    </row>
    <row r="60" spans="2:4" x14ac:dyDescent="0.35">
      <c r="B60" s="29"/>
    </row>
    <row r="61" spans="2:4" x14ac:dyDescent="0.35">
      <c r="B61" s="29"/>
    </row>
    <row r="62" spans="2:4" x14ac:dyDescent="0.35">
      <c r="B62" s="29"/>
    </row>
    <row r="63" spans="2:4" x14ac:dyDescent="0.35">
      <c r="B63" s="29"/>
    </row>
    <row r="64" spans="2:4" x14ac:dyDescent="0.35">
      <c r="B64" s="29"/>
    </row>
    <row r="65" spans="2:2" x14ac:dyDescent="0.35">
      <c r="B65" s="29"/>
    </row>
    <row r="66" spans="2:2" x14ac:dyDescent="0.35">
      <c r="B66" s="29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B2:E27"/>
  <sheetViews>
    <sheetView showGridLines="0" zoomScale="115" zoomScaleNormal="115" workbookViewId="0">
      <selection activeCell="G13" sqref="G13"/>
    </sheetView>
  </sheetViews>
  <sheetFormatPr baseColWidth="10" defaultRowHeight="14.5" x14ac:dyDescent="0.35"/>
  <cols>
    <col min="2" max="2" width="4.453125" customWidth="1"/>
    <col min="3" max="3" width="14.453125" customWidth="1"/>
    <col min="4" max="4" width="15.81640625" customWidth="1"/>
    <col min="5" max="5" width="68.4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35">
      <c r="B5" s="10" t="str">
        <f t="shared" si="0"/>
        <v>Fr</v>
      </c>
      <c r="C5" s="9">
        <f t="shared" ref="C5:C27" si="1">C4+7</f>
        <v>44239</v>
      </c>
      <c r="D5" s="8"/>
      <c r="E5" s="7" t="s">
        <v>61</v>
      </c>
    </row>
    <row r="6" spans="2:5" x14ac:dyDescent="0.3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3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3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3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3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35">
      <c r="B11" s="10" t="str">
        <f t="shared" si="0"/>
        <v>Fr</v>
      </c>
      <c r="C11" s="9">
        <f t="shared" si="1"/>
        <v>44281</v>
      </c>
      <c r="D11" s="8"/>
      <c r="E11" s="7"/>
    </row>
    <row r="12" spans="2:5" x14ac:dyDescent="0.35">
      <c r="B12" s="10" t="str">
        <f t="shared" si="0"/>
        <v>Fr</v>
      </c>
      <c r="C12" s="14">
        <f t="shared" si="1"/>
        <v>44288</v>
      </c>
      <c r="D12" s="13" t="s">
        <v>127</v>
      </c>
      <c r="E12" s="65"/>
    </row>
    <row r="13" spans="2:5" x14ac:dyDescent="0.35">
      <c r="B13" s="10" t="str">
        <f t="shared" si="0"/>
        <v>Fr</v>
      </c>
      <c r="C13" s="9">
        <f t="shared" si="1"/>
        <v>44295</v>
      </c>
      <c r="D13" s="8"/>
      <c r="E13" s="7" t="s">
        <v>58</v>
      </c>
    </row>
    <row r="14" spans="2:5" x14ac:dyDescent="0.35">
      <c r="B14" s="10" t="str">
        <f t="shared" si="0"/>
        <v>Fr</v>
      </c>
      <c r="C14" s="9">
        <f t="shared" si="1"/>
        <v>44302</v>
      </c>
      <c r="D14" s="8"/>
      <c r="E14" s="7"/>
    </row>
    <row r="15" spans="2:5" x14ac:dyDescent="0.35">
      <c r="B15" s="10" t="str">
        <f t="shared" si="0"/>
        <v>Fr</v>
      </c>
      <c r="C15" s="9">
        <f t="shared" si="1"/>
        <v>44309</v>
      </c>
      <c r="D15" s="8"/>
      <c r="E15" s="7" t="s">
        <v>57</v>
      </c>
    </row>
    <row r="16" spans="2:5" x14ac:dyDescent="0.3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35">
      <c r="B17" s="10" t="str">
        <f t="shared" si="0"/>
        <v>Fr</v>
      </c>
      <c r="C17" s="14">
        <f t="shared" si="1"/>
        <v>44323</v>
      </c>
      <c r="D17" s="13" t="s">
        <v>36</v>
      </c>
      <c r="E17" s="65"/>
    </row>
    <row r="18" spans="2:5" x14ac:dyDescent="0.3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35">
      <c r="B19" s="10" t="str">
        <f t="shared" si="0"/>
        <v>Fr</v>
      </c>
      <c r="C19" s="9">
        <f t="shared" si="1"/>
        <v>44337</v>
      </c>
      <c r="D19" s="8"/>
      <c r="E19" s="7" t="s">
        <v>56</v>
      </c>
    </row>
    <row r="20" spans="2:5" x14ac:dyDescent="0.35">
      <c r="B20" s="10" t="str">
        <f t="shared" si="0"/>
        <v>Fr</v>
      </c>
      <c r="C20" s="9">
        <f t="shared" si="1"/>
        <v>44344</v>
      </c>
      <c r="D20" s="8"/>
      <c r="E20" s="11" t="s">
        <v>28</v>
      </c>
    </row>
    <row r="21" spans="2:5" x14ac:dyDescent="0.35">
      <c r="B21" s="10" t="str">
        <f t="shared" si="0"/>
        <v>Fr</v>
      </c>
      <c r="C21" s="9">
        <f t="shared" si="1"/>
        <v>44351</v>
      </c>
      <c r="D21" s="8" t="s">
        <v>138</v>
      </c>
      <c r="E21" s="7" t="s">
        <v>55</v>
      </c>
    </row>
    <row r="22" spans="2:5" x14ac:dyDescent="0.35">
      <c r="B22" s="10" t="str">
        <f t="shared" si="0"/>
        <v>Fr</v>
      </c>
      <c r="C22" s="9">
        <f t="shared" si="1"/>
        <v>44358</v>
      </c>
      <c r="D22" s="8"/>
      <c r="E22" s="7" t="s">
        <v>54</v>
      </c>
    </row>
    <row r="23" spans="2:5" x14ac:dyDescent="0.3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3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3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3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" thickBot="1" x14ac:dyDescent="0.4">
      <c r="B27" s="6" t="str">
        <f t="shared" si="0"/>
        <v>Fr</v>
      </c>
      <c r="C27" s="67">
        <f t="shared" si="1"/>
        <v>44393</v>
      </c>
      <c r="D27" s="68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4.5" x14ac:dyDescent="0.35"/>
  <cols>
    <col min="2" max="2" width="4.453125" customWidth="1"/>
    <col min="3" max="3" width="12.7265625" customWidth="1"/>
    <col min="4" max="4" width="21.81640625" customWidth="1"/>
    <col min="5" max="5" width="47.72656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35">
      <c r="B5" s="10" t="str">
        <f t="shared" si="0"/>
        <v>Do</v>
      </c>
      <c r="C5" s="9">
        <f t="shared" ref="C5:C27" si="1">C4+7</f>
        <v>44238</v>
      </c>
      <c r="D5" s="8"/>
      <c r="E5" s="7" t="s">
        <v>144</v>
      </c>
    </row>
    <row r="6" spans="2:5" x14ac:dyDescent="0.3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3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44266</v>
      </c>
      <c r="D9" s="8"/>
      <c r="E9" s="70" t="s">
        <v>147</v>
      </c>
    </row>
    <row r="10" spans="2:5" x14ac:dyDescent="0.3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35">
      <c r="B11" s="10" t="str">
        <f t="shared" si="0"/>
        <v>Do</v>
      </c>
      <c r="C11" s="9">
        <f t="shared" si="1"/>
        <v>44280</v>
      </c>
      <c r="D11" s="8"/>
      <c r="E11" s="7" t="s">
        <v>149</v>
      </c>
    </row>
    <row r="12" spans="2:5" x14ac:dyDescent="0.35">
      <c r="B12" s="10" t="str">
        <f t="shared" si="0"/>
        <v>Do</v>
      </c>
      <c r="C12" s="9">
        <f t="shared" si="1"/>
        <v>44287</v>
      </c>
      <c r="D12" s="8" t="s">
        <v>137</v>
      </c>
      <c r="E12" s="7" t="s">
        <v>149</v>
      </c>
    </row>
    <row r="13" spans="2:5" x14ac:dyDescent="0.35">
      <c r="B13" s="10" t="str">
        <f t="shared" si="0"/>
        <v>Do</v>
      </c>
      <c r="C13" s="9">
        <f t="shared" si="1"/>
        <v>44294</v>
      </c>
      <c r="D13" s="8"/>
      <c r="E13" s="7" t="s">
        <v>149</v>
      </c>
    </row>
    <row r="14" spans="2:5" x14ac:dyDescent="0.35">
      <c r="B14" s="10" t="str">
        <f t="shared" si="0"/>
        <v>Do</v>
      </c>
      <c r="C14" s="9">
        <f t="shared" si="1"/>
        <v>44301</v>
      </c>
      <c r="D14" s="8"/>
      <c r="E14" s="7" t="s">
        <v>140</v>
      </c>
    </row>
    <row r="15" spans="2:5" x14ac:dyDescent="0.35">
      <c r="B15" s="10" t="str">
        <f t="shared" si="0"/>
        <v>Do</v>
      </c>
      <c r="C15" s="9">
        <f t="shared" si="1"/>
        <v>44308</v>
      </c>
      <c r="D15" s="8"/>
      <c r="E15" s="65"/>
    </row>
    <row r="16" spans="2:5" x14ac:dyDescent="0.3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3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3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35">
      <c r="B19" s="10" t="str">
        <f t="shared" si="0"/>
        <v>Do</v>
      </c>
      <c r="C19" s="9">
        <f t="shared" si="1"/>
        <v>44336</v>
      </c>
      <c r="D19" s="8"/>
      <c r="E19" s="11" t="s">
        <v>151</v>
      </c>
    </row>
    <row r="20" spans="2:5" x14ac:dyDescent="0.35">
      <c r="B20" s="10" t="str">
        <f t="shared" si="0"/>
        <v>Do</v>
      </c>
      <c r="C20" s="9">
        <f t="shared" si="1"/>
        <v>44343</v>
      </c>
      <c r="D20" s="8"/>
      <c r="E20" s="7"/>
    </row>
    <row r="21" spans="2:5" x14ac:dyDescent="0.35">
      <c r="B21" s="10" t="str">
        <f t="shared" si="0"/>
        <v>Do</v>
      </c>
      <c r="C21" s="9">
        <f t="shared" si="1"/>
        <v>44350</v>
      </c>
      <c r="D21" s="8"/>
      <c r="E21" s="7" t="s">
        <v>141</v>
      </c>
    </row>
    <row r="22" spans="2:5" x14ac:dyDescent="0.35">
      <c r="B22" s="10" t="str">
        <f t="shared" si="0"/>
        <v>Do</v>
      </c>
      <c r="C22" s="9">
        <f t="shared" si="1"/>
        <v>44357</v>
      </c>
      <c r="D22" s="8"/>
      <c r="E22" s="7" t="s">
        <v>148</v>
      </c>
    </row>
    <row r="23" spans="2:5" x14ac:dyDescent="0.3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3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3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3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" thickBot="1" x14ac:dyDescent="0.4">
      <c r="B27" s="6" t="str">
        <f t="shared" si="0"/>
        <v>Do</v>
      </c>
      <c r="C27" s="67">
        <f t="shared" si="1"/>
        <v>44392</v>
      </c>
      <c r="D27" s="68" t="s">
        <v>138</v>
      </c>
      <c r="E27" s="3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tabColor rgb="FF92D050"/>
    <pageSetUpPr fitToPage="1"/>
  </sheetPr>
  <dimension ref="B2:C28"/>
  <sheetViews>
    <sheetView showGridLines="0" zoomScale="70" zoomScaleNormal="70" workbookViewId="0">
      <selection activeCell="B2" sqref="B2:C28"/>
    </sheetView>
  </sheetViews>
  <sheetFormatPr baseColWidth="10" defaultRowHeight="14.5" x14ac:dyDescent="0.35"/>
  <cols>
    <col min="2" max="2" width="15.453125" customWidth="1"/>
    <col min="3" max="3" width="58.453125" customWidth="1"/>
  </cols>
  <sheetData>
    <row r="2" spans="2:3" ht="18.5" x14ac:dyDescent="0.45">
      <c r="B2" s="100" t="s">
        <v>217</v>
      </c>
      <c r="C2" s="79"/>
    </row>
    <row r="3" spans="2:3" ht="15" thickBot="1" x14ac:dyDescent="0.4"/>
    <row r="4" spans="2:3" ht="15" thickBot="1" x14ac:dyDescent="0.4">
      <c r="B4" s="20" t="s">
        <v>48</v>
      </c>
      <c r="C4" s="19" t="s">
        <v>46</v>
      </c>
    </row>
    <row r="5" spans="2:3" ht="87" x14ac:dyDescent="0.35">
      <c r="B5" s="89">
        <v>44798</v>
      </c>
      <c r="C5" s="73" t="s">
        <v>156</v>
      </c>
    </row>
    <row r="6" spans="2:3" x14ac:dyDescent="0.35">
      <c r="B6" s="90">
        <f t="shared" ref="B6:B28" si="0">B5+7</f>
        <v>44805</v>
      </c>
      <c r="C6" s="7"/>
    </row>
    <row r="7" spans="2:3" x14ac:dyDescent="0.35">
      <c r="B7" s="90">
        <f t="shared" si="0"/>
        <v>44812</v>
      </c>
      <c r="C7" s="7"/>
    </row>
    <row r="8" spans="2:3" ht="101.5" x14ac:dyDescent="0.35">
      <c r="B8" s="90">
        <f t="shared" si="0"/>
        <v>44819</v>
      </c>
      <c r="C8" s="72" t="s">
        <v>174</v>
      </c>
    </row>
    <row r="9" spans="2:3" x14ac:dyDescent="0.35">
      <c r="B9" s="90">
        <f t="shared" si="0"/>
        <v>44826</v>
      </c>
      <c r="C9" s="7"/>
    </row>
    <row r="10" spans="2:3" x14ac:dyDescent="0.35">
      <c r="B10" s="90">
        <f t="shared" si="0"/>
        <v>44833</v>
      </c>
      <c r="C10" s="65"/>
    </row>
    <row r="11" spans="2:3" ht="58" x14ac:dyDescent="0.35">
      <c r="B11" s="90">
        <f t="shared" si="0"/>
        <v>44840</v>
      </c>
      <c r="C11" s="76" t="s">
        <v>170</v>
      </c>
    </row>
    <row r="12" spans="2:3" x14ac:dyDescent="0.35">
      <c r="B12" s="92">
        <f t="shared" si="0"/>
        <v>44847</v>
      </c>
      <c r="C12" s="77" t="s">
        <v>36</v>
      </c>
    </row>
    <row r="13" spans="2:3" x14ac:dyDescent="0.35">
      <c r="B13" s="92">
        <f t="shared" si="0"/>
        <v>44854</v>
      </c>
      <c r="C13" s="77" t="s">
        <v>36</v>
      </c>
    </row>
    <row r="14" spans="2:3" ht="72.5" x14ac:dyDescent="0.35">
      <c r="B14" s="90">
        <f t="shared" si="0"/>
        <v>44861</v>
      </c>
      <c r="C14" s="72" t="s">
        <v>155</v>
      </c>
    </row>
    <row r="15" spans="2:3" x14ac:dyDescent="0.35">
      <c r="B15" s="90">
        <f t="shared" si="0"/>
        <v>44868</v>
      </c>
      <c r="C15" s="7"/>
    </row>
    <row r="16" spans="2:3" x14ac:dyDescent="0.35">
      <c r="B16" s="90">
        <f t="shared" si="0"/>
        <v>44875</v>
      </c>
      <c r="C16" s="7"/>
    </row>
    <row r="17" spans="2:3" ht="72.5" x14ac:dyDescent="0.35">
      <c r="B17" s="90">
        <f t="shared" si="0"/>
        <v>44882</v>
      </c>
      <c r="C17" s="72" t="s">
        <v>154</v>
      </c>
    </row>
    <row r="18" spans="2:3" x14ac:dyDescent="0.35">
      <c r="B18" s="90">
        <f t="shared" si="0"/>
        <v>44889</v>
      </c>
      <c r="C18" s="65"/>
    </row>
    <row r="19" spans="2:3" x14ac:dyDescent="0.35">
      <c r="B19" s="90">
        <f t="shared" si="0"/>
        <v>44896</v>
      </c>
      <c r="C19" s="7"/>
    </row>
    <row r="20" spans="2:3" x14ac:dyDescent="0.35">
      <c r="B20" s="90">
        <f t="shared" si="0"/>
        <v>44903</v>
      </c>
      <c r="C20" s="7"/>
    </row>
    <row r="21" spans="2:3" ht="29" x14ac:dyDescent="0.35">
      <c r="B21" s="90">
        <f t="shared" si="0"/>
        <v>44910</v>
      </c>
      <c r="C21" s="76" t="s">
        <v>171</v>
      </c>
    </row>
    <row r="22" spans="2:3" x14ac:dyDescent="0.35">
      <c r="B22" s="92">
        <f t="shared" si="0"/>
        <v>44917</v>
      </c>
      <c r="C22" s="77" t="s">
        <v>36</v>
      </c>
    </row>
    <row r="23" spans="2:3" x14ac:dyDescent="0.35">
      <c r="B23" s="92">
        <f t="shared" si="0"/>
        <v>44924</v>
      </c>
      <c r="C23" s="77" t="s">
        <v>36</v>
      </c>
    </row>
    <row r="24" spans="2:3" ht="72.5" x14ac:dyDescent="0.35">
      <c r="B24" s="90">
        <f t="shared" si="0"/>
        <v>44931</v>
      </c>
      <c r="C24" s="72" t="s">
        <v>173</v>
      </c>
    </row>
    <row r="25" spans="2:3" x14ac:dyDescent="0.35">
      <c r="B25" s="90">
        <f t="shared" si="0"/>
        <v>44938</v>
      </c>
      <c r="C25" s="34"/>
    </row>
    <row r="26" spans="2:3" ht="43.5" x14ac:dyDescent="0.35">
      <c r="B26" s="90">
        <f t="shared" si="0"/>
        <v>44945</v>
      </c>
      <c r="C26" s="76" t="s">
        <v>172</v>
      </c>
    </row>
    <row r="27" spans="2:3" x14ac:dyDescent="0.35">
      <c r="B27" s="90">
        <f t="shared" si="0"/>
        <v>44952</v>
      </c>
      <c r="C27" s="7" t="s">
        <v>153</v>
      </c>
    </row>
    <row r="28" spans="2:3" ht="15" thickBot="1" x14ac:dyDescent="0.4">
      <c r="B28" s="91">
        <f t="shared" si="0"/>
        <v>44959</v>
      </c>
      <c r="C28" s="3"/>
    </row>
  </sheetData>
  <pageMargins left="0.7" right="0.7" top="0.78740157499999996" bottom="0.78740157499999996" header="0.3" footer="0.3"/>
  <pageSetup paperSize="9" scale="88" orientation="portrait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>
    <pageSetUpPr fitToPage="1"/>
  </sheetPr>
  <dimension ref="B2:C57"/>
  <sheetViews>
    <sheetView showGridLines="0" topLeftCell="A15" zoomScaleNormal="100" workbookViewId="0">
      <selection activeCell="B31" sqref="B31:C57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2" spans="2:3" ht="18.5" x14ac:dyDescent="0.45">
      <c r="B2" s="100" t="s">
        <v>216</v>
      </c>
      <c r="C2" s="99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44799</v>
      </c>
      <c r="C5" s="15" t="s">
        <v>136</v>
      </c>
    </row>
    <row r="6" spans="2:3" x14ac:dyDescent="0.35">
      <c r="B6" s="62">
        <f t="shared" ref="B6:B27" si="0">B5+7</f>
        <v>44806</v>
      </c>
      <c r="C6" s="7" t="s">
        <v>133</v>
      </c>
    </row>
    <row r="7" spans="2:3" x14ac:dyDescent="0.35">
      <c r="B7" s="62">
        <f t="shared" si="0"/>
        <v>44813</v>
      </c>
      <c r="C7" s="7" t="s">
        <v>124</v>
      </c>
    </row>
    <row r="8" spans="2:3" x14ac:dyDescent="0.35">
      <c r="B8" s="62">
        <f t="shared" si="0"/>
        <v>44820</v>
      </c>
      <c r="C8" s="7" t="s">
        <v>135</v>
      </c>
    </row>
    <row r="9" spans="2:3" x14ac:dyDescent="0.35">
      <c r="B9" s="62">
        <f t="shared" si="0"/>
        <v>44827</v>
      </c>
      <c r="C9" s="7" t="s">
        <v>122</v>
      </c>
    </row>
    <row r="10" spans="2:3" x14ac:dyDescent="0.35">
      <c r="B10" s="90">
        <f t="shared" si="0"/>
        <v>44834</v>
      </c>
      <c r="C10" s="65"/>
    </row>
    <row r="11" spans="2:3" ht="58" x14ac:dyDescent="0.35">
      <c r="B11" s="90">
        <f t="shared" si="0"/>
        <v>44841</v>
      </c>
      <c r="C11" s="75" t="s">
        <v>166</v>
      </c>
    </row>
    <row r="12" spans="2:3" x14ac:dyDescent="0.35">
      <c r="B12" s="92">
        <f t="shared" si="0"/>
        <v>44848</v>
      </c>
      <c r="C12" s="77" t="s">
        <v>36</v>
      </c>
    </row>
    <row r="13" spans="2:3" x14ac:dyDescent="0.35">
      <c r="B13" s="92">
        <f t="shared" si="0"/>
        <v>44855</v>
      </c>
      <c r="C13" s="77" t="s">
        <v>36</v>
      </c>
    </row>
    <row r="14" spans="2:3" x14ac:dyDescent="0.35">
      <c r="B14" s="90">
        <f t="shared" si="0"/>
        <v>44862</v>
      </c>
      <c r="C14" s="74" t="s">
        <v>123</v>
      </c>
    </row>
    <row r="15" spans="2:3" x14ac:dyDescent="0.35">
      <c r="B15" s="90">
        <f t="shared" si="0"/>
        <v>44869</v>
      </c>
      <c r="C15" s="74" t="s">
        <v>125</v>
      </c>
    </row>
    <row r="16" spans="2:3" x14ac:dyDescent="0.35">
      <c r="B16" s="90">
        <f t="shared" si="0"/>
        <v>44876</v>
      </c>
      <c r="C16" s="74" t="s">
        <v>131</v>
      </c>
    </row>
    <row r="17" spans="2:3" x14ac:dyDescent="0.35">
      <c r="B17" s="90">
        <f t="shared" si="0"/>
        <v>44883</v>
      </c>
      <c r="C17" s="65"/>
    </row>
    <row r="18" spans="2:3" x14ac:dyDescent="0.35">
      <c r="B18" s="90">
        <f t="shared" si="0"/>
        <v>44890</v>
      </c>
      <c r="C18" s="74" t="s">
        <v>134</v>
      </c>
    </row>
    <row r="19" spans="2:3" ht="72.5" x14ac:dyDescent="0.35">
      <c r="B19" s="90">
        <f t="shared" si="0"/>
        <v>44897</v>
      </c>
      <c r="C19" s="75" t="s">
        <v>167</v>
      </c>
    </row>
    <row r="20" spans="2:3" x14ac:dyDescent="0.35">
      <c r="B20" s="90">
        <f t="shared" si="0"/>
        <v>44904</v>
      </c>
      <c r="C20" s="74" t="s">
        <v>121</v>
      </c>
    </row>
    <row r="21" spans="2:3" x14ac:dyDescent="0.35">
      <c r="B21" s="90">
        <f t="shared" si="0"/>
        <v>44911</v>
      </c>
      <c r="C21" s="74"/>
    </row>
    <row r="22" spans="2:3" x14ac:dyDescent="0.35">
      <c r="B22" s="90">
        <f t="shared" si="0"/>
        <v>44918</v>
      </c>
      <c r="C22" s="65"/>
    </row>
    <row r="23" spans="2:3" x14ac:dyDescent="0.35">
      <c r="B23" s="92">
        <f t="shared" si="0"/>
        <v>44925</v>
      </c>
      <c r="C23" s="77" t="s">
        <v>36</v>
      </c>
    </row>
    <row r="24" spans="2:3" x14ac:dyDescent="0.35">
      <c r="B24" s="92">
        <f t="shared" si="0"/>
        <v>44932</v>
      </c>
      <c r="C24" s="77" t="s">
        <v>36</v>
      </c>
    </row>
    <row r="25" spans="2:3" x14ac:dyDescent="0.35">
      <c r="B25" s="90">
        <f t="shared" si="0"/>
        <v>44939</v>
      </c>
      <c r="C25" s="74"/>
    </row>
    <row r="26" spans="2:3" ht="43.5" x14ac:dyDescent="0.35">
      <c r="B26" s="90">
        <f t="shared" si="0"/>
        <v>44946</v>
      </c>
      <c r="C26" s="75" t="s">
        <v>200</v>
      </c>
    </row>
    <row r="27" spans="2:3" x14ac:dyDescent="0.35">
      <c r="B27" s="90">
        <f t="shared" si="0"/>
        <v>44953</v>
      </c>
      <c r="C27" s="74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0" t="str">
        <f>B2</f>
        <v>Mathe</v>
      </c>
      <c r="C31" s="99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89">
        <v>44960</v>
      </c>
      <c r="C34" s="94" t="s">
        <v>111</v>
      </c>
    </row>
    <row r="35" spans="2:3" x14ac:dyDescent="0.35">
      <c r="B35" s="90">
        <v>44967</v>
      </c>
      <c r="C35" s="74" t="s">
        <v>203</v>
      </c>
    </row>
    <row r="36" spans="2:3" x14ac:dyDescent="0.35">
      <c r="B36" s="90">
        <v>44974</v>
      </c>
      <c r="C36" s="74" t="s">
        <v>202</v>
      </c>
    </row>
    <row r="37" spans="2:3" x14ac:dyDescent="0.35">
      <c r="B37" s="92">
        <v>44981</v>
      </c>
      <c r="C37" s="52" t="s">
        <v>36</v>
      </c>
    </row>
    <row r="38" spans="2:3" x14ac:dyDescent="0.35">
      <c r="B38" s="92">
        <v>44988</v>
      </c>
      <c r="C38" s="52" t="s">
        <v>36</v>
      </c>
    </row>
    <row r="39" spans="2:3" x14ac:dyDescent="0.35">
      <c r="B39" s="90">
        <v>44995</v>
      </c>
      <c r="C39" s="7" t="s">
        <v>131</v>
      </c>
    </row>
    <row r="40" spans="2:3" ht="58" x14ac:dyDescent="0.35">
      <c r="B40" s="90">
        <v>45002</v>
      </c>
      <c r="C40" s="76" t="s">
        <v>205</v>
      </c>
    </row>
    <row r="41" spans="2:3" x14ac:dyDescent="0.35">
      <c r="B41" s="90">
        <v>45009</v>
      </c>
      <c r="C41" s="7" t="s">
        <v>201</v>
      </c>
    </row>
    <row r="42" spans="2:3" x14ac:dyDescent="0.35">
      <c r="B42" s="90">
        <v>45016</v>
      </c>
      <c r="C42" s="7"/>
    </row>
    <row r="43" spans="2:3" x14ac:dyDescent="0.35">
      <c r="B43" s="90">
        <v>45023</v>
      </c>
      <c r="C43" s="7" t="s">
        <v>204</v>
      </c>
    </row>
    <row r="44" spans="2:3" x14ac:dyDescent="0.35">
      <c r="B44" s="90">
        <v>45030</v>
      </c>
      <c r="C44" s="7"/>
    </row>
    <row r="45" spans="2:3" x14ac:dyDescent="0.35">
      <c r="B45" s="92">
        <v>45037</v>
      </c>
      <c r="C45" s="52" t="s">
        <v>36</v>
      </c>
    </row>
    <row r="46" spans="2:3" x14ac:dyDescent="0.35">
      <c r="B46" s="92">
        <v>45044</v>
      </c>
      <c r="C46" s="52" t="s">
        <v>36</v>
      </c>
    </row>
    <row r="47" spans="2:3" x14ac:dyDescent="0.35">
      <c r="B47" s="90">
        <v>45051</v>
      </c>
      <c r="C47" s="7" t="s">
        <v>211</v>
      </c>
    </row>
    <row r="48" spans="2:3" x14ac:dyDescent="0.35">
      <c r="B48" s="90">
        <v>45058</v>
      </c>
      <c r="C48" s="7"/>
    </row>
    <row r="49" spans="2:3" x14ac:dyDescent="0.35">
      <c r="B49" s="92">
        <v>45065</v>
      </c>
      <c r="C49" s="52" t="s">
        <v>32</v>
      </c>
    </row>
    <row r="50" spans="2:3" ht="43" customHeight="1" x14ac:dyDescent="0.35">
      <c r="B50" s="90">
        <v>45072</v>
      </c>
      <c r="C50" s="76" t="s">
        <v>212</v>
      </c>
    </row>
    <row r="51" spans="2:3" x14ac:dyDescent="0.35">
      <c r="B51" s="90">
        <v>45079</v>
      </c>
      <c r="C51" s="7" t="s">
        <v>211</v>
      </c>
    </row>
    <row r="52" spans="2:3" x14ac:dyDescent="0.35">
      <c r="B52" s="90">
        <v>45086</v>
      </c>
      <c r="C52" s="7"/>
    </row>
    <row r="53" spans="2:3" x14ac:dyDescent="0.35">
      <c r="B53" s="90">
        <v>45093</v>
      </c>
      <c r="C53" s="7"/>
    </row>
    <row r="54" spans="2:3" x14ac:dyDescent="0.35">
      <c r="B54" s="90">
        <v>45100</v>
      </c>
      <c r="C54" s="65"/>
    </row>
    <row r="55" spans="2:3" ht="58" x14ac:dyDescent="0.35">
      <c r="B55" s="90">
        <v>45107</v>
      </c>
      <c r="C55" s="76" t="s">
        <v>213</v>
      </c>
    </row>
    <row r="56" spans="2:3" x14ac:dyDescent="0.35">
      <c r="B56" s="90">
        <v>45114</v>
      </c>
      <c r="C56" s="7" t="s">
        <v>152</v>
      </c>
    </row>
    <row r="57" spans="2:3" ht="15" thickBot="1" x14ac:dyDescent="0.4">
      <c r="B57" s="91">
        <v>45121</v>
      </c>
      <c r="C57" s="3"/>
    </row>
  </sheetData>
  <pageMargins left="0.7" right="0.7" top="0.78740157499999996" bottom="0.78740157499999996" header="0.3" footer="0.3"/>
  <pageSetup paperSize="9" scale="67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2:D27"/>
  <sheetViews>
    <sheetView showGridLines="0" topLeftCell="A8" zoomScale="85" zoomScaleNormal="85" workbookViewId="0">
      <selection activeCell="E7" sqref="E7"/>
    </sheetView>
  </sheetViews>
  <sheetFormatPr baseColWidth="10" defaultRowHeight="14.5" x14ac:dyDescent="0.35"/>
  <cols>
    <col min="2" max="2" width="14.81640625" style="78" customWidth="1"/>
    <col min="3" max="3" width="40.81640625" customWidth="1"/>
    <col min="4" max="4" width="16.54296875" customWidth="1"/>
  </cols>
  <sheetData>
    <row r="2" spans="2:4" ht="18.5" x14ac:dyDescent="0.45">
      <c r="B2" s="100" t="s">
        <v>218</v>
      </c>
      <c r="C2" s="79"/>
    </row>
    <row r="3" spans="2:4" ht="15" thickBot="1" x14ac:dyDescent="0.4"/>
    <row r="4" spans="2:4" ht="15" thickBot="1" x14ac:dyDescent="0.4">
      <c r="B4" s="86" t="s">
        <v>48</v>
      </c>
      <c r="C4" s="43" t="s">
        <v>46</v>
      </c>
    </row>
    <row r="5" spans="2:4" ht="29.25" customHeight="1" x14ac:dyDescent="0.35">
      <c r="B5" s="84">
        <v>44795</v>
      </c>
      <c r="C5" s="85" t="s">
        <v>186</v>
      </c>
    </row>
    <row r="6" spans="2:4" ht="29" x14ac:dyDescent="0.35">
      <c r="B6" s="80">
        <f t="shared" ref="B6:B27" si="0">B5+7</f>
        <v>44802</v>
      </c>
      <c r="C6" s="72" t="s">
        <v>185</v>
      </c>
    </row>
    <row r="7" spans="2:4" ht="29" x14ac:dyDescent="0.35">
      <c r="B7" s="80">
        <f t="shared" si="0"/>
        <v>44809</v>
      </c>
      <c r="C7" s="72" t="s">
        <v>184</v>
      </c>
    </row>
    <row r="8" spans="2:4" ht="29" x14ac:dyDescent="0.35">
      <c r="B8" s="80">
        <f t="shared" si="0"/>
        <v>44816</v>
      </c>
      <c r="C8" s="72" t="s">
        <v>183</v>
      </c>
    </row>
    <row r="9" spans="2:4" x14ac:dyDescent="0.35">
      <c r="B9" s="80">
        <f t="shared" si="0"/>
        <v>44823</v>
      </c>
      <c r="C9" s="72" t="s">
        <v>182</v>
      </c>
    </row>
    <row r="10" spans="2:4" x14ac:dyDescent="0.35">
      <c r="B10" s="80">
        <f t="shared" si="0"/>
        <v>44830</v>
      </c>
      <c r="C10" s="72" t="s">
        <v>182</v>
      </c>
    </row>
    <row r="11" spans="2:4" x14ac:dyDescent="0.35">
      <c r="B11" s="80">
        <f t="shared" si="0"/>
        <v>44837</v>
      </c>
      <c r="C11" s="72" t="s">
        <v>182</v>
      </c>
    </row>
    <row r="12" spans="2:4" x14ac:dyDescent="0.35">
      <c r="B12" s="81">
        <f t="shared" si="0"/>
        <v>44844</v>
      </c>
      <c r="C12" s="155" t="s">
        <v>36</v>
      </c>
    </row>
    <row r="13" spans="2:4" x14ac:dyDescent="0.35">
      <c r="B13" s="81">
        <f t="shared" si="0"/>
        <v>44851</v>
      </c>
      <c r="C13" s="155"/>
    </row>
    <row r="14" spans="2:4" x14ac:dyDescent="0.35">
      <c r="B14" s="80">
        <f t="shared" si="0"/>
        <v>44858</v>
      </c>
      <c r="C14" s="72" t="s">
        <v>181</v>
      </c>
    </row>
    <row r="15" spans="2:4" x14ac:dyDescent="0.35">
      <c r="B15" s="80">
        <f t="shared" si="0"/>
        <v>44865</v>
      </c>
      <c r="C15" s="72" t="s">
        <v>187</v>
      </c>
    </row>
    <row r="16" spans="2:4" x14ac:dyDescent="0.35">
      <c r="B16" s="87">
        <f t="shared" si="0"/>
        <v>44872</v>
      </c>
      <c r="C16" s="88" t="s">
        <v>180</v>
      </c>
      <c r="D16" t="s">
        <v>179</v>
      </c>
    </row>
    <row r="17" spans="2:3" x14ac:dyDescent="0.35">
      <c r="B17" s="80">
        <f t="shared" si="0"/>
        <v>44879</v>
      </c>
      <c r="C17" s="72" t="s">
        <v>178</v>
      </c>
    </row>
    <row r="18" spans="2:3" x14ac:dyDescent="0.35">
      <c r="B18" s="80">
        <f t="shared" si="0"/>
        <v>44886</v>
      </c>
      <c r="C18" s="72" t="s">
        <v>177</v>
      </c>
    </row>
    <row r="19" spans="2:3" x14ac:dyDescent="0.35">
      <c r="B19" s="80">
        <f t="shared" si="0"/>
        <v>44893</v>
      </c>
      <c r="C19" s="72" t="s">
        <v>177</v>
      </c>
    </row>
    <row r="20" spans="2:3" x14ac:dyDescent="0.35">
      <c r="B20" s="80">
        <f t="shared" si="0"/>
        <v>44900</v>
      </c>
      <c r="C20" s="72" t="s">
        <v>176</v>
      </c>
    </row>
    <row r="21" spans="2:3" x14ac:dyDescent="0.35">
      <c r="B21" s="80">
        <f t="shared" si="0"/>
        <v>44907</v>
      </c>
      <c r="C21" s="72" t="s">
        <v>176</v>
      </c>
    </row>
    <row r="22" spans="2:3" x14ac:dyDescent="0.35">
      <c r="B22" s="80">
        <f t="shared" si="0"/>
        <v>44914</v>
      </c>
      <c r="C22" s="72" t="s">
        <v>176</v>
      </c>
    </row>
    <row r="23" spans="2:3" x14ac:dyDescent="0.35">
      <c r="B23" s="81">
        <f t="shared" si="0"/>
        <v>44921</v>
      </c>
      <c r="C23" s="98" t="s">
        <v>36</v>
      </c>
    </row>
    <row r="24" spans="2:3" x14ac:dyDescent="0.35">
      <c r="B24" s="81">
        <f t="shared" si="0"/>
        <v>44928</v>
      </c>
      <c r="C24" s="98" t="s">
        <v>36</v>
      </c>
    </row>
    <row r="25" spans="2:3" x14ac:dyDescent="0.35">
      <c r="B25" s="80">
        <f t="shared" si="0"/>
        <v>44935</v>
      </c>
      <c r="C25" s="72" t="s">
        <v>176</v>
      </c>
    </row>
    <row r="26" spans="2:3" x14ac:dyDescent="0.35">
      <c r="B26" s="80">
        <f t="shared" si="0"/>
        <v>44942</v>
      </c>
      <c r="C26" s="72" t="s">
        <v>176</v>
      </c>
    </row>
    <row r="27" spans="2:3" ht="15" thickBot="1" x14ac:dyDescent="0.4">
      <c r="B27" s="82">
        <f t="shared" si="0"/>
        <v>44949</v>
      </c>
      <c r="C27" s="83" t="s">
        <v>175</v>
      </c>
    </row>
  </sheetData>
  <mergeCells count="1">
    <mergeCell ref="C12:C13"/>
  </mergeCells>
  <pageMargins left="0.7" right="0.7" top="0.78740157499999996" bottom="0.78740157499999996" header="0.3" footer="0.3"/>
  <pageSetup paperSize="9" orientation="portrait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A4DE-E3FC-417B-8DF6-3E268635DBD4}">
  <sheetPr codeName="Tabelle15">
    <pageSetUpPr fitToPage="1"/>
  </sheetPr>
  <dimension ref="B2:C57"/>
  <sheetViews>
    <sheetView showGridLines="0" zoomScaleNormal="100" workbookViewId="0">
      <selection activeCell="D5" sqref="D5"/>
    </sheetView>
  </sheetViews>
  <sheetFormatPr baseColWidth="10" defaultRowHeight="14.5" x14ac:dyDescent="0.35"/>
  <cols>
    <col min="2" max="2" width="12.7265625" customWidth="1"/>
    <col min="3" max="3" width="77.81640625" customWidth="1"/>
    <col min="6" max="6" width="15.1796875" customWidth="1"/>
    <col min="7" max="7" width="61.54296875" customWidth="1"/>
  </cols>
  <sheetData>
    <row r="2" spans="2:3" ht="18.5" x14ac:dyDescent="0.45">
      <c r="B2" s="100" t="s">
        <v>216</v>
      </c>
      <c r="C2" s="99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45163</v>
      </c>
      <c r="C5" s="15" t="s">
        <v>220</v>
      </c>
    </row>
    <row r="6" spans="2:3" x14ac:dyDescent="0.35">
      <c r="B6" s="62">
        <f t="shared" ref="B6:B27" si="0">B5+7</f>
        <v>45170</v>
      </c>
      <c r="C6" s="7" t="s">
        <v>122</v>
      </c>
    </row>
    <row r="7" spans="2:3" x14ac:dyDescent="0.35">
      <c r="B7" s="62">
        <f t="shared" si="0"/>
        <v>45177</v>
      </c>
      <c r="C7" s="7" t="s">
        <v>124</v>
      </c>
    </row>
    <row r="8" spans="2:3" x14ac:dyDescent="0.35">
      <c r="B8" s="62">
        <f t="shared" si="0"/>
        <v>45184</v>
      </c>
      <c r="C8" s="7"/>
    </row>
    <row r="9" spans="2:3" x14ac:dyDescent="0.35">
      <c r="B9" s="62">
        <f t="shared" si="0"/>
        <v>45191</v>
      </c>
      <c r="C9" s="7" t="s">
        <v>221</v>
      </c>
    </row>
    <row r="10" spans="2:3" x14ac:dyDescent="0.35">
      <c r="B10" s="90">
        <f t="shared" si="0"/>
        <v>45198</v>
      </c>
      <c r="C10" s="7"/>
    </row>
    <row r="11" spans="2:3" ht="87" x14ac:dyDescent="0.35">
      <c r="B11" s="90">
        <f t="shared" si="0"/>
        <v>45205</v>
      </c>
      <c r="C11" s="75" t="s">
        <v>224</v>
      </c>
    </row>
    <row r="12" spans="2:3" x14ac:dyDescent="0.35">
      <c r="B12" s="92">
        <f t="shared" si="0"/>
        <v>45212</v>
      </c>
      <c r="C12" s="77" t="s">
        <v>36</v>
      </c>
    </row>
    <row r="13" spans="2:3" x14ac:dyDescent="0.35">
      <c r="B13" s="92">
        <f t="shared" si="0"/>
        <v>45219</v>
      </c>
      <c r="C13" s="77" t="s">
        <v>36</v>
      </c>
    </row>
    <row r="14" spans="2:3" x14ac:dyDescent="0.35">
      <c r="B14" s="90">
        <f t="shared" si="0"/>
        <v>45226</v>
      </c>
      <c r="C14" s="74" t="s">
        <v>222</v>
      </c>
    </row>
    <row r="15" spans="2:3" x14ac:dyDescent="0.35">
      <c r="B15" s="90">
        <f t="shared" si="0"/>
        <v>45233</v>
      </c>
      <c r="C15" s="7"/>
    </row>
    <row r="16" spans="2:3" x14ac:dyDescent="0.35">
      <c r="B16" s="90">
        <f t="shared" si="0"/>
        <v>45240</v>
      </c>
      <c r="C16" s="74"/>
    </row>
    <row r="17" spans="2:3" x14ac:dyDescent="0.35">
      <c r="B17" s="90">
        <f t="shared" si="0"/>
        <v>45247</v>
      </c>
      <c r="C17" s="74" t="s">
        <v>225</v>
      </c>
    </row>
    <row r="18" spans="2:3" x14ac:dyDescent="0.35">
      <c r="B18" s="90">
        <f t="shared" si="0"/>
        <v>45254</v>
      </c>
      <c r="C18" s="7"/>
    </row>
    <row r="19" spans="2:3" x14ac:dyDescent="0.35">
      <c r="B19" s="90">
        <f t="shared" si="0"/>
        <v>45261</v>
      </c>
      <c r="C19" s="74" t="s">
        <v>234</v>
      </c>
    </row>
    <row r="20" spans="2:3" ht="43.5" x14ac:dyDescent="0.35">
      <c r="B20" s="90">
        <f t="shared" si="0"/>
        <v>45268</v>
      </c>
      <c r="C20" s="75" t="s">
        <v>232</v>
      </c>
    </row>
    <row r="21" spans="2:3" x14ac:dyDescent="0.35">
      <c r="B21" s="90">
        <f t="shared" si="0"/>
        <v>45275</v>
      </c>
      <c r="C21" s="74" t="s">
        <v>121</v>
      </c>
    </row>
    <row r="22" spans="2:3" x14ac:dyDescent="0.35">
      <c r="B22" s="90">
        <f t="shared" si="0"/>
        <v>45282</v>
      </c>
      <c r="C22" s="7"/>
    </row>
    <row r="23" spans="2:3" x14ac:dyDescent="0.35">
      <c r="B23" s="92">
        <f t="shared" si="0"/>
        <v>45289</v>
      </c>
      <c r="C23" s="77" t="s">
        <v>36</v>
      </c>
    </row>
    <row r="24" spans="2:3" x14ac:dyDescent="0.35">
      <c r="B24" s="92">
        <f t="shared" si="0"/>
        <v>45296</v>
      </c>
      <c r="C24" s="77" t="s">
        <v>36</v>
      </c>
    </row>
    <row r="25" spans="2:3" ht="72.5" x14ac:dyDescent="0.35">
      <c r="B25" s="90">
        <f t="shared" si="0"/>
        <v>45303</v>
      </c>
      <c r="C25" s="75" t="s">
        <v>233</v>
      </c>
    </row>
    <row r="26" spans="2:3" x14ac:dyDescent="0.35">
      <c r="B26" s="90">
        <f t="shared" si="0"/>
        <v>45310</v>
      </c>
      <c r="C26" s="75"/>
    </row>
    <row r="27" spans="2:3" x14ac:dyDescent="0.35">
      <c r="B27" s="90">
        <f t="shared" si="0"/>
        <v>45317</v>
      </c>
      <c r="C27" s="74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0" t="str">
        <f>B2</f>
        <v>Mathe</v>
      </c>
      <c r="C31" s="99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90">
        <f>B27+7</f>
        <v>45324</v>
      </c>
      <c r="C34" s="94" t="s">
        <v>111</v>
      </c>
    </row>
    <row r="35" spans="2:3" x14ac:dyDescent="0.35">
      <c r="B35" s="90">
        <f>B34+7</f>
        <v>45331</v>
      </c>
      <c r="C35" s="74" t="s">
        <v>219</v>
      </c>
    </row>
    <row r="36" spans="2:3" x14ac:dyDescent="0.35">
      <c r="B36" s="90">
        <f t="shared" ref="B36:B57" si="1">B35+7</f>
        <v>45338</v>
      </c>
      <c r="C36" s="7" t="s">
        <v>135</v>
      </c>
    </row>
    <row r="37" spans="2:3" x14ac:dyDescent="0.35">
      <c r="B37" s="92">
        <f t="shared" si="1"/>
        <v>45345</v>
      </c>
      <c r="C37" s="52" t="s">
        <v>36</v>
      </c>
    </row>
    <row r="38" spans="2:3" x14ac:dyDescent="0.35">
      <c r="B38" s="92">
        <f t="shared" si="1"/>
        <v>45352</v>
      </c>
      <c r="C38" s="52" t="s">
        <v>36</v>
      </c>
    </row>
    <row r="39" spans="2:3" x14ac:dyDescent="0.35">
      <c r="B39" s="90">
        <f t="shared" si="1"/>
        <v>45359</v>
      </c>
      <c r="C39" s="7" t="s">
        <v>131</v>
      </c>
    </row>
    <row r="40" spans="2:3" ht="58" x14ac:dyDescent="0.35">
      <c r="B40" s="90">
        <f t="shared" si="1"/>
        <v>45366</v>
      </c>
      <c r="C40" s="76" t="s">
        <v>205</v>
      </c>
    </row>
    <row r="41" spans="2:3" x14ac:dyDescent="0.35">
      <c r="B41" s="90">
        <f t="shared" si="1"/>
        <v>45373</v>
      </c>
      <c r="C41" s="7" t="s">
        <v>201</v>
      </c>
    </row>
    <row r="42" spans="2:3" x14ac:dyDescent="0.35">
      <c r="B42" s="92">
        <f t="shared" si="1"/>
        <v>45380</v>
      </c>
      <c r="C42" s="108" t="s">
        <v>127</v>
      </c>
    </row>
    <row r="43" spans="2:3" x14ac:dyDescent="0.35">
      <c r="B43" s="90">
        <f t="shared" si="1"/>
        <v>45387</v>
      </c>
      <c r="C43" s="7" t="s">
        <v>204</v>
      </c>
    </row>
    <row r="44" spans="2:3" x14ac:dyDescent="0.35">
      <c r="B44" s="90">
        <f t="shared" si="1"/>
        <v>45394</v>
      </c>
      <c r="C44" s="7" t="s">
        <v>223</v>
      </c>
    </row>
    <row r="45" spans="2:3" x14ac:dyDescent="0.35">
      <c r="B45" s="90">
        <f t="shared" si="1"/>
        <v>45401</v>
      </c>
      <c r="C45" s="74" t="s">
        <v>134</v>
      </c>
    </row>
    <row r="46" spans="2:3" x14ac:dyDescent="0.35">
      <c r="B46" s="92">
        <f t="shared" si="1"/>
        <v>45408</v>
      </c>
      <c r="C46" s="52" t="s">
        <v>36</v>
      </c>
    </row>
    <row r="47" spans="2:3" x14ac:dyDescent="0.35">
      <c r="B47" s="92">
        <f t="shared" si="1"/>
        <v>45415</v>
      </c>
      <c r="C47" s="52" t="s">
        <v>36</v>
      </c>
    </row>
    <row r="48" spans="2:3" x14ac:dyDescent="0.35">
      <c r="B48" s="92">
        <f t="shared" si="1"/>
        <v>45422</v>
      </c>
      <c r="C48" s="103" t="s">
        <v>73</v>
      </c>
    </row>
    <row r="49" spans="2:3" x14ac:dyDescent="0.35">
      <c r="B49" s="90">
        <f t="shared" si="1"/>
        <v>45429</v>
      </c>
      <c r="C49" s="65"/>
    </row>
    <row r="50" spans="2:3" ht="43" customHeight="1" x14ac:dyDescent="0.35">
      <c r="B50" s="90">
        <f t="shared" si="1"/>
        <v>45436</v>
      </c>
      <c r="C50" s="76" t="s">
        <v>212</v>
      </c>
    </row>
    <row r="51" spans="2:3" x14ac:dyDescent="0.35">
      <c r="B51" s="90">
        <f t="shared" si="1"/>
        <v>45443</v>
      </c>
      <c r="C51" s="7" t="s">
        <v>226</v>
      </c>
    </row>
    <row r="52" spans="2:3" x14ac:dyDescent="0.35">
      <c r="B52" s="90">
        <f t="shared" si="1"/>
        <v>45450</v>
      </c>
      <c r="C52" s="7"/>
    </row>
    <row r="53" spans="2:3" x14ac:dyDescent="0.35">
      <c r="B53" s="90">
        <f t="shared" si="1"/>
        <v>45457</v>
      </c>
      <c r="C53" s="7"/>
    </row>
    <row r="54" spans="2:3" x14ac:dyDescent="0.35">
      <c r="B54" s="90">
        <f t="shared" si="1"/>
        <v>45464</v>
      </c>
      <c r="C54" s="65"/>
    </row>
    <row r="55" spans="2:3" ht="58" x14ac:dyDescent="0.35">
      <c r="B55" s="90">
        <f t="shared" si="1"/>
        <v>45471</v>
      </c>
      <c r="C55" s="76" t="s">
        <v>213</v>
      </c>
    </row>
    <row r="56" spans="2:3" x14ac:dyDescent="0.35">
      <c r="B56" s="90">
        <f t="shared" si="1"/>
        <v>45478</v>
      </c>
      <c r="C56" s="7" t="s">
        <v>152</v>
      </c>
    </row>
    <row r="57" spans="2:3" ht="15" thickBot="1" x14ac:dyDescent="0.4">
      <c r="B57" s="91">
        <f t="shared" si="1"/>
        <v>45485</v>
      </c>
      <c r="C57" s="3"/>
    </row>
  </sheetData>
  <pageMargins left="0.7" right="0.7" top="0.78740157499999996" bottom="0.78740157499999996" header="0.3" footer="0.3"/>
  <pageSetup paperSize="9" scale="65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>
    <pageSetUpPr fitToPage="1"/>
  </sheetPr>
  <dimension ref="B1:F27"/>
  <sheetViews>
    <sheetView showGridLines="0" zoomScaleNormal="100" workbookViewId="0">
      <selection activeCell="B1" sqref="B1:C27"/>
    </sheetView>
  </sheetViews>
  <sheetFormatPr baseColWidth="10" defaultRowHeight="14.5" x14ac:dyDescent="0.35"/>
  <cols>
    <col min="2" max="2" width="13.7265625" customWidth="1"/>
    <col min="3" max="3" width="72.81640625" customWidth="1"/>
  </cols>
  <sheetData>
    <row r="1" spans="2:6" ht="35.25" customHeight="1" x14ac:dyDescent="0.6">
      <c r="B1" s="93" t="s">
        <v>191</v>
      </c>
    </row>
    <row r="2" spans="2:6" ht="15" thickBot="1" x14ac:dyDescent="0.4"/>
    <row r="3" spans="2:6" ht="15" thickBot="1" x14ac:dyDescent="0.4">
      <c r="B3" s="102" t="s">
        <v>48</v>
      </c>
      <c r="C3" s="19" t="s">
        <v>46</v>
      </c>
    </row>
    <row r="4" spans="2:6" x14ac:dyDescent="0.35">
      <c r="B4" s="115">
        <v>45323</v>
      </c>
      <c r="C4" s="117" t="s">
        <v>61</v>
      </c>
    </row>
    <row r="5" spans="2:6" x14ac:dyDescent="0.35">
      <c r="B5" s="112">
        <f t="shared" ref="B5:B6" si="0">B4+7</f>
        <v>45330</v>
      </c>
      <c r="C5" s="118" t="s">
        <v>196</v>
      </c>
    </row>
    <row r="6" spans="2:6" x14ac:dyDescent="0.35">
      <c r="B6" s="113">
        <f t="shared" si="0"/>
        <v>45337</v>
      </c>
      <c r="C6" s="119"/>
    </row>
    <row r="7" spans="2:6" x14ac:dyDescent="0.35">
      <c r="B7" s="112">
        <f t="shared" ref="B7:B27" si="1">B6+7</f>
        <v>45344</v>
      </c>
      <c r="C7" s="118" t="s">
        <v>36</v>
      </c>
    </row>
    <row r="8" spans="2:6" x14ac:dyDescent="0.35">
      <c r="B8" s="112">
        <f t="shared" si="1"/>
        <v>45351</v>
      </c>
      <c r="C8" s="118" t="s">
        <v>36</v>
      </c>
    </row>
    <row r="9" spans="2:6" x14ac:dyDescent="0.35">
      <c r="B9" s="113">
        <f t="shared" si="1"/>
        <v>45358</v>
      </c>
      <c r="C9" s="120" t="s">
        <v>207</v>
      </c>
    </row>
    <row r="10" spans="2:6" x14ac:dyDescent="0.35">
      <c r="B10" s="101">
        <f t="shared" si="1"/>
        <v>45365</v>
      </c>
      <c r="C10" s="119"/>
    </row>
    <row r="11" spans="2:6" x14ac:dyDescent="0.35">
      <c r="B11" s="113">
        <f t="shared" si="1"/>
        <v>45372</v>
      </c>
      <c r="C11" s="121" t="s">
        <v>28</v>
      </c>
    </row>
    <row r="12" spans="2:6" x14ac:dyDescent="0.35">
      <c r="B12" s="113">
        <f t="shared" si="1"/>
        <v>45379</v>
      </c>
      <c r="C12" s="120" t="s">
        <v>208</v>
      </c>
    </row>
    <row r="13" spans="2:6" x14ac:dyDescent="0.35">
      <c r="B13" s="113">
        <f t="shared" si="1"/>
        <v>45386</v>
      </c>
      <c r="C13" s="119" t="s">
        <v>235</v>
      </c>
    </row>
    <row r="14" spans="2:6" x14ac:dyDescent="0.35">
      <c r="B14" s="113">
        <f t="shared" si="1"/>
        <v>45393</v>
      </c>
      <c r="C14" s="121"/>
    </row>
    <row r="15" spans="2:6" x14ac:dyDescent="0.35">
      <c r="B15" s="113">
        <f t="shared" si="1"/>
        <v>45400</v>
      </c>
      <c r="C15" s="120" t="s">
        <v>209</v>
      </c>
    </row>
    <row r="16" spans="2:6" x14ac:dyDescent="0.35">
      <c r="B16" s="112">
        <f t="shared" si="1"/>
        <v>45407</v>
      </c>
      <c r="C16" s="118" t="s">
        <v>36</v>
      </c>
      <c r="F16" s="95"/>
    </row>
    <row r="17" spans="2:6" x14ac:dyDescent="0.35">
      <c r="B17" s="112">
        <f t="shared" si="1"/>
        <v>45414</v>
      </c>
      <c r="C17" s="118" t="s">
        <v>36</v>
      </c>
      <c r="F17" s="96"/>
    </row>
    <row r="18" spans="2:6" x14ac:dyDescent="0.35">
      <c r="B18" s="112">
        <f t="shared" si="1"/>
        <v>45421</v>
      </c>
      <c r="C18" s="118" t="s">
        <v>73</v>
      </c>
      <c r="F18" s="96"/>
    </row>
    <row r="19" spans="2:6" x14ac:dyDescent="0.35">
      <c r="B19" s="101">
        <f t="shared" si="1"/>
        <v>45428</v>
      </c>
      <c r="C19" s="121" t="s">
        <v>28</v>
      </c>
      <c r="F19" s="97"/>
    </row>
    <row r="20" spans="2:6" x14ac:dyDescent="0.35">
      <c r="B20" s="124">
        <f t="shared" si="1"/>
        <v>45435</v>
      </c>
      <c r="C20" s="125" t="s">
        <v>238</v>
      </c>
      <c r="F20" s="97"/>
    </row>
    <row r="21" spans="2:6" x14ac:dyDescent="0.35">
      <c r="B21" s="114">
        <f t="shared" si="1"/>
        <v>45442</v>
      </c>
      <c r="C21" s="120" t="s">
        <v>210</v>
      </c>
    </row>
    <row r="22" spans="2:6" x14ac:dyDescent="0.35">
      <c r="B22" s="113">
        <f t="shared" si="1"/>
        <v>45449</v>
      </c>
      <c r="C22" s="119"/>
    </row>
    <row r="23" spans="2:6" x14ac:dyDescent="0.35">
      <c r="B23" s="113">
        <f t="shared" si="1"/>
        <v>45456</v>
      </c>
      <c r="C23" s="120" t="s">
        <v>206</v>
      </c>
    </row>
    <row r="24" spans="2:6" x14ac:dyDescent="0.35">
      <c r="B24" s="113">
        <f t="shared" si="1"/>
        <v>45463</v>
      </c>
      <c r="C24" s="120"/>
    </row>
    <row r="25" spans="2:6" x14ac:dyDescent="0.35">
      <c r="B25" s="101">
        <f t="shared" si="1"/>
        <v>45470</v>
      </c>
      <c r="C25" s="121" t="s">
        <v>214</v>
      </c>
    </row>
    <row r="26" spans="2:6" x14ac:dyDescent="0.35">
      <c r="B26" s="113">
        <f t="shared" si="1"/>
        <v>45477</v>
      </c>
      <c r="C26" s="122"/>
    </row>
    <row r="27" spans="2:6" ht="15" thickBot="1" x14ac:dyDescent="0.4">
      <c r="B27" s="116">
        <f t="shared" si="1"/>
        <v>45484</v>
      </c>
      <c r="C27" s="123"/>
    </row>
  </sheetData>
  <pageMargins left="0.7" right="0.7" top="0.78740157499999996" bottom="0.78740157499999996" header="0.3" footer="0.3"/>
  <pageSetup paperSize="9" scale="8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3">
    <pageSetUpPr fitToPage="1"/>
  </sheetPr>
  <dimension ref="B1:C27"/>
  <sheetViews>
    <sheetView showGridLines="0" zoomScaleNormal="100" workbookViewId="0">
      <selection activeCell="B1" sqref="B1:C27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1" spans="2:3" ht="34.5" customHeight="1" x14ac:dyDescent="0.6">
      <c r="B1" s="93" t="s">
        <v>190</v>
      </c>
    </row>
    <row r="2" spans="2:3" ht="15" thickBot="1" x14ac:dyDescent="0.4"/>
    <row r="3" spans="2:3" x14ac:dyDescent="0.35">
      <c r="B3" s="102" t="s">
        <v>48</v>
      </c>
      <c r="C3" s="19" t="s">
        <v>46</v>
      </c>
    </row>
    <row r="4" spans="2:3" x14ac:dyDescent="0.35">
      <c r="B4" s="32">
        <v>45323</v>
      </c>
      <c r="C4" s="8" t="s">
        <v>198</v>
      </c>
    </row>
    <row r="5" spans="2:3" x14ac:dyDescent="0.35">
      <c r="B5" s="30">
        <f t="shared" ref="B5:B27" si="0">B4+7</f>
        <v>45330</v>
      </c>
      <c r="C5" s="13" t="s">
        <v>196</v>
      </c>
    </row>
    <row r="6" spans="2:3" x14ac:dyDescent="0.35">
      <c r="B6" s="32">
        <f t="shared" si="0"/>
        <v>45337</v>
      </c>
      <c r="C6" s="8" t="s">
        <v>236</v>
      </c>
    </row>
    <row r="7" spans="2:3" x14ac:dyDescent="0.35">
      <c r="B7" s="30">
        <f t="shared" si="0"/>
        <v>45344</v>
      </c>
      <c r="C7" s="13" t="s">
        <v>36</v>
      </c>
    </row>
    <row r="8" spans="2:3" x14ac:dyDescent="0.35">
      <c r="B8" s="30">
        <f t="shared" si="0"/>
        <v>45351</v>
      </c>
      <c r="C8" s="13" t="s">
        <v>36</v>
      </c>
    </row>
    <row r="9" spans="2:3" x14ac:dyDescent="0.35">
      <c r="B9" s="32">
        <f t="shared" si="0"/>
        <v>45358</v>
      </c>
      <c r="C9" s="8" t="s">
        <v>192</v>
      </c>
    </row>
    <row r="10" spans="2:3" x14ac:dyDescent="0.35">
      <c r="B10" s="109">
        <f t="shared" si="0"/>
        <v>45365</v>
      </c>
      <c r="C10" s="8" t="s">
        <v>199</v>
      </c>
    </row>
    <row r="11" spans="2:3" x14ac:dyDescent="0.35">
      <c r="B11" s="32">
        <f t="shared" si="0"/>
        <v>45372</v>
      </c>
      <c r="C11" s="110" t="s">
        <v>28</v>
      </c>
    </row>
    <row r="12" spans="2:3" x14ac:dyDescent="0.35">
      <c r="B12" s="32">
        <f t="shared" si="0"/>
        <v>45379</v>
      </c>
      <c r="C12" s="8" t="s">
        <v>106</v>
      </c>
    </row>
    <row r="13" spans="2:3" x14ac:dyDescent="0.35">
      <c r="B13" s="32">
        <f t="shared" si="0"/>
        <v>45386</v>
      </c>
      <c r="C13" s="8" t="s">
        <v>239</v>
      </c>
    </row>
    <row r="14" spans="2:3" x14ac:dyDescent="0.35">
      <c r="B14" s="32">
        <f t="shared" si="0"/>
        <v>45393</v>
      </c>
      <c r="C14" s="8" t="s">
        <v>240</v>
      </c>
    </row>
    <row r="15" spans="2:3" x14ac:dyDescent="0.35">
      <c r="B15" s="32">
        <f t="shared" si="0"/>
        <v>45400</v>
      </c>
      <c r="C15" s="8" t="s">
        <v>193</v>
      </c>
    </row>
    <row r="16" spans="2:3" x14ac:dyDescent="0.35">
      <c r="B16" s="30">
        <f t="shared" si="0"/>
        <v>45407</v>
      </c>
      <c r="C16" s="13" t="s">
        <v>36</v>
      </c>
    </row>
    <row r="17" spans="2:3" x14ac:dyDescent="0.35">
      <c r="B17" s="30">
        <f t="shared" si="0"/>
        <v>45414</v>
      </c>
      <c r="C17" s="13" t="s">
        <v>36</v>
      </c>
    </row>
    <row r="18" spans="2:3" x14ac:dyDescent="0.35">
      <c r="B18" s="30">
        <f t="shared" si="0"/>
        <v>45421</v>
      </c>
      <c r="C18" s="13" t="s">
        <v>73</v>
      </c>
    </row>
    <row r="19" spans="2:3" x14ac:dyDescent="0.35">
      <c r="B19" s="109">
        <f t="shared" si="0"/>
        <v>45428</v>
      </c>
      <c r="C19" s="110" t="s">
        <v>28</v>
      </c>
    </row>
    <row r="20" spans="2:3" x14ac:dyDescent="0.35">
      <c r="B20" s="124">
        <f t="shared" si="0"/>
        <v>45435</v>
      </c>
      <c r="C20" s="125" t="s">
        <v>238</v>
      </c>
    </row>
    <row r="21" spans="2:3" x14ac:dyDescent="0.35">
      <c r="B21" s="32">
        <f t="shared" si="0"/>
        <v>45442</v>
      </c>
      <c r="C21" s="8" t="s">
        <v>194</v>
      </c>
    </row>
    <row r="22" spans="2:3" x14ac:dyDescent="0.35">
      <c r="B22" s="32">
        <f t="shared" si="0"/>
        <v>45449</v>
      </c>
      <c r="C22" s="8" t="s">
        <v>195</v>
      </c>
    </row>
    <row r="23" spans="2:3" x14ac:dyDescent="0.35">
      <c r="B23" s="32">
        <f t="shared" si="0"/>
        <v>45456</v>
      </c>
      <c r="C23" s="8" t="s">
        <v>95</v>
      </c>
    </row>
    <row r="24" spans="2:3" x14ac:dyDescent="0.35">
      <c r="B24" s="32">
        <f t="shared" si="0"/>
        <v>45463</v>
      </c>
      <c r="C24" s="8" t="s">
        <v>197</v>
      </c>
    </row>
    <row r="25" spans="2:3" x14ac:dyDescent="0.35">
      <c r="B25" s="109">
        <f t="shared" si="0"/>
        <v>45470</v>
      </c>
      <c r="C25" s="111" t="s">
        <v>28</v>
      </c>
    </row>
    <row r="26" spans="2:3" x14ac:dyDescent="0.35">
      <c r="B26" s="32">
        <f t="shared" si="0"/>
        <v>45477</v>
      </c>
      <c r="C26" s="8" t="s">
        <v>107</v>
      </c>
    </row>
    <row r="27" spans="2:3" x14ac:dyDescent="0.35">
      <c r="B27" s="32">
        <f t="shared" si="0"/>
        <v>45484</v>
      </c>
      <c r="C27" s="8" t="s">
        <v>237</v>
      </c>
    </row>
  </sheetData>
  <pageMargins left="0.7" right="0.7" top="0.78740157499999996" bottom="0.78740157499999996" header="0.3" footer="0.3"/>
  <pageSetup paperSize="9" scale="86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tabColor rgb="FF92D050"/>
    <pageSetUpPr fitToPage="1"/>
  </sheetPr>
  <dimension ref="B2:F27"/>
  <sheetViews>
    <sheetView showGridLines="0" topLeftCell="A7" zoomScale="85" zoomScaleNormal="85" workbookViewId="0">
      <selection activeCell="B2" sqref="B2:F27"/>
    </sheetView>
  </sheetViews>
  <sheetFormatPr baseColWidth="10" defaultRowHeight="14.5" x14ac:dyDescent="0.35"/>
  <cols>
    <col min="3" max="3" width="0" hidden="1" customWidth="1"/>
    <col min="4" max="5" width="15.36328125" customWidth="1"/>
    <col min="6" max="6" width="53.1796875" customWidth="1"/>
  </cols>
  <sheetData>
    <row r="2" spans="2:6" ht="18.5" x14ac:dyDescent="0.45">
      <c r="B2" s="126" t="s">
        <v>215</v>
      </c>
      <c r="C2" s="126"/>
      <c r="D2" s="127"/>
      <c r="E2" s="127"/>
      <c r="F2" s="126"/>
    </row>
    <row r="4" spans="2:6" ht="29" x14ac:dyDescent="0.35">
      <c r="B4" s="138" t="s">
        <v>241</v>
      </c>
      <c r="C4" s="138" t="s">
        <v>241</v>
      </c>
      <c r="D4" s="139" t="s">
        <v>242</v>
      </c>
      <c r="E4" s="139" t="s">
        <v>243</v>
      </c>
      <c r="F4" s="140" t="s">
        <v>46</v>
      </c>
    </row>
    <row r="5" spans="2:6" ht="116" x14ac:dyDescent="0.35">
      <c r="B5" s="134">
        <f>WEEKNUM(D5)</f>
        <v>34</v>
      </c>
      <c r="C5" s="134">
        <f>WEEKNUM(E5)</f>
        <v>34</v>
      </c>
      <c r="D5" s="109">
        <v>45526</v>
      </c>
      <c r="E5" s="109">
        <v>45527</v>
      </c>
      <c r="F5" s="128" t="s">
        <v>157</v>
      </c>
    </row>
    <row r="6" spans="2:6" ht="72.5" x14ac:dyDescent="0.35">
      <c r="B6" s="134">
        <f t="shared" ref="B6:B27" si="0">WEEKNUM(D6)</f>
        <v>35</v>
      </c>
      <c r="C6" s="134">
        <f t="shared" ref="C6:C27" si="1">WEEKNUM(E6)</f>
        <v>35</v>
      </c>
      <c r="D6" s="109">
        <f t="shared" ref="D6:E27" si="2">D5+7</f>
        <v>45533</v>
      </c>
      <c r="E6" s="109">
        <f t="shared" si="2"/>
        <v>45534</v>
      </c>
      <c r="F6" s="128" t="s">
        <v>158</v>
      </c>
    </row>
    <row r="7" spans="2:6" ht="72.5" x14ac:dyDescent="0.35">
      <c r="B7" s="134">
        <f t="shared" si="0"/>
        <v>36</v>
      </c>
      <c r="C7" s="134">
        <f t="shared" si="1"/>
        <v>36</v>
      </c>
      <c r="D7" s="109">
        <f t="shared" si="2"/>
        <v>45540</v>
      </c>
      <c r="E7" s="109">
        <f t="shared" si="2"/>
        <v>45541</v>
      </c>
      <c r="F7" s="128" t="s">
        <v>162</v>
      </c>
    </row>
    <row r="8" spans="2:6" x14ac:dyDescent="0.35">
      <c r="B8" s="134">
        <f t="shared" si="0"/>
        <v>37</v>
      </c>
      <c r="C8" s="134">
        <f t="shared" si="1"/>
        <v>37</v>
      </c>
      <c r="D8" s="109">
        <f t="shared" si="2"/>
        <v>45547</v>
      </c>
      <c r="E8" s="109">
        <f t="shared" si="2"/>
        <v>45548</v>
      </c>
      <c r="F8" s="129" t="s">
        <v>165</v>
      </c>
    </row>
    <row r="9" spans="2:6" ht="72.5" x14ac:dyDescent="0.35">
      <c r="B9" s="134">
        <f t="shared" si="0"/>
        <v>38</v>
      </c>
      <c r="C9" s="134">
        <f t="shared" si="1"/>
        <v>38</v>
      </c>
      <c r="D9" s="109">
        <f t="shared" si="2"/>
        <v>45554</v>
      </c>
      <c r="E9" s="109">
        <f t="shared" si="2"/>
        <v>45555</v>
      </c>
      <c r="F9" s="128" t="s">
        <v>163</v>
      </c>
    </row>
    <row r="10" spans="2:6" ht="43.5" x14ac:dyDescent="0.35">
      <c r="B10" s="134">
        <f t="shared" si="0"/>
        <v>39</v>
      </c>
      <c r="C10" s="134">
        <f t="shared" si="1"/>
        <v>39</v>
      </c>
      <c r="D10" s="109">
        <f t="shared" si="2"/>
        <v>45561</v>
      </c>
      <c r="E10" s="109">
        <f t="shared" si="2"/>
        <v>45562</v>
      </c>
      <c r="F10" s="128" t="s">
        <v>159</v>
      </c>
    </row>
    <row r="11" spans="2:6" ht="43.5" x14ac:dyDescent="0.35">
      <c r="B11" s="134">
        <f t="shared" si="0"/>
        <v>40</v>
      </c>
      <c r="C11" s="134">
        <f t="shared" si="1"/>
        <v>40</v>
      </c>
      <c r="D11" s="109">
        <f t="shared" si="2"/>
        <v>45568</v>
      </c>
      <c r="E11" s="109">
        <f t="shared" si="2"/>
        <v>45569</v>
      </c>
      <c r="F11" s="130" t="s">
        <v>168</v>
      </c>
    </row>
    <row r="12" spans="2:6" x14ac:dyDescent="0.35">
      <c r="B12" s="134">
        <f t="shared" si="0"/>
        <v>41</v>
      </c>
      <c r="C12" s="134">
        <f t="shared" si="1"/>
        <v>41</v>
      </c>
      <c r="D12" s="131">
        <f t="shared" si="2"/>
        <v>45575</v>
      </c>
      <c r="E12" s="131">
        <f t="shared" si="2"/>
        <v>45576</v>
      </c>
      <c r="F12" s="132" t="s">
        <v>36</v>
      </c>
    </row>
    <row r="13" spans="2:6" x14ac:dyDescent="0.35">
      <c r="B13" s="134">
        <f t="shared" si="0"/>
        <v>42</v>
      </c>
      <c r="C13" s="134">
        <f t="shared" si="1"/>
        <v>42</v>
      </c>
      <c r="D13" s="131">
        <f t="shared" si="2"/>
        <v>45582</v>
      </c>
      <c r="E13" s="131">
        <f t="shared" si="2"/>
        <v>45583</v>
      </c>
      <c r="F13" s="132" t="s">
        <v>36</v>
      </c>
    </row>
    <row r="14" spans="2:6" ht="29" x14ac:dyDescent="0.35">
      <c r="B14" s="134">
        <f t="shared" si="0"/>
        <v>43</v>
      </c>
      <c r="C14" s="134">
        <f t="shared" si="1"/>
        <v>43</v>
      </c>
      <c r="D14" s="109">
        <f t="shared" si="2"/>
        <v>45589</v>
      </c>
      <c r="E14" s="109">
        <f t="shared" si="2"/>
        <v>45590</v>
      </c>
      <c r="F14" s="133" t="s">
        <v>160</v>
      </c>
    </row>
    <row r="15" spans="2:6" ht="43.5" x14ac:dyDescent="0.35">
      <c r="B15" s="134">
        <f t="shared" si="0"/>
        <v>44</v>
      </c>
      <c r="C15" s="134">
        <f t="shared" si="1"/>
        <v>44</v>
      </c>
      <c r="D15" s="109">
        <f t="shared" si="2"/>
        <v>45596</v>
      </c>
      <c r="E15" s="109">
        <f t="shared" si="2"/>
        <v>45597</v>
      </c>
      <c r="F15" s="128" t="s">
        <v>189</v>
      </c>
    </row>
    <row r="16" spans="2:6" x14ac:dyDescent="0.35">
      <c r="B16" s="134">
        <f t="shared" si="0"/>
        <v>45</v>
      </c>
      <c r="C16" s="134">
        <f t="shared" si="1"/>
        <v>45</v>
      </c>
      <c r="D16" s="109">
        <f t="shared" si="2"/>
        <v>45603</v>
      </c>
      <c r="E16" s="109">
        <f t="shared" si="2"/>
        <v>45604</v>
      </c>
      <c r="F16" s="129"/>
    </row>
    <row r="17" spans="2:6" ht="72.5" x14ac:dyDescent="0.35">
      <c r="B17" s="134">
        <f t="shared" si="0"/>
        <v>46</v>
      </c>
      <c r="C17" s="134">
        <f t="shared" si="1"/>
        <v>46</v>
      </c>
      <c r="D17" s="109">
        <f t="shared" si="2"/>
        <v>45610</v>
      </c>
      <c r="E17" s="109">
        <f t="shared" si="2"/>
        <v>45611</v>
      </c>
      <c r="F17" s="128" t="s">
        <v>188</v>
      </c>
    </row>
    <row r="18" spans="2:6" x14ac:dyDescent="0.35">
      <c r="B18" s="134">
        <f t="shared" si="0"/>
        <v>47</v>
      </c>
      <c r="C18" s="134">
        <f t="shared" si="1"/>
        <v>47</v>
      </c>
      <c r="D18" s="109">
        <f t="shared" si="2"/>
        <v>45617</v>
      </c>
      <c r="E18" s="109">
        <f t="shared" si="2"/>
        <v>45618</v>
      </c>
      <c r="F18" s="8"/>
    </row>
    <row r="19" spans="2:6" x14ac:dyDescent="0.35">
      <c r="B19" s="134">
        <f t="shared" si="0"/>
        <v>48</v>
      </c>
      <c r="C19" s="134">
        <f t="shared" si="1"/>
        <v>48</v>
      </c>
      <c r="D19" s="131">
        <f t="shared" si="2"/>
        <v>45624</v>
      </c>
      <c r="E19" s="109">
        <f t="shared" si="2"/>
        <v>45625</v>
      </c>
      <c r="F19" s="147" t="s">
        <v>249</v>
      </c>
    </row>
    <row r="20" spans="2:6" ht="43.5" x14ac:dyDescent="0.35">
      <c r="B20" s="134">
        <f t="shared" si="0"/>
        <v>49</v>
      </c>
      <c r="C20" s="134">
        <f t="shared" si="1"/>
        <v>49</v>
      </c>
      <c r="D20" s="109">
        <f t="shared" si="2"/>
        <v>45631</v>
      </c>
      <c r="E20" s="109">
        <f t="shared" si="2"/>
        <v>45632</v>
      </c>
      <c r="F20" s="128" t="s">
        <v>161</v>
      </c>
    </row>
    <row r="21" spans="2:6" ht="43.5" x14ac:dyDescent="0.35">
      <c r="B21" s="134">
        <f t="shared" si="0"/>
        <v>50</v>
      </c>
      <c r="C21" s="134">
        <f t="shared" si="1"/>
        <v>50</v>
      </c>
      <c r="D21" s="109">
        <f t="shared" si="2"/>
        <v>45638</v>
      </c>
      <c r="E21" s="109">
        <f t="shared" si="2"/>
        <v>45639</v>
      </c>
      <c r="F21" s="130" t="s">
        <v>169</v>
      </c>
    </row>
    <row r="22" spans="2:6" x14ac:dyDescent="0.35">
      <c r="B22" s="134">
        <f t="shared" si="0"/>
        <v>51</v>
      </c>
      <c r="C22" s="134">
        <f t="shared" si="1"/>
        <v>51</v>
      </c>
      <c r="D22" s="109">
        <f t="shared" si="2"/>
        <v>45645</v>
      </c>
      <c r="E22" s="109">
        <f t="shared" si="2"/>
        <v>45646</v>
      </c>
      <c r="F22" s="129" t="s">
        <v>164</v>
      </c>
    </row>
    <row r="23" spans="2:6" x14ac:dyDescent="0.35">
      <c r="B23" s="134">
        <f t="shared" si="0"/>
        <v>52</v>
      </c>
      <c r="C23" s="134">
        <f t="shared" si="1"/>
        <v>52</v>
      </c>
      <c r="D23" s="131">
        <f t="shared" si="2"/>
        <v>45652</v>
      </c>
      <c r="E23" s="131">
        <f t="shared" si="2"/>
        <v>45653</v>
      </c>
      <c r="F23" s="132" t="s">
        <v>36</v>
      </c>
    </row>
    <row r="24" spans="2:6" x14ac:dyDescent="0.35">
      <c r="B24" s="134">
        <f t="shared" si="0"/>
        <v>1</v>
      </c>
      <c r="C24" s="134">
        <f t="shared" si="1"/>
        <v>1</v>
      </c>
      <c r="D24" s="131">
        <f t="shared" si="2"/>
        <v>45659</v>
      </c>
      <c r="E24" s="131">
        <f t="shared" si="2"/>
        <v>45660</v>
      </c>
      <c r="F24" s="132" t="s">
        <v>36</v>
      </c>
    </row>
    <row r="25" spans="2:6" x14ac:dyDescent="0.35">
      <c r="B25" s="134">
        <f t="shared" si="0"/>
        <v>2</v>
      </c>
      <c r="C25" s="134">
        <f t="shared" si="1"/>
        <v>2</v>
      </c>
      <c r="D25" s="109">
        <f t="shared" si="2"/>
        <v>45666</v>
      </c>
      <c r="E25" s="109">
        <f t="shared" si="2"/>
        <v>45667</v>
      </c>
      <c r="F25" s="130"/>
    </row>
    <row r="26" spans="2:6" x14ac:dyDescent="0.35">
      <c r="B26" s="134">
        <f t="shared" si="0"/>
        <v>3</v>
      </c>
      <c r="C26" s="134">
        <f t="shared" si="1"/>
        <v>3</v>
      </c>
      <c r="D26" s="109">
        <f t="shared" si="2"/>
        <v>45673</v>
      </c>
      <c r="E26" s="109">
        <f t="shared" si="2"/>
        <v>45674</v>
      </c>
      <c r="F26" s="129" t="s">
        <v>93</v>
      </c>
    </row>
    <row r="27" spans="2:6" x14ac:dyDescent="0.35">
      <c r="B27" s="134">
        <f t="shared" si="0"/>
        <v>4</v>
      </c>
      <c r="C27" s="134">
        <f t="shared" si="1"/>
        <v>4</v>
      </c>
      <c r="D27" s="109">
        <f t="shared" si="2"/>
        <v>45680</v>
      </c>
      <c r="E27" s="109">
        <f t="shared" si="2"/>
        <v>45681</v>
      </c>
      <c r="F27" s="8"/>
    </row>
  </sheetData>
  <pageMargins left="0.7" right="0.7" top="0.78740157499999996" bottom="0.78740157499999996" header="0.3" footer="0.3"/>
  <pageSetup paperSize="9" scale="8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4EB37-1EC0-4E63-B0E5-E26E2C79C81E}">
  <sheetPr codeName="Tabelle16">
    <tabColor rgb="FF92D050"/>
    <pageSetUpPr fitToPage="1"/>
  </sheetPr>
  <dimension ref="B1:L28"/>
  <sheetViews>
    <sheetView showGridLines="0" zoomScale="70" zoomScaleNormal="70" workbookViewId="0">
      <selection activeCell="K17" sqref="K17"/>
    </sheetView>
  </sheetViews>
  <sheetFormatPr baseColWidth="10" defaultRowHeight="14.5" x14ac:dyDescent="0.35"/>
  <cols>
    <col min="2" max="2" width="12.54296875" customWidth="1"/>
    <col min="3" max="3" width="12.54296875" hidden="1" customWidth="1"/>
    <col min="4" max="5" width="16.7265625" customWidth="1"/>
    <col min="6" max="6" width="46.6328125" customWidth="1"/>
    <col min="7" max="9" width="5" customWidth="1"/>
    <col min="10" max="10" width="23.6328125" customWidth="1"/>
    <col min="11" max="11" width="23.08984375" customWidth="1"/>
  </cols>
  <sheetData>
    <row r="1" spans="2:12" ht="19" thickBot="1" x14ac:dyDescent="0.5">
      <c r="B1" s="151" t="s">
        <v>217</v>
      </c>
      <c r="C1" s="151"/>
      <c r="D1" s="153"/>
      <c r="E1" s="153"/>
      <c r="F1" s="153"/>
    </row>
    <row r="2" spans="2:12" ht="15" thickBot="1" x14ac:dyDescent="0.4">
      <c r="J2" s="156" t="s">
        <v>230</v>
      </c>
      <c r="K2" s="157"/>
    </row>
    <row r="3" spans="2:12" ht="29" x14ac:dyDescent="0.35">
      <c r="B3" s="141" t="s">
        <v>241</v>
      </c>
      <c r="C3" s="141" t="s">
        <v>241</v>
      </c>
      <c r="D3" s="139" t="s">
        <v>242</v>
      </c>
      <c r="E3" s="139" t="s">
        <v>243</v>
      </c>
      <c r="F3" s="140" t="s">
        <v>46</v>
      </c>
      <c r="J3" s="48" t="s">
        <v>227</v>
      </c>
      <c r="K3" s="104">
        <v>2023</v>
      </c>
    </row>
    <row r="4" spans="2:12" x14ac:dyDescent="0.35">
      <c r="B4" s="134">
        <f>WEEKNUM(D4)</f>
        <v>34</v>
      </c>
      <c r="C4" s="134">
        <f>WEEKNUM(E4)</f>
        <v>34</v>
      </c>
      <c r="D4" s="109">
        <v>45526</v>
      </c>
      <c r="E4" s="109">
        <v>45527</v>
      </c>
      <c r="F4" s="8"/>
      <c r="J4" s="37" t="s">
        <v>228</v>
      </c>
      <c r="K4" s="52">
        <v>5</v>
      </c>
    </row>
    <row r="5" spans="2:12" ht="87.5" thickBot="1" x14ac:dyDescent="0.4">
      <c r="B5" s="134">
        <f t="shared" ref="B5:C26" si="0">WEEKNUM(D5)</f>
        <v>35</v>
      </c>
      <c r="C5" s="134">
        <f t="shared" si="0"/>
        <v>35</v>
      </c>
      <c r="D5" s="109">
        <f t="shared" ref="D5:E20" si="1">D4+7</f>
        <v>45533</v>
      </c>
      <c r="E5" s="109">
        <f t="shared" si="1"/>
        <v>45534</v>
      </c>
      <c r="F5" s="133" t="s">
        <v>156</v>
      </c>
      <c r="J5" s="105" t="s">
        <v>229</v>
      </c>
      <c r="K5" s="106">
        <f>("4.1."&amp;K3)+K4*7-7-MOD("2.1."&amp;K3,7)</f>
        <v>44956</v>
      </c>
      <c r="L5" s="107">
        <f>WEEKNUM(K5)</f>
        <v>5</v>
      </c>
    </row>
    <row r="6" spans="2:12" x14ac:dyDescent="0.35">
      <c r="B6" s="134">
        <f t="shared" si="0"/>
        <v>36</v>
      </c>
      <c r="C6" s="134">
        <f t="shared" si="0"/>
        <v>36</v>
      </c>
      <c r="D6" s="109">
        <f t="shared" si="1"/>
        <v>45540</v>
      </c>
      <c r="E6" s="109">
        <f t="shared" si="1"/>
        <v>45541</v>
      </c>
      <c r="F6" s="8"/>
      <c r="J6" t="s">
        <v>231</v>
      </c>
      <c r="K6" t="str">
        <f>TEXT(DATE(K$3,1,7*K$4-3-WEEKDAY(DATE(K$3,,),3)),"TT.MM.JJJJ")&amp;" - "&amp;TEXT(DATE(K$3,1,7*K$4+3-WEEKDAY(DATE(K$3,,),3)),"TT.MM.JJJJ")</f>
        <v>30.01.2023 - 05.02.2023</v>
      </c>
    </row>
    <row r="7" spans="2:12" x14ac:dyDescent="0.35">
      <c r="B7" s="134">
        <f t="shared" si="0"/>
        <v>37</v>
      </c>
      <c r="C7" s="134">
        <f t="shared" si="0"/>
        <v>37</v>
      </c>
      <c r="D7" s="109">
        <f t="shared" si="1"/>
        <v>45547</v>
      </c>
      <c r="E7" s="109">
        <f t="shared" si="1"/>
        <v>45548</v>
      </c>
      <c r="F7" s="8"/>
    </row>
    <row r="8" spans="2:12" ht="101.5" x14ac:dyDescent="0.35">
      <c r="B8" s="134">
        <f t="shared" si="0"/>
        <v>38</v>
      </c>
      <c r="C8" s="134">
        <f t="shared" si="0"/>
        <v>38</v>
      </c>
      <c r="D8" s="109">
        <f t="shared" si="1"/>
        <v>45554</v>
      </c>
      <c r="E8" s="109">
        <f t="shared" si="1"/>
        <v>45555</v>
      </c>
      <c r="F8" s="133" t="s">
        <v>174</v>
      </c>
    </row>
    <row r="9" spans="2:12" x14ac:dyDescent="0.35">
      <c r="B9" s="134">
        <f t="shared" si="0"/>
        <v>39</v>
      </c>
      <c r="C9" s="134">
        <f t="shared" si="0"/>
        <v>39</v>
      </c>
      <c r="D9" s="109">
        <f t="shared" si="1"/>
        <v>45561</v>
      </c>
      <c r="E9" s="109">
        <f t="shared" si="1"/>
        <v>45562</v>
      </c>
      <c r="F9" s="8"/>
    </row>
    <row r="10" spans="2:12" ht="58" x14ac:dyDescent="0.35">
      <c r="B10" s="134">
        <f t="shared" si="0"/>
        <v>40</v>
      </c>
      <c r="C10" s="134">
        <f t="shared" si="0"/>
        <v>40</v>
      </c>
      <c r="D10" s="109">
        <f t="shared" si="1"/>
        <v>45568</v>
      </c>
      <c r="E10" s="109">
        <f t="shared" si="1"/>
        <v>45569</v>
      </c>
      <c r="F10" s="111" t="s">
        <v>170</v>
      </c>
    </row>
    <row r="11" spans="2:12" x14ac:dyDescent="0.35">
      <c r="B11" s="134">
        <f t="shared" si="0"/>
        <v>41</v>
      </c>
      <c r="C11" s="134">
        <f t="shared" si="0"/>
        <v>41</v>
      </c>
      <c r="D11" s="131">
        <f t="shared" si="1"/>
        <v>45575</v>
      </c>
      <c r="E11" s="131">
        <f t="shared" si="1"/>
        <v>45576</v>
      </c>
      <c r="F11" s="132" t="s">
        <v>36</v>
      </c>
    </row>
    <row r="12" spans="2:12" x14ac:dyDescent="0.35">
      <c r="B12" s="134">
        <f t="shared" si="0"/>
        <v>42</v>
      </c>
      <c r="C12" s="134">
        <f t="shared" si="0"/>
        <v>42</v>
      </c>
      <c r="D12" s="131">
        <f t="shared" si="1"/>
        <v>45582</v>
      </c>
      <c r="E12" s="131">
        <f t="shared" si="1"/>
        <v>45583</v>
      </c>
      <c r="F12" s="132" t="s">
        <v>36</v>
      </c>
    </row>
    <row r="13" spans="2:12" x14ac:dyDescent="0.35">
      <c r="B13" s="134">
        <f t="shared" si="0"/>
        <v>43</v>
      </c>
      <c r="C13" s="134">
        <f t="shared" si="0"/>
        <v>43</v>
      </c>
      <c r="D13" s="109">
        <f t="shared" si="1"/>
        <v>45589</v>
      </c>
      <c r="E13" s="109">
        <f t="shared" si="1"/>
        <v>45590</v>
      </c>
      <c r="F13" s="8"/>
    </row>
    <row r="14" spans="2:12" ht="72.5" x14ac:dyDescent="0.35">
      <c r="B14" s="134">
        <f t="shared" si="0"/>
        <v>44</v>
      </c>
      <c r="C14" s="134">
        <f t="shared" si="0"/>
        <v>44</v>
      </c>
      <c r="D14" s="109">
        <f t="shared" si="1"/>
        <v>45596</v>
      </c>
      <c r="E14" s="109">
        <f t="shared" si="1"/>
        <v>45597</v>
      </c>
      <c r="F14" s="133" t="s">
        <v>155</v>
      </c>
    </row>
    <row r="15" spans="2:12" x14ac:dyDescent="0.35">
      <c r="B15" s="134">
        <f t="shared" si="0"/>
        <v>45</v>
      </c>
      <c r="C15" s="134">
        <f t="shared" si="0"/>
        <v>45</v>
      </c>
      <c r="D15" s="109">
        <f t="shared" si="1"/>
        <v>45603</v>
      </c>
      <c r="E15" s="109">
        <f t="shared" si="1"/>
        <v>45604</v>
      </c>
      <c r="F15" s="8"/>
    </row>
    <row r="16" spans="2:12" x14ac:dyDescent="0.35">
      <c r="B16" s="134">
        <f t="shared" si="0"/>
        <v>46</v>
      </c>
      <c r="C16" s="134">
        <f t="shared" si="0"/>
        <v>46</v>
      </c>
      <c r="D16" s="109">
        <f t="shared" si="1"/>
        <v>45610</v>
      </c>
      <c r="E16" s="109">
        <f t="shared" si="1"/>
        <v>45611</v>
      </c>
      <c r="F16" s="8"/>
    </row>
    <row r="17" spans="2:6" ht="87" x14ac:dyDescent="0.35">
      <c r="B17" s="134">
        <f t="shared" si="0"/>
        <v>47</v>
      </c>
      <c r="C17" s="134">
        <f t="shared" si="0"/>
        <v>47</v>
      </c>
      <c r="D17" s="109">
        <f t="shared" si="1"/>
        <v>45617</v>
      </c>
      <c r="E17" s="109">
        <f t="shared" si="1"/>
        <v>45618</v>
      </c>
      <c r="F17" s="133" t="s">
        <v>154</v>
      </c>
    </row>
    <row r="18" spans="2:6" x14ac:dyDescent="0.35">
      <c r="B18" s="134">
        <f t="shared" si="0"/>
        <v>48</v>
      </c>
      <c r="C18" s="134">
        <f t="shared" si="0"/>
        <v>48</v>
      </c>
      <c r="D18" s="131">
        <f t="shared" si="1"/>
        <v>45624</v>
      </c>
      <c r="E18" s="109">
        <f t="shared" si="1"/>
        <v>45625</v>
      </c>
      <c r="F18" s="147" t="s">
        <v>249</v>
      </c>
    </row>
    <row r="19" spans="2:6" x14ac:dyDescent="0.35">
      <c r="B19" s="134">
        <f t="shared" si="0"/>
        <v>49</v>
      </c>
      <c r="C19" s="134">
        <f t="shared" si="0"/>
        <v>49</v>
      </c>
      <c r="D19" s="109">
        <f t="shared" si="1"/>
        <v>45631</v>
      </c>
      <c r="E19" s="109">
        <f t="shared" si="1"/>
        <v>45632</v>
      </c>
      <c r="F19" s="8"/>
    </row>
    <row r="20" spans="2:6" ht="29" x14ac:dyDescent="0.35">
      <c r="B20" s="134">
        <f t="shared" si="0"/>
        <v>50</v>
      </c>
      <c r="C20" s="134">
        <f t="shared" si="0"/>
        <v>50</v>
      </c>
      <c r="D20" s="109">
        <f t="shared" si="1"/>
        <v>45638</v>
      </c>
      <c r="E20" s="109">
        <f t="shared" si="1"/>
        <v>45639</v>
      </c>
      <c r="F20" s="111" t="s">
        <v>171</v>
      </c>
    </row>
    <row r="21" spans="2:6" ht="72.5" x14ac:dyDescent="0.35">
      <c r="B21" s="134">
        <f t="shared" si="0"/>
        <v>51</v>
      </c>
      <c r="C21" s="134">
        <f t="shared" si="0"/>
        <v>51</v>
      </c>
      <c r="D21" s="109">
        <f t="shared" ref="D21:E26" si="2">D20+7</f>
        <v>45645</v>
      </c>
      <c r="E21" s="109">
        <f t="shared" si="2"/>
        <v>45646</v>
      </c>
      <c r="F21" s="133" t="s">
        <v>173</v>
      </c>
    </row>
    <row r="22" spans="2:6" x14ac:dyDescent="0.35">
      <c r="B22" s="134">
        <f t="shared" si="0"/>
        <v>52</v>
      </c>
      <c r="C22" s="134">
        <f t="shared" si="0"/>
        <v>52</v>
      </c>
      <c r="D22" s="131">
        <f t="shared" si="2"/>
        <v>45652</v>
      </c>
      <c r="E22" s="131">
        <f t="shared" si="2"/>
        <v>45653</v>
      </c>
      <c r="F22" s="132" t="s">
        <v>36</v>
      </c>
    </row>
    <row r="23" spans="2:6" x14ac:dyDescent="0.35">
      <c r="B23" s="134">
        <f t="shared" si="0"/>
        <v>1</v>
      </c>
      <c r="C23" s="134">
        <f t="shared" si="0"/>
        <v>1</v>
      </c>
      <c r="D23" s="131">
        <f t="shared" si="2"/>
        <v>45659</v>
      </c>
      <c r="E23" s="131">
        <f t="shared" si="2"/>
        <v>45660</v>
      </c>
      <c r="F23" s="135" t="s">
        <v>36</v>
      </c>
    </row>
    <row r="24" spans="2:6" x14ac:dyDescent="0.35">
      <c r="B24" s="134">
        <f t="shared" si="0"/>
        <v>2</v>
      </c>
      <c r="C24" s="134">
        <f t="shared" si="0"/>
        <v>2</v>
      </c>
      <c r="D24" s="109">
        <f t="shared" si="2"/>
        <v>45666</v>
      </c>
      <c r="E24" s="109">
        <f t="shared" si="2"/>
        <v>45667</v>
      </c>
      <c r="F24" s="111"/>
    </row>
    <row r="25" spans="2:6" x14ac:dyDescent="0.35">
      <c r="B25" s="134">
        <f t="shared" si="0"/>
        <v>3</v>
      </c>
      <c r="C25" s="134">
        <f t="shared" si="0"/>
        <v>3</v>
      </c>
      <c r="D25" s="109">
        <f t="shared" si="2"/>
        <v>45673</v>
      </c>
      <c r="E25" s="109">
        <f t="shared" si="2"/>
        <v>45674</v>
      </c>
      <c r="F25" s="8" t="s">
        <v>153</v>
      </c>
    </row>
    <row r="26" spans="2:6" x14ac:dyDescent="0.35">
      <c r="B26" s="134">
        <f t="shared" si="0"/>
        <v>4</v>
      </c>
      <c r="C26" s="134">
        <f t="shared" si="0"/>
        <v>4</v>
      </c>
      <c r="D26" s="109">
        <f t="shared" si="2"/>
        <v>45680</v>
      </c>
      <c r="E26" s="109">
        <f t="shared" si="2"/>
        <v>45681</v>
      </c>
      <c r="F26" s="111"/>
    </row>
    <row r="27" spans="2:6" x14ac:dyDescent="0.35">
      <c r="B27" s="78"/>
      <c r="C27" s="78"/>
      <c r="D27" s="142"/>
      <c r="E27" s="142"/>
    </row>
    <row r="28" spans="2:6" x14ac:dyDescent="0.35">
      <c r="B28" s="142"/>
    </row>
  </sheetData>
  <mergeCells count="1">
    <mergeCell ref="J2:K2"/>
  </mergeCells>
  <pageMargins left="0.7" right="0.7" top="0.78740157499999996" bottom="0.78740157499999996" header="0.3" footer="0.3"/>
  <pageSetup paperSize="9" scale="49" orientation="portrait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D3D35-783E-49DB-B4FB-1F72077F52B6}">
  <sheetPr codeName="Tabelle19">
    <tabColor rgb="FF92D050"/>
    <pageSetUpPr fitToPage="1"/>
  </sheetPr>
  <dimension ref="B2:F57"/>
  <sheetViews>
    <sheetView showGridLines="0" tabSelected="1" topLeftCell="A13" zoomScale="70" zoomScaleNormal="70" workbookViewId="0">
      <selection activeCell="K30" sqref="K30"/>
    </sheetView>
  </sheetViews>
  <sheetFormatPr baseColWidth="10" defaultRowHeight="14.5" x14ac:dyDescent="0.35"/>
  <cols>
    <col min="2" max="2" width="12.7265625" customWidth="1"/>
    <col min="3" max="3" width="13.7265625" hidden="1" customWidth="1"/>
    <col min="4" max="4" width="11.81640625" bestFit="1" customWidth="1"/>
    <col min="5" max="5" width="11.26953125" bestFit="1" customWidth="1"/>
    <col min="6" max="6" width="79.1796875" customWidth="1"/>
  </cols>
  <sheetData>
    <row r="2" spans="2:6" ht="18.5" x14ac:dyDescent="0.45">
      <c r="B2" s="158" t="s">
        <v>244</v>
      </c>
      <c r="C2" s="159"/>
      <c r="D2" s="160"/>
      <c r="E2" s="160"/>
      <c r="F2" s="160"/>
    </row>
    <row r="3" spans="2:6" x14ac:dyDescent="0.35">
      <c r="B3" s="8"/>
      <c r="C3" s="8"/>
      <c r="D3" s="8"/>
      <c r="E3" s="8"/>
      <c r="F3" s="8"/>
    </row>
    <row r="4" spans="2:6" ht="43.5" x14ac:dyDescent="0.35">
      <c r="B4" s="138" t="s">
        <v>241</v>
      </c>
      <c r="C4" s="138" t="s">
        <v>241</v>
      </c>
      <c r="D4" s="141" t="s">
        <v>245</v>
      </c>
      <c r="E4" s="139" t="s">
        <v>246</v>
      </c>
      <c r="F4" s="55" t="s">
        <v>46</v>
      </c>
    </row>
    <row r="5" spans="2:6" x14ac:dyDescent="0.35">
      <c r="B5" s="134">
        <f>WEEKNUM(D5)</f>
        <v>34</v>
      </c>
      <c r="C5" s="134">
        <f>WEEKNUM(E5)</f>
        <v>34</v>
      </c>
      <c r="D5" s="143">
        <v>45526</v>
      </c>
      <c r="E5" s="143">
        <v>45527</v>
      </c>
      <c r="F5" s="147" t="s">
        <v>251</v>
      </c>
    </row>
    <row r="6" spans="2:6" x14ac:dyDescent="0.35">
      <c r="B6" s="134">
        <f t="shared" ref="B6:C27" si="0">WEEKNUM(D6)</f>
        <v>35</v>
      </c>
      <c r="C6" s="134">
        <f t="shared" si="0"/>
        <v>35</v>
      </c>
      <c r="D6" s="143">
        <f t="shared" ref="D6:E21" si="1">D5+7</f>
        <v>45533</v>
      </c>
      <c r="E6" s="143">
        <f t="shared" si="1"/>
        <v>45534</v>
      </c>
      <c r="F6" s="8"/>
    </row>
    <row r="7" spans="2:6" x14ac:dyDescent="0.35">
      <c r="B7" s="134">
        <f t="shared" si="0"/>
        <v>36</v>
      </c>
      <c r="C7" s="134">
        <f t="shared" si="0"/>
        <v>36</v>
      </c>
      <c r="D7" s="143">
        <f t="shared" si="1"/>
        <v>45540</v>
      </c>
      <c r="E7" s="143">
        <f t="shared" si="1"/>
        <v>45541</v>
      </c>
      <c r="F7" s="147"/>
    </row>
    <row r="8" spans="2:6" x14ac:dyDescent="0.35">
      <c r="B8" s="134">
        <f t="shared" si="0"/>
        <v>37</v>
      </c>
      <c r="C8" s="134">
        <f t="shared" si="0"/>
        <v>37</v>
      </c>
      <c r="D8" s="143">
        <f t="shared" si="1"/>
        <v>45547</v>
      </c>
      <c r="E8" s="143">
        <f t="shared" si="1"/>
        <v>45548</v>
      </c>
      <c r="F8" s="8" t="s">
        <v>262</v>
      </c>
    </row>
    <row r="9" spans="2:6" x14ac:dyDescent="0.35">
      <c r="B9" s="134">
        <f t="shared" si="0"/>
        <v>38</v>
      </c>
      <c r="C9" s="134">
        <f t="shared" si="0"/>
        <v>38</v>
      </c>
      <c r="D9" s="143">
        <f t="shared" si="1"/>
        <v>45554</v>
      </c>
      <c r="E9" s="143">
        <f t="shared" si="1"/>
        <v>45555</v>
      </c>
      <c r="F9" s="154" t="s">
        <v>254</v>
      </c>
    </row>
    <row r="10" spans="2:6" x14ac:dyDescent="0.35">
      <c r="B10" s="134">
        <f t="shared" si="0"/>
        <v>39</v>
      </c>
      <c r="C10" s="134">
        <f t="shared" si="0"/>
        <v>39</v>
      </c>
      <c r="D10" s="143">
        <f t="shared" si="1"/>
        <v>45561</v>
      </c>
      <c r="E10" s="143">
        <f t="shared" si="1"/>
        <v>45562</v>
      </c>
      <c r="F10" s="8"/>
    </row>
    <row r="11" spans="2:6" x14ac:dyDescent="0.35">
      <c r="B11" s="134">
        <f t="shared" si="0"/>
        <v>40</v>
      </c>
      <c r="C11" s="134">
        <f t="shared" si="0"/>
        <v>40</v>
      </c>
      <c r="D11" s="143">
        <f t="shared" si="1"/>
        <v>45568</v>
      </c>
      <c r="E11" s="143">
        <f t="shared" si="1"/>
        <v>45569</v>
      </c>
      <c r="F11" s="154" t="s">
        <v>255</v>
      </c>
    </row>
    <row r="12" spans="2:6" x14ac:dyDescent="0.35">
      <c r="B12" s="134">
        <f t="shared" si="0"/>
        <v>41</v>
      </c>
      <c r="C12" s="134">
        <f t="shared" si="0"/>
        <v>41</v>
      </c>
      <c r="D12" s="144">
        <f t="shared" si="1"/>
        <v>45575</v>
      </c>
      <c r="E12" s="144">
        <f t="shared" si="1"/>
        <v>45576</v>
      </c>
      <c r="F12" s="149" t="s">
        <v>36</v>
      </c>
    </row>
    <row r="13" spans="2:6" x14ac:dyDescent="0.35">
      <c r="B13" s="134">
        <f t="shared" si="0"/>
        <v>42</v>
      </c>
      <c r="C13" s="134">
        <f t="shared" si="0"/>
        <v>42</v>
      </c>
      <c r="D13" s="144">
        <f t="shared" si="1"/>
        <v>45582</v>
      </c>
      <c r="E13" s="144">
        <f t="shared" si="1"/>
        <v>45583</v>
      </c>
      <c r="F13" s="149" t="s">
        <v>36</v>
      </c>
    </row>
    <row r="14" spans="2:6" x14ac:dyDescent="0.35">
      <c r="B14" s="134">
        <f t="shared" si="0"/>
        <v>43</v>
      </c>
      <c r="C14" s="134">
        <f t="shared" si="0"/>
        <v>43</v>
      </c>
      <c r="D14" s="143">
        <f t="shared" si="1"/>
        <v>45589</v>
      </c>
      <c r="E14" s="143">
        <f t="shared" si="1"/>
        <v>45590</v>
      </c>
      <c r="F14" s="8"/>
    </row>
    <row r="15" spans="2:6" x14ac:dyDescent="0.35">
      <c r="B15" s="134">
        <f t="shared" si="0"/>
        <v>44</v>
      </c>
      <c r="C15" s="134">
        <f t="shared" si="0"/>
        <v>44</v>
      </c>
      <c r="D15" s="143">
        <f t="shared" si="1"/>
        <v>45596</v>
      </c>
      <c r="E15" s="143">
        <f t="shared" si="1"/>
        <v>45597</v>
      </c>
      <c r="F15" s="129" t="s">
        <v>256</v>
      </c>
    </row>
    <row r="16" spans="2:6" x14ac:dyDescent="0.35">
      <c r="B16" s="134">
        <f t="shared" si="0"/>
        <v>45</v>
      </c>
      <c r="C16" s="134">
        <f t="shared" si="0"/>
        <v>45</v>
      </c>
      <c r="D16" s="143">
        <f t="shared" si="1"/>
        <v>45603</v>
      </c>
      <c r="E16" s="143">
        <f t="shared" si="1"/>
        <v>45604</v>
      </c>
      <c r="F16" s="8"/>
    </row>
    <row r="17" spans="2:6" x14ac:dyDescent="0.35">
      <c r="B17" s="134">
        <f t="shared" si="0"/>
        <v>46</v>
      </c>
      <c r="C17" s="134">
        <f t="shared" si="0"/>
        <v>46</v>
      </c>
      <c r="D17" s="143">
        <f t="shared" si="1"/>
        <v>45610</v>
      </c>
      <c r="E17" s="143">
        <f t="shared" si="1"/>
        <v>45611</v>
      </c>
      <c r="F17" s="147" t="s">
        <v>257</v>
      </c>
    </row>
    <row r="18" spans="2:6" x14ac:dyDescent="0.35">
      <c r="B18" s="134">
        <f t="shared" si="0"/>
        <v>47</v>
      </c>
      <c r="C18" s="134">
        <f t="shared" si="0"/>
        <v>47</v>
      </c>
      <c r="D18" s="143">
        <f t="shared" si="1"/>
        <v>45617</v>
      </c>
      <c r="E18" s="143">
        <f t="shared" si="1"/>
        <v>45618</v>
      </c>
      <c r="F18" s="8" t="s">
        <v>258</v>
      </c>
    </row>
    <row r="19" spans="2:6" x14ac:dyDescent="0.35">
      <c r="B19" s="134">
        <f t="shared" si="0"/>
        <v>48</v>
      </c>
      <c r="C19" s="134">
        <f t="shared" si="0"/>
        <v>48</v>
      </c>
      <c r="D19" s="144">
        <f t="shared" si="1"/>
        <v>45624</v>
      </c>
      <c r="E19" s="143">
        <f t="shared" si="1"/>
        <v>45625</v>
      </c>
      <c r="F19" s="147" t="s">
        <v>249</v>
      </c>
    </row>
    <row r="20" spans="2:6" x14ac:dyDescent="0.35">
      <c r="B20" s="134">
        <f t="shared" si="0"/>
        <v>49</v>
      </c>
      <c r="C20" s="134">
        <f t="shared" si="0"/>
        <v>49</v>
      </c>
      <c r="D20" s="143">
        <f t="shared" si="1"/>
        <v>45631</v>
      </c>
      <c r="E20" s="143">
        <f t="shared" si="1"/>
        <v>45632</v>
      </c>
      <c r="F20" s="8"/>
    </row>
    <row r="21" spans="2:6" x14ac:dyDescent="0.35">
      <c r="B21" s="134">
        <f t="shared" si="0"/>
        <v>50</v>
      </c>
      <c r="C21" s="134">
        <f t="shared" si="0"/>
        <v>50</v>
      </c>
      <c r="D21" s="143">
        <f t="shared" si="1"/>
        <v>45638</v>
      </c>
      <c r="E21" s="143">
        <f t="shared" si="1"/>
        <v>45639</v>
      </c>
      <c r="F21" s="8"/>
    </row>
    <row r="22" spans="2:6" x14ac:dyDescent="0.35">
      <c r="B22" s="134">
        <f t="shared" si="0"/>
        <v>51</v>
      </c>
      <c r="C22" s="134">
        <f t="shared" si="0"/>
        <v>51</v>
      </c>
      <c r="D22" s="143">
        <f t="shared" ref="D22:E27" si="2">D21+7</f>
        <v>45645</v>
      </c>
      <c r="E22" s="143">
        <f t="shared" si="2"/>
        <v>45646</v>
      </c>
      <c r="F22" s="148" t="s">
        <v>259</v>
      </c>
    </row>
    <row r="23" spans="2:6" x14ac:dyDescent="0.35">
      <c r="B23" s="134">
        <f t="shared" si="0"/>
        <v>52</v>
      </c>
      <c r="C23" s="134">
        <f t="shared" si="0"/>
        <v>52</v>
      </c>
      <c r="D23" s="144">
        <f t="shared" si="2"/>
        <v>45652</v>
      </c>
      <c r="E23" s="144">
        <f t="shared" si="2"/>
        <v>45653</v>
      </c>
      <c r="F23" s="149" t="s">
        <v>36</v>
      </c>
    </row>
    <row r="24" spans="2:6" x14ac:dyDescent="0.35">
      <c r="B24" s="134">
        <f t="shared" si="0"/>
        <v>1</v>
      </c>
      <c r="C24" s="134">
        <f t="shared" si="0"/>
        <v>1</v>
      </c>
      <c r="D24" s="144">
        <f t="shared" si="2"/>
        <v>45659</v>
      </c>
      <c r="E24" s="144">
        <f t="shared" si="2"/>
        <v>45660</v>
      </c>
      <c r="F24" s="149" t="s">
        <v>36</v>
      </c>
    </row>
    <row r="25" spans="2:6" ht="17" customHeight="1" x14ac:dyDescent="0.35">
      <c r="B25" s="134">
        <f t="shared" si="0"/>
        <v>2</v>
      </c>
      <c r="C25" s="134">
        <f t="shared" si="0"/>
        <v>2</v>
      </c>
      <c r="D25" s="143">
        <f t="shared" si="2"/>
        <v>45666</v>
      </c>
      <c r="E25" s="143">
        <f t="shared" si="2"/>
        <v>45667</v>
      </c>
      <c r="F25" s="147" t="s">
        <v>260</v>
      </c>
    </row>
    <row r="26" spans="2:6" x14ac:dyDescent="0.35">
      <c r="B26" s="134">
        <f t="shared" si="0"/>
        <v>3</v>
      </c>
      <c r="C26" s="134">
        <f t="shared" si="0"/>
        <v>3</v>
      </c>
      <c r="D26" s="143">
        <f t="shared" si="2"/>
        <v>45673</v>
      </c>
      <c r="E26" s="143">
        <f t="shared" si="2"/>
        <v>45674</v>
      </c>
      <c r="F26" s="147" t="s">
        <v>252</v>
      </c>
    </row>
    <row r="27" spans="2:6" x14ac:dyDescent="0.35">
      <c r="B27" s="134">
        <f t="shared" si="0"/>
        <v>4</v>
      </c>
      <c r="C27" s="134">
        <f t="shared" si="0"/>
        <v>4</v>
      </c>
      <c r="D27" s="143">
        <f t="shared" si="2"/>
        <v>45680</v>
      </c>
      <c r="E27" s="143">
        <f t="shared" si="2"/>
        <v>45681</v>
      </c>
      <c r="F27" s="129" t="s">
        <v>111</v>
      </c>
    </row>
    <row r="28" spans="2:6" x14ac:dyDescent="0.35">
      <c r="B28" s="29"/>
    </row>
    <row r="29" spans="2:6" x14ac:dyDescent="0.35">
      <c r="B29" s="29"/>
    </row>
    <row r="30" spans="2:6" x14ac:dyDescent="0.35">
      <c r="B30" s="29"/>
    </row>
    <row r="31" spans="2:6" ht="18.5" x14ac:dyDescent="0.45">
      <c r="B31" s="151" t="str">
        <f>B2</f>
        <v>Informatik</v>
      </c>
      <c r="C31" s="152"/>
      <c r="D31" s="153"/>
      <c r="E31" s="153"/>
      <c r="F31" s="153"/>
    </row>
    <row r="33" spans="2:6" ht="43.5" x14ac:dyDescent="0.35">
      <c r="B33" s="138" t="s">
        <v>241</v>
      </c>
      <c r="C33" s="138" t="s">
        <v>241</v>
      </c>
      <c r="D33" s="141" t="s">
        <v>245</v>
      </c>
      <c r="E33" s="139" t="s">
        <v>246</v>
      </c>
      <c r="F33" s="55" t="s">
        <v>46</v>
      </c>
    </row>
    <row r="34" spans="2:6" x14ac:dyDescent="0.35">
      <c r="B34" s="134">
        <f>WEEKNUM(D34)</f>
        <v>5</v>
      </c>
      <c r="C34" s="134">
        <f>WEEKNUM(E34)</f>
        <v>5</v>
      </c>
      <c r="D34" s="136">
        <v>45687</v>
      </c>
      <c r="E34" s="136">
        <v>45688</v>
      </c>
      <c r="F34" s="8" t="s">
        <v>135</v>
      </c>
    </row>
    <row r="35" spans="2:6" x14ac:dyDescent="0.35">
      <c r="B35" s="134">
        <f t="shared" ref="B35:C56" si="3">WEEKNUM(D35)</f>
        <v>6</v>
      </c>
      <c r="C35" s="134">
        <f t="shared" si="3"/>
        <v>6</v>
      </c>
      <c r="D35" s="137">
        <f>D34+7</f>
        <v>45694</v>
      </c>
      <c r="E35" s="137">
        <f t="shared" ref="D35:E50" si="4">E34+7</f>
        <v>45695</v>
      </c>
      <c r="F35" s="13" t="s">
        <v>196</v>
      </c>
    </row>
    <row r="36" spans="2:6" x14ac:dyDescent="0.35">
      <c r="B36" s="134">
        <f t="shared" si="3"/>
        <v>7</v>
      </c>
      <c r="C36" s="134">
        <f t="shared" si="3"/>
        <v>7</v>
      </c>
      <c r="D36" s="136">
        <f t="shared" si="4"/>
        <v>45701</v>
      </c>
      <c r="E36" s="136">
        <f t="shared" si="4"/>
        <v>45702</v>
      </c>
      <c r="F36" s="8"/>
    </row>
    <row r="37" spans="2:6" x14ac:dyDescent="0.35">
      <c r="B37" s="134">
        <f t="shared" si="3"/>
        <v>8</v>
      </c>
      <c r="C37" s="134">
        <f t="shared" si="3"/>
        <v>8</v>
      </c>
      <c r="D37" s="137">
        <f t="shared" si="4"/>
        <v>45708</v>
      </c>
      <c r="E37" s="137">
        <f t="shared" si="4"/>
        <v>45709</v>
      </c>
      <c r="F37" s="13" t="s">
        <v>36</v>
      </c>
    </row>
    <row r="38" spans="2:6" x14ac:dyDescent="0.35">
      <c r="B38" s="134">
        <f t="shared" si="3"/>
        <v>9</v>
      </c>
      <c r="C38" s="134">
        <f t="shared" si="3"/>
        <v>9</v>
      </c>
      <c r="D38" s="137">
        <f t="shared" si="4"/>
        <v>45715</v>
      </c>
      <c r="E38" s="137">
        <f t="shared" si="4"/>
        <v>45716</v>
      </c>
      <c r="F38" s="13" t="s">
        <v>36</v>
      </c>
    </row>
    <row r="39" spans="2:6" x14ac:dyDescent="0.35">
      <c r="B39" s="134">
        <f t="shared" si="3"/>
        <v>10</v>
      </c>
      <c r="C39" s="134">
        <f t="shared" si="3"/>
        <v>10</v>
      </c>
      <c r="D39" s="136">
        <f t="shared" si="4"/>
        <v>45722</v>
      </c>
      <c r="E39" s="136">
        <f t="shared" si="4"/>
        <v>45723</v>
      </c>
      <c r="F39" s="8" t="s">
        <v>131</v>
      </c>
    </row>
    <row r="40" spans="2:6" x14ac:dyDescent="0.35">
      <c r="B40" s="134">
        <f t="shared" si="3"/>
        <v>11</v>
      </c>
      <c r="C40" s="134">
        <f t="shared" si="3"/>
        <v>11</v>
      </c>
      <c r="D40" s="136">
        <f t="shared" si="4"/>
        <v>45729</v>
      </c>
      <c r="E40" s="136">
        <f t="shared" si="4"/>
        <v>45730</v>
      </c>
      <c r="F40" s="111"/>
    </row>
    <row r="41" spans="2:6" x14ac:dyDescent="0.35">
      <c r="B41" s="134">
        <f t="shared" si="3"/>
        <v>12</v>
      </c>
      <c r="C41" s="134">
        <f t="shared" si="3"/>
        <v>12</v>
      </c>
      <c r="D41" s="136">
        <f t="shared" si="4"/>
        <v>45736</v>
      </c>
      <c r="E41" s="136">
        <f t="shared" si="4"/>
        <v>45737</v>
      </c>
      <c r="F41" s="129" t="s">
        <v>134</v>
      </c>
    </row>
    <row r="42" spans="2:6" x14ac:dyDescent="0.35">
      <c r="B42" s="134">
        <f t="shared" si="3"/>
        <v>13</v>
      </c>
      <c r="C42" s="134">
        <f t="shared" si="3"/>
        <v>13</v>
      </c>
      <c r="D42" s="136">
        <f t="shared" si="4"/>
        <v>45743</v>
      </c>
      <c r="E42" s="136">
        <f t="shared" si="4"/>
        <v>45744</v>
      </c>
      <c r="F42" s="8"/>
    </row>
    <row r="43" spans="2:6" x14ac:dyDescent="0.35">
      <c r="B43" s="134">
        <f t="shared" si="3"/>
        <v>14</v>
      </c>
      <c r="C43" s="134">
        <f t="shared" si="3"/>
        <v>14</v>
      </c>
      <c r="D43" s="136">
        <f t="shared" si="4"/>
        <v>45750</v>
      </c>
      <c r="E43" s="136">
        <f t="shared" si="4"/>
        <v>45751</v>
      </c>
      <c r="F43" s="8" t="s">
        <v>204</v>
      </c>
    </row>
    <row r="44" spans="2:6" x14ac:dyDescent="0.35">
      <c r="B44" s="134">
        <f t="shared" si="3"/>
        <v>15</v>
      </c>
      <c r="C44" s="134">
        <f t="shared" si="3"/>
        <v>15</v>
      </c>
      <c r="D44" s="136">
        <f t="shared" si="4"/>
        <v>45757</v>
      </c>
      <c r="E44" s="136">
        <f t="shared" si="4"/>
        <v>45758</v>
      </c>
      <c r="F44" s="8"/>
    </row>
    <row r="45" spans="2:6" x14ac:dyDescent="0.35">
      <c r="B45" s="134">
        <f t="shared" si="3"/>
        <v>16</v>
      </c>
      <c r="C45" s="134">
        <f t="shared" si="3"/>
        <v>16</v>
      </c>
      <c r="D45" s="136">
        <f t="shared" si="4"/>
        <v>45764</v>
      </c>
      <c r="E45" s="137">
        <f t="shared" si="4"/>
        <v>45765</v>
      </c>
      <c r="F45" s="146" t="s">
        <v>250</v>
      </c>
    </row>
    <row r="46" spans="2:6" x14ac:dyDescent="0.35">
      <c r="B46" s="134">
        <f t="shared" si="3"/>
        <v>17</v>
      </c>
      <c r="C46" s="134">
        <f t="shared" si="3"/>
        <v>17</v>
      </c>
      <c r="D46" s="137">
        <f t="shared" si="4"/>
        <v>45771</v>
      </c>
      <c r="E46" s="137">
        <f t="shared" si="4"/>
        <v>45772</v>
      </c>
      <c r="F46" s="13" t="s">
        <v>36</v>
      </c>
    </row>
    <row r="47" spans="2:6" x14ac:dyDescent="0.35">
      <c r="B47" s="134">
        <f t="shared" si="3"/>
        <v>18</v>
      </c>
      <c r="C47" s="134">
        <f t="shared" si="3"/>
        <v>18</v>
      </c>
      <c r="D47" s="137">
        <f t="shared" si="4"/>
        <v>45778</v>
      </c>
      <c r="E47" s="137">
        <f t="shared" si="4"/>
        <v>45779</v>
      </c>
      <c r="F47" s="13" t="s">
        <v>36</v>
      </c>
    </row>
    <row r="48" spans="2:6" x14ac:dyDescent="0.35">
      <c r="B48" s="134">
        <f t="shared" si="3"/>
        <v>19</v>
      </c>
      <c r="C48" s="134">
        <f t="shared" si="3"/>
        <v>19</v>
      </c>
      <c r="D48" s="136">
        <f t="shared" si="4"/>
        <v>45785</v>
      </c>
      <c r="E48" s="136">
        <f t="shared" si="4"/>
        <v>45786</v>
      </c>
      <c r="F48" s="8" t="s">
        <v>223</v>
      </c>
    </row>
    <row r="49" spans="2:6" x14ac:dyDescent="0.35">
      <c r="B49" s="134">
        <f t="shared" si="3"/>
        <v>20</v>
      </c>
      <c r="C49" s="134">
        <f t="shared" si="3"/>
        <v>20</v>
      </c>
      <c r="D49" s="136">
        <f t="shared" si="4"/>
        <v>45792</v>
      </c>
      <c r="E49" s="136">
        <f t="shared" si="4"/>
        <v>45793</v>
      </c>
      <c r="F49" s="8"/>
    </row>
    <row r="50" spans="2:6" ht="15" customHeight="1" x14ac:dyDescent="0.35">
      <c r="B50" s="134">
        <f t="shared" si="3"/>
        <v>21</v>
      </c>
      <c r="C50" s="134">
        <f t="shared" si="3"/>
        <v>21</v>
      </c>
      <c r="D50" s="136">
        <f t="shared" si="4"/>
        <v>45799</v>
      </c>
      <c r="E50" s="136">
        <f t="shared" si="4"/>
        <v>45800</v>
      </c>
      <c r="F50" s="111"/>
    </row>
    <row r="51" spans="2:6" x14ac:dyDescent="0.35">
      <c r="B51" s="134">
        <f t="shared" si="3"/>
        <v>22</v>
      </c>
      <c r="C51" s="134">
        <f t="shared" si="3"/>
        <v>22</v>
      </c>
      <c r="D51" s="137">
        <f t="shared" ref="D51:E57" si="5">D50+7</f>
        <v>45806</v>
      </c>
      <c r="E51" s="137">
        <f t="shared" si="5"/>
        <v>45807</v>
      </c>
      <c r="F51" s="13" t="s">
        <v>73</v>
      </c>
    </row>
    <row r="52" spans="2:6" x14ac:dyDescent="0.35">
      <c r="B52" s="134">
        <f t="shared" si="3"/>
        <v>23</v>
      </c>
      <c r="C52" s="134">
        <f t="shared" si="3"/>
        <v>23</v>
      </c>
      <c r="D52" s="136">
        <f t="shared" si="5"/>
        <v>45813</v>
      </c>
      <c r="E52" s="136">
        <f t="shared" si="5"/>
        <v>45814</v>
      </c>
      <c r="F52" s="36" t="s">
        <v>253</v>
      </c>
    </row>
    <row r="53" spans="2:6" x14ac:dyDescent="0.35">
      <c r="B53" s="134">
        <f t="shared" si="3"/>
        <v>24</v>
      </c>
      <c r="C53" s="134">
        <f t="shared" si="3"/>
        <v>24</v>
      </c>
      <c r="D53" s="136">
        <f t="shared" si="5"/>
        <v>45820</v>
      </c>
      <c r="E53" s="136">
        <f t="shared" si="5"/>
        <v>45821</v>
      </c>
      <c r="F53" s="8"/>
    </row>
    <row r="54" spans="2:6" x14ac:dyDescent="0.35">
      <c r="B54" s="134">
        <f t="shared" si="3"/>
        <v>25</v>
      </c>
      <c r="C54" s="134">
        <f t="shared" si="3"/>
        <v>25</v>
      </c>
      <c r="D54" s="136">
        <f t="shared" si="5"/>
        <v>45827</v>
      </c>
      <c r="E54" s="136">
        <f t="shared" si="5"/>
        <v>45828</v>
      </c>
      <c r="F54" s="8"/>
    </row>
    <row r="55" spans="2:6" x14ac:dyDescent="0.35">
      <c r="B55" s="134">
        <f t="shared" si="3"/>
        <v>26</v>
      </c>
      <c r="C55" s="134">
        <f t="shared" si="3"/>
        <v>26</v>
      </c>
      <c r="D55" s="136">
        <f t="shared" si="5"/>
        <v>45834</v>
      </c>
      <c r="E55" s="136">
        <f t="shared" si="5"/>
        <v>45835</v>
      </c>
      <c r="F55" s="111" t="s">
        <v>259</v>
      </c>
    </row>
    <row r="56" spans="2:6" x14ac:dyDescent="0.35">
      <c r="B56" s="134">
        <f t="shared" si="3"/>
        <v>27</v>
      </c>
      <c r="C56" s="134">
        <f t="shared" si="3"/>
        <v>27</v>
      </c>
      <c r="D56" s="136">
        <f t="shared" si="5"/>
        <v>45841</v>
      </c>
      <c r="E56" s="136">
        <f t="shared" si="5"/>
        <v>45842</v>
      </c>
      <c r="F56" s="8" t="s">
        <v>152</v>
      </c>
    </row>
    <row r="57" spans="2:6" x14ac:dyDescent="0.35">
      <c r="B57" s="134">
        <f t="shared" ref="B57:C57" si="6">WEEKNUM(D57)</f>
        <v>28</v>
      </c>
      <c r="C57" s="134">
        <f t="shared" si="6"/>
        <v>28</v>
      </c>
      <c r="D57" s="136">
        <f t="shared" si="5"/>
        <v>45848</v>
      </c>
      <c r="E57" s="136">
        <f t="shared" si="5"/>
        <v>45849</v>
      </c>
      <c r="F57" s="8"/>
    </row>
  </sheetData>
  <pageMargins left="0.7" right="0.7" top="0.78740157499999996" bottom="0.78740157499999996" header="0.3" footer="0.3"/>
  <pageSetup paperSize="9" scale="6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CAD41-B67D-4D92-BA65-96DCB7B22744}">
  <sheetPr codeName="Tabelle17">
    <tabColor rgb="FF92D050"/>
    <pageSetUpPr fitToPage="1"/>
  </sheetPr>
  <dimension ref="B1:J27"/>
  <sheetViews>
    <sheetView showGridLines="0" zoomScaleNormal="100" workbookViewId="0">
      <selection activeCell="B1" sqref="B1:G27"/>
    </sheetView>
  </sheetViews>
  <sheetFormatPr baseColWidth="10" defaultRowHeight="14.5" x14ac:dyDescent="0.35"/>
  <cols>
    <col min="2" max="3" width="10.90625" customWidth="1"/>
    <col min="4" max="5" width="15.81640625" customWidth="1"/>
    <col min="6" max="6" width="0" hidden="1" customWidth="1"/>
    <col min="7" max="7" width="47.453125" customWidth="1"/>
  </cols>
  <sheetData>
    <row r="1" spans="2:10" ht="35.25" customHeight="1" x14ac:dyDescent="0.6">
      <c r="B1" s="145" t="s">
        <v>191</v>
      </c>
      <c r="C1" s="126"/>
      <c r="D1" s="127"/>
      <c r="E1" s="127"/>
      <c r="F1" s="127"/>
      <c r="G1" s="127"/>
    </row>
    <row r="2" spans="2:10" ht="15" thickBot="1" x14ac:dyDescent="0.4"/>
    <row r="3" spans="2:10" ht="29" x14ac:dyDescent="0.35">
      <c r="B3" s="141" t="s">
        <v>241</v>
      </c>
      <c r="C3" s="141" t="s">
        <v>241</v>
      </c>
      <c r="D3" s="139" t="s">
        <v>242</v>
      </c>
      <c r="E3" s="139" t="s">
        <v>243</v>
      </c>
      <c r="F3" s="150"/>
      <c r="G3" s="141" t="s">
        <v>46</v>
      </c>
    </row>
    <row r="4" spans="2:10" x14ac:dyDescent="0.35">
      <c r="B4" s="134">
        <f>WEEKNUM(D4)</f>
        <v>5</v>
      </c>
      <c r="C4" s="134">
        <f>WEEKNUM(E4)</f>
        <v>5</v>
      </c>
      <c r="D4" s="109">
        <v>45687</v>
      </c>
      <c r="E4" s="109">
        <v>45688</v>
      </c>
      <c r="F4" s="32"/>
      <c r="G4" s="8" t="s">
        <v>61</v>
      </c>
    </row>
    <row r="5" spans="2:10" x14ac:dyDescent="0.35">
      <c r="B5" s="134">
        <f t="shared" ref="B5:C26" si="0">WEEKNUM(D5)</f>
        <v>6</v>
      </c>
      <c r="C5" s="134">
        <f t="shared" si="0"/>
        <v>6</v>
      </c>
      <c r="D5" s="131">
        <f>D4+7</f>
        <v>45694</v>
      </c>
      <c r="E5" s="131">
        <f t="shared" ref="D5:E20" si="1">E4+7</f>
        <v>45695</v>
      </c>
      <c r="F5" s="30"/>
      <c r="G5" s="13" t="s">
        <v>196</v>
      </c>
    </row>
    <row r="6" spans="2:10" x14ac:dyDescent="0.35">
      <c r="B6" s="134">
        <f t="shared" si="0"/>
        <v>7</v>
      </c>
      <c r="C6" s="134">
        <f t="shared" si="0"/>
        <v>7</v>
      </c>
      <c r="D6" s="109">
        <f t="shared" si="1"/>
        <v>45701</v>
      </c>
      <c r="E6" s="109">
        <f t="shared" si="1"/>
        <v>45702</v>
      </c>
      <c r="F6" s="32"/>
      <c r="G6" s="8"/>
    </row>
    <row r="7" spans="2:10" x14ac:dyDescent="0.35">
      <c r="B7" s="134">
        <f t="shared" si="0"/>
        <v>8</v>
      </c>
      <c r="C7" s="134">
        <f t="shared" si="0"/>
        <v>8</v>
      </c>
      <c r="D7" s="131">
        <f t="shared" si="1"/>
        <v>45708</v>
      </c>
      <c r="E7" s="131">
        <f t="shared" si="1"/>
        <v>45709</v>
      </c>
      <c r="F7" s="30"/>
      <c r="G7" s="13" t="s">
        <v>36</v>
      </c>
    </row>
    <row r="8" spans="2:10" x14ac:dyDescent="0.35">
      <c r="B8" s="134">
        <f t="shared" si="0"/>
        <v>9</v>
      </c>
      <c r="C8" s="134">
        <f t="shared" si="0"/>
        <v>9</v>
      </c>
      <c r="D8" s="131">
        <f t="shared" si="1"/>
        <v>45715</v>
      </c>
      <c r="E8" s="131">
        <f t="shared" si="1"/>
        <v>45716</v>
      </c>
      <c r="F8" s="30"/>
      <c r="G8" s="13" t="s">
        <v>36</v>
      </c>
    </row>
    <row r="9" spans="2:10" x14ac:dyDescent="0.35">
      <c r="B9" s="134">
        <f t="shared" si="0"/>
        <v>10</v>
      </c>
      <c r="C9" s="134">
        <f t="shared" si="0"/>
        <v>10</v>
      </c>
      <c r="D9" s="109">
        <f t="shared" si="1"/>
        <v>45722</v>
      </c>
      <c r="E9" s="109">
        <f t="shared" si="1"/>
        <v>45723</v>
      </c>
      <c r="F9" s="32"/>
      <c r="G9" s="146" t="s">
        <v>207</v>
      </c>
    </row>
    <row r="10" spans="2:10" x14ac:dyDescent="0.35">
      <c r="B10" s="134">
        <f t="shared" si="0"/>
        <v>11</v>
      </c>
      <c r="C10" s="134">
        <f t="shared" si="0"/>
        <v>11</v>
      </c>
      <c r="D10" s="109">
        <f t="shared" si="1"/>
        <v>45729</v>
      </c>
      <c r="E10" s="109">
        <f t="shared" si="1"/>
        <v>45730</v>
      </c>
      <c r="F10" s="109"/>
      <c r="G10" s="8"/>
    </row>
    <row r="11" spans="2:10" x14ac:dyDescent="0.35">
      <c r="B11" s="134">
        <f t="shared" si="0"/>
        <v>12</v>
      </c>
      <c r="C11" s="134">
        <f t="shared" si="0"/>
        <v>12</v>
      </c>
      <c r="D11" s="109">
        <f t="shared" si="1"/>
        <v>45736</v>
      </c>
      <c r="E11" s="109">
        <f t="shared" si="1"/>
        <v>45737</v>
      </c>
      <c r="F11" s="32"/>
      <c r="G11" s="111" t="s">
        <v>28</v>
      </c>
    </row>
    <row r="12" spans="2:10" x14ac:dyDescent="0.35">
      <c r="B12" s="134">
        <f t="shared" si="0"/>
        <v>13</v>
      </c>
      <c r="C12" s="134">
        <f t="shared" si="0"/>
        <v>13</v>
      </c>
      <c r="D12" s="109">
        <f t="shared" si="1"/>
        <v>45743</v>
      </c>
      <c r="E12" s="109">
        <f t="shared" si="1"/>
        <v>45744</v>
      </c>
      <c r="F12" s="32"/>
      <c r="G12" s="146" t="s">
        <v>208</v>
      </c>
    </row>
    <row r="13" spans="2:10" x14ac:dyDescent="0.35">
      <c r="B13" s="134">
        <f t="shared" si="0"/>
        <v>14</v>
      </c>
      <c r="C13" s="134">
        <f t="shared" si="0"/>
        <v>14</v>
      </c>
      <c r="D13" s="109">
        <f t="shared" si="1"/>
        <v>45750</v>
      </c>
      <c r="E13" s="109">
        <f t="shared" si="1"/>
        <v>45751</v>
      </c>
      <c r="F13" s="32"/>
      <c r="G13" s="8" t="s">
        <v>235</v>
      </c>
    </row>
    <row r="14" spans="2:10" x14ac:dyDescent="0.35">
      <c r="B14" s="134">
        <f t="shared" si="0"/>
        <v>15</v>
      </c>
      <c r="C14" s="134">
        <f t="shared" si="0"/>
        <v>15</v>
      </c>
      <c r="D14" s="109">
        <f t="shared" si="1"/>
        <v>45757</v>
      </c>
      <c r="E14" s="109">
        <f t="shared" si="1"/>
        <v>45758</v>
      </c>
      <c r="F14" s="32"/>
      <c r="G14" s="111"/>
    </row>
    <row r="15" spans="2:10" x14ac:dyDescent="0.35">
      <c r="B15" s="134">
        <f t="shared" si="0"/>
        <v>16</v>
      </c>
      <c r="C15" s="134">
        <f t="shared" si="0"/>
        <v>16</v>
      </c>
      <c r="D15" s="109">
        <f t="shared" si="1"/>
        <v>45764</v>
      </c>
      <c r="E15" s="131">
        <f t="shared" si="1"/>
        <v>45765</v>
      </c>
      <c r="F15" s="32"/>
      <c r="G15" s="146" t="s">
        <v>247</v>
      </c>
    </row>
    <row r="16" spans="2:10" x14ac:dyDescent="0.35">
      <c r="B16" s="134">
        <f t="shared" si="0"/>
        <v>17</v>
      </c>
      <c r="C16" s="134">
        <f t="shared" si="0"/>
        <v>17</v>
      </c>
      <c r="D16" s="131">
        <f t="shared" si="1"/>
        <v>45771</v>
      </c>
      <c r="E16" s="131">
        <f t="shared" si="1"/>
        <v>45772</v>
      </c>
      <c r="F16" s="30"/>
      <c r="G16" s="13" t="s">
        <v>36</v>
      </c>
      <c r="J16" s="95"/>
    </row>
    <row r="17" spans="2:10" x14ac:dyDescent="0.35">
      <c r="B17" s="134">
        <f t="shared" si="0"/>
        <v>18</v>
      </c>
      <c r="C17" s="134">
        <f t="shared" si="0"/>
        <v>18</v>
      </c>
      <c r="D17" s="131">
        <f t="shared" si="1"/>
        <v>45778</v>
      </c>
      <c r="E17" s="131">
        <f t="shared" si="1"/>
        <v>45779</v>
      </c>
      <c r="F17" s="30"/>
      <c r="G17" s="13" t="s">
        <v>36</v>
      </c>
      <c r="J17" s="96"/>
    </row>
    <row r="18" spans="2:10" x14ac:dyDescent="0.35">
      <c r="B18" s="134">
        <f t="shared" si="0"/>
        <v>19</v>
      </c>
      <c r="C18" s="134">
        <f t="shared" si="0"/>
        <v>19</v>
      </c>
      <c r="D18" s="109">
        <f t="shared" si="1"/>
        <v>45785</v>
      </c>
      <c r="E18" s="109">
        <f t="shared" si="1"/>
        <v>45786</v>
      </c>
      <c r="F18" s="30"/>
      <c r="G18" s="146" t="s">
        <v>210</v>
      </c>
      <c r="J18" s="96"/>
    </row>
    <row r="19" spans="2:10" x14ac:dyDescent="0.35">
      <c r="B19" s="134">
        <f t="shared" si="0"/>
        <v>20</v>
      </c>
      <c r="C19" s="134">
        <f t="shared" si="0"/>
        <v>20</v>
      </c>
      <c r="D19" s="109">
        <f t="shared" si="1"/>
        <v>45792</v>
      </c>
      <c r="E19" s="109">
        <f t="shared" si="1"/>
        <v>45793</v>
      </c>
      <c r="F19" s="109"/>
      <c r="J19" s="97"/>
    </row>
    <row r="20" spans="2:10" x14ac:dyDescent="0.35">
      <c r="B20" s="134">
        <f t="shared" si="0"/>
        <v>21</v>
      </c>
      <c r="C20" s="134">
        <f t="shared" si="0"/>
        <v>21</v>
      </c>
      <c r="D20" s="109">
        <f t="shared" si="1"/>
        <v>45799</v>
      </c>
      <c r="E20" s="109">
        <f t="shared" si="1"/>
        <v>45800</v>
      </c>
      <c r="F20" s="124"/>
      <c r="G20" s="8"/>
      <c r="J20" s="97"/>
    </row>
    <row r="21" spans="2:10" x14ac:dyDescent="0.35">
      <c r="B21" s="134">
        <f t="shared" si="0"/>
        <v>22</v>
      </c>
      <c r="C21" s="134">
        <f t="shared" si="0"/>
        <v>22</v>
      </c>
      <c r="D21" s="131">
        <f t="shared" ref="D21:E27" si="2">D20+7</f>
        <v>45806</v>
      </c>
      <c r="E21" s="131">
        <f t="shared" si="2"/>
        <v>45807</v>
      </c>
      <c r="F21" s="32"/>
      <c r="G21" s="13" t="s">
        <v>73</v>
      </c>
    </row>
    <row r="22" spans="2:10" x14ac:dyDescent="0.35">
      <c r="B22" s="134">
        <f t="shared" si="0"/>
        <v>23</v>
      </c>
      <c r="C22" s="134">
        <f t="shared" si="0"/>
        <v>23</v>
      </c>
      <c r="D22" s="109">
        <f t="shared" si="2"/>
        <v>45813</v>
      </c>
      <c r="E22" s="109">
        <f t="shared" si="2"/>
        <v>45814</v>
      </c>
      <c r="F22" s="32"/>
      <c r="G22" s="111" t="s">
        <v>28</v>
      </c>
    </row>
    <row r="23" spans="2:10" x14ac:dyDescent="0.35">
      <c r="B23" s="134">
        <f t="shared" si="0"/>
        <v>24</v>
      </c>
      <c r="C23" s="134">
        <f t="shared" si="0"/>
        <v>24</v>
      </c>
      <c r="D23" s="109">
        <f t="shared" si="2"/>
        <v>45820</v>
      </c>
      <c r="E23" s="109">
        <f t="shared" si="2"/>
        <v>45821</v>
      </c>
      <c r="F23" s="32"/>
      <c r="G23" s="8"/>
    </row>
    <row r="24" spans="2:10" x14ac:dyDescent="0.35">
      <c r="B24" s="134">
        <f t="shared" si="0"/>
        <v>25</v>
      </c>
      <c r="C24" s="134">
        <f t="shared" si="0"/>
        <v>25</v>
      </c>
      <c r="D24" s="109">
        <f t="shared" si="2"/>
        <v>45827</v>
      </c>
      <c r="E24" s="109">
        <f t="shared" si="2"/>
        <v>45828</v>
      </c>
      <c r="F24" s="32"/>
      <c r="G24" s="146" t="s">
        <v>206</v>
      </c>
    </row>
    <row r="25" spans="2:10" x14ac:dyDescent="0.35">
      <c r="B25" s="134">
        <f t="shared" si="0"/>
        <v>26</v>
      </c>
      <c r="C25" s="134">
        <f t="shared" si="0"/>
        <v>26</v>
      </c>
      <c r="D25" s="109">
        <f t="shared" si="2"/>
        <v>45834</v>
      </c>
      <c r="E25" s="109">
        <f t="shared" si="2"/>
        <v>45835</v>
      </c>
      <c r="F25" s="109"/>
      <c r="G25" s="111"/>
    </row>
    <row r="26" spans="2:10" x14ac:dyDescent="0.35">
      <c r="B26" s="134">
        <f t="shared" si="0"/>
        <v>27</v>
      </c>
      <c r="C26" s="134">
        <f t="shared" si="0"/>
        <v>27</v>
      </c>
      <c r="D26" s="109">
        <f t="shared" si="2"/>
        <v>45841</v>
      </c>
      <c r="E26" s="109">
        <f t="shared" si="2"/>
        <v>45842</v>
      </c>
      <c r="F26" s="32"/>
      <c r="G26" s="8"/>
    </row>
    <row r="27" spans="2:10" x14ac:dyDescent="0.35">
      <c r="B27" s="134">
        <f t="shared" ref="B27" si="3">WEEKNUM(D27)</f>
        <v>28</v>
      </c>
      <c r="C27" s="134">
        <f t="shared" ref="C27" si="4">WEEKNUM(E27)</f>
        <v>28</v>
      </c>
      <c r="D27" s="109">
        <f t="shared" si="2"/>
        <v>45848</v>
      </c>
      <c r="E27" s="109">
        <f t="shared" si="2"/>
        <v>45849</v>
      </c>
      <c r="F27" s="32"/>
      <c r="G27" s="8"/>
    </row>
  </sheetData>
  <pageMargins left="0.7" right="0.7" top="0.78740157499999996" bottom="0.78740157499999996" header="0.3" footer="0.3"/>
  <pageSetup paperSize="9" scale="77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21866-B31B-44C0-901E-760B722431CC}">
  <sheetPr codeName="Tabelle18">
    <tabColor rgb="FF92D050"/>
    <pageSetUpPr fitToPage="1"/>
  </sheetPr>
  <dimension ref="B1:F27"/>
  <sheetViews>
    <sheetView showGridLines="0" zoomScaleNormal="100" workbookViewId="0">
      <selection activeCell="M16" sqref="M16"/>
    </sheetView>
  </sheetViews>
  <sheetFormatPr baseColWidth="10" defaultRowHeight="14.5" x14ac:dyDescent="0.35"/>
  <cols>
    <col min="2" max="2" width="12.7265625" customWidth="1"/>
    <col min="3" max="3" width="8.54296875" hidden="1" customWidth="1"/>
    <col min="4" max="4" width="11.81640625" bestFit="1" customWidth="1"/>
    <col min="5" max="5" width="11.26953125" bestFit="1" customWidth="1"/>
    <col min="6" max="6" width="64.6328125" customWidth="1"/>
  </cols>
  <sheetData>
    <row r="1" spans="2:6" ht="34.5" customHeight="1" x14ac:dyDescent="0.6">
      <c r="B1" s="145" t="s">
        <v>190</v>
      </c>
      <c r="C1" s="126"/>
      <c r="D1" s="127"/>
      <c r="E1" s="127"/>
      <c r="F1" s="127"/>
    </row>
    <row r="3" spans="2:6" ht="29" x14ac:dyDescent="0.35">
      <c r="B3" s="141" t="s">
        <v>241</v>
      </c>
      <c r="C3" s="141" t="s">
        <v>241</v>
      </c>
      <c r="D3" s="139" t="s">
        <v>242</v>
      </c>
      <c r="E3" s="139" t="s">
        <v>243</v>
      </c>
      <c r="F3" s="140" t="s">
        <v>46</v>
      </c>
    </row>
    <row r="4" spans="2:6" x14ac:dyDescent="0.35">
      <c r="B4" s="134">
        <f>WEEKNUM(D4)</f>
        <v>5</v>
      </c>
      <c r="C4" s="134">
        <f>WEEKNUM(E4)</f>
        <v>5</v>
      </c>
      <c r="D4" s="136">
        <v>45687</v>
      </c>
      <c r="E4" s="136">
        <v>45688</v>
      </c>
      <c r="F4" s="8" t="s">
        <v>198</v>
      </c>
    </row>
    <row r="5" spans="2:6" x14ac:dyDescent="0.35">
      <c r="B5" s="134">
        <f t="shared" ref="B5:C26" si="0">WEEKNUM(D5)</f>
        <v>6</v>
      </c>
      <c r="C5" s="134">
        <f t="shared" si="0"/>
        <v>6</v>
      </c>
      <c r="D5" s="137">
        <f>D4+7</f>
        <v>45694</v>
      </c>
      <c r="E5" s="137">
        <f t="shared" ref="D5:E20" si="1">E4+7</f>
        <v>45695</v>
      </c>
      <c r="F5" s="13" t="s">
        <v>196</v>
      </c>
    </row>
    <row r="6" spans="2:6" x14ac:dyDescent="0.35">
      <c r="B6" s="134">
        <f t="shared" si="0"/>
        <v>7</v>
      </c>
      <c r="C6" s="134">
        <f t="shared" si="0"/>
        <v>7</v>
      </c>
      <c r="D6" s="136">
        <f t="shared" si="1"/>
        <v>45701</v>
      </c>
      <c r="E6" s="136">
        <f t="shared" si="1"/>
        <v>45702</v>
      </c>
      <c r="F6" s="8" t="s">
        <v>236</v>
      </c>
    </row>
    <row r="7" spans="2:6" x14ac:dyDescent="0.35">
      <c r="B7" s="134">
        <f t="shared" si="0"/>
        <v>8</v>
      </c>
      <c r="C7" s="134">
        <f t="shared" si="0"/>
        <v>8</v>
      </c>
      <c r="D7" s="137">
        <f t="shared" si="1"/>
        <v>45708</v>
      </c>
      <c r="E7" s="137">
        <f t="shared" si="1"/>
        <v>45709</v>
      </c>
      <c r="F7" s="13" t="s">
        <v>36</v>
      </c>
    </row>
    <row r="8" spans="2:6" x14ac:dyDescent="0.35">
      <c r="B8" s="134">
        <f t="shared" si="0"/>
        <v>9</v>
      </c>
      <c r="C8" s="134">
        <f t="shared" si="0"/>
        <v>9</v>
      </c>
      <c r="D8" s="137">
        <f t="shared" si="1"/>
        <v>45715</v>
      </c>
      <c r="E8" s="137">
        <f t="shared" si="1"/>
        <v>45716</v>
      </c>
      <c r="F8" s="13" t="s">
        <v>36</v>
      </c>
    </row>
    <row r="9" spans="2:6" x14ac:dyDescent="0.35">
      <c r="B9" s="134">
        <f t="shared" si="0"/>
        <v>10</v>
      </c>
      <c r="C9" s="134">
        <f t="shared" si="0"/>
        <v>10</v>
      </c>
      <c r="D9" s="136">
        <f t="shared" si="1"/>
        <v>45722</v>
      </c>
      <c r="E9" s="136">
        <f t="shared" si="1"/>
        <v>45723</v>
      </c>
      <c r="F9" s="8" t="s">
        <v>192</v>
      </c>
    </row>
    <row r="10" spans="2:6" x14ac:dyDescent="0.35">
      <c r="B10" s="134">
        <f t="shared" si="0"/>
        <v>11</v>
      </c>
      <c r="C10" s="134">
        <f t="shared" si="0"/>
        <v>11</v>
      </c>
      <c r="D10" s="136">
        <f t="shared" si="1"/>
        <v>45729</v>
      </c>
      <c r="E10" s="136">
        <f t="shared" si="1"/>
        <v>45730</v>
      </c>
      <c r="F10" s="8" t="s">
        <v>199</v>
      </c>
    </row>
    <row r="11" spans="2:6" x14ac:dyDescent="0.35">
      <c r="B11" s="134">
        <f t="shared" si="0"/>
        <v>12</v>
      </c>
      <c r="C11" s="134">
        <f t="shared" si="0"/>
        <v>12</v>
      </c>
      <c r="D11" s="136">
        <f t="shared" si="1"/>
        <v>45736</v>
      </c>
      <c r="E11" s="136">
        <f t="shared" si="1"/>
        <v>45737</v>
      </c>
      <c r="F11" s="110" t="s">
        <v>28</v>
      </c>
    </row>
    <row r="12" spans="2:6" x14ac:dyDescent="0.35">
      <c r="B12" s="134">
        <f t="shared" si="0"/>
        <v>13</v>
      </c>
      <c r="C12" s="134">
        <f t="shared" si="0"/>
        <v>13</v>
      </c>
      <c r="D12" s="136">
        <f t="shared" si="1"/>
        <v>45743</v>
      </c>
      <c r="E12" s="136">
        <f t="shared" si="1"/>
        <v>45744</v>
      </c>
      <c r="F12" s="8" t="s">
        <v>106</v>
      </c>
    </row>
    <row r="13" spans="2:6" x14ac:dyDescent="0.35">
      <c r="B13" s="134">
        <f t="shared" si="0"/>
        <v>14</v>
      </c>
      <c r="C13" s="134">
        <f t="shared" si="0"/>
        <v>14</v>
      </c>
      <c r="D13" s="136">
        <f t="shared" si="1"/>
        <v>45750</v>
      </c>
      <c r="E13" s="136">
        <f t="shared" si="1"/>
        <v>45751</v>
      </c>
      <c r="F13" s="8" t="s">
        <v>239</v>
      </c>
    </row>
    <row r="14" spans="2:6" x14ac:dyDescent="0.35">
      <c r="B14" s="134">
        <f t="shared" si="0"/>
        <v>15</v>
      </c>
      <c r="C14" s="134">
        <f t="shared" si="0"/>
        <v>15</v>
      </c>
      <c r="D14" s="136">
        <f t="shared" si="1"/>
        <v>45757</v>
      </c>
      <c r="E14" s="136">
        <f t="shared" si="1"/>
        <v>45758</v>
      </c>
      <c r="F14" s="8" t="s">
        <v>240</v>
      </c>
    </row>
    <row r="15" spans="2:6" x14ac:dyDescent="0.35">
      <c r="B15" s="134">
        <f t="shared" si="0"/>
        <v>16</v>
      </c>
      <c r="C15" s="134">
        <f t="shared" si="0"/>
        <v>16</v>
      </c>
      <c r="D15" s="136">
        <f t="shared" si="1"/>
        <v>45764</v>
      </c>
      <c r="E15" s="137">
        <f t="shared" si="1"/>
        <v>45765</v>
      </c>
      <c r="F15" s="8" t="s">
        <v>248</v>
      </c>
    </row>
    <row r="16" spans="2:6" x14ac:dyDescent="0.35">
      <c r="B16" s="134">
        <f t="shared" si="0"/>
        <v>17</v>
      </c>
      <c r="C16" s="134">
        <f t="shared" si="0"/>
        <v>17</v>
      </c>
      <c r="D16" s="137">
        <f t="shared" si="1"/>
        <v>45771</v>
      </c>
      <c r="E16" s="137">
        <f t="shared" si="1"/>
        <v>45772</v>
      </c>
      <c r="F16" s="13" t="s">
        <v>36</v>
      </c>
    </row>
    <row r="17" spans="2:6" x14ac:dyDescent="0.35">
      <c r="B17" s="134">
        <f t="shared" si="0"/>
        <v>18</v>
      </c>
      <c r="C17" s="134">
        <f t="shared" si="0"/>
        <v>18</v>
      </c>
      <c r="D17" s="137">
        <f t="shared" si="1"/>
        <v>45778</v>
      </c>
      <c r="E17" s="137">
        <f t="shared" si="1"/>
        <v>45779</v>
      </c>
      <c r="F17" s="13" t="s">
        <v>36</v>
      </c>
    </row>
    <row r="18" spans="2:6" x14ac:dyDescent="0.35">
      <c r="B18" s="134">
        <f t="shared" si="0"/>
        <v>19</v>
      </c>
      <c r="C18" s="134">
        <f t="shared" si="0"/>
        <v>19</v>
      </c>
      <c r="D18" s="136">
        <f t="shared" si="1"/>
        <v>45785</v>
      </c>
      <c r="E18" s="136">
        <f t="shared" si="1"/>
        <v>45786</v>
      </c>
      <c r="F18" s="8" t="s">
        <v>261</v>
      </c>
    </row>
    <row r="19" spans="2:6" x14ac:dyDescent="0.35">
      <c r="B19" s="134">
        <f t="shared" si="0"/>
        <v>20</v>
      </c>
      <c r="C19" s="134">
        <f t="shared" si="0"/>
        <v>20</v>
      </c>
      <c r="D19" s="136">
        <f t="shared" si="1"/>
        <v>45792</v>
      </c>
      <c r="E19" s="136">
        <f t="shared" si="1"/>
        <v>45793</v>
      </c>
      <c r="F19" s="110"/>
    </row>
    <row r="20" spans="2:6" x14ac:dyDescent="0.35">
      <c r="B20" s="134">
        <f t="shared" si="0"/>
        <v>21</v>
      </c>
      <c r="C20" s="134">
        <f t="shared" si="0"/>
        <v>21</v>
      </c>
      <c r="D20" s="136">
        <f t="shared" si="1"/>
        <v>45799</v>
      </c>
      <c r="E20" s="136">
        <f t="shared" si="1"/>
        <v>45800</v>
      </c>
      <c r="F20" s="8"/>
    </row>
    <row r="21" spans="2:6" x14ac:dyDescent="0.35">
      <c r="B21" s="134">
        <f t="shared" si="0"/>
        <v>22</v>
      </c>
      <c r="C21" s="134">
        <f t="shared" si="0"/>
        <v>22</v>
      </c>
      <c r="D21" s="137">
        <f t="shared" ref="D21:E27" si="2">D20+7</f>
        <v>45806</v>
      </c>
      <c r="E21" s="137">
        <f t="shared" si="2"/>
        <v>45807</v>
      </c>
      <c r="F21" s="13" t="s">
        <v>73</v>
      </c>
    </row>
    <row r="22" spans="2:6" x14ac:dyDescent="0.35">
      <c r="B22" s="134">
        <f t="shared" si="0"/>
        <v>23</v>
      </c>
      <c r="C22" s="134">
        <f t="shared" si="0"/>
        <v>23</v>
      </c>
      <c r="D22" s="136">
        <f t="shared" si="2"/>
        <v>45813</v>
      </c>
      <c r="E22" s="136">
        <f t="shared" si="2"/>
        <v>45814</v>
      </c>
      <c r="F22" s="111" t="s">
        <v>28</v>
      </c>
    </row>
    <row r="23" spans="2:6" x14ac:dyDescent="0.35">
      <c r="B23" s="134">
        <f t="shared" si="0"/>
        <v>24</v>
      </c>
      <c r="C23" s="134">
        <f t="shared" si="0"/>
        <v>24</v>
      </c>
      <c r="D23" s="136">
        <f t="shared" si="2"/>
        <v>45820</v>
      </c>
      <c r="E23" s="136">
        <f t="shared" si="2"/>
        <v>45821</v>
      </c>
      <c r="F23" s="8" t="s">
        <v>107</v>
      </c>
    </row>
    <row r="24" spans="2:6" x14ac:dyDescent="0.35">
      <c r="B24" s="134">
        <f t="shared" si="0"/>
        <v>25</v>
      </c>
      <c r="C24" s="134">
        <f t="shared" si="0"/>
        <v>25</v>
      </c>
      <c r="D24" s="136">
        <f t="shared" si="2"/>
        <v>45827</v>
      </c>
      <c r="E24" s="136">
        <f t="shared" si="2"/>
        <v>45828</v>
      </c>
      <c r="F24" s="8"/>
    </row>
    <row r="25" spans="2:6" x14ac:dyDescent="0.35">
      <c r="B25" s="134">
        <f t="shared" si="0"/>
        <v>26</v>
      </c>
      <c r="C25" s="134">
        <f t="shared" si="0"/>
        <v>26</v>
      </c>
      <c r="D25" s="136">
        <f t="shared" si="2"/>
        <v>45834</v>
      </c>
      <c r="E25" s="136">
        <f t="shared" si="2"/>
        <v>45835</v>
      </c>
      <c r="F25" s="8"/>
    </row>
    <row r="26" spans="2:6" x14ac:dyDescent="0.35">
      <c r="B26" s="134">
        <f t="shared" si="0"/>
        <v>27</v>
      </c>
      <c r="C26" s="134">
        <f t="shared" si="0"/>
        <v>27</v>
      </c>
      <c r="D26" s="136">
        <f t="shared" si="2"/>
        <v>45841</v>
      </c>
      <c r="E26" s="136">
        <f t="shared" si="2"/>
        <v>45842</v>
      </c>
      <c r="F26" s="8" t="s">
        <v>237</v>
      </c>
    </row>
    <row r="27" spans="2:6" x14ac:dyDescent="0.35">
      <c r="B27" s="134">
        <f t="shared" ref="B27" si="3">WEEKNUM(D27)</f>
        <v>28</v>
      </c>
      <c r="C27" s="134">
        <f t="shared" ref="C27" si="4">WEEKNUM(E27)</f>
        <v>28</v>
      </c>
      <c r="D27" s="136">
        <f t="shared" si="2"/>
        <v>45848</v>
      </c>
      <c r="E27" s="136">
        <f t="shared" si="2"/>
        <v>45849</v>
      </c>
      <c r="F27" s="8"/>
    </row>
  </sheetData>
  <pageMargins left="0.7" right="0.7" top="0.78740157499999996" bottom="0.78740157499999996" header="0.3" footer="0.3"/>
  <pageSetup paperSize="9" scale="7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20</vt:i4>
      </vt:variant>
    </vt:vector>
  </HeadingPairs>
  <TitlesOfParts>
    <vt:vector size="20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22_23_Semesterprogramm_M231</vt:lpstr>
      <vt:lpstr>22_23_Semesterprogramm_Mathe</vt:lpstr>
      <vt:lpstr>22_23_Semesterprogramm_M242</vt:lpstr>
      <vt:lpstr>23_24_Semesterprogramm_Math</vt:lpstr>
      <vt:lpstr>23_24_Semesterprogramm_M164</vt:lpstr>
      <vt:lpstr>23_24_Semesterprogramm_M319</vt:lpstr>
      <vt:lpstr>24_25_Semesterprogramm_M162</vt:lpstr>
      <vt:lpstr>24_25_Semesterprogramm_M231</vt:lpstr>
      <vt:lpstr>24_25_Semesterprogramm_Info</vt:lpstr>
      <vt:lpstr>24_25_Semesterprogramm_M164</vt:lpstr>
      <vt:lpstr>24_25_Semesterprogramm_M319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Walter Rothlin</cp:lastModifiedBy>
  <cp:lastPrinted>2024-08-22T05:21:32Z</cp:lastPrinted>
  <dcterms:created xsi:type="dcterms:W3CDTF">2019-08-07T07:33:56Z</dcterms:created>
  <dcterms:modified xsi:type="dcterms:W3CDTF">2024-08-22T05:21:38Z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