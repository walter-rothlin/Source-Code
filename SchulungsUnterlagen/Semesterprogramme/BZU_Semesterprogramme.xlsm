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D2D87DC7-B1EB-488C-BF94-A5D9E2AA73AC}" xr6:coauthVersionLast="47" xr6:coauthVersionMax="47" xr10:uidLastSave="{00000000-0000-0000-0000-000000000000}"/>
  <bookViews>
    <workbookView xWindow="-110" yWindow="-110" windowWidth="19420" windowHeight="10300" firstSheet="14" activeTab="15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  <sheet name="23_24_Semesterprogramm_Math" sheetId="16" r:id="rId16"/>
  </sheets>
  <functionGroups builtInGroupCount="19"/>
  <externalReferences>
    <externalReference r:id="rId17"/>
    <externalReference r:id="rId18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5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5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5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5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5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5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5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5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5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5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5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5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5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5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5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5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5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5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5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5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5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5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6" l="1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6" i="12" l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0" i="9"/>
  <c r="B21" i="9"/>
  <c r="B13" i="9"/>
  <c r="B23" i="8"/>
  <c r="B7" i="8"/>
  <c r="B12" i="9"/>
  <c r="B15" i="8"/>
  <c r="B20" i="8"/>
  <c r="B16" i="8"/>
  <c r="B19" i="9"/>
  <c r="B24" i="8"/>
  <c r="B6" i="8"/>
  <c r="B23" i="9"/>
  <c r="B8" i="9"/>
  <c r="B26" i="9"/>
  <c r="B12" i="8"/>
  <c r="B26" i="8"/>
  <c r="B18" i="8"/>
  <c r="B17" i="9"/>
  <c r="B20" i="9"/>
  <c r="B10" i="8"/>
  <c r="B8" i="8"/>
  <c r="B14" i="8"/>
  <c r="B24" i="9"/>
  <c r="B7" i="9"/>
  <c r="B9" i="9"/>
  <c r="B15" i="9"/>
  <c r="B25" i="8"/>
  <c r="B11" i="8"/>
  <c r="B14" i="9"/>
  <c r="B18" i="9"/>
  <c r="B16" i="9"/>
  <c r="B27" i="8"/>
  <c r="B5" i="8"/>
  <c r="B22" i="8"/>
  <c r="B9" i="8"/>
  <c r="B4" i="8"/>
  <c r="B13" i="8"/>
  <c r="B19" i="8"/>
  <c r="B5" i="9"/>
  <c r="B22" i="9"/>
  <c r="B25" i="9"/>
  <c r="B27" i="9"/>
  <c r="B21" i="8"/>
  <c r="B11" i="9"/>
  <c r="B6" i="9"/>
  <c r="B4" i="9"/>
  <c r="B17" i="8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4" i="2"/>
  <c r="B23" i="3"/>
  <c r="B7" i="2"/>
  <c r="B18" i="3"/>
  <c r="B26" i="2"/>
  <c r="B25" i="2"/>
  <c r="B21" i="3"/>
  <c r="B26" i="3"/>
  <c r="B6" i="2"/>
  <c r="B17" i="2"/>
  <c r="B9" i="2"/>
  <c r="B15" i="2"/>
  <c r="B10" i="2"/>
  <c r="B27" i="2"/>
  <c r="B13" i="3"/>
  <c r="B6" i="3"/>
  <c r="B5" i="3"/>
  <c r="B21" i="2"/>
  <c r="B27" i="3"/>
  <c r="B9" i="3"/>
  <c r="B14" i="3"/>
  <c r="B12" i="3"/>
  <c r="B15" i="3"/>
  <c r="B16" i="3"/>
  <c r="B19" i="2"/>
  <c r="B25" i="3"/>
  <c r="B10" i="3"/>
  <c r="B20" i="3"/>
  <c r="B24" i="3"/>
  <c r="B13" i="2"/>
  <c r="B4" i="3"/>
  <c r="B11" i="3"/>
  <c r="B12" i="2"/>
  <c r="B11" i="2"/>
  <c r="B16" i="2"/>
  <c r="B24" i="2"/>
  <c r="B17" i="3"/>
  <c r="B22" i="2"/>
  <c r="B8" i="2"/>
  <c r="B22" i="3"/>
  <c r="B23" i="2"/>
  <c r="B18" i="2"/>
  <c r="B14" i="2"/>
  <c r="B8" i="3"/>
  <c r="B5" i="2"/>
  <c r="B7" i="3"/>
  <c r="B20" i="2"/>
  <c r="B1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<sst xmlns="http://schemas.openxmlformats.org/spreadsheetml/2006/main" count="632" uniqueCount="238">
  <si>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</si>
  <si>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</si>
  <si>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</si>
  <si>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</si>
  <si>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</si>
  <si>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</si>
  <si>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</si>
  <si>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</si>
  <si>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</si>
  <si>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</si>
  <si>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</si>
  <si>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</si>
  <si>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</si>
  <si>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</si>
  <si>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</si>
  <si>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</si>
  <si>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</si>
  <si>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</si>
  <si>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</si>
  <si>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</si>
  <si>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</si>
  <si>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</si>
  <si>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</si>
  <si>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</si>
  <si>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</si>
  <si>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</si>
  <si>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</si>
  <si>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</si>
  <si>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</si>
  <si>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</si>
  <si>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</si>
  <si>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</si>
  <si>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</si>
  <si>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</si>
  <si>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</si>
  <si>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</si>
  <si>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</si>
  <si>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</si>
  <si>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</si>
  <si>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</si>
  <si>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</si>
  <si>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</si>
  <si>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</si>
  <si>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</si>
  <si>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</si>
  <si>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</si>
  <si>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</si>
  <si>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</si>
  <si>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</si>
  <si>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</si>
  <si>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</si>
  <si>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</si>
  <si>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</si>
  <si>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</si>
  <si>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</si>
  <si>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</si>
  <si>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</si>
  <si>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</si>
  <si>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</si>
  <si>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</si>
  <si>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</si>
  <si>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</si>
  <si>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</si>
  <si>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</si>
  <si>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</si>
  <si>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</si>
  <si>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</si>
  <si>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</si>
  <si>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</si>
  <si>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</si>
  <si>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</si>
  <si>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</si>
  <si>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</si>
  <si>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</si>
  <si>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</si>
  <si>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</si>
  <si>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</si>
  <si>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</si>
  <si>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</si>
  <si>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</si>
  <si>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</si>
  <si>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</si>
  <si>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</si>
  <si>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</si>
  <si>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</si>
  <si>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</si>
  <si>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</si>
  <si>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</si>
  <si>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</si>
  <si>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</si>
  <si>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</si>
  <si>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</si>
  <si>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</si>
  <si>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</si>
  <si>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</si>
  <si>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</si>
  <si>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</si>
  <si>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</si>
  <si>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</si>
  <si>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</si>
  <si>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</si>
  <si>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</si>
  <si>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</si>
  <si>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</si>
  <si>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</si>
  <si>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</si>
  <si>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</si>
  <si>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</si>
  <si>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</si>
  <si>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</si>
  <si>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</si>
  <si>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</si>
  <si>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</si>
  <si>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</si>
  <si>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</si>
  <si>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</si>
  <si>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</si>
  <si>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</si>
  <si>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</si>
  <si>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</si>
  <si>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</si>
  <si>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</si>
  <si>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</si>
  <si>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</si>
  <si>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</si>
  <si>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</si>
  <si>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</si>
  <si>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</si>
  <si>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</si>
  <si>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</si>
  <si>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</si>
  <si>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</si>
  <si>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</si>
  <si>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</si>
  <si>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</si>
  <si>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</si>
  <si>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</si>
  <si>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</si>
  <si>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</si>
  <si>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</si>
  <si>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</si>
  <si>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</si>
  <si>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</si>
  <si>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</si>
  <si>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</si>
  <si>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</si>
  <si>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</si>
  <si>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</si>
  <si>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</si>
  <si>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</si>
  <si>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</si>
  <si>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</si>
  <si>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</si>
  <si>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</si>
  <si>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</si>
  <si>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</si>
  <si>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</si>
  <si>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</si>
  <si>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</si>
  <si>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</si>
  <si>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</si>
  <si>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</si>
  <si>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</si>
  <si>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</si>
  <si>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</si>
  <si>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</si>
  <si>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</si>
  <si>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</si>
  <si>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</si>
  <si>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</si>
  <si>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</si>
  <si>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</si>
  <si>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</si>
  <si>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</si>
  <si>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</si>
  <si>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</si>
  <si>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</si>
  <si>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</si>
  <si>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</si>
  <si>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</si>
  <si>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</si>
  <si>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</si>
  <si>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</si>
  <si>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</si>
  <si>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</si>
  <si>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</si>
  <si>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</si>
  <si>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</si>
  <si>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</si>
  <si>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</si>
  <si>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</si>
  <si>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</si>
  <si>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</si>
  <si>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</si>
  <si>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</si>
  <si>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</si>
  <si>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</si>
  <si>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</si>
  <si>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</si>
  <si>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</si>
  <si>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</si>
  <si>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</si>
  <si>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</si>
  <si>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</si>
  <si>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</si>
  <si>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</si>
  <si>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</si>
  <si>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</si>
  <si>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</si>
  <si>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</si>
  <si>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</si>
  <si>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</si>
  <si>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</si>
  <si>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</si>
  <si>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</si>
  <si>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</si>
  <si>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</si>
  <si>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</si>
  <si>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</si>
  <si>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</si>
  <si>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</si>
  <si>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</si>
  <si>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</si>
  <si>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</si>
  <si>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</si>
  <si>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</si>
  <si>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</si>
  <si>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</si>
  <si>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</si>
  <si>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</si>
  <si>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</si>
  <si>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</si>
  <si>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</si>
  <si>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</si>
  <si>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Prüfung
- Kennlinien und Graphen
- Lineare Funktion und Gleichung</t>
  </si>
  <si>
    <t>Proportionen / Dreisatz / Lineare Funktionen</t>
  </si>
  <si>
    <t>Prüfung
- Termumformungen
- Gleichungen
- Formeln umformen</t>
  </si>
  <si>
    <t>Potenzen / Wurzeln / Logarithmen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</si>
</sst>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4" xfId="0" applyFill="1" applyBorder="1" applyAlignment="1">
      <alignment horizontal="center" vertical="center"/>
    </xf>
    <xf numFmtId="0" fontId="0" fillId="3" borderId="0" xfId="0" applyFill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7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3" t="s">
        <v>220</v>
      </c>
      <c r="C2" s="103"/>
      <c r="D2" s="103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4">
        <v>44798</v>
      </c>
      <c r="C5" s="91">
        <f>B5+1</f>
        <v>44799</v>
      </c>
      <c r="D5" s="101" t="s">
        <v>157</v>
      </c>
    </row>
    <row r="6" spans="2:4" ht="72.5" x14ac:dyDescent="0.35">
      <c r="B6" s="105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5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5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5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5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5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6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6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5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5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5">
        <f t="shared" si="0"/>
        <v>44875</v>
      </c>
      <c r="C16" s="92">
        <f t="shared" si="0"/>
        <v>44876</v>
      </c>
      <c r="D16" s="75"/>
    </row>
    <row r="17" spans="2:4" ht="72.5" x14ac:dyDescent="0.35">
      <c r="B17" s="105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5">
        <f t="shared" si="0"/>
        <v>44889</v>
      </c>
      <c r="C18" s="92">
        <f t="shared" si="0"/>
        <v>44890</v>
      </c>
      <c r="D18" s="7"/>
    </row>
    <row r="19" spans="2:4" x14ac:dyDescent="0.35">
      <c r="B19" s="105">
        <f t="shared" si="0"/>
        <v>44896</v>
      </c>
      <c r="C19" s="92">
        <f t="shared" si="0"/>
        <v>44897</v>
      </c>
      <c r="D19" s="7"/>
    </row>
    <row r="20" spans="2:4" ht="43.5" x14ac:dyDescent="0.35">
      <c r="B20" s="105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5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5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6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6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5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5">
        <f t="shared" si="0"/>
        <v>44945</v>
      </c>
      <c r="C26" s="92">
        <f t="shared" si="0"/>
        <v>44946</v>
      </c>
      <c r="D26" s="7"/>
    </row>
    <row r="27" spans="2:4" x14ac:dyDescent="0.35">
      <c r="B27" s="105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07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221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  <c r="C10" s="65"/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44960</v>
      </c>
      <c r="C34" s="96" t="s">
        <v>111</v>
      </c>
    </row>
    <row r="35" spans="2:3" x14ac:dyDescent="0.35">
      <c r="B35" s="92">
        <v>44967</v>
      </c>
      <c r="C35" s="75" t="s">
        <v>206</v>
      </c>
    </row>
    <row r="36" spans="2:3" x14ac:dyDescent="0.35">
      <c r="B36" s="92">
        <v>44974</v>
      </c>
      <c r="C36" s="75" t="s">
        <v>205</v>
      </c>
    </row>
    <row r="37" spans="2:3" x14ac:dyDescent="0.35">
      <c r="B37" s="94">
        <v>44981</v>
      </c>
      <c r="C37" s="52" t="s">
        <v>36</v>
      </c>
    </row>
    <row r="38" spans="2:3" x14ac:dyDescent="0.35">
      <c r="B38" s="94">
        <v>44988</v>
      </c>
      <c r="C38" s="52" t="s">
        <v>36</v>
      </c>
    </row>
    <row r="39" spans="2:3" x14ac:dyDescent="0.35">
      <c r="B39" s="92">
        <v>44995</v>
      </c>
      <c r="C39" s="7" t="s">
        <v>131</v>
      </c>
    </row>
    <row r="40" spans="2:3" ht="58" x14ac:dyDescent="0.35">
      <c r="B40" s="92">
        <v>45002</v>
      </c>
      <c r="C40" s="78" t="s">
        <v>208</v>
      </c>
    </row>
    <row r="41" spans="2:3" x14ac:dyDescent="0.35">
      <c r="B41" s="92">
        <v>45009</v>
      </c>
      <c r="C41" s="7" t="s">
        <v>204</v>
      </c>
    </row>
    <row r="42" spans="2:3" x14ac:dyDescent="0.35">
      <c r="B42" s="92">
        <v>45016</v>
      </c>
      <c r="C42" s="7"/>
    </row>
    <row r="43" spans="2:3" x14ac:dyDescent="0.35">
      <c r="B43" s="92">
        <v>45023</v>
      </c>
      <c r="C43" s="7" t="s">
        <v>207</v>
      </c>
    </row>
    <row r="44" spans="2:3" x14ac:dyDescent="0.35">
      <c r="B44" s="92">
        <v>45030</v>
      </c>
      <c r="C44" s="7"/>
    </row>
    <row r="45" spans="2:3" x14ac:dyDescent="0.35">
      <c r="B45" s="94">
        <v>45037</v>
      </c>
      <c r="C45" s="52" t="s">
        <v>36</v>
      </c>
    </row>
    <row r="46" spans="2:3" x14ac:dyDescent="0.35">
      <c r="B46" s="94">
        <v>45044</v>
      </c>
      <c r="C46" s="52" t="s">
        <v>36</v>
      </c>
    </row>
    <row r="47" spans="2:3" x14ac:dyDescent="0.35">
      <c r="B47" s="92">
        <v>45051</v>
      </c>
      <c r="C47" s="7" t="s">
        <v>214</v>
      </c>
    </row>
    <row r="48" spans="2:3" x14ac:dyDescent="0.35">
      <c r="B48" s="92">
        <v>45058</v>
      </c>
      <c r="C48" s="7"/>
    </row>
    <row r="49" spans="2:3" x14ac:dyDescent="0.35">
      <c r="B49" s="94">
        <v>45065</v>
      </c>
      <c r="C49" s="52" t="s">
        <v>32</v>
      </c>
    </row>
    <row r="50" spans="2:3" ht="43" customHeight="1" x14ac:dyDescent="0.35">
      <c r="B50" s="92">
        <v>45072</v>
      </c>
      <c r="C50" s="78" t="s">
        <v>215</v>
      </c>
    </row>
    <row r="51" spans="2:3" x14ac:dyDescent="0.35">
      <c r="B51" s="92">
        <v>45079</v>
      </c>
      <c r="C51" s="7" t="s">
        <v>214</v>
      </c>
    </row>
    <row r="52" spans="2:3" x14ac:dyDescent="0.35">
      <c r="B52" s="92">
        <v>45086</v>
      </c>
      <c r="C52" s="7"/>
    </row>
    <row r="53" spans="2:3" x14ac:dyDescent="0.35">
      <c r="B53" s="92">
        <v>45093</v>
      </c>
      <c r="C53" s="7"/>
    </row>
    <row r="54" spans="2:3" x14ac:dyDescent="0.35">
      <c r="B54" s="92">
        <v>45100</v>
      </c>
      <c r="C54" s="65"/>
    </row>
    <row r="55" spans="2:3" ht="58" x14ac:dyDescent="0.35">
      <c r="B55" s="92">
        <v>45107</v>
      </c>
      <c r="C55" s="78" t="s">
        <v>216</v>
      </c>
    </row>
    <row r="56" spans="2:3" x14ac:dyDescent="0.35">
      <c r="B56" s="92">
        <v>45114</v>
      </c>
      <c r="C56" s="7" t="s">
        <v>152</v>
      </c>
    </row>
    <row r="57" spans="2:3" ht="15" thickBot="1" x14ac:dyDescent="0.4">
      <c r="B57" s="93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1" t="s">
        <v>36</v>
      </c>
    </row>
    <row r="13" spans="2:4" x14ac:dyDescent="0.35">
      <c r="B13" s="83">
        <f t="shared" si="0"/>
        <v>44851</v>
      </c>
      <c r="C13" s="121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zoomScaleNormal="100" workbookViewId="0">
      <selection activeCell="C4" sqref="C4:C27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224</v>
      </c>
      <c r="C3" s="108" t="s">
        <v>219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226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225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227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tabColor rgb="FF92D050"/>
    <pageSetUpPr fitToPage="1"/>
  </sheetPr>
  <dimension ref="B2:C57"/>
  <sheetViews>
    <sheetView showGridLines="0" tabSelected="1" topLeftCell="A44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221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229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230</v>
      </c>
    </row>
    <row r="10" spans="2:3" x14ac:dyDescent="0.35">
      <c r="B10" s="92">
        <f t="shared" si="0"/>
        <v>45198</v>
      </c>
      <c r="C10" s="7"/>
    </row>
    <row r="11" spans="2:3" ht="87" x14ac:dyDescent="0.35">
      <c r="B11" s="92">
        <f t="shared" si="0"/>
        <v>45205</v>
      </c>
      <c r="C11" s="77" t="s">
        <v>233</v>
      </c>
    </row>
    <row r="12" spans="2:3" x14ac:dyDescent="0.35">
      <c r="B12" s="94">
        <f t="shared" si="0"/>
        <v>45212</v>
      </c>
      <c r="C12" s="79" t="s">
        <v>36</v>
      </c>
    </row>
    <row r="13" spans="2:3" x14ac:dyDescent="0.35">
      <c r="B13" s="94">
        <f t="shared" si="0"/>
        <v>45219</v>
      </c>
      <c r="C13" s="79" t="s">
        <v>36</v>
      </c>
    </row>
    <row r="14" spans="2:3" x14ac:dyDescent="0.35">
      <c r="B14" s="92">
        <f t="shared" si="0"/>
        <v>45226</v>
      </c>
      <c r="C14" s="75" t="s">
        <v>231</v>
      </c>
    </row>
    <row r="15" spans="2:3" x14ac:dyDescent="0.35">
      <c r="B15" s="92">
        <f t="shared" si="0"/>
        <v>45233</v>
      </c>
      <c r="C15" s="7"/>
    </row>
    <row r="16" spans="2:3" x14ac:dyDescent="0.35">
      <c r="B16" s="92">
        <f t="shared" si="0"/>
        <v>45240</v>
      </c>
      <c r="C16" s="75"/>
    </row>
    <row r="17" spans="2:3" x14ac:dyDescent="0.35">
      <c r="B17" s="92">
        <f t="shared" si="0"/>
        <v>45247</v>
      </c>
      <c r="C17" s="75" t="s">
        <v>235</v>
      </c>
    </row>
    <row r="18" spans="2:3" x14ac:dyDescent="0.35">
      <c r="B18" s="92">
        <f t="shared" si="0"/>
        <v>45254</v>
      </c>
      <c r="C18" s="7"/>
    </row>
    <row r="19" spans="2:3" ht="43.5" x14ac:dyDescent="0.35">
      <c r="B19" s="92">
        <f t="shared" si="0"/>
        <v>45261</v>
      </c>
      <c r="C19" s="77" t="s">
        <v>234</v>
      </c>
    </row>
    <row r="20" spans="2:3" x14ac:dyDescent="0.35">
      <c r="B20" s="92">
        <f t="shared" si="0"/>
        <v>45268</v>
      </c>
      <c r="C20" s="75" t="s">
        <v>121</v>
      </c>
    </row>
    <row r="21" spans="2:3" x14ac:dyDescent="0.35">
      <c r="B21" s="92">
        <f t="shared" si="0"/>
        <v>45275</v>
      </c>
      <c r="C21" s="75"/>
    </row>
    <row r="22" spans="2:3" x14ac:dyDescent="0.35">
      <c r="B22" s="92">
        <f t="shared" si="0"/>
        <v>45282</v>
      </c>
      <c r="C22" s="7"/>
    </row>
    <row r="23" spans="2:3" x14ac:dyDescent="0.35">
      <c r="B23" s="94">
        <f t="shared" si="0"/>
        <v>45289</v>
      </c>
      <c r="C23" s="79" t="s">
        <v>36</v>
      </c>
    </row>
    <row r="24" spans="2:3" x14ac:dyDescent="0.35">
      <c r="B24" s="94">
        <f t="shared" si="0"/>
        <v>45296</v>
      </c>
      <c r="C24" s="79" t="s">
        <v>36</v>
      </c>
    </row>
    <row r="25" spans="2:3" x14ac:dyDescent="0.35">
      <c r="B25" s="92">
        <f t="shared" si="0"/>
        <v>45303</v>
      </c>
      <c r="C25" s="75"/>
    </row>
    <row r="26" spans="2:3" ht="58" x14ac:dyDescent="0.35">
      <c r="B26" s="92">
        <f t="shared" si="0"/>
        <v>45310</v>
      </c>
      <c r="C26" s="77" t="s">
        <v>236</v>
      </c>
    </row>
    <row r="27" spans="2:3" x14ac:dyDescent="0.35">
      <c r="B27" s="92">
        <f t="shared" si="0"/>
        <v>45317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2">
        <f>B27+7</f>
        <v>45324</v>
      </c>
      <c r="C34" s="96" t="s">
        <v>111</v>
      </c>
    </row>
    <row r="35" spans="2:3" x14ac:dyDescent="0.35">
      <c r="B35" s="92">
        <f>B34+7</f>
        <v>45331</v>
      </c>
      <c r="C35" s="75" t="s">
        <v>228</v>
      </c>
    </row>
    <row r="36" spans="2:3" x14ac:dyDescent="0.35">
      <c r="B36" s="92">
        <f t="shared" ref="B36:B57" si="1">B35+7</f>
        <v>45338</v>
      </c>
      <c r="C36" s="7" t="s">
        <v>135</v>
      </c>
    </row>
    <row r="37" spans="2:3" x14ac:dyDescent="0.35">
      <c r="B37" s="94">
        <f t="shared" si="1"/>
        <v>45345</v>
      </c>
      <c r="C37" s="52" t="s">
        <v>36</v>
      </c>
    </row>
    <row r="38" spans="2:3" x14ac:dyDescent="0.35">
      <c r="B38" s="94">
        <f t="shared" si="1"/>
        <v>45352</v>
      </c>
      <c r="C38" s="52" t="s">
        <v>36</v>
      </c>
    </row>
    <row r="39" spans="2:3" x14ac:dyDescent="0.35">
      <c r="B39" s="92">
        <f t="shared" si="1"/>
        <v>45359</v>
      </c>
      <c r="C39" s="7" t="s">
        <v>131</v>
      </c>
    </row>
    <row r="40" spans="2:3" ht="58" x14ac:dyDescent="0.35">
      <c r="B40" s="92">
        <f t="shared" si="1"/>
        <v>45366</v>
      </c>
      <c r="C40" s="78" t="s">
        <v>208</v>
      </c>
    </row>
    <row r="41" spans="2:3" x14ac:dyDescent="0.35">
      <c r="B41" s="92">
        <f t="shared" si="1"/>
        <v>45373</v>
      </c>
      <c r="C41" s="7" t="s">
        <v>204</v>
      </c>
    </row>
    <row r="42" spans="2:3" x14ac:dyDescent="0.35">
      <c r="B42" s="94">
        <f t="shared" si="1"/>
        <v>45380</v>
      </c>
      <c r="C42" s="122" t="s">
        <v>77</v>
      </c>
    </row>
    <row r="43" spans="2:3" x14ac:dyDescent="0.35">
      <c r="B43" s="92">
        <f t="shared" si="1"/>
        <v>45387</v>
      </c>
      <c r="C43" s="7" t="s">
        <v>207</v>
      </c>
    </row>
    <row r="44" spans="2:3" x14ac:dyDescent="0.35">
      <c r="B44" s="92">
        <f t="shared" si="1"/>
        <v>45394</v>
      </c>
      <c r="C44" s="7" t="s">
        <v>232</v>
      </c>
    </row>
    <row r="45" spans="2:3" x14ac:dyDescent="0.35">
      <c r="B45" s="92">
        <f t="shared" si="1"/>
        <v>45401</v>
      </c>
      <c r="C45" s="75" t="s">
        <v>134</v>
      </c>
    </row>
    <row r="46" spans="2:3" x14ac:dyDescent="0.35">
      <c r="B46" s="94">
        <f t="shared" si="1"/>
        <v>45408</v>
      </c>
      <c r="C46" s="52" t="s">
        <v>36</v>
      </c>
    </row>
    <row r="47" spans="2:3" x14ac:dyDescent="0.35">
      <c r="B47" s="94">
        <f t="shared" si="1"/>
        <v>45415</v>
      </c>
      <c r="C47" s="52" t="s">
        <v>36</v>
      </c>
    </row>
    <row r="48" spans="2:3" x14ac:dyDescent="0.35">
      <c r="B48" s="94">
        <f t="shared" si="1"/>
        <v>45422</v>
      </c>
      <c r="C48" s="52" t="s">
        <v>32</v>
      </c>
    </row>
    <row r="49" spans="2:3" x14ac:dyDescent="0.35">
      <c r="B49" s="92">
        <f t="shared" si="1"/>
        <v>45429</v>
      </c>
    </row>
    <row r="50" spans="2:3" ht="43" customHeight="1" x14ac:dyDescent="0.35">
      <c r="B50" s="92">
        <f t="shared" si="1"/>
        <v>45436</v>
      </c>
      <c r="C50" s="78" t="s">
        <v>215</v>
      </c>
    </row>
    <row r="51" spans="2:3" x14ac:dyDescent="0.35">
      <c r="B51" s="92">
        <f t="shared" si="1"/>
        <v>45443</v>
      </c>
      <c r="C51" s="7" t="s">
        <v>237</v>
      </c>
    </row>
    <row r="52" spans="2:3" x14ac:dyDescent="0.35">
      <c r="B52" s="92">
        <f t="shared" si="1"/>
        <v>45450</v>
      </c>
      <c r="C52" s="7"/>
    </row>
    <row r="53" spans="2:3" x14ac:dyDescent="0.35">
      <c r="B53" s="92">
        <f t="shared" si="1"/>
        <v>45457</v>
      </c>
      <c r="C53" s="7"/>
    </row>
    <row r="54" spans="2:3" x14ac:dyDescent="0.35">
      <c r="B54" s="92">
        <f t="shared" si="1"/>
        <v>45464</v>
      </c>
      <c r="C54" s="65"/>
    </row>
    <row r="55" spans="2:3" ht="58" x14ac:dyDescent="0.35">
      <c r="B55" s="92">
        <f t="shared" si="1"/>
        <v>45471</v>
      </c>
      <c r="C55" s="78" t="s">
        <v>216</v>
      </c>
    </row>
    <row r="56" spans="2:3" x14ac:dyDescent="0.35">
      <c r="B56" s="92">
        <f t="shared" si="1"/>
        <v>45478</v>
      </c>
      <c r="C56" s="7" t="s">
        <v>152</v>
      </c>
    </row>
    <row r="57" spans="2:3" ht="15" thickBot="1" x14ac:dyDescent="0.4">
      <c r="B57" s="92">
        <f t="shared" si="1"/>
        <v>45485</v>
      </c>
      <c r="C57" s="3"/>
    </row>
  </sheetData>
  <pageMargins left="0.7" right="0.7" top="0.78740157499999996" bottom="0.78740157499999996" header="0.3" footer="0.3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  <vt:lpstr>23_24_Semesterprogramm_Math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2023-07-25T10:52:41Z</cp:lastPrinted>
  <dcterms:created xsi:type="dcterms:W3CDTF">2019-08-07T07:33:56Z</dcterms:created>
  <dcterms:modified xsi:type="dcterms:W3CDTF">2023-07-25T10:53:10Z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