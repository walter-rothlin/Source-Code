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G:\_Daten_2019_11_05\BerufsschuleUster\Infomatik-Module\100_Daten\"/>
    </mc:Choice>
  </mc:AlternateContent>
  <bookViews>
    <workbookView xWindow="0" yWindow="0" windowWidth="16815" windowHeight="2040" tabRatio="654"/>
  </bookViews>
  <sheets>
    <sheet name="Text Parsen" sheetId="22" r:id="rId1"/>
  </sheets>
  <functionGroups builtInGroupCount="18"/>
  <calcPr calcId="152511"/>
</workbook>
</file>

<file path=xl/calcChain.xml><?xml version="1.0" encoding="utf-8"?>
<calcChain xmlns="http://schemas.openxmlformats.org/spreadsheetml/2006/main">
  <c r="E17" i="22" l="1"/>
  <c r="E19" i="22" s="1"/>
  <c r="E16" i="22"/>
  <c r="G16" i="22" s="1"/>
  <c r="F29" i="22"/>
  <c r="F31" i="22"/>
  <c r="F27" i="22"/>
  <c r="E18" i="22" l="1"/>
  <c r="G18" i="22" s="1"/>
  <c r="E6" i="22"/>
  <c r="G6" i="22" s="1"/>
  <c r="D6" i="22"/>
  <c r="F6" i="22" s="1"/>
  <c r="F10" i="22" l="1"/>
</calcChain>
</file>

<file path=xl/sharedStrings.xml><?xml version="1.0" encoding="utf-8"?>
<sst xmlns="http://schemas.openxmlformats.org/spreadsheetml/2006/main" count="21" uniqueCount="16">
  <si>
    <t>Start-Tag</t>
  </si>
  <si>
    <t>End-Tag</t>
  </si>
  <si>
    <t>Pos Start-Tag</t>
  </si>
  <si>
    <t>Pos End-Tag</t>
  </si>
  <si>
    <t>Einen Text parsen und Elemente mit Excel Standard Funktion ausschneiden</t>
  </si>
  <si>
    <t>Gruss aus &lt;Ort&gt;Uster&lt;/Ort&gt; Ich wuensche Ihnen einen &lt;Tageszeit&gt;Guten Abend&lt;/Tageszeit&gt; von der BZU</t>
  </si>
  <si>
    <t>Tageszeit</t>
  </si>
  <si>
    <t>{</t>
  </si>
  <si>
    <t>}</t>
  </si>
  <si>
    <t>Erstes Vorkommen</t>
  </si>
  <si>
    <t>Zweites Vorkommen</t>
  </si>
  <si>
    <t>Einen Text parsen und Elemente mit RegEx ausschneiden</t>
  </si>
  <si>
    <t>(Dazu muss Module installiert werden)</t>
  </si>
  <si>
    <t>Bitte diese Nachricht an {email} senden.
Der Rechnungsbetrag von {Betrag} ist innert 10 Tagen zu überweisen.</t>
  </si>
  <si>
    <t>walter@rothlin.com</t>
  </si>
  <si>
    <t>CHF 1'205.55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</si>
</sst>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CHF&quot;\ #,##0.00;[Red]&quot;CHF&quot;\ \-#,##0.00"/>
  </numFmts>
  <fonts count="29">
    <font>
      <sz val="10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sz val="11"/>
      <color theme="1"/>
      <name val="Credit Suisse Type Light"/>
      <family val="2"/>
      <scheme val="minor"/>
    </font>
    <font>
      <b/>
      <sz val="10"/>
      <color rgb="FFFA7D00"/>
      <name val="Credit Suisse Type Light"/>
      <family val="2"/>
      <scheme val="minor"/>
    </font>
    <font>
      <b/>
      <sz val="10"/>
      <color theme="0"/>
      <name val="Credit Suisse Type Light"/>
      <family val="2"/>
      <scheme val="minor"/>
    </font>
    <font>
      <sz val="10"/>
      <color rgb="FF9C6500"/>
      <name val="Credit Suisse Type Light"/>
      <family val="2"/>
      <scheme val="minor"/>
    </font>
    <font>
      <sz val="10"/>
      <color rgb="FF9C0006"/>
      <name val="Credit Suisse Type Light"/>
      <family val="2"/>
      <scheme val="minor"/>
    </font>
    <font>
      <sz val="10"/>
      <color rgb="FF006100"/>
      <name val="Credit Suisse Type Light"/>
      <family val="2"/>
      <scheme val="minor"/>
    </font>
    <font>
      <b/>
      <sz val="10"/>
      <color rgb="FF3F3F3F"/>
      <name val="Credit Suisse Type Light"/>
      <family val="2"/>
      <scheme val="minor"/>
    </font>
    <font>
      <sz val="10"/>
      <color rgb="FFFF0000"/>
      <name val="Credit Suisse Type Light"/>
      <family val="2"/>
      <scheme val="minor"/>
    </font>
    <font>
      <sz val="10"/>
      <color theme="1"/>
      <name val="Credit Suisse Type Light"/>
      <family val="2"/>
      <scheme val="minor"/>
    </font>
    <font>
      <sz val="10"/>
      <color rgb="FFFA7D00"/>
      <name val="Credit Suisse Type Light"/>
      <family val="2"/>
      <scheme val="minor"/>
    </font>
    <font>
      <sz val="10"/>
      <color rgb="FF3F3F76"/>
      <name val="Credit Suisse Type Light"/>
      <family val="2"/>
      <scheme val="minor"/>
    </font>
    <font>
      <i/>
      <sz val="10"/>
      <color rgb="FF7F7F7F"/>
      <name val="Credit Suisse Type Light"/>
      <family val="2"/>
      <scheme val="minor"/>
    </font>
    <font>
      <b/>
      <sz val="10"/>
      <name val="Credit Suisse Type Light"/>
      <family val="2"/>
      <scheme val="minor"/>
    </font>
    <font>
      <b/>
      <sz val="10"/>
      <color theme="0" tint="-0.34998626667073579"/>
      <name val="Credit Suisse Type Light"/>
      <family val="2"/>
      <scheme val="minor"/>
    </font>
    <font>
      <b/>
      <sz val="10"/>
      <color theme="1"/>
      <name val="Credit Suisse Type Light"/>
      <family val="2"/>
      <scheme val="minor"/>
    </font>
    <font>
      <b/>
      <sz val="14"/>
      <name val="Credit Suisse Type Light"/>
      <family val="2"/>
      <scheme val="maj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color theme="1"/>
      <name val="Credit Suisse Type Light"/>
      <scheme val="minor"/>
    </font>
    <font>
      <sz val="10"/>
      <color theme="1"/>
      <name val="Courier"/>
      <family val="3"/>
    </font>
    <font>
      <sz val="8"/>
      <color theme="1"/>
      <name val="Credit Suisse Type Light"/>
      <family val="2"/>
      <scheme val="minor"/>
    </font>
    <font>
      <sz val="8"/>
      <color theme="1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7">
    <xf numFmtId="0" fontId="0" fillId="0" borderId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1" fillId="3" borderId="0" applyNumberFormat="0" applyBorder="0" applyAlignment="0" applyProtection="0"/>
    <xf numFmtId="0" fontId="10" fillId="4" borderId="0" applyNumberFormat="0" applyBorder="0" applyAlignment="0" applyProtection="0"/>
    <xf numFmtId="0" fontId="17" fillId="5" borderId="1" applyNumberFormat="0" applyAlignment="0" applyProtection="0"/>
    <xf numFmtId="0" fontId="13" fillId="6" borderId="2" applyNumberFormat="0" applyAlignment="0" applyProtection="0"/>
    <xf numFmtId="0" fontId="8" fillId="6" borderId="1" applyNumberFormat="0" applyAlignment="0" applyProtection="0"/>
    <xf numFmtId="0" fontId="16" fillId="0" borderId="3" applyNumberFormat="0" applyFill="0" applyAlignment="0" applyProtection="0"/>
    <xf numFmtId="0" fontId="9" fillId="7" borderId="4" applyNumberFormat="0" applyAlignment="0" applyProtection="0"/>
    <xf numFmtId="0" fontId="14" fillId="0" borderId="0" applyNumberFormat="0" applyFill="0" applyBorder="0" applyAlignment="0" applyProtection="0"/>
    <xf numFmtId="0" fontId="15" fillId="8" borderId="5" applyNumberFormat="0" applyAlignment="0" applyProtection="0"/>
    <xf numFmtId="0" fontId="18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22" fillId="0" borderId="0" applyNumberFormat="0" applyFill="0" applyBorder="0" applyAlignment="0" applyProtection="0"/>
    <xf numFmtId="0" fontId="7" fillId="0" borderId="0"/>
    <xf numFmtId="0" fontId="23" fillId="0" borderId="0"/>
    <xf numFmtId="0" fontId="6" fillId="0" borderId="0"/>
    <xf numFmtId="0" fontId="5" fillId="0" borderId="0"/>
    <xf numFmtId="0" fontId="2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8">
    <xf numFmtId="0" fontId="0" fillId="0" borderId="0" xfId="0"/>
    <xf numFmtId="0" fontId="25" fillId="0" borderId="0" xfId="0" applyFont="1"/>
    <xf numFmtId="0" fontId="0" fillId="9" borderId="12" xfId="0" applyFill="1" applyBorder="1"/>
    <xf numFmtId="0" fontId="0" fillId="0" borderId="7" xfId="0" applyBorder="1"/>
    <xf numFmtId="0" fontId="0" fillId="0" borderId="0" xfId="0" applyBorder="1" applyAlignment="1">
      <alignment vertical="center" wrapText="1"/>
    </xf>
    <xf numFmtId="0" fontId="26" fillId="9" borderId="12" xfId="0" applyFont="1" applyFill="1" applyBorder="1" applyAlignment="1">
      <alignment vertical="center" wrapText="1"/>
    </xf>
    <xf numFmtId="0" fontId="0" fillId="10" borderId="12" xfId="0" applyFill="1" applyBorder="1"/>
    <xf numFmtId="0" fontId="28" fillId="10" borderId="10" xfId="0" applyFont="1" applyFill="1" applyBorder="1" applyAlignment="1">
      <alignment horizontal="left" vertical="center" wrapText="1"/>
    </xf>
    <xf numFmtId="0" fontId="27" fillId="10" borderId="11" xfId="0" applyFont="1" applyFill="1" applyBorder="1" applyAlignment="1">
      <alignment horizontal="left" vertical="center" wrapText="1"/>
    </xf>
    <xf numFmtId="0" fontId="27" fillId="10" borderId="9" xfId="0" applyFont="1" applyFill="1" applyBorder="1" applyAlignment="1">
      <alignment horizontal="left" vertical="center" wrapText="1"/>
    </xf>
    <xf numFmtId="0" fontId="26" fillId="10" borderId="10" xfId="0" applyFont="1" applyFill="1" applyBorder="1" applyAlignment="1">
      <alignment vertical="center" wrapText="1"/>
    </xf>
    <xf numFmtId="0" fontId="0" fillId="10" borderId="11" xfId="0" applyFill="1" applyBorder="1" applyAlignment="1">
      <alignment vertical="center" wrapText="1"/>
    </xf>
    <xf numFmtId="0" fontId="0" fillId="10" borderId="9" xfId="0" applyFill="1" applyBorder="1" applyAlignment="1">
      <alignment vertical="center" wrapText="1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27" fillId="10" borderId="13" xfId="0" applyFont="1" applyFill="1" applyBorder="1" applyAlignment="1">
      <alignment horizontal="center"/>
    </xf>
    <xf numFmtId="8" fontId="27" fillId="10" borderId="15" xfId="0" quotePrefix="1" applyNumberFormat="1" applyFont="1" applyFill="1" applyBorder="1" applyAlignment="1">
      <alignment horizontal="center"/>
    </xf>
  </cellXfs>
  <cellStyles count="27">
    <cellStyle name="Ausgabe" xfId="9" builtinId="21" customBuiltin="1"/>
    <cellStyle name="Berechnung" xfId="10" builtinId="22" customBuiltin="1"/>
    <cellStyle name="Eingabe" xfId="8" builtinId="20" customBuiltin="1"/>
    <cellStyle name="Ergebnis" xfId="16" builtinId="25" customBuiltin="1"/>
    <cellStyle name="Erklärender Text" xfId="15" builtinId="53" customBuiltin="1"/>
    <cellStyle name="Gut" xfId="5" builtinId="26" customBuiltin="1"/>
    <cellStyle name="Neutral" xfId="7" builtinId="28" customBuiltin="1"/>
    <cellStyle name="Normal 2" xfId="18"/>
    <cellStyle name="Notiz" xfId="14" builtinId="10" customBuiltin="1"/>
    <cellStyle name="Schlecht" xfId="6" builtinId="27" customBuiltin="1"/>
    <cellStyle name="Standard" xfId="0" builtinId="0" customBuiltin="1"/>
    <cellStyle name="Standard 2" xfId="19"/>
    <cellStyle name="Standard 3" xfId="20"/>
    <cellStyle name="Standard 4" xfId="21"/>
    <cellStyle name="Standard 5" xfId="22"/>
    <cellStyle name="Standard 6" xfId="23"/>
    <cellStyle name="Standard 7" xfId="24"/>
    <cellStyle name="Standard 8" xfId="25"/>
    <cellStyle name="Standard 9" xfId="26"/>
    <cellStyle name="Überschrift" xfId="17" builtinId="15" customBuiltin="1"/>
    <cellStyle name="Überschrift 1" xfId="1" builtinId="16" customBuiltin="1"/>
    <cellStyle name="Überschrift 2" xfId="2" builtinId="17" customBuiltin="1"/>
    <cellStyle name="Überschrift 3" xfId="3" builtinId="18" customBuiltin="1"/>
    <cellStyle name="Überschrift 4" xfId="4" builtinId="19" customBuiltin="1"/>
    <cellStyle name="Verknüpfte Zelle" xfId="11" builtinId="24" customBuiltin="1"/>
    <cellStyle name="Warnender Text" xfId="13" builtinId="11" customBuiltin="1"/>
    <cellStyle name="Zelle überprüfen" xfId="12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S 1">
  <a:themeElements>
    <a:clrScheme name="Credit Suisse 1">
      <a:dk1>
        <a:sysClr val="windowText" lastClr="000000"/>
      </a:dk1>
      <a:lt1>
        <a:sysClr val="window" lastClr="FFFFFF"/>
      </a:lt1>
      <a:dk2>
        <a:srgbClr val="166C86"/>
      </a:dk2>
      <a:lt2>
        <a:srgbClr val="EEECE1"/>
      </a:lt2>
      <a:accent1>
        <a:srgbClr val="255B89"/>
      </a:accent1>
      <a:accent2>
        <a:srgbClr val="AAA19A"/>
      </a:accent2>
      <a:accent3>
        <a:srgbClr val="A6CCD6"/>
      </a:accent3>
      <a:accent4>
        <a:srgbClr val="56A2B9"/>
      </a:accent4>
      <a:accent5>
        <a:srgbClr val="C8C1BC"/>
      </a:accent5>
      <a:accent6>
        <a:srgbClr val="003868"/>
      </a:accent6>
      <a:hlink>
        <a:srgbClr val="0000FF"/>
      </a:hlink>
      <a:folHlink>
        <a:srgbClr val="800080"/>
      </a:folHlink>
    </a:clrScheme>
    <a:fontScheme name="CS 1">
      <a:maj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ajorFont>
      <a:min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custClrLst>
    <a:custClr name="Purple 1">
      <a:srgbClr val="92499E"/>
    </a:custClr>
    <a:custClr name="Green 1">
      <a:srgbClr val="898000"/>
    </a:custClr>
    <a:custClr name="Yellow 1">
      <a:srgbClr val="FFC726"/>
    </a:custClr>
    <a:custClr name="Orange 1">
      <a:srgbClr val="F49C3E"/>
    </a:custClr>
    <a:custClr name="Red 1">
      <a:srgbClr val="9D0E2D"/>
    </a:custClr>
    <a:custClr name="Purple 2">
      <a:srgbClr val="A86DB1"/>
    </a:custClr>
    <a:custClr name="Green 2">
      <a:srgbClr val="B1A82F"/>
    </a:custClr>
    <a:custClr name="Yellow 2">
      <a:srgbClr val="FFD251"/>
    </a:custClr>
    <a:custClr name="Orange 2">
      <a:srgbClr val="F6B065"/>
    </a:custClr>
    <a:custClr name="Red 2">
      <a:srgbClr val="C23841"/>
    </a:custClr>
    <a:custClr name="Purple 3">
      <a:srgbClr val="BE92C5"/>
    </a:custClr>
    <a:custClr name="Green 3">
      <a:srgbClr val="D7D17B"/>
    </a:custClr>
    <a:custClr name="Yellow 3">
      <a:srgbClr val="FFDD7D"/>
    </a:custClr>
    <a:custClr name="Orange 3">
      <a:srgbClr val="F8C48B"/>
    </a:custClr>
    <a:custClr name="Red 3">
      <a:srgbClr val="DE7572"/>
    </a:custClr>
    <a:custClr name="Purple 4">
      <a:srgbClr val="D3B6D8"/>
    </a:custClr>
    <a:custClr name="Green 4">
      <a:srgbClr val="E9E6B9"/>
    </a:custClr>
    <a:custClr name="Yellow 4">
      <a:srgbClr val="FFE9A8"/>
    </a:custClr>
    <a:custClr name="Orange 4">
      <a:srgbClr val="FBD7B2"/>
    </a:custClr>
    <a:custClr name="Red 4">
      <a:srgbClr val="EBB7B6"/>
    </a:custClr>
  </a:custClr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C2:J31"/>
  <sheetViews>
    <sheetView tabSelected="1" topLeftCell="A20" zoomScale="175" zoomScaleNormal="175" workbookViewId="0">
      <selection activeCell="G27" sqref="G27"/>
    </sheetView>
  </sheetViews>
  <sheetFormatPr baseColWidth="10" defaultRowHeight="12.75"/>
  <cols>
    <col min="6" max="6" width="32" customWidth="1"/>
    <col min="7" max="7" width="18.7109375" customWidth="1"/>
  </cols>
  <sheetData>
    <row r="2" spans="3:10">
      <c r="C2" s="1" t="s">
        <v>4</v>
      </c>
    </row>
    <row r="3" spans="3:10" ht="13.5" thickBot="1"/>
    <row r="4" spans="3:10" ht="56.25" customHeight="1" thickBot="1">
      <c r="C4" s="7" t="s">
        <v>5</v>
      </c>
      <c r="D4" s="8"/>
      <c r="E4" s="9"/>
    </row>
    <row r="5" spans="3:10" ht="13.5" thickBot="1"/>
    <row r="6" spans="3:10" ht="13.5" thickBot="1">
      <c r="C6" s="6" t="s">
        <v>6</v>
      </c>
      <c r="D6" t="str">
        <f>CONCATENATE("&lt;",C6,"&gt;")</f>
        <v>&lt;Tageszeit&gt;</v>
      </c>
      <c r="E6" t="str">
        <f>CONCATENATE("&lt;/",C6,"&gt;")</f>
        <v>&lt;/Tageszeit&gt;</v>
      </c>
      <c r="F6">
        <f>SEARCH(D6,C4)</f>
        <v>53</v>
      </c>
      <c r="G6">
        <f>SEARCH(E6,C4)</f>
        <v>75</v>
      </c>
    </row>
    <row r="7" spans="3:10">
      <c r="D7" t="s">
        <v>0</v>
      </c>
      <c r="E7" t="s">
        <v>1</v>
      </c>
      <c r="F7" t="s">
        <v>2</v>
      </c>
      <c r="G7" t="s">
        <v>3</v>
      </c>
    </row>
    <row r="9" spans="3:10" ht="13.5" thickBot="1"/>
    <row r="10" spans="3:10" ht="13.5" thickBot="1">
      <c r="F10" s="2" t="str">
        <f>MID(C4,F6+LEN(D6),G6-F6-LEN(D6))</f>
        <v>Guten Abend</v>
      </c>
    </row>
    <row r="12" spans="3:10">
      <c r="C12" s="3"/>
      <c r="D12" s="3"/>
      <c r="E12" s="3"/>
      <c r="F12" s="3"/>
      <c r="G12" s="3"/>
      <c r="H12" s="3"/>
      <c r="I12" s="3"/>
      <c r="J12" s="3"/>
    </row>
    <row r="13" spans="3:10" ht="13.5" thickBot="1"/>
    <row r="14" spans="3:10" ht="62.25" customHeight="1" thickBot="1">
      <c r="C14" s="10" t="s">
        <v>13</v>
      </c>
      <c r="D14" s="11"/>
      <c r="E14" s="12"/>
    </row>
    <row r="15" spans="3:10" ht="13.5" thickBot="1"/>
    <row r="16" spans="3:10" ht="13.5" thickBot="1">
      <c r="D16" s="13" t="s">
        <v>7</v>
      </c>
      <c r="E16">
        <f>SEARCH(D16,$C$14)</f>
        <v>26</v>
      </c>
      <c r="F16" t="s">
        <v>9</v>
      </c>
      <c r="G16" s="2" t="str">
        <f>MID(C14,E16+1,E17-E16-1)</f>
        <v>email</v>
      </c>
    </row>
    <row r="17" spans="3:10" ht="13.5" thickBot="1">
      <c r="D17" s="14" t="s">
        <v>8</v>
      </c>
      <c r="E17">
        <f>SEARCH(D17,$C$14)</f>
        <v>32</v>
      </c>
      <c r="F17" t="s">
        <v>9</v>
      </c>
    </row>
    <row r="18" spans="3:10" ht="13.5" thickBot="1">
      <c r="D18" s="14" t="s">
        <v>7</v>
      </c>
      <c r="E18">
        <f>SEARCH(D18,$C$14,E16+1)</f>
        <v>67</v>
      </c>
      <c r="F18" t="s">
        <v>10</v>
      </c>
      <c r="G18" s="2" t="str">
        <f>MID(C14,E18+1,E19-E18-1)</f>
        <v>Betrag</v>
      </c>
    </row>
    <row r="19" spans="3:10" ht="13.5" thickBot="1">
      <c r="D19" s="15" t="s">
        <v>8</v>
      </c>
      <c r="E19">
        <f>SEARCH(D19,$C$14,E17+1)</f>
        <v>74</v>
      </c>
      <c r="F19" t="s">
        <v>10</v>
      </c>
    </row>
    <row r="21" spans="3:10">
      <c r="C21" s="3"/>
      <c r="D21" s="3"/>
      <c r="E21" s="3"/>
      <c r="F21" s="3"/>
      <c r="G21" s="3"/>
      <c r="H21" s="3"/>
      <c r="I21" s="3"/>
      <c r="J21" s="3"/>
    </row>
    <row r="22" spans="3:10" ht="13.5" thickBot="1"/>
    <row r="23" spans="3:10">
      <c r="C23" s="1" t="s">
        <v>11</v>
      </c>
      <c r="G23" s="16" t="s">
        <v>14</v>
      </c>
    </row>
    <row r="24" spans="3:10" ht="13.5" thickBot="1">
      <c r="C24" t="s">
        <v>12</v>
      </c>
      <c r="G24" s="17" t="s">
        <v>15</v>
      </c>
    </row>
    <row r="26" spans="3:10" ht="13.5" thickBot="1"/>
    <row r="27" spans="3:10" ht="81" customHeight="1" thickBot="1">
      <c r="C27" s="10" t="s">
        <v>13</v>
      </c>
      <c r="D27" s="11"/>
      <c r="E27" s="12"/>
      <c r="F27" s="5" t="str">
        <f>replaceStringInStringRegEx(C27,"{email}",G23)</f>
        <v>Bitte diese Nachricht an walter@rothlin.com senden.
Der Rechnungsbetrag von {Betrag} ist innert 10 Tagen zu überweisen.</v>
      </c>
      <c r="G27" s="4"/>
      <c r="H27" s="4"/>
    </row>
    <row r="28" spans="3:10" ht="13.5" thickBot="1"/>
    <row r="29" spans="3:10" ht="84.75" thickBot="1">
      <c r="F29" s="5" t="str">
        <f>replaceStringInStringRegEx(C27,"{Betrag}",G24)</f>
        <v>Bitte diese Nachricht an {email} senden.
Der Rechnungsbetrag von CHF 1'205.55 ist innert 10 Tagen zu überweisen.</v>
      </c>
    </row>
    <row r="30" spans="3:10" ht="13.5" thickBot="1"/>
    <row r="31" spans="3:10" ht="72.75" thickBot="1">
      <c r="F31" s="5" t="str">
        <f>replaceStringInStringRegEx(F27,"{Betrag}",G24)</f>
        <v>Bitte diese Nachricht an walter@rothlin.com senden.
Der Rechnungsbetrag von CHF 1'205.55 ist innert 10 Tagen zu überweisen.</v>
      </c>
    </row>
  </sheetData>
  <mergeCells count="3">
    <mergeCell ref="C14:E14"/>
    <mergeCell ref="C27:E27"/>
    <mergeCell ref="C4:E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Text Parsen</vt:lpstr>
    </vt:vector>
  </TitlesOfParts>
  <Company>Credit Suisse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Rothlin Walter (KVYZ 2)</dc:creator>
  <cp:lastModifiedBy>admin</cp:lastModifiedBy>
  <cp:lastPrinted>2019-10-31T10:47:38Z</cp:lastPrinted>
  <dcterms:created xsi:type="dcterms:W3CDTF">2010-04-23T11:17:44Z</dcterms:created>
  <dcterms:modified xsi:type="dcterms:W3CDTF">2019-11-05T11:22:25Z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IQPDocumentId">
    <vt:lpwstr>b2367e2f-3890-4f57-9dfb-5b0dd97e52ae</vt:lpwstr>
  </property>
  <property fmtid="{D5CDD505-2E9C-101B-9397-08002B2CF9AE}" pid="3" name="_AdHocReviewCycleID">
    <vt:i4>1600883317</vt:i4>
  </property>
  <property fmtid="{D5CDD505-2E9C-101B-9397-08002B2CF9AE}" pid="4" name="_NewReviewCycle">
    <vt:lpwstr/>
  </property>
  <property fmtid="{D5CDD505-2E9C-101B-9397-08002B2CF9AE}" pid="5" name="_EmailSubject">
    <vt:lpwstr>Noten</vt:lpwstr>
  </property>
  <property fmtid="{D5CDD505-2E9C-101B-9397-08002B2CF9AE}" pid="6" name="_AuthorEmail">
    <vt:lpwstr>walter.rothlin@credit-suisse.com</vt:lpwstr>
  </property>
  <property fmtid="{D5CDD505-2E9C-101B-9397-08002B2CF9AE}" pid="7" name="_AuthorEmailDisplayName">
    <vt:lpwstr>Rothlin, Walter (WTIR 523)</vt:lpwstr>
  </property>
  <property fmtid="{D5CDD505-2E9C-101B-9397-08002B2CF9AE}" pid="8" name="_PreviousAdHocReviewCycleID">
    <vt:i4>-1716310669</vt:i4>
  </property>
  <property fmtid="{D5CDD505-2E9C-101B-9397-08002B2CF9AE}" pid="9" name="_ReviewingToolsShownOnce">
    <vt:lpwstr/>
  </property>
  <property fmtid="{D5CDD505-2E9C-101B-9397-08002B2CF9AE}" pid="10" name="WorkbookGuid">
    <vt:lpwstr>154e2a5c-2f98-49fd-aa96-f6899db19371</vt:lpwstr>
  </property>
</Properties>
</file>