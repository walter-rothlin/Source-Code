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omments1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1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2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3.xml" ContentType="application/vnd.openxmlformats-officedocument.drawing+xml"/>
  <Override PartName="/xl/comments3.xml" ContentType="application/vnd.openxmlformats-officedocument.spreadsheetml.comments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6CDB4B13-3A04-4B06-A72A-50BCD9791D33}" xr6:coauthVersionLast="47" xr6:coauthVersionMax="47" xr10:uidLastSave="{00000000-0000-0000-0000-000000000000}"/>
  <bookViews>
    <workbookView xWindow="-120" yWindow="-16320" windowWidth="29040" windowHeight="16440" xr2:uid="{00000000-000D-0000-FFFF-FFFF00000000}"/>
  </bookViews>
  <sheets>
    <sheet name="TOC" sheetId="13" r:id="rId1"/>
    <sheet name="Einheitenvorsätze" sheetId="32" r:id="rId2"/>
    <sheet name="Elektronische Schaltzeichen" sheetId="30" r:id="rId3"/>
    <sheet name="LCR-Glieder" sheetId="35" r:id="rId4"/>
    <sheet name="Kondensator an Gleichspannung" sheetId="36" r:id="rId5"/>
    <sheet name="Quelle mit Innenwiderstand" sheetId="29" r:id="rId6"/>
    <sheet name="Leistung bei Wechselstrom" sheetId="28" r:id="rId7"/>
    <sheet name="Schiefeebene" sheetId="19" r:id="rId8"/>
    <sheet name="Schiefe-Ebene (alt)" sheetId="20" r:id="rId9"/>
    <sheet name="Sinus_Cosinus" sheetId="22" r:id="rId10"/>
    <sheet name="Vektoroperationen" sheetId="18" r:id="rId11"/>
    <sheet name="VektorZeitbereich" sheetId="24" r:id="rId12"/>
    <sheet name="Geburtstagsliste" sheetId="17" r:id="rId13"/>
    <sheet name="Einheiten umrechnen" sheetId="16" r:id="rId14"/>
    <sheet name="Flächenberechnungen" sheetId="14" r:id="rId15"/>
    <sheet name="Kinematik_1" sheetId="4" r:id="rId16"/>
    <sheet name="Kinematik_1 (Weg-Zeit)" sheetId="33" r:id="rId17"/>
    <sheet name="Kinematik_2" sheetId="9" r:id="rId18"/>
    <sheet name="Kinematik_2_Berechnungen" sheetId="11" r:id="rId19"/>
    <sheet name="Kinematik_2 (Weg-Zeit)" sheetId="34" r:id="rId20"/>
    <sheet name="Fourierreihe" sheetId="12" r:id="rId21"/>
    <sheet name="Scheinleistung" sheetId="15" r:id="rId22"/>
    <sheet name="3-Phasenstrom" sheetId="25" r:id="rId23"/>
    <sheet name="Gemischte Schaltung" sheetId="23" r:id="rId24"/>
    <sheet name="Theoreme" sheetId="26" r:id="rId25"/>
    <sheet name="Fläche eines Polygones" sheetId="27" r:id="rId26"/>
  </sheets>
  <definedNames>
    <definedName name="_xlnm._FilterDatabase" localSheetId="12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3" i="36" l="1"/>
  <c r="I43" i="36"/>
  <c r="J42" i="36"/>
  <c r="I38" i="36"/>
  <c r="J38" i="36" s="1"/>
  <c r="J39" i="36"/>
  <c r="D31" i="36"/>
  <c r="E31" i="36"/>
  <c r="F31" i="36"/>
  <c r="G31" i="36"/>
  <c r="H31" i="36"/>
  <c r="I31" i="36"/>
  <c r="J31" i="36"/>
  <c r="K31" i="36"/>
  <c r="L31" i="36"/>
  <c r="M31" i="36"/>
  <c r="N31" i="36"/>
  <c r="O31" i="36"/>
  <c r="P31" i="36"/>
  <c r="Q31" i="36"/>
  <c r="R31" i="36"/>
  <c r="S31" i="36"/>
  <c r="T31" i="36"/>
  <c r="U31" i="36"/>
  <c r="V31" i="36"/>
  <c r="W31" i="36"/>
  <c r="C31" i="36"/>
  <c r="D29" i="36"/>
  <c r="E29" i="36"/>
  <c r="F29" i="36"/>
  <c r="G29" i="36"/>
  <c r="H29" i="36"/>
  <c r="I29" i="36"/>
  <c r="J29" i="36"/>
  <c r="K29" i="36"/>
  <c r="L29" i="36"/>
  <c r="M29" i="36"/>
  <c r="N29" i="36"/>
  <c r="O29" i="36"/>
  <c r="P29" i="36"/>
  <c r="Q29" i="36"/>
  <c r="R29" i="36"/>
  <c r="S29" i="36"/>
  <c r="T29" i="36"/>
  <c r="U29" i="36"/>
  <c r="V29" i="36"/>
  <c r="W29" i="36"/>
  <c r="C29" i="36"/>
  <c r="D28" i="36"/>
  <c r="B30" i="36" s="1"/>
  <c r="N11" i="36"/>
  <c r="C12" i="36"/>
  <c r="I12" i="36" s="1"/>
  <c r="G12" i="36"/>
  <c r="Z7" i="35"/>
  <c r="J9" i="36"/>
  <c r="H8" i="36"/>
  <c r="G11" i="36"/>
  <c r="G10" i="35"/>
  <c r="D15" i="35"/>
  <c r="C11" i="36"/>
  <c r="I11" i="36" s="1"/>
  <c r="K9" i="36"/>
  <c r="I9" i="36"/>
  <c r="H9" i="36"/>
  <c r="G9" i="36"/>
  <c r="K6" i="36"/>
  <c r="J6" i="36"/>
  <c r="I6" i="36"/>
  <c r="H6" i="36"/>
  <c r="G6" i="36"/>
  <c r="F7" i="36"/>
  <c r="K7" i="36" s="1"/>
  <c r="K8" i="36"/>
  <c r="L8" i="36" s="1"/>
  <c r="I18" i="36" s="1"/>
  <c r="J8" i="36"/>
  <c r="M8" i="36" s="1"/>
  <c r="I8" i="36"/>
  <c r="G8" i="36"/>
  <c r="I7" i="36"/>
  <c r="H7" i="36"/>
  <c r="G7" i="36"/>
  <c r="D11" i="36" s="1"/>
  <c r="E10" i="13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E54" i="35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7" i="35"/>
  <c r="I19" i="32"/>
  <c r="H19" i="32"/>
  <c r="I17" i="32"/>
  <c r="I12" i="35"/>
  <c r="K8" i="35"/>
  <c r="K9" i="35"/>
  <c r="K10" i="35"/>
  <c r="L10" i="35" s="1"/>
  <c r="X50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H7" i="35"/>
  <c r="L12" i="32"/>
  <c r="E9" i="13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23" i="13"/>
  <c r="C45" i="34"/>
  <c r="J45" i="34" s="1"/>
  <c r="I48" i="34" s="1"/>
  <c r="J48" i="34" s="1"/>
  <c r="C23" i="34"/>
  <c r="G18" i="34"/>
  <c r="H11" i="34"/>
  <c r="I11" i="34" s="1"/>
  <c r="J11" i="34" s="1"/>
  <c r="C19" i="13"/>
  <c r="E18" i="13"/>
  <c r="C7" i="13"/>
  <c r="C9" i="13"/>
  <c r="C6" i="13"/>
  <c r="E8" i="13"/>
  <c r="C18" i="13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K94" i="22"/>
  <c r="K95" i="22"/>
  <c r="K96" i="22"/>
  <c r="K93" i="22"/>
  <c r="G132" i="22"/>
  <c r="G128" i="22"/>
  <c r="G127" i="22"/>
  <c r="G126" i="22"/>
  <c r="I131" i="22"/>
  <c r="F130" i="22"/>
  <c r="F128" i="22"/>
  <c r="F129" i="22" s="1"/>
  <c r="F127" i="22"/>
  <c r="F126" i="22"/>
  <c r="I111" i="22"/>
  <c r="G118" i="22"/>
  <c r="I112" i="22"/>
  <c r="J112" i="22"/>
  <c r="K112" i="22"/>
  <c r="I113" i="22"/>
  <c r="J113" i="22"/>
  <c r="K113" i="22"/>
  <c r="E117" i="22" s="1"/>
  <c r="K111" i="22"/>
  <c r="I18" i="32"/>
  <c r="I16" i="32"/>
  <c r="J111" i="22"/>
  <c r="M12" i="32"/>
  <c r="E5" i="13"/>
  <c r="F104" i="22"/>
  <c r="G104" i="22" s="1"/>
  <c r="G106" i="22"/>
  <c r="H106" i="22"/>
  <c r="G102" i="22"/>
  <c r="H102" i="22"/>
  <c r="G105" i="22"/>
  <c r="H105" i="22"/>
  <c r="H103" i="22"/>
  <c r="G103" i="22"/>
  <c r="H101" i="22"/>
  <c r="G101" i="22"/>
  <c r="G93" i="22"/>
  <c r="J93" i="22" s="1"/>
  <c r="H11" i="36" l="1"/>
  <c r="D12" i="36" s="1"/>
  <c r="H12" i="36" s="1"/>
  <c r="J11" i="36"/>
  <c r="C28" i="36"/>
  <c r="D30" i="36" s="1"/>
  <c r="K11" i="36"/>
  <c r="L11" i="36" s="1"/>
  <c r="K17" i="36" s="1"/>
  <c r="D12" i="35"/>
  <c r="L6" i="36"/>
  <c r="I19" i="36" s="1"/>
  <c r="M6" i="36"/>
  <c r="M9" i="36"/>
  <c r="L9" i="36"/>
  <c r="I20" i="36" s="1"/>
  <c r="L7" i="36"/>
  <c r="I17" i="36" s="1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27" i="35"/>
  <c r="X9" i="35"/>
  <c r="AB7" i="35"/>
  <c r="AE7" i="35" s="1"/>
  <c r="AE11" i="35" s="1"/>
  <c r="AB25" i="35"/>
  <c r="AB45" i="35"/>
  <c r="G14" i="33"/>
  <c r="J7" i="35"/>
  <c r="M7" i="35" s="1"/>
  <c r="L9" i="35"/>
  <c r="F15" i="35"/>
  <c r="F21" i="35" s="1"/>
  <c r="F16" i="35"/>
  <c r="M9" i="35"/>
  <c r="M8" i="35"/>
  <c r="J12" i="35"/>
  <c r="M12" i="35" s="1"/>
  <c r="M10" i="35"/>
  <c r="K12" i="35"/>
  <c r="L12" i="35" s="1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I93" i="22"/>
  <c r="F132" i="22"/>
  <c r="F131" i="22"/>
  <c r="E116" i="22"/>
  <c r="E118" i="22"/>
  <c r="F116" i="22"/>
  <c r="F117" i="22"/>
  <c r="F118" i="22"/>
  <c r="H104" i="22"/>
  <c r="G96" i="22"/>
  <c r="G95" i="22"/>
  <c r="G94" i="22"/>
  <c r="H94" i="22" s="1"/>
  <c r="F17" i="28"/>
  <c r="F12" i="22"/>
  <c r="BB13" i="22"/>
  <c r="BB12" i="22"/>
  <c r="BC13" i="22"/>
  <c r="BC12" i="22"/>
  <c r="F13" i="22"/>
  <c r="BB3" i="22"/>
  <c r="BC3" i="22" s="1"/>
  <c r="AZ11" i="22"/>
  <c r="AY11" i="22"/>
  <c r="AY12" i="22" s="1"/>
  <c r="G11" i="22"/>
  <c r="G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AW25" i="24"/>
  <c r="AV25" i="24"/>
  <c r="AU25" i="24"/>
  <c r="AT25" i="24"/>
  <c r="AS25" i="24"/>
  <c r="AR25" i="24"/>
  <c r="AQ25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AW24" i="24"/>
  <c r="AV24" i="24"/>
  <c r="AU24" i="24"/>
  <c r="AT24" i="24"/>
  <c r="AS24" i="24"/>
  <c r="AR24" i="24"/>
  <c r="AQ24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I18" i="24"/>
  <c r="H18" i="24"/>
  <c r="G18" i="24"/>
  <c r="F18" i="24"/>
  <c r="E18" i="24"/>
  <c r="D18" i="24"/>
  <c r="C18" i="24"/>
  <c r="O17" i="24"/>
  <c r="M17" i="24"/>
  <c r="I17" i="24"/>
  <c r="H17" i="24"/>
  <c r="G17" i="24"/>
  <c r="F17" i="24"/>
  <c r="E17" i="24"/>
  <c r="D17" i="24"/>
  <c r="C17" i="24"/>
  <c r="U16" i="24"/>
  <c r="S16" i="24"/>
  <c r="Q16" i="24"/>
  <c r="O16" i="24"/>
  <c r="M16" i="24"/>
  <c r="G16" i="24"/>
  <c r="F16" i="24"/>
  <c r="E16" i="24"/>
  <c r="D16" i="24"/>
  <c r="C16" i="24"/>
  <c r="T15" i="24"/>
  <c r="R15" i="24"/>
  <c r="Q15" i="24"/>
  <c r="O15" i="24"/>
  <c r="M15" i="24"/>
  <c r="I15" i="24"/>
  <c r="H15" i="24"/>
  <c r="G15" i="24"/>
  <c r="F15" i="24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H10" i="22"/>
  <c r="H11" i="22" s="1"/>
  <c r="H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E6" i="13"/>
  <c r="E7" i="13"/>
  <c r="E16" i="13"/>
  <c r="C11" i="13"/>
  <c r="C10" i="13"/>
  <c r="E17" i="13"/>
  <c r="E15" i="13"/>
  <c r="E30" i="36" l="1"/>
  <c r="J12" i="36"/>
  <c r="M12" i="36" s="1"/>
  <c r="K12" i="36"/>
  <c r="L12" i="36" s="1"/>
  <c r="K18" i="36" s="1"/>
  <c r="M11" i="36"/>
  <c r="D16" i="35"/>
  <c r="H16" i="35" s="1"/>
  <c r="AB26" i="35" s="1"/>
  <c r="AH26" i="35" s="1"/>
  <c r="AH29" i="35" s="1"/>
  <c r="H12" i="35"/>
  <c r="G19" i="9"/>
  <c r="AE45" i="35"/>
  <c r="AE51" i="35" s="1"/>
  <c r="Z47" i="35"/>
  <c r="Z25" i="35"/>
  <c r="X26" i="35"/>
  <c r="X48" i="35"/>
  <c r="X47" i="35"/>
  <c r="X7" i="35"/>
  <c r="X25" i="35"/>
  <c r="AE25" i="35"/>
  <c r="AE29" i="35" s="1"/>
  <c r="X8" i="35"/>
  <c r="X49" i="35"/>
  <c r="W15" i="18"/>
  <c r="F20" i="35"/>
  <c r="F19" i="35"/>
  <c r="K15" i="35"/>
  <c r="L15" i="35" s="1"/>
  <c r="J15" i="35"/>
  <c r="M15" i="35" s="1"/>
  <c r="H15" i="35"/>
  <c r="J46" i="34"/>
  <c r="L11" i="34"/>
  <c r="K18" i="34"/>
  <c r="K18" i="4"/>
  <c r="I43" i="33"/>
  <c r="I40" i="33"/>
  <c r="J11" i="33"/>
  <c r="I12" i="33"/>
  <c r="I14" i="33"/>
  <c r="J94" i="22"/>
  <c r="I94" i="22"/>
  <c r="J95" i="22"/>
  <c r="I95" i="22"/>
  <c r="H96" i="22"/>
  <c r="J96" i="22"/>
  <c r="I96" i="22"/>
  <c r="G13" i="22"/>
  <c r="H13" i="22"/>
  <c r="H12" i="22"/>
  <c r="G12" i="22"/>
  <c r="H95" i="22"/>
  <c r="H93" i="22"/>
  <c r="Z5" i="28"/>
  <c r="AA5" i="28"/>
  <c r="E8" i="4"/>
  <c r="M17" i="4"/>
  <c r="L18" i="4"/>
  <c r="D8" i="4"/>
  <c r="C8" i="4"/>
  <c r="H17" i="22"/>
  <c r="AY13" i="22"/>
  <c r="AY16" i="22" s="1"/>
  <c r="G62" i="22"/>
  <c r="H62" i="22"/>
  <c r="BE13" i="22"/>
  <c r="BL16" i="22" s="1"/>
  <c r="BD13" i="22"/>
  <c r="BJ16" i="22" s="1"/>
  <c r="BD12" i="22"/>
  <c r="BE12" i="22"/>
  <c r="BP16" i="22" s="1"/>
  <c r="I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F30" i="36" l="1"/>
  <c r="B21" i="35"/>
  <c r="X51" i="35" s="1"/>
  <c r="AB47" i="35"/>
  <c r="AH47" i="35" s="1"/>
  <c r="AH54" i="35" s="1"/>
  <c r="K16" i="35"/>
  <c r="L16" i="35" s="1"/>
  <c r="D20" i="35"/>
  <c r="H20" i="35" s="1"/>
  <c r="P20" i="35"/>
  <c r="R20" i="35" s="1"/>
  <c r="T20" i="35" s="1"/>
  <c r="Z28" i="35" s="1"/>
  <c r="J16" i="35"/>
  <c r="M16" i="35" s="1"/>
  <c r="G21" i="9"/>
  <c r="G20" i="9"/>
  <c r="H19" i="9"/>
  <c r="D19" i="35"/>
  <c r="H19" i="35" s="1"/>
  <c r="AB46" i="35"/>
  <c r="AB52" i="35" s="1"/>
  <c r="AB8" i="35"/>
  <c r="AH8" i="35" s="1"/>
  <c r="AH11" i="35" s="1"/>
  <c r="Z48" i="35"/>
  <c r="Z26" i="35"/>
  <c r="AB27" i="35"/>
  <c r="AD27" i="35" s="1"/>
  <c r="AG28" i="35" s="1"/>
  <c r="Z8" i="35"/>
  <c r="Z49" i="35"/>
  <c r="K20" i="35"/>
  <c r="L20" i="35" s="1"/>
  <c r="Z27" i="35" s="1"/>
  <c r="J20" i="35"/>
  <c r="M20" i="35" s="1"/>
  <c r="P19" i="35"/>
  <c r="R19" i="35" s="1"/>
  <c r="T19" i="35" s="1"/>
  <c r="Z10" i="35" s="1"/>
  <c r="D21" i="35"/>
  <c r="L18" i="34"/>
  <c r="M11" i="34"/>
  <c r="J14" i="33"/>
  <c r="J12" i="33"/>
  <c r="K11" i="33"/>
  <c r="G16" i="22"/>
  <c r="H16" i="22"/>
  <c r="G17" i="22"/>
  <c r="N17" i="4"/>
  <c r="M18" i="4"/>
  <c r="AY17" i="22"/>
  <c r="BB4" i="22" s="1"/>
  <c r="BG13" i="22"/>
  <c r="BI13" i="22"/>
  <c r="BE16" i="22"/>
  <c r="BM16" i="22" s="1"/>
  <c r="BQ16" i="22" s="1"/>
  <c r="BD16" i="22"/>
  <c r="BN16" i="22"/>
  <c r="BG12" i="22"/>
  <c r="BI12" i="22"/>
  <c r="K8" i="17"/>
  <c r="I11" i="22"/>
  <c r="J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G30" i="36" l="1"/>
  <c r="H20" i="9"/>
  <c r="H21" i="9"/>
  <c r="I19" i="9"/>
  <c r="AB9" i="35"/>
  <c r="AE9" i="35" s="1"/>
  <c r="AH10" i="35" s="1"/>
  <c r="AH46" i="35"/>
  <c r="AH48" i="35" s="1"/>
  <c r="AH51" i="35" s="1"/>
  <c r="AE27" i="35"/>
  <c r="AH28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M18" i="34"/>
  <c r="N11" i="34"/>
  <c r="K14" i="33"/>
  <c r="L11" i="33"/>
  <c r="K12" i="33"/>
  <c r="I12" i="22"/>
  <c r="I13" i="22"/>
  <c r="I16" i="22" s="1"/>
  <c r="BC4" i="22"/>
  <c r="O17" i="4"/>
  <c r="N18" i="4"/>
  <c r="BC16" i="22"/>
  <c r="BK16" i="22"/>
  <c r="BO16" i="22" s="1"/>
  <c r="BI16" i="22"/>
  <c r="BG16" i="22"/>
  <c r="BB16" i="22"/>
  <c r="BJ11" i="22" s="1" a="1"/>
  <c r="BJ11" i="22" s="1"/>
  <c r="I61" i="22"/>
  <c r="I62" i="22"/>
  <c r="J11" i="22"/>
  <c r="K10" i="22"/>
  <c r="H30" i="36" l="1"/>
  <c r="I21" i="9"/>
  <c r="I20" i="9"/>
  <c r="J19" i="9"/>
  <c r="AD52" i="35"/>
  <c r="AG53" i="35" s="1"/>
  <c r="AE52" i="35"/>
  <c r="AH53" i="35" s="1"/>
  <c r="P21" i="35"/>
  <c r="R21" i="35" s="1"/>
  <c r="T21" i="35" s="1"/>
  <c r="Z51" i="35" s="1"/>
  <c r="AD9" i="35"/>
  <c r="AG10" i="35" s="1"/>
  <c r="N18" i="34"/>
  <c r="O11" i="34"/>
  <c r="L12" i="33"/>
  <c r="M11" i="33"/>
  <c r="L14" i="33"/>
  <c r="I17" i="22"/>
  <c r="P17" i="4"/>
  <c r="O18" i="4"/>
  <c r="BN11" i="22"/>
  <c r="BQ11" i="22" s="1"/>
  <c r="BL11" i="22"/>
  <c r="BO11" i="22" s="1"/>
  <c r="J12" i="22"/>
  <c r="J13" i="22"/>
  <c r="J61" i="22"/>
  <c r="J62" i="22"/>
  <c r="K11" i="22"/>
  <c r="L10" i="22"/>
  <c r="I30" i="36" l="1"/>
  <c r="J20" i="9"/>
  <c r="J21" i="9"/>
  <c r="K19" i="9"/>
  <c r="P11" i="34"/>
  <c r="O18" i="34"/>
  <c r="M12" i="33"/>
  <c r="M14" i="33"/>
  <c r="N11" i="33"/>
  <c r="J17" i="22"/>
  <c r="P18" i="4"/>
  <c r="Q17" i="4"/>
  <c r="J16" i="22"/>
  <c r="K12" i="22"/>
  <c r="K13" i="22"/>
  <c r="K61" i="22"/>
  <c r="K62" i="22"/>
  <c r="L11" i="22"/>
  <c r="M10" i="22"/>
  <c r="J30" i="36" l="1"/>
  <c r="K20" i="9"/>
  <c r="K21" i="9"/>
  <c r="L19" i="9"/>
  <c r="P18" i="34"/>
  <c r="Q11" i="34"/>
  <c r="N14" i="33"/>
  <c r="O11" i="33"/>
  <c r="N12" i="33"/>
  <c r="K17" i="22"/>
  <c r="R17" i="4"/>
  <c r="Q18" i="4"/>
  <c r="L12" i="22"/>
  <c r="L13" i="22"/>
  <c r="K16" i="22"/>
  <c r="L61" i="22"/>
  <c r="L62" i="22"/>
  <c r="M11" i="22"/>
  <c r="N10" i="22"/>
  <c r="K30" i="36" l="1"/>
  <c r="L20" i="9"/>
  <c r="L21" i="9"/>
  <c r="M19" i="9"/>
  <c r="Q18" i="34"/>
  <c r="R11" i="34"/>
  <c r="O14" i="33"/>
  <c r="O12" i="33"/>
  <c r="P11" i="33"/>
  <c r="L17" i="22"/>
  <c r="S17" i="4"/>
  <c r="R18" i="4"/>
  <c r="M12" i="22"/>
  <c r="M13" i="22"/>
  <c r="L16" i="22"/>
  <c r="M61" i="22"/>
  <c r="M62" i="22"/>
  <c r="O10" i="22"/>
  <c r="N11" i="22"/>
  <c r="L30" i="36" l="1"/>
  <c r="M20" i="9"/>
  <c r="M21" i="9"/>
  <c r="N19" i="9"/>
  <c r="S11" i="34"/>
  <c r="R18" i="34"/>
  <c r="P14" i="33"/>
  <c r="Q11" i="33"/>
  <c r="P12" i="33"/>
  <c r="M17" i="22"/>
  <c r="T17" i="4"/>
  <c r="S18" i="4"/>
  <c r="N12" i="22"/>
  <c r="N13" i="22"/>
  <c r="N17" i="22" s="1"/>
  <c r="M16" i="22"/>
  <c r="N61" i="22"/>
  <c r="N62" i="22"/>
  <c r="O11" i="22"/>
  <c r="P10" i="22"/>
  <c r="M30" i="36" l="1"/>
  <c r="N20" i="9"/>
  <c r="N21" i="9"/>
  <c r="O19" i="9"/>
  <c r="S18" i="34"/>
  <c r="T11" i="34"/>
  <c r="R11" i="33"/>
  <c r="Q12" i="33"/>
  <c r="Q14" i="33"/>
  <c r="U17" i="4"/>
  <c r="T18" i="4"/>
  <c r="O12" i="22"/>
  <c r="O13" i="22"/>
  <c r="O17" i="22" s="1"/>
  <c r="N16" i="22"/>
  <c r="O61" i="22"/>
  <c r="O62" i="22"/>
  <c r="P11" i="22"/>
  <c r="Q10" i="22"/>
  <c r="N30" i="36" l="1"/>
  <c r="O20" i="9"/>
  <c r="O21" i="9"/>
  <c r="P19" i="9"/>
  <c r="U11" i="34"/>
  <c r="T18" i="34"/>
  <c r="R14" i="33"/>
  <c r="R12" i="33"/>
  <c r="S11" i="33"/>
  <c r="V17" i="4"/>
  <c r="U18" i="4"/>
  <c r="P13" i="22"/>
  <c r="P12" i="22"/>
  <c r="O16" i="22"/>
  <c r="P61" i="22"/>
  <c r="P62" i="22"/>
  <c r="R10" i="22"/>
  <c r="Q11" i="22"/>
  <c r="O30" i="36" l="1"/>
  <c r="P20" i="9"/>
  <c r="P21" i="9"/>
  <c r="Q19" i="9"/>
  <c r="U18" i="34"/>
  <c r="V11" i="34"/>
  <c r="S14" i="33"/>
  <c r="S12" i="33"/>
  <c r="T11" i="33"/>
  <c r="P16" i="22"/>
  <c r="P17" i="22"/>
  <c r="W17" i="4"/>
  <c r="V18" i="4"/>
  <c r="Q13" i="22"/>
  <c r="Q12" i="22"/>
  <c r="Q61" i="22"/>
  <c r="Q62" i="22"/>
  <c r="R11" i="22"/>
  <c r="S10" i="22"/>
  <c r="P30" i="36" l="1"/>
  <c r="Q20" i="9"/>
  <c r="Q21" i="9"/>
  <c r="R19" i="9"/>
  <c r="V18" i="34"/>
  <c r="W11" i="34"/>
  <c r="T12" i="33"/>
  <c r="U11" i="33"/>
  <c r="T14" i="33"/>
  <c r="Q16" i="22"/>
  <c r="Q17" i="22"/>
  <c r="X17" i="4"/>
  <c r="W18" i="4"/>
  <c r="R12" i="22"/>
  <c r="R13" i="22"/>
  <c r="R61" i="22"/>
  <c r="R62" i="22"/>
  <c r="S11" i="22"/>
  <c r="T10" i="22"/>
  <c r="Q30" i="36" l="1"/>
  <c r="R21" i="9"/>
  <c r="R20" i="9"/>
  <c r="S19" i="9"/>
  <c r="X11" i="34"/>
  <c r="W18" i="34"/>
  <c r="U12" i="33"/>
  <c r="U14" i="33"/>
  <c r="V11" i="33"/>
  <c r="R17" i="22"/>
  <c r="X18" i="4"/>
  <c r="Y17" i="4"/>
  <c r="S12" i="22"/>
  <c r="S13" i="22"/>
  <c r="S17" i="22" s="1"/>
  <c r="R16" i="22"/>
  <c r="S61" i="22"/>
  <c r="S62" i="22"/>
  <c r="U10" i="22"/>
  <c r="T11" i="22"/>
  <c r="R30" i="36" l="1"/>
  <c r="S20" i="9"/>
  <c r="S21" i="9"/>
  <c r="T19" i="9"/>
  <c r="X18" i="34"/>
  <c r="Y11" i="34"/>
  <c r="V14" i="33"/>
  <c r="W11" i="33"/>
  <c r="V12" i="33"/>
  <c r="Y18" i="4"/>
  <c r="Z17" i="4"/>
  <c r="T12" i="22"/>
  <c r="T13" i="22"/>
  <c r="T17" i="22" s="1"/>
  <c r="S16" i="22"/>
  <c r="T61" i="22"/>
  <c r="T62" i="22"/>
  <c r="U11" i="22"/>
  <c r="V10" i="22"/>
  <c r="S30" i="36" l="1"/>
  <c r="T20" i="9"/>
  <c r="T21" i="9"/>
  <c r="U19" i="9"/>
  <c r="Z11" i="34"/>
  <c r="Y18" i="34"/>
  <c r="W14" i="33"/>
  <c r="W12" i="33"/>
  <c r="X11" i="33"/>
  <c r="Z18" i="4"/>
  <c r="AA17" i="4"/>
  <c r="U12" i="22"/>
  <c r="U13" i="22"/>
  <c r="T16" i="22"/>
  <c r="U61" i="22"/>
  <c r="U62" i="22"/>
  <c r="V11" i="22"/>
  <c r="W10" i="22"/>
  <c r="T30" i="36" l="1"/>
  <c r="U20" i="9"/>
  <c r="U21" i="9"/>
  <c r="V19" i="9"/>
  <c r="AA11" i="34"/>
  <c r="Z18" i="34"/>
  <c r="X14" i="33"/>
  <c r="Y11" i="33"/>
  <c r="X12" i="33"/>
  <c r="U17" i="22"/>
  <c r="AB17" i="4"/>
  <c r="AA18" i="4"/>
  <c r="U16" i="22"/>
  <c r="V12" i="22"/>
  <c r="V13" i="22"/>
  <c r="V61" i="22"/>
  <c r="V62" i="22"/>
  <c r="X10" i="22"/>
  <c r="W11" i="22"/>
  <c r="U30" i="36" l="1"/>
  <c r="V21" i="9"/>
  <c r="V20" i="9"/>
  <c r="W19" i="9"/>
  <c r="AA18" i="34"/>
  <c r="Z11" i="33"/>
  <c r="Y12" i="33"/>
  <c r="Y14" i="33"/>
  <c r="V17" i="22"/>
  <c r="AC17" i="4"/>
  <c r="AB18" i="4"/>
  <c r="V16" i="22"/>
  <c r="W12" i="22"/>
  <c r="W13" i="22"/>
  <c r="W61" i="22"/>
  <c r="W62" i="22"/>
  <c r="Y10" i="22"/>
  <c r="X11" i="22"/>
  <c r="V30" i="36" l="1"/>
  <c r="W20" i="9"/>
  <c r="W21" i="9"/>
  <c r="X19" i="9"/>
  <c r="Z14" i="33"/>
  <c r="Z12" i="33"/>
  <c r="W17" i="22"/>
  <c r="AD17" i="4"/>
  <c r="AC18" i="4"/>
  <c r="X12" i="22"/>
  <c r="X13" i="22"/>
  <c r="X17" i="22" s="1"/>
  <c r="W16" i="22"/>
  <c r="X61" i="22"/>
  <c r="X62" i="22"/>
  <c r="Z10" i="22"/>
  <c r="Y11" i="22"/>
  <c r="W30" i="36" l="1"/>
  <c r="X20" i="9"/>
  <c r="X21" i="9"/>
  <c r="Y19" i="9"/>
  <c r="AE17" i="4"/>
  <c r="AD18" i="4"/>
  <c r="Y12" i="22"/>
  <c r="Y13" i="22"/>
  <c r="X16" i="22"/>
  <c r="Y61" i="22"/>
  <c r="Y62" i="22"/>
  <c r="Z11" i="22"/>
  <c r="AA10" i="22"/>
  <c r="Y20" i="9" l="1"/>
  <c r="Y21" i="9"/>
  <c r="Z19" i="9"/>
  <c r="Y17" i="22"/>
  <c r="AF17" i="4"/>
  <c r="AE18" i="4"/>
  <c r="Z12" i="22"/>
  <c r="Z13" i="22"/>
  <c r="Z17" i="22" s="1"/>
  <c r="Y16" i="22"/>
  <c r="Z61" i="22"/>
  <c r="Z62" i="22"/>
  <c r="AA11" i="22"/>
  <c r="AB10" i="22"/>
  <c r="Z21" i="9" l="1"/>
  <c r="Z20" i="9"/>
  <c r="AA19" i="9"/>
  <c r="AF18" i="4"/>
  <c r="AG17" i="4"/>
  <c r="Z16" i="22"/>
  <c r="AA13" i="22"/>
  <c r="AA12" i="22"/>
  <c r="AA61" i="22"/>
  <c r="AA62" i="22"/>
  <c r="AB11" i="22"/>
  <c r="AC10" i="22"/>
  <c r="AA21" i="9" l="1"/>
  <c r="AA20" i="9"/>
  <c r="AA16" i="22"/>
  <c r="AA17" i="22"/>
  <c r="AG18" i="4"/>
  <c r="AH17" i="4"/>
  <c r="AB12" i="22"/>
  <c r="AB13" i="22"/>
  <c r="AB61" i="22"/>
  <c r="AB62" i="22"/>
  <c r="AC11" i="22"/>
  <c r="AD10" i="22"/>
  <c r="AB17" i="22" l="1"/>
  <c r="AH18" i="4"/>
  <c r="AI17" i="4"/>
  <c r="AC12" i="22"/>
  <c r="AC13" i="22"/>
  <c r="AC17" i="22" s="1"/>
  <c r="AB16" i="22"/>
  <c r="AC61" i="22"/>
  <c r="AC62" i="22"/>
  <c r="AE10" i="22"/>
  <c r="AD11" i="22"/>
  <c r="AJ17" i="4" l="1"/>
  <c r="AI18" i="4"/>
  <c r="AD12" i="22"/>
  <c r="AD13" i="22"/>
  <c r="AC16" i="22"/>
  <c r="AD61" i="22"/>
  <c r="AD62" i="22"/>
  <c r="AE11" i="22"/>
  <c r="AF10" i="22"/>
  <c r="AD17" i="22" l="1"/>
  <c r="AK17" i="4"/>
  <c r="AJ18" i="4"/>
  <c r="AE12" i="22"/>
  <c r="AE13" i="22"/>
  <c r="AD16" i="22"/>
  <c r="AE61" i="22"/>
  <c r="AE62" i="22"/>
  <c r="AF11" i="22"/>
  <c r="AG10" i="22"/>
  <c r="AE17" i="22" l="1"/>
  <c r="AL17" i="4"/>
  <c r="AK18" i="4"/>
  <c r="AF13" i="22"/>
  <c r="AF12" i="22"/>
  <c r="AE16" i="22"/>
  <c r="AF61" i="22"/>
  <c r="AF62" i="22"/>
  <c r="AG11" i="22"/>
  <c r="AH10" i="22"/>
  <c r="AF16" i="22" l="1"/>
  <c r="AF17" i="22"/>
  <c r="AM17" i="4"/>
  <c r="AL18" i="4"/>
  <c r="AG12" i="22"/>
  <c r="AG13" i="22"/>
  <c r="AG17" i="22" s="1"/>
  <c r="AG61" i="22"/>
  <c r="AG62" i="22"/>
  <c r="AH11" i="22"/>
  <c r="AI10" i="22"/>
  <c r="AN17" i="4" l="1"/>
  <c r="AM18" i="4"/>
  <c r="AH12" i="22"/>
  <c r="AH13" i="22"/>
  <c r="AH17" i="22" s="1"/>
  <c r="AG16" i="22"/>
  <c r="AH61" i="22"/>
  <c r="AH62" i="22"/>
  <c r="AI11" i="22"/>
  <c r="AJ10" i="22"/>
  <c r="AN18" i="4" l="1"/>
  <c r="AO17" i="4"/>
  <c r="AO18" i="4" s="1"/>
  <c r="AI13" i="22"/>
  <c r="AI12" i="22"/>
  <c r="AH16" i="22"/>
  <c r="AI61" i="22"/>
  <c r="AI62" i="22"/>
  <c r="AK10" i="22"/>
  <c r="AJ11" i="22"/>
  <c r="AI17" i="22" l="1"/>
  <c r="AI16" i="22"/>
  <c r="AJ12" i="22"/>
  <c r="AJ13" i="22"/>
  <c r="AJ17" i="22" s="1"/>
  <c r="AJ61" i="22"/>
  <c r="AJ62" i="22"/>
  <c r="AK11" i="22"/>
  <c r="AL10" i="22"/>
  <c r="AK12" i="22" l="1"/>
  <c r="AK13" i="22"/>
  <c r="AJ16" i="22"/>
  <c r="AK61" i="22"/>
  <c r="AK62" i="22"/>
  <c r="AL11" i="22"/>
  <c r="AM10" i="22"/>
  <c r="AK17" i="22" l="1"/>
  <c r="AL12" i="22"/>
  <c r="AL13" i="22"/>
  <c r="AK16" i="22"/>
  <c r="AL61" i="22"/>
  <c r="AL62" i="22"/>
  <c r="AN10" i="22"/>
  <c r="AM11" i="22"/>
  <c r="AL17" i="22" l="1"/>
  <c r="AM12" i="22"/>
  <c r="AM13" i="22"/>
  <c r="AL16" i="22"/>
  <c r="AM61" i="22"/>
  <c r="AM62" i="22"/>
  <c r="AN11" i="22"/>
  <c r="AO10" i="22"/>
  <c r="AM17" i="22" l="1"/>
  <c r="AN12" i="22"/>
  <c r="AN13" i="22"/>
  <c r="AM16" i="22"/>
  <c r="AN61" i="22"/>
  <c r="AN62" i="22"/>
  <c r="AO11" i="22"/>
  <c r="AP10" i="22"/>
  <c r="AN17" i="22" l="1"/>
  <c r="AO13" i="22"/>
  <c r="AO12" i="22"/>
  <c r="AN16" i="22"/>
  <c r="AO61" i="22"/>
  <c r="AO62" i="22"/>
  <c r="AP11" i="22"/>
  <c r="AQ10" i="22"/>
  <c r="AO16" i="22" l="1"/>
  <c r="AO17" i="22"/>
  <c r="AP12" i="22"/>
  <c r="AP13" i="22"/>
  <c r="AP61" i="22"/>
  <c r="AP62" i="22"/>
  <c r="AQ11" i="22"/>
  <c r="AR10" i="22"/>
  <c r="AP17" i="22" l="1"/>
  <c r="AQ12" i="22"/>
  <c r="AQ13" i="22"/>
  <c r="AP16" i="22"/>
  <c r="AQ61" i="22"/>
  <c r="AQ62" i="22"/>
  <c r="AR11" i="22"/>
  <c r="AS10" i="22"/>
  <c r="AQ17" i="22" l="1"/>
  <c r="AR12" i="22"/>
  <c r="AR13" i="22"/>
  <c r="AR17" i="22" s="1"/>
  <c r="AQ16" i="22"/>
  <c r="AR61" i="22"/>
  <c r="AR62" i="22"/>
  <c r="AT10" i="22"/>
  <c r="AS11" i="22"/>
  <c r="AR16" i="22" l="1"/>
  <c r="AS12" i="22"/>
  <c r="AS13" i="22"/>
  <c r="AS17" i="22" s="1"/>
  <c r="AS61" i="22"/>
  <c r="AS62" i="22"/>
  <c r="AT11" i="22"/>
  <c r="AU10" i="22"/>
  <c r="AU11" i="22" s="1"/>
  <c r="AS16" i="22" l="1"/>
  <c r="AU12" i="22"/>
  <c r="AU13" i="22"/>
  <c r="AT12" i="22"/>
  <c r="AT13" i="22"/>
  <c r="AU61" i="22"/>
  <c r="AU62" i="22"/>
  <c r="AT61" i="22"/>
  <c r="AT62" i="22"/>
  <c r="AT17" i="22" l="1"/>
  <c r="AU17" i="22"/>
  <c r="AU16" i="22"/>
  <c r="AT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<sst xmlns="http://schemas.openxmlformats.org/spreadsheetml/2006/main" count="1423" uniqueCount="910">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</sst>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</numFmts>
  <fonts count="1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69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2" borderId="19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50Ω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318.31Ω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-318.31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322.21Ω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-318.31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-55.000000000000007</c:v>
                </c:pt>
                <c:pt idx="1">
                  <c:v>55.000000000000007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-55.000000000000007</c:v>
                </c:pt>
                <c:pt idx="1">
                  <c:v>55.000000000000007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50Ω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31.4159Ω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31.415900000000001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59.05Ω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31.415900000000001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'LCR-Glieder'!$AD$53:$AE$53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'LCR-Glieder'!$AG$53:$AH$53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'LCR-Glieder'!$AD$52:$AE$52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xVal>
          <c:yVal>
            <c:numRef>
              <c:f>'LCR-Glieder'!$AG$52:$AH$52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50Ω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31.4159Ω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'LCR-Glieder'!$AD$47:$AE$47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'LCR-Glieder'!$AG$47:$AH$47</c:f>
              <c:numCache>
                <c:formatCode>General</c:formatCode>
                <c:ptCount val="2"/>
                <c:pt idx="0">
                  <c:v>0</c:v>
                </c:pt>
                <c:pt idx="1">
                  <c:v>31.415900000000001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'LCR-Glieder'!$M$15</c:f>
              <c:strCache>
                <c:ptCount val="1"/>
                <c:pt idx="0">
                  <c:v>XC = 318.31Ω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'LCR-Glieder'!$AD$46:$AE$46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'LCR-Glieder'!$AG$46:$AH$46</c:f>
              <c:numCache>
                <c:formatCode>General</c:formatCode>
                <c:ptCount val="2"/>
                <c:pt idx="0">
                  <c:v>0</c:v>
                </c:pt>
                <c:pt idx="1">
                  <c:v>-318.31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'LCR-Glieder'!$AC$48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'LCR-Glieder'!$AD$48:$AE$48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'LCR-Glieder'!$AG$48:$AH$48</c:f>
              <c:numCache>
                <c:formatCode>General</c:formatCode>
                <c:ptCount val="2"/>
                <c:pt idx="0">
                  <c:v>0</c:v>
                </c:pt>
                <c:pt idx="1">
                  <c:v>-286.89409999999998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'LCR-Glieder'!$AC$51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'LCR-Glieder'!$AD$51:$AE$51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'LCR-Glieder'!$AG$51:$AH$51</c:f>
              <c:numCache>
                <c:formatCode>General</c:formatCode>
                <c:ptCount val="2"/>
                <c:pt idx="0">
                  <c:v>0</c:v>
                </c:pt>
                <c:pt idx="1">
                  <c:v>-286.89409999999998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Gleichspannung'!$B$31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Gleichspannung'!$C$30:$W$30</c:f>
              <c:numCache>
                <c:formatCode>General</c:formatCod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numCache>
            </c:numRef>
          </c:xVal>
          <c:yVal>
            <c:numRef>
              <c:f>'Kondensator an Gleichspannung'!$C$31:$W$31</c:f>
              <c:numCache>
                <c:formatCode>#,##0.00</c:formatCode>
                <c:ptCount val="21"/>
                <c:pt idx="0">
                  <c:v>0</c:v>
                </c:pt>
                <c:pt idx="1">
                  <c:v>1.8126924692201818</c:v>
                </c:pt>
                <c:pt idx="2">
                  <c:v>3.2967995396436067</c:v>
                </c:pt>
                <c:pt idx="3">
                  <c:v>4.5118836390597359</c:v>
                </c:pt>
                <c:pt idx="4">
                  <c:v>5.5067103588277844</c:v>
                </c:pt>
                <c:pt idx="5">
                  <c:v>6.3212055882855767</c:v>
                </c:pt>
                <c:pt idx="6">
                  <c:v>6.9880578808779781</c:v>
                </c:pt>
                <c:pt idx="7">
                  <c:v>7.5340303605839356</c:v>
                </c:pt>
                <c:pt idx="8">
                  <c:v>7.9810348200534467</c:v>
                </c:pt>
                <c:pt idx="9">
                  <c:v>8.3470111177841346</c:v>
                </c:pt>
                <c:pt idx="10">
                  <c:v>8.6466471676338728</c:v>
                </c:pt>
                <c:pt idx="11">
                  <c:v>8.8919684163766615</c:v>
                </c:pt>
                <c:pt idx="12">
                  <c:v>9.0928204671058754</c:v>
                </c:pt>
                <c:pt idx="13">
                  <c:v>9.2572642178566618</c:v>
                </c:pt>
                <c:pt idx="14">
                  <c:v>9.3918993737478207</c:v>
                </c:pt>
                <c:pt idx="15">
                  <c:v>9.5021293163213603</c:v>
                </c:pt>
                <c:pt idx="16">
                  <c:v>9.5923779602163393</c:v>
                </c:pt>
                <c:pt idx="17">
                  <c:v>9.6662673003967399</c:v>
                </c:pt>
                <c:pt idx="18">
                  <c:v>9.7267627755270745</c:v>
                </c:pt>
                <c:pt idx="19">
                  <c:v>9.7762922814383444</c:v>
                </c:pt>
                <c:pt idx="20">
                  <c:v>9.8168436111126578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Gleichspannung'!$I$37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Gleichspannung'!$I$38:$J$38</c:f>
              <c:numCache>
                <c:formatCode>General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xVal>
          <c:yVal>
            <c:numRef>
              <c:f>'Kondensator an Gleichspannung'!$I$39:$J$39</c:f>
              <c:numCache>
                <c:formatCode>General</c:formatCode>
                <c:ptCount val="2"/>
                <c:pt idx="0">
                  <c:v>0</c:v>
                </c:pt>
                <c:pt idx="1">
                  <c:v>6.3212055882855767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Gleichspannung'!$I$41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Gleichspannung'!$I$42:$J$42</c:f>
              <c:numCache>
                <c:formatCode>General</c:formatCode>
                <c:ptCount val="2"/>
                <c:pt idx="0">
                  <c:v>0</c:v>
                </c:pt>
                <c:pt idx="1">
                  <c:v>25</c:v>
                </c:pt>
              </c:numCache>
            </c:numRef>
          </c:xVal>
          <c:yVal>
            <c:numRef>
              <c:f>'Kondensator an Gleichspannung'!$I$43:$J$43</c:f>
              <c:numCache>
                <c:formatCode>General</c:formatCode>
                <c:ptCount val="2"/>
                <c:pt idx="0">
                  <c:v>6.3212055882855767</c:v>
                </c:pt>
                <c:pt idx="1">
                  <c:v>6.3212055882855767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6187798519307547"/>
          <c:h val="6.00004199475065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1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Sinus_Cosinus!$G$12:$AU$12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3 * cos(x - 180)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Sinus_Cosinus!$G$13:$AU$13</c:f>
              <c:numCache>
                <c:formatCode>#,##0.00</c:formatCode>
                <c:ptCount val="41"/>
                <c:pt idx="0">
                  <c:v>-3</c:v>
                </c:pt>
                <c:pt idx="1">
                  <c:v>-2.9544232590366239</c:v>
                </c:pt>
                <c:pt idx="2">
                  <c:v>-2.8190778623577248</c:v>
                </c:pt>
                <c:pt idx="3">
                  <c:v>-2.598076211353316</c:v>
                </c:pt>
                <c:pt idx="4">
                  <c:v>-2.2981333293569337</c:v>
                </c:pt>
                <c:pt idx="5">
                  <c:v>-1.9283628290596182</c:v>
                </c:pt>
                <c:pt idx="6">
                  <c:v>-1.5000000000000007</c:v>
                </c:pt>
                <c:pt idx="7">
                  <c:v>-1.0260604299770062</c:v>
                </c:pt>
                <c:pt idx="8">
                  <c:v>-0.52094453300079091</c:v>
                </c:pt>
                <c:pt idx="9">
                  <c:v>1.83772268236293E-16</c:v>
                </c:pt>
                <c:pt idx="10">
                  <c:v>0.52094453300079124</c:v>
                </c:pt>
                <c:pt idx="11">
                  <c:v>1.0260604299770064</c:v>
                </c:pt>
                <c:pt idx="12">
                  <c:v>1.4999999999999996</c:v>
                </c:pt>
                <c:pt idx="13">
                  <c:v>1.9283628290596184</c:v>
                </c:pt>
                <c:pt idx="14">
                  <c:v>2.2981333293569342</c:v>
                </c:pt>
                <c:pt idx="15">
                  <c:v>2.598076211353316</c:v>
                </c:pt>
                <c:pt idx="16">
                  <c:v>2.8190778623577248</c:v>
                </c:pt>
                <c:pt idx="17">
                  <c:v>2.9544232590366244</c:v>
                </c:pt>
                <c:pt idx="18">
                  <c:v>3</c:v>
                </c:pt>
                <c:pt idx="19">
                  <c:v>2.9544232590366239</c:v>
                </c:pt>
                <c:pt idx="20">
                  <c:v>2.8190778623577248</c:v>
                </c:pt>
                <c:pt idx="21">
                  <c:v>2.5980762113533156</c:v>
                </c:pt>
                <c:pt idx="22">
                  <c:v>2.2981333293569342</c:v>
                </c:pt>
                <c:pt idx="23">
                  <c:v>1.9283628290596184</c:v>
                </c:pt>
                <c:pt idx="24">
                  <c:v>1.5000000000000009</c:v>
                </c:pt>
                <c:pt idx="25">
                  <c:v>1.0260604299770077</c:v>
                </c:pt>
                <c:pt idx="26">
                  <c:v>0.52094453300079069</c:v>
                </c:pt>
                <c:pt idx="27">
                  <c:v>1.83772268236293E-16</c:v>
                </c:pt>
                <c:pt idx="28">
                  <c:v>-0.52094453300079024</c:v>
                </c:pt>
                <c:pt idx="29">
                  <c:v>-1.0260604299770049</c:v>
                </c:pt>
                <c:pt idx="30">
                  <c:v>-1.5000000000000007</c:v>
                </c:pt>
                <c:pt idx="31">
                  <c:v>-1.9283628290596182</c:v>
                </c:pt>
                <c:pt idx="32">
                  <c:v>-2.2981333293569337</c:v>
                </c:pt>
                <c:pt idx="33">
                  <c:v>-2.5980762113533156</c:v>
                </c:pt>
                <c:pt idx="34">
                  <c:v>-2.8190778623577253</c:v>
                </c:pt>
                <c:pt idx="35">
                  <c:v>-2.9544232590366235</c:v>
                </c:pt>
                <c:pt idx="36">
                  <c:v>-3</c:v>
                </c:pt>
                <c:pt idx="37">
                  <c:v>-2.9544232590366244</c:v>
                </c:pt>
                <c:pt idx="38">
                  <c:v>-2.8190778623577248</c:v>
                </c:pt>
                <c:pt idx="39">
                  <c:v>-2.5980762113533169</c:v>
                </c:pt>
                <c:pt idx="40">
                  <c:v>-2.2981333293569342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Sinus_Cosinus!$AY$9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Sinus_Cosinus!$BB$3:$BC$3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Sinus_Cosinus!$BB$4:$BC$4</c:f>
              <c:numCache>
                <c:formatCode>#,##0.00</c:formatCode>
                <c:ptCount val="2"/>
                <c:pt idx="0">
                  <c:v>-1.9283628290596182</c:v>
                </c:pt>
                <c:pt idx="1">
                  <c:v>0.76604444311897801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Sinus_Cosinus!$G$16:$AU$16</c:f>
              <c:numCache>
                <c:formatCode>#,##0.00</c:formatCode>
                <c:ptCount val="41"/>
                <c:pt idx="0">
                  <c:v>-3</c:v>
                </c:pt>
                <c:pt idx="1">
                  <c:v>-2.7807750813696934</c:v>
                </c:pt>
                <c:pt idx="2">
                  <c:v>-2.477057719032056</c:v>
                </c:pt>
                <c:pt idx="3">
                  <c:v>-2.098076211353316</c:v>
                </c:pt>
                <c:pt idx="4">
                  <c:v>-1.6553457196703945</c:v>
                </c:pt>
                <c:pt idx="5">
                  <c:v>-1.1623183859406403</c:v>
                </c:pt>
                <c:pt idx="6">
                  <c:v>-0.63397459621556207</c:v>
                </c:pt>
                <c:pt idx="7">
                  <c:v>-8.6367809191097877E-2</c:v>
                </c:pt>
                <c:pt idx="8">
                  <c:v>0.46386322001141711</c:v>
                </c:pt>
                <c:pt idx="9">
                  <c:v>1.0000000000000002</c:v>
                </c:pt>
                <c:pt idx="10">
                  <c:v>1.5057522860129993</c:v>
                </c:pt>
                <c:pt idx="11">
                  <c:v>1.9657530507629148</c:v>
                </c:pt>
                <c:pt idx="12">
                  <c:v>2.3660254037844384</c:v>
                </c:pt>
                <c:pt idx="13">
                  <c:v>2.6944072721785965</c:v>
                </c:pt>
                <c:pt idx="14">
                  <c:v>2.9409209390434734</c:v>
                </c:pt>
                <c:pt idx="15">
                  <c:v>3.098076211353316</c:v>
                </c:pt>
                <c:pt idx="16">
                  <c:v>3.1610980056833937</c:v>
                </c:pt>
                <c:pt idx="17">
                  <c:v>3.1280714367035545</c:v>
                </c:pt>
                <c:pt idx="18">
                  <c:v>3</c:v>
                </c:pt>
                <c:pt idx="19">
                  <c:v>2.7807750813696934</c:v>
                </c:pt>
                <c:pt idx="20">
                  <c:v>2.4770577190320564</c:v>
                </c:pt>
                <c:pt idx="21">
                  <c:v>2.0980762113533156</c:v>
                </c:pt>
                <c:pt idx="22">
                  <c:v>1.6553457196703949</c:v>
                </c:pt>
                <c:pt idx="23">
                  <c:v>1.1623183859406405</c:v>
                </c:pt>
                <c:pt idx="24">
                  <c:v>0.63397459621556251</c:v>
                </c:pt>
                <c:pt idx="25">
                  <c:v>8.6367809191099543E-2</c:v>
                </c:pt>
                <c:pt idx="26">
                  <c:v>-0.46386322001141733</c:v>
                </c:pt>
                <c:pt idx="27">
                  <c:v>-0.99999999999999978</c:v>
                </c:pt>
                <c:pt idx="28">
                  <c:v>-1.5057522860129984</c:v>
                </c:pt>
                <c:pt idx="29">
                  <c:v>-1.9657530507629133</c:v>
                </c:pt>
                <c:pt idx="30">
                  <c:v>-2.3660254037844393</c:v>
                </c:pt>
                <c:pt idx="31">
                  <c:v>-2.6944072721785961</c:v>
                </c:pt>
                <c:pt idx="32">
                  <c:v>-2.9409209390434734</c:v>
                </c:pt>
                <c:pt idx="33">
                  <c:v>-3.098076211353316</c:v>
                </c:pt>
                <c:pt idx="34">
                  <c:v>-3.1610980056833937</c:v>
                </c:pt>
                <c:pt idx="35">
                  <c:v>-3.1280714367035549</c:v>
                </c:pt>
                <c:pt idx="36">
                  <c:v>-3.0000000000000004</c:v>
                </c:pt>
                <c:pt idx="37">
                  <c:v>-2.7807750813696943</c:v>
                </c:pt>
                <c:pt idx="38">
                  <c:v>-2.477057719032056</c:v>
                </c:pt>
                <c:pt idx="39">
                  <c:v>-2.0980762113533178</c:v>
                </c:pt>
                <c:pt idx="40">
                  <c:v>-1.6553457196703949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Sinus_Cosinus!$F$17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Sinus_Cosinus!$G$17:$AU$17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Sinus_Cosinus!$E$12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Sinus_Cosinus!$BF$12:$BG$12</c:f>
              <c:numCache>
                <c:formatCode>0.000</c:formatCode>
                <c:ptCount val="2"/>
                <c:pt idx="0">
                  <c:v>0</c:v>
                </c:pt>
                <c:pt idx="1">
                  <c:v>0.64278760968653936</c:v>
                </c:pt>
              </c:numCache>
            </c:numRef>
          </c:xVal>
          <c:yVal>
            <c:numRef>
              <c:f>Sinus_Cosinus!$BH$12:$BI$12</c:f>
              <c:numCache>
                <c:formatCode>0.000</c:formatCode>
                <c:ptCount val="2"/>
                <c:pt idx="0">
                  <c:v>0</c:v>
                </c:pt>
                <c:pt idx="1">
                  <c:v>0.76604444311897801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Sinus_Cosinus!$E$13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Sinus_Cosinus!$BF$13:$BG$13</c:f>
              <c:numCache>
                <c:formatCode>0.000</c:formatCode>
                <c:ptCount val="2"/>
                <c:pt idx="0">
                  <c:v>0</c:v>
                </c:pt>
                <c:pt idx="1">
                  <c:v>2.2981333293569342</c:v>
                </c:pt>
              </c:numCache>
            </c:numRef>
          </c:xVal>
          <c:yVal>
            <c:numRef>
              <c:f>Sinus_Cosinus!$BH$13:$BI$13</c:f>
              <c:numCache>
                <c:formatCode>0.000</c:formatCode>
                <c:ptCount val="2"/>
                <c:pt idx="0">
                  <c:v>0</c:v>
                </c:pt>
                <c:pt idx="1">
                  <c:v>-1.9283628290596178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Sinus_Cosinus!$BJ$9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Sinus_Cosinus!$BK$11:$BN$11</c:f>
              <c:numCache>
                <c:formatCode>General</c:formatCode>
                <c:ptCount val="4"/>
                <c:pt idx="0">
                  <c:v>0</c:v>
                </c:pt>
                <c:pt idx="1">
                  <c:v>3.1622776601683795</c:v>
                </c:pt>
                <c:pt idx="2">
                  <c:v>0</c:v>
                </c:pt>
                <c:pt idx="3">
                  <c:v>-3.1622776601683795</c:v>
                </c:pt>
              </c:numCache>
            </c:numRef>
          </c:xVal>
          <c:yVal>
            <c:numRef>
              <c:f>Sinus_Cosinus!$BO$11:$BR$11</c:f>
              <c:numCache>
                <c:formatCode>General</c:formatCode>
                <c:ptCount val="4"/>
                <c:pt idx="0">
                  <c:v>3.1622776601683795</c:v>
                </c:pt>
                <c:pt idx="1">
                  <c:v>0</c:v>
                </c:pt>
                <c:pt idx="2">
                  <c:v>-3.1622776601683795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Sinus_Cosinus!$BF$16:$BG$16</c:f>
              <c:numCache>
                <c:formatCode>0.000</c:formatCode>
                <c:ptCount val="2"/>
                <c:pt idx="0">
                  <c:v>0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Sinus_Cosinus!$BH$16:$BI$16</c:f>
              <c:numCache>
                <c:formatCode>0.000</c:formatCode>
                <c:ptCount val="2"/>
                <c:pt idx="0">
                  <c:v>0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Sinus_Cosinus!$BJ$15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Sinus_Cosinus!$BJ$16:$BK$16</c:f>
              <c:numCache>
                <c:formatCode>0.000</c:formatCode>
                <c:ptCount val="2"/>
                <c:pt idx="0">
                  <c:v>2.2981333293569342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Sinus_Cosinus!$BL$16:$BM$16</c:f>
              <c:numCache>
                <c:formatCode>0.000</c:formatCode>
                <c:ptCount val="2"/>
                <c:pt idx="0">
                  <c:v>-1.9283628290596178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Sinus_Cosinus!$BN$15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Sinus_Cosinus!$BN$16:$BO$16</c:f>
              <c:numCache>
                <c:formatCode>0.000</c:formatCode>
                <c:ptCount val="2"/>
                <c:pt idx="0">
                  <c:v>0.64278760968653936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Sinus_Cosinus!$BP$16:$BQ$16</c:f>
              <c:numCache>
                <c:formatCode>0.000</c:formatCode>
                <c:ptCount val="2"/>
                <c:pt idx="0">
                  <c:v>0.76604444311897801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Sinus_Cosinus!$G$61:$AU$61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Sinus_Cosinus!$F$62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Sinus_Cosinus!$G$62:$AU$62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2" Type="http://schemas.openxmlformats.org/officeDocument/2006/relationships/image" Target="../media/image3.png"/><Relationship Id="rId1" Type="http://schemas.openxmlformats.org/officeDocument/2006/relationships/hyperlink" Target="#TOC!A1"/><Relationship Id="rId6" Type="http://schemas.openxmlformats.org/officeDocument/2006/relationships/chart" Target="../charts/chart2.xml"/><Relationship Id="rId5" Type="http://schemas.openxmlformats.org/officeDocument/2006/relationships/image" Target="../media/image5.png"/><Relationship Id="rId4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hyperlink" Target="#TOC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hyperlink" Target="#TOC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hyperlink" Target="#TOC!A1"/><Relationship Id="rId4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19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4" Type="http://schemas.openxmlformats.org/officeDocument/2006/relationships/chart" Target="../charts/chart24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5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chart" Target="../charts/chart26.xml"/><Relationship Id="rId1" Type="http://schemas.openxmlformats.org/officeDocument/2006/relationships/hyperlink" Target="#TOC!A1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hyperlink" Target="#TOC!A1"/><Relationship Id="rId5" Type="http://schemas.openxmlformats.org/officeDocument/2006/relationships/chart" Target="../charts/chart29.xml"/><Relationship Id="rId4" Type="http://schemas.openxmlformats.org/officeDocument/2006/relationships/image" Target="../media/image1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image" Target="../media/image13.png"/><Relationship Id="rId7" Type="http://schemas.openxmlformats.org/officeDocument/2006/relationships/image" Target="../media/image17.png"/><Relationship Id="rId2" Type="http://schemas.openxmlformats.org/officeDocument/2006/relationships/image" Target="../media/image12.png"/><Relationship Id="rId1" Type="http://schemas.openxmlformats.org/officeDocument/2006/relationships/hyperlink" Target="#TOC!A1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hyperlink" Target="#TOC!A1"/><Relationship Id="rId4" Type="http://schemas.openxmlformats.org/officeDocument/2006/relationships/chart" Target="../charts/chart3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5855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704849</xdr:colOff>
      <xdr:row>1</xdr:row>
      <xdr:rowOff>3174</xdr:rowOff>
    </xdr:from>
    <xdr:to>
      <xdr:col>1</xdr:col>
      <xdr:colOff>546099</xdr:colOff>
      <xdr:row>2</xdr:row>
      <xdr:rowOff>157405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B8650E-F871-46C6-920C-5CFC63BCFB01}"/>
            </a:ext>
          </a:extLst>
        </xdr:cNvPr>
        <xdr:cNvSpPr/>
      </xdr:nvSpPr>
      <xdr:spPr>
        <a:xfrm rot="10800000">
          <a:off x="704849" y="187324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8049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56</xdr:row>
      <xdr:rowOff>103654</xdr:rowOff>
    </xdr:from>
    <xdr:to>
      <xdr:col>12</xdr:col>
      <xdr:colOff>1816847</xdr:colOff>
      <xdr:row>99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123825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17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942975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18</xdr:row>
      <xdr:rowOff>145624</xdr:rowOff>
    </xdr:from>
    <xdr:to>
      <xdr:col>34</xdr:col>
      <xdr:colOff>78441</xdr:colOff>
      <xdr:row>36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28857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39</xdr:row>
      <xdr:rowOff>44822</xdr:rowOff>
    </xdr:from>
    <xdr:to>
      <xdr:col>34</xdr:col>
      <xdr:colOff>100851</xdr:colOff>
      <xdr:row>60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13</xdr:row>
      <xdr:rowOff>6350</xdr:rowOff>
    </xdr:from>
    <xdr:to>
      <xdr:col>6</xdr:col>
      <xdr:colOff>346364</xdr:colOff>
      <xdr:row>22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057276" y="2857500"/>
          <a:ext cx="4216688" cy="1923913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16</xdr:row>
      <xdr:rowOff>85341</xdr:rowOff>
    </xdr:from>
    <xdr:to>
      <xdr:col>6</xdr:col>
      <xdr:colOff>287671</xdr:colOff>
      <xdr:row>18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19</xdr:row>
      <xdr:rowOff>97320</xdr:rowOff>
    </xdr:from>
    <xdr:to>
      <xdr:col>6</xdr:col>
      <xdr:colOff>278324</xdr:colOff>
      <xdr:row>21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18</xdr:row>
      <xdr:rowOff>167447</xdr:rowOff>
    </xdr:from>
    <xdr:to>
      <xdr:col>6</xdr:col>
      <xdr:colOff>575641</xdr:colOff>
      <xdr:row>18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19</xdr:row>
      <xdr:rowOff>85863</xdr:rowOff>
    </xdr:from>
    <xdr:to>
      <xdr:col>6</xdr:col>
      <xdr:colOff>578816</xdr:colOff>
      <xdr:row>19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31749</xdr:colOff>
      <xdr:row>33</xdr:row>
      <xdr:rowOff>66675</xdr:rowOff>
    </xdr:from>
    <xdr:to>
      <xdr:col>11</xdr:col>
      <xdr:colOff>742950</xdr:colOff>
      <xdr:row>53</xdr:row>
      <xdr:rowOff>15875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46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231323</xdr:colOff>
      <xdr:row>21</xdr:row>
      <xdr:rowOff>122464</xdr:rowOff>
    </xdr:from>
    <xdr:to>
      <xdr:col>56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46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2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tabSelected="1" workbookViewId="0"/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889</v>
      </c>
      <c r="E2" s="71" t="s">
        <v>890</v>
      </c>
    </row>
    <row r="4" spans="2:7" x14ac:dyDescent="0.35">
      <c r="B4" s="90" t="s">
        <v>847</v>
      </c>
      <c r="D4" s="90" t="s">
        <v>849</v>
      </c>
      <c r="F4" s="90" t="s">
        <v>850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Einheitenvorsätze!C2</f>
        <v>Einheiten-Vorsätze</v>
      </c>
      <c r="F5" s="70">
        <v>45758</v>
      </c>
      <c r="G5" s="71" t="str">
        <f ca="1">Geburtstagsliste!C2</f>
        <v>Geburtstagsliste für 2026</v>
      </c>
    </row>
    <row r="6" spans="2:7" x14ac:dyDescent="0.35">
      <c r="B6" s="70">
        <v>45730</v>
      </c>
      <c r="C6" s="71" t="str">
        <f>Flächenberechnungen!C2</f>
        <v>Flächenberechnungen</v>
      </c>
      <c r="D6" s="70">
        <v>45944</v>
      </c>
      <c r="E6" s="71" t="str">
        <f>'Elektronische Schaltzeichen'!C2</f>
        <v>Elektronische Schaltzeichen</v>
      </c>
    </row>
    <row r="7" spans="2:7" x14ac:dyDescent="0.35">
      <c r="B7" s="70">
        <v>46002</v>
      </c>
      <c r="C7" s="71" t="str">
        <f>Sinus_Cosinus!E2</f>
        <v>Sinus / Cosinus / Tangens</v>
      </c>
      <c r="D7" s="70">
        <v>45932</v>
      </c>
      <c r="E7" s="71" t="str">
        <f>'Quelle mit Innenwiderstand'!C2</f>
        <v>Quelle mit Innenwiderstand</v>
      </c>
    </row>
    <row r="8" spans="2:7" x14ac:dyDescent="0.35">
      <c r="B8" s="70">
        <v>45772</v>
      </c>
      <c r="C8" s="71" t="s">
        <v>331</v>
      </c>
      <c r="D8" s="70">
        <v>45799</v>
      </c>
      <c r="E8" s="71" t="str">
        <f>'Gemischte Schaltung'!C2</f>
        <v>Gemischte Schaltungen</v>
      </c>
    </row>
    <row r="9" spans="2:7" x14ac:dyDescent="0.35">
      <c r="B9" s="70">
        <v>45870</v>
      </c>
      <c r="C9" s="71" t="str">
        <f>VektorZeitbereich!C2</f>
        <v>Sinusförmige Signale im Zeitbereich / Vektoren</v>
      </c>
      <c r="D9" s="70">
        <v>45998</v>
      </c>
      <c r="E9" s="71" t="str">
        <f>'LCR-Glieder'!C2</f>
        <v>RCL-Glieder (Serieschaltung) an Wechselspannung</v>
      </c>
    </row>
    <row r="10" spans="2:7" x14ac:dyDescent="0.35">
      <c r="B10" s="70">
        <v>45873</v>
      </c>
      <c r="C10" s="71" t="str">
        <f>Theoreme!$C$2</f>
        <v>Trigonometrischen Theoreme und Identitäten</v>
      </c>
      <c r="D10" s="70">
        <v>46035</v>
      </c>
      <c r="E10" s="71" t="str">
        <f>'Kondensator an Gleichspannung'!C2</f>
        <v>Kondensator an Gleichspannung</v>
      </c>
    </row>
    <row r="11" spans="2:7" x14ac:dyDescent="0.35">
      <c r="B11" s="70">
        <v>45873</v>
      </c>
      <c r="C11" s="71" t="str">
        <f>'Fläche eines Polygones'!C2</f>
        <v>Polygone-Fläche</v>
      </c>
    </row>
    <row r="12" spans="2:7" x14ac:dyDescent="0.35">
      <c r="B12" s="90"/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Scheinleistung!C2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Wechselstrom'!C2</f>
        <v>Leistung bei  ein-phasigem Wechselstrom</v>
      </c>
    </row>
    <row r="17" spans="2:5" x14ac:dyDescent="0.35">
      <c r="B17" s="90" t="s">
        <v>848</v>
      </c>
      <c r="D17" s="70">
        <v>45939</v>
      </c>
      <c r="E17" s="71" t="str">
        <f>'3-Phasenstrom'!C2</f>
        <v>3-Phasenstrom (Verkettete Spannung)</v>
      </c>
    </row>
    <row r="18" spans="2:5" x14ac:dyDescent="0.35">
      <c r="B18" s="70">
        <v>45979</v>
      </c>
      <c r="C18" s="71" t="str">
        <f>Kinematik_1!C2</f>
        <v>Kinematik I</v>
      </c>
      <c r="D18" s="70">
        <v>45870</v>
      </c>
      <c r="E18" s="71" t="str">
        <f>Fourierreihe!C2</f>
        <v>Fourierreihe</v>
      </c>
    </row>
    <row r="19" spans="2:5" x14ac:dyDescent="0.35">
      <c r="B19" s="70">
        <v>45998</v>
      </c>
      <c r="C19" s="71" t="str">
        <f>'Kinematik_1 (Weg-Zeit)'!C2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(Weg-Zeit)'!C2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8" location="Vektoroperationen!A1" display="Vektoroperationen" xr:uid="{898F9560-9AB3-43EE-B105-DB9C3B6E61A9}"/>
    <hyperlink ref="C25" location="Schiefeebene!A1" display="Schiefe Ebene" xr:uid="{ED253B79-5E32-4C6D-BC31-035CD76A77DC}"/>
    <hyperlink ref="C7" location="Sinus_Cosinus!A1" display="Sinus/Cosinus/Tangens" xr:uid="{9C72A74A-3681-4E08-BF54-03C3D64D9F80}"/>
    <hyperlink ref="C9" location="VektorZeitbereich!A1" display="VektorZeitbereich!A1" xr:uid="{1D9A0842-7145-4C54-B55F-840F1885E41F}"/>
    <hyperlink ref="E17" location="'3-Phasenstrom'!A1" display="Verkettete Spannung (3-Phasenstrom)" xr:uid="{F0D6490D-D7FD-40F5-9193-AEF7266C201A}"/>
    <hyperlink ref="C10" location="Theoreme!A1" display="Theoreme!A1" xr:uid="{0BE171A1-EFB5-45EC-AE54-5B69665FAB10}"/>
    <hyperlink ref="C11" location="'Fläche eines Polygones'!A1" display="'Fläche eines Polygones'!A1" xr:uid="{FA6D782C-8632-4E5B-97A4-90B6A18392EC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  <hyperlink ref="E10" location="'Kondensator an Gleichspannung'!A1" display="'Kondensator an Gleichspannung'!A1" xr:uid="{2C41B8A5-F5DB-4A56-99E8-E0A145E6BC8E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2" workbookViewId="0"/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668</v>
      </c>
    </row>
    <row r="6" spans="1:15" ht="16" customHeight="1" x14ac:dyDescent="0.35">
      <c r="A6" s="358" t="s">
        <v>670</v>
      </c>
      <c r="B6" s="358" t="s">
        <v>669</v>
      </c>
      <c r="C6" s="358" t="s">
        <v>671</v>
      </c>
      <c r="D6" s="358" t="s">
        <v>672</v>
      </c>
      <c r="E6" s="358" t="s">
        <v>823</v>
      </c>
    </row>
    <row r="7" spans="1:15" ht="16" customHeight="1" x14ac:dyDescent="0.35">
      <c r="A7" s="111" t="s">
        <v>674</v>
      </c>
      <c r="B7" s="355" t="s">
        <v>673</v>
      </c>
      <c r="C7" s="357">
        <v>1E+30</v>
      </c>
      <c r="D7" s="111" t="s">
        <v>675</v>
      </c>
      <c r="E7" s="5">
        <v>30</v>
      </c>
    </row>
    <row r="8" spans="1:15" ht="16" customHeight="1" x14ac:dyDescent="0.35">
      <c r="A8" s="111" t="s">
        <v>677</v>
      </c>
      <c r="B8" s="355" t="s">
        <v>676</v>
      </c>
      <c r="C8" s="357">
        <v>1E+27</v>
      </c>
      <c r="D8" s="111" t="s">
        <v>678</v>
      </c>
      <c r="E8" s="5">
        <v>27</v>
      </c>
    </row>
    <row r="9" spans="1:15" ht="16" customHeight="1" x14ac:dyDescent="0.35">
      <c r="A9" s="111" t="s">
        <v>680</v>
      </c>
      <c r="B9" s="355" t="s">
        <v>679</v>
      </c>
      <c r="C9" s="357">
        <v>9.9999999999999998E+23</v>
      </c>
      <c r="D9" s="111" t="s">
        <v>681</v>
      </c>
      <c r="E9" s="5">
        <v>24</v>
      </c>
    </row>
    <row r="10" spans="1:15" ht="16" customHeight="1" thickBot="1" x14ac:dyDescent="0.4">
      <c r="A10" s="111" t="s">
        <v>683</v>
      </c>
      <c r="B10" s="355" t="s">
        <v>682</v>
      </c>
      <c r="C10" s="357">
        <v>1E+21</v>
      </c>
      <c r="D10" s="111" t="s">
        <v>684</v>
      </c>
      <c r="E10" s="5">
        <v>21</v>
      </c>
    </row>
    <row r="11" spans="1:15" ht="16" customHeight="1" thickBot="1" x14ac:dyDescent="0.4">
      <c r="A11" s="111" t="s">
        <v>42</v>
      </c>
      <c r="B11" s="355" t="s">
        <v>685</v>
      </c>
      <c r="C11" s="357">
        <v>1E+18</v>
      </c>
      <c r="D11" s="111" t="s">
        <v>686</v>
      </c>
      <c r="E11" s="5">
        <v>18</v>
      </c>
      <c r="H11" s="362" t="s">
        <v>744</v>
      </c>
      <c r="I11" s="363"/>
      <c r="J11" s="364"/>
      <c r="L11" s="5" t="s">
        <v>747</v>
      </c>
      <c r="M11" s="5"/>
      <c r="O11" s="5" t="s">
        <v>746</v>
      </c>
    </row>
    <row r="12" spans="1:15" ht="16" customHeight="1" thickBot="1" x14ac:dyDescent="0.4">
      <c r="A12" s="111" t="s">
        <v>688</v>
      </c>
      <c r="B12" s="355" t="s">
        <v>687</v>
      </c>
      <c r="C12" s="357">
        <v>1000000000000000</v>
      </c>
      <c r="D12" s="111" t="s">
        <v>689</v>
      </c>
      <c r="E12" s="5">
        <v>15</v>
      </c>
      <c r="H12" s="359">
        <v>5.23</v>
      </c>
      <c r="I12" s="360" t="s">
        <v>698</v>
      </c>
      <c r="J12" s="361" t="s">
        <v>745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691</v>
      </c>
      <c r="B13" s="355" t="s">
        <v>690</v>
      </c>
      <c r="C13" s="357">
        <v>1000000000000</v>
      </c>
      <c r="D13" s="111" t="s">
        <v>692</v>
      </c>
      <c r="E13" s="5">
        <v>12</v>
      </c>
    </row>
    <row r="14" spans="1:15" ht="16" customHeight="1" x14ac:dyDescent="0.35">
      <c r="A14" s="111" t="s">
        <v>43</v>
      </c>
      <c r="B14" s="355" t="s">
        <v>693</v>
      </c>
      <c r="C14" s="357">
        <v>1000000000</v>
      </c>
      <c r="D14" s="111" t="s">
        <v>694</v>
      </c>
      <c r="E14" s="5">
        <v>9</v>
      </c>
    </row>
    <row r="15" spans="1:15" ht="16" customHeight="1" x14ac:dyDescent="0.35">
      <c r="A15" s="111" t="s">
        <v>822</v>
      </c>
      <c r="B15" s="355" t="s">
        <v>695</v>
      </c>
      <c r="C15" s="357">
        <v>1000000</v>
      </c>
      <c r="D15" s="111" t="s">
        <v>696</v>
      </c>
      <c r="E15" s="5">
        <v>6</v>
      </c>
    </row>
    <row r="16" spans="1:15" ht="16" customHeight="1" x14ac:dyDescent="0.35">
      <c r="A16" s="111" t="s">
        <v>698</v>
      </c>
      <c r="B16" s="355" t="s">
        <v>697</v>
      </c>
      <c r="C16" s="357">
        <v>1000</v>
      </c>
      <c r="D16" s="111" t="s">
        <v>699</v>
      </c>
      <c r="E16" s="5">
        <v>3</v>
      </c>
      <c r="H16" s="8" t="s">
        <v>669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701</v>
      </c>
      <c r="B17" s="355" t="s">
        <v>700</v>
      </c>
      <c r="C17" s="357">
        <v>100</v>
      </c>
      <c r="D17" s="111" t="s">
        <v>702</v>
      </c>
      <c r="E17" s="5">
        <v>2</v>
      </c>
      <c r="H17" s="8" t="s">
        <v>671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704</v>
      </c>
      <c r="B18" s="355" t="s">
        <v>703</v>
      </c>
      <c r="C18" s="357">
        <v>10</v>
      </c>
      <c r="D18" s="111" t="s">
        <v>705</v>
      </c>
      <c r="E18" s="5">
        <v>1</v>
      </c>
      <c r="H18" s="8" t="s">
        <v>672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707</v>
      </c>
      <c r="B19" s="355" t="s">
        <v>706</v>
      </c>
      <c r="C19" s="357">
        <v>1</v>
      </c>
      <c r="D19" s="111" t="s">
        <v>708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710</v>
      </c>
      <c r="B20" s="355" t="s">
        <v>709</v>
      </c>
      <c r="C20" s="111">
        <v>0.1</v>
      </c>
      <c r="D20" s="111" t="s">
        <v>711</v>
      </c>
      <c r="E20" s="5">
        <v>-1</v>
      </c>
    </row>
    <row r="21" spans="1:9" ht="16" customHeight="1" x14ac:dyDescent="0.35">
      <c r="A21" s="111" t="s">
        <v>713</v>
      </c>
      <c r="B21" s="355" t="s">
        <v>712</v>
      </c>
      <c r="C21" s="111">
        <v>0.01</v>
      </c>
      <c r="D21" s="111" t="s">
        <v>714</v>
      </c>
      <c r="E21" s="5">
        <v>-2</v>
      </c>
    </row>
    <row r="22" spans="1:9" ht="16" customHeight="1" x14ac:dyDescent="0.35">
      <c r="A22" s="111" t="s">
        <v>716</v>
      </c>
      <c r="B22" s="355" t="s">
        <v>715</v>
      </c>
      <c r="C22" s="111">
        <v>1E-3</v>
      </c>
      <c r="D22" s="111" t="s">
        <v>717</v>
      </c>
      <c r="E22" s="5">
        <v>-3</v>
      </c>
    </row>
    <row r="23" spans="1:9" ht="16" customHeight="1" x14ac:dyDescent="0.35">
      <c r="A23" s="111" t="s">
        <v>719</v>
      </c>
      <c r="B23" s="355" t="s">
        <v>718</v>
      </c>
      <c r="C23" s="111">
        <v>9.9999999999999995E-7</v>
      </c>
      <c r="D23" s="111" t="s">
        <v>720</v>
      </c>
      <c r="E23" s="5">
        <v>-6</v>
      </c>
    </row>
    <row r="24" spans="1:9" ht="16" customHeight="1" x14ac:dyDescent="0.35">
      <c r="A24" s="111" t="s">
        <v>722</v>
      </c>
      <c r="B24" s="355" t="s">
        <v>721</v>
      </c>
      <c r="C24" s="111">
        <v>1.0000000000000001E-9</v>
      </c>
      <c r="D24" s="111" t="s">
        <v>723</v>
      </c>
      <c r="E24" s="5">
        <v>-9</v>
      </c>
    </row>
    <row r="25" spans="1:9" ht="16" customHeight="1" x14ac:dyDescent="0.35">
      <c r="A25" s="111" t="s">
        <v>725</v>
      </c>
      <c r="B25" s="355" t="s">
        <v>724</v>
      </c>
      <c r="C25" s="111">
        <v>9.9999999999999998E-13</v>
      </c>
      <c r="D25" s="111" t="s">
        <v>726</v>
      </c>
      <c r="E25" s="5">
        <v>-12</v>
      </c>
    </row>
    <row r="26" spans="1:9" ht="16" customHeight="1" x14ac:dyDescent="0.35">
      <c r="A26" s="111" t="s">
        <v>728</v>
      </c>
      <c r="B26" s="355" t="s">
        <v>727</v>
      </c>
      <c r="C26" s="111">
        <v>1.0000000000000001E-15</v>
      </c>
      <c r="D26" s="111" t="s">
        <v>729</v>
      </c>
      <c r="E26" s="5">
        <v>-15</v>
      </c>
    </row>
    <row r="27" spans="1:9" ht="16" customHeight="1" x14ac:dyDescent="0.35">
      <c r="A27" s="111" t="s">
        <v>731</v>
      </c>
      <c r="B27" s="355" t="s">
        <v>730</v>
      </c>
      <c r="C27" s="111">
        <v>1.0000000000000001E-18</v>
      </c>
      <c r="D27" s="111" t="s">
        <v>732</v>
      </c>
      <c r="E27" s="5">
        <v>-18</v>
      </c>
    </row>
    <row r="28" spans="1:9" ht="16" customHeight="1" x14ac:dyDescent="0.35">
      <c r="A28" s="111" t="s">
        <v>734</v>
      </c>
      <c r="B28" s="355" t="s">
        <v>733</v>
      </c>
      <c r="C28" s="356">
        <v>9.9999999999999991E-22</v>
      </c>
      <c r="D28" s="111" t="s">
        <v>735</v>
      </c>
      <c r="E28" s="5">
        <v>-21</v>
      </c>
    </row>
    <row r="29" spans="1:9" ht="16" customHeight="1" x14ac:dyDescent="0.35">
      <c r="A29" s="111" t="s">
        <v>416</v>
      </c>
      <c r="B29" s="355" t="s">
        <v>736</v>
      </c>
      <c r="C29" s="356">
        <v>9.9999999999999992E-25</v>
      </c>
      <c r="D29" s="111" t="s">
        <v>737</v>
      </c>
      <c r="E29" s="5">
        <v>-24</v>
      </c>
    </row>
    <row r="30" spans="1:9" ht="16" customHeight="1" x14ac:dyDescent="0.35">
      <c r="A30" s="111" t="s">
        <v>739</v>
      </c>
      <c r="B30" s="355" t="s">
        <v>738</v>
      </c>
      <c r="C30" s="356">
        <v>1.0000000000000001E-30</v>
      </c>
      <c r="D30" s="111" t="s">
        <v>740</v>
      </c>
      <c r="E30" s="5">
        <v>-27</v>
      </c>
    </row>
    <row r="31" spans="1:9" ht="16" customHeight="1" x14ac:dyDescent="0.35">
      <c r="A31" s="111" t="s">
        <v>742</v>
      </c>
      <c r="B31" s="355" t="s">
        <v>741</v>
      </c>
      <c r="C31" s="356">
        <v>1E-27</v>
      </c>
      <c r="D31" s="111" t="s">
        <v>743</v>
      </c>
      <c r="E31" s="5">
        <v>-30</v>
      </c>
    </row>
    <row r="36" spans="1:3" x14ac:dyDescent="0.35">
      <c r="A36" t="s">
        <v>749</v>
      </c>
    </row>
    <row r="37" spans="1:3" x14ac:dyDescent="0.35">
      <c r="A37" s="372" t="s">
        <v>752</v>
      </c>
      <c r="B37" s="372" t="s">
        <v>750</v>
      </c>
      <c r="C37" s="372" t="s">
        <v>751</v>
      </c>
    </row>
    <row r="38" spans="1:3" x14ac:dyDescent="0.35">
      <c r="A38" s="111" t="s">
        <v>754</v>
      </c>
      <c r="B38" s="111" t="s">
        <v>753</v>
      </c>
      <c r="C38" s="111" t="s">
        <v>653</v>
      </c>
    </row>
    <row r="39" spans="1:3" x14ac:dyDescent="0.35">
      <c r="A39" s="111" t="s">
        <v>757</v>
      </c>
      <c r="B39" s="111" t="s">
        <v>755</v>
      </c>
      <c r="C39" s="111" t="s">
        <v>756</v>
      </c>
    </row>
    <row r="40" spans="1:3" x14ac:dyDescent="0.35">
      <c r="A40" s="111" t="s">
        <v>760</v>
      </c>
      <c r="B40" s="111" t="s">
        <v>758</v>
      </c>
      <c r="C40" s="111" t="s">
        <v>759</v>
      </c>
    </row>
    <row r="41" spans="1:3" x14ac:dyDescent="0.35">
      <c r="A41" s="111" t="s">
        <v>763</v>
      </c>
      <c r="B41" s="111" t="s">
        <v>761</v>
      </c>
      <c r="C41" s="111" t="s">
        <v>762</v>
      </c>
    </row>
    <row r="42" spans="1:3" x14ac:dyDescent="0.35">
      <c r="A42" s="111" t="s">
        <v>766</v>
      </c>
      <c r="B42" s="111" t="s">
        <v>764</v>
      </c>
      <c r="C42" s="111" t="s">
        <v>765</v>
      </c>
    </row>
    <row r="43" spans="1:3" x14ac:dyDescent="0.35">
      <c r="A43" s="111" t="s">
        <v>769</v>
      </c>
      <c r="B43" s="111" t="s">
        <v>767</v>
      </c>
      <c r="C43" s="111" t="s">
        <v>768</v>
      </c>
    </row>
    <row r="44" spans="1:3" x14ac:dyDescent="0.35">
      <c r="A44" s="111" t="s">
        <v>772</v>
      </c>
      <c r="B44" s="111" t="s">
        <v>770</v>
      </c>
      <c r="C44" s="111" t="s">
        <v>771</v>
      </c>
    </row>
    <row r="45" spans="1:3" x14ac:dyDescent="0.35">
      <c r="A45" s="111" t="s">
        <v>775</v>
      </c>
      <c r="B45" s="111" t="s">
        <v>773</v>
      </c>
      <c r="C45" s="111" t="s">
        <v>774</v>
      </c>
    </row>
    <row r="46" spans="1:3" x14ac:dyDescent="0.35">
      <c r="A46" s="111" t="s">
        <v>778</v>
      </c>
      <c r="B46" s="111" t="s">
        <v>776</v>
      </c>
      <c r="C46" s="111" t="s">
        <v>777</v>
      </c>
    </row>
    <row r="47" spans="1:3" x14ac:dyDescent="0.35">
      <c r="A47" s="111" t="s">
        <v>781</v>
      </c>
      <c r="B47" s="111" t="s">
        <v>779</v>
      </c>
      <c r="C47" s="111" t="s">
        <v>780</v>
      </c>
    </row>
    <row r="48" spans="1:3" x14ac:dyDescent="0.35">
      <c r="A48" s="111" t="s">
        <v>784</v>
      </c>
      <c r="B48" s="111" t="s">
        <v>782</v>
      </c>
      <c r="C48" s="111" t="s">
        <v>783</v>
      </c>
    </row>
    <row r="49" spans="1:3" x14ac:dyDescent="0.35">
      <c r="A49" s="111" t="s">
        <v>787</v>
      </c>
      <c r="B49" s="111" t="s">
        <v>785</v>
      </c>
      <c r="C49" s="111" t="s">
        <v>786</v>
      </c>
    </row>
    <row r="50" spans="1:3" x14ac:dyDescent="0.35">
      <c r="A50" s="111" t="s">
        <v>790</v>
      </c>
      <c r="B50" s="111" t="s">
        <v>788</v>
      </c>
      <c r="C50" s="111" t="s">
        <v>789</v>
      </c>
    </row>
    <row r="51" spans="1:3" x14ac:dyDescent="0.35">
      <c r="A51" s="111" t="s">
        <v>793</v>
      </c>
      <c r="B51" s="111" t="s">
        <v>791</v>
      </c>
      <c r="C51" s="111" t="s">
        <v>792</v>
      </c>
    </row>
    <row r="52" spans="1:3" x14ac:dyDescent="0.35">
      <c r="A52" s="111" t="s">
        <v>796</v>
      </c>
      <c r="B52" s="111" t="s">
        <v>794</v>
      </c>
      <c r="C52" s="111" t="s">
        <v>795</v>
      </c>
    </row>
    <row r="53" spans="1:3" x14ac:dyDescent="0.35">
      <c r="A53" s="111" t="s">
        <v>798</v>
      </c>
      <c r="B53" s="111" t="s">
        <v>797</v>
      </c>
      <c r="C53" s="111" t="s">
        <v>311</v>
      </c>
    </row>
    <row r="54" spans="1:3" x14ac:dyDescent="0.35">
      <c r="A54" s="111" t="s">
        <v>801</v>
      </c>
      <c r="B54" s="111" t="s">
        <v>799</v>
      </c>
      <c r="C54" s="111" t="s">
        <v>800</v>
      </c>
    </row>
    <row r="55" spans="1:3" x14ac:dyDescent="0.35">
      <c r="A55" s="111" t="s">
        <v>820</v>
      </c>
      <c r="B55" s="111" t="s">
        <v>802</v>
      </c>
      <c r="C55" s="111" t="s">
        <v>803</v>
      </c>
    </row>
    <row r="56" spans="1:3" x14ac:dyDescent="0.35">
      <c r="A56" s="111" t="s">
        <v>806</v>
      </c>
      <c r="B56" s="111" t="s">
        <v>804</v>
      </c>
      <c r="C56" s="111" t="s">
        <v>805</v>
      </c>
    </row>
    <row r="57" spans="1:3" x14ac:dyDescent="0.35">
      <c r="A57" s="111" t="s">
        <v>809</v>
      </c>
      <c r="B57" s="111" t="s">
        <v>807</v>
      </c>
      <c r="C57" s="111" t="s">
        <v>808</v>
      </c>
    </row>
    <row r="58" spans="1:3" x14ac:dyDescent="0.35">
      <c r="A58" s="111" t="s">
        <v>811</v>
      </c>
      <c r="B58" s="111" t="s">
        <v>810</v>
      </c>
      <c r="C58" s="111" t="s">
        <v>307</v>
      </c>
    </row>
    <row r="59" spans="1:3" x14ac:dyDescent="0.35">
      <c r="A59" s="111" t="s">
        <v>814</v>
      </c>
      <c r="B59" s="111" t="s">
        <v>812</v>
      </c>
      <c r="C59" s="111" t="s">
        <v>813</v>
      </c>
    </row>
    <row r="60" spans="1:3" x14ac:dyDescent="0.35">
      <c r="A60" s="111" t="s">
        <v>817</v>
      </c>
      <c r="B60" s="111" t="s">
        <v>815</v>
      </c>
      <c r="C60" s="111" t="s">
        <v>816</v>
      </c>
    </row>
    <row r="61" spans="1:3" x14ac:dyDescent="0.35">
      <c r="A61" s="111" t="s">
        <v>819</v>
      </c>
      <c r="B61" s="111" t="s">
        <v>321</v>
      </c>
      <c r="C61" s="111" t="s">
        <v>818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C1" zoomScale="115" zoomScaleNormal="115" workbookViewId="0">
      <selection activeCell="A15" sqref="A15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614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75"/>
  <sheetViews>
    <sheetView showGridLines="0" topLeftCell="A12" zoomScale="85" zoomScaleNormal="85" workbookViewId="0">
      <selection activeCell="R2" sqref="R2:R3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8" max="9" width="10.906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21.453125" customWidth="1"/>
  </cols>
  <sheetData>
    <row r="2" spans="3:34" ht="23.5" x14ac:dyDescent="0.55000000000000004">
      <c r="C2" s="9" t="s">
        <v>904</v>
      </c>
      <c r="R2" t="s">
        <v>64</v>
      </c>
      <c r="W2" s="8" t="s">
        <v>879</v>
      </c>
      <c r="X2" s="4" t="s">
        <v>64</v>
      </c>
    </row>
    <row r="3" spans="3:34" ht="15" thickBot="1" x14ac:dyDescent="0.4">
      <c r="R3" t="s">
        <v>65</v>
      </c>
    </row>
    <row r="4" spans="3:34" x14ac:dyDescent="0.35">
      <c r="V4" s="404"/>
      <c r="W4" s="405"/>
      <c r="X4" s="405"/>
      <c r="Y4" s="405"/>
      <c r="Z4" s="405"/>
      <c r="AA4" s="406"/>
    </row>
    <row r="5" spans="3:34" x14ac:dyDescent="0.35">
      <c r="V5" s="407"/>
      <c r="AA5" s="408"/>
    </row>
    <row r="6" spans="3:34" x14ac:dyDescent="0.35">
      <c r="V6" s="407"/>
      <c r="X6" s="5" t="s">
        <v>881</v>
      </c>
      <c r="Z6" s="5" t="s">
        <v>880</v>
      </c>
      <c r="AA6" s="408"/>
    </row>
    <row r="7" spans="3:34" ht="20.5" customHeight="1" x14ac:dyDescent="0.45">
      <c r="C7" s="8" t="s">
        <v>865</v>
      </c>
      <c r="D7" s="4">
        <v>50</v>
      </c>
      <c r="E7" s="4" t="s">
        <v>707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0</v>
      </c>
      <c r="H7" s="77">
        <f>D7*VLOOKUP(E7, CHOOSE({1,2,3,4}, Einheitenvorsätze!A:A, Einheitenvorsätze!B:B, Einheitenvorsätze!C:C, Einheitenvorsätze!D:D), 3, FALSE)</f>
        <v>50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50Ω</v>
      </c>
      <c r="K7" s="77" t="str">
        <f>IF(E7=Einheitenvorsätze!$A$19,_xlfn.CONCAT(D7,F7),_xlfn.CONCAT(D7,E7,F7))</f>
        <v>50Ω</v>
      </c>
      <c r="L7" s="77" t="str">
        <f>_xlfn.CONCAT(I7,K7)</f>
        <v>R = 50Ω</v>
      </c>
      <c r="M7" s="77" t="str">
        <f>_xlfn.CONCAT(I7,J7)</f>
        <v>R = 50Ω</v>
      </c>
      <c r="V7" s="407"/>
      <c r="X7" s="402" t="str">
        <f>$L$7</f>
        <v>R = 50Ω</v>
      </c>
      <c r="Z7" s="403" t="str">
        <f>IF($X$2=$R$2,$L$12,_xlfn.CONCAT($C$12,"?"))</f>
        <v>ω = 6283.1853(1/s)</v>
      </c>
      <c r="AA7" s="408"/>
      <c r="AB7">
        <f>$H$7</f>
        <v>50</v>
      </c>
      <c r="AC7" s="1" t="s">
        <v>891</v>
      </c>
      <c r="AD7">
        <v>0</v>
      </c>
      <c r="AE7">
        <f>IF($X$2=$R$2,AB7,0)</f>
        <v>50</v>
      </c>
      <c r="AG7">
        <v>0</v>
      </c>
      <c r="AH7">
        <v>0</v>
      </c>
    </row>
    <row r="8" spans="3:34" ht="20.5" customHeight="1" x14ac:dyDescent="0.45">
      <c r="C8" s="8" t="s">
        <v>866</v>
      </c>
      <c r="D8" s="4">
        <v>0.5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4.9999999999999998E-7</v>
      </c>
      <c r="I8" s="401" t="str">
        <f t="shared" ref="I8:I10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0.5 * 10⁻⁶F</v>
      </c>
      <c r="K8" s="77" t="str">
        <f>IF(E8=Einheitenvorsätze!$A$19,_xlfn.CONCAT(D8,F8),_xlfn.CONCAT(D8,E8,F8))</f>
        <v>0.5µF</v>
      </c>
      <c r="L8" s="77" t="str">
        <f t="shared" ref="L8:L10" si="1">_xlfn.CONCAT(I8,K8)</f>
        <v>C = 0.5µF</v>
      </c>
      <c r="M8" s="77" t="str">
        <f t="shared" ref="M8:M10" si="2">_xlfn.CONCAT(I8,J8)</f>
        <v>C = 0.5 * 10⁻⁶F</v>
      </c>
      <c r="V8" s="407"/>
      <c r="X8" s="402" t="str">
        <f>$L$8</f>
        <v>C = 0.5µF</v>
      </c>
      <c r="Z8" s="403" t="str">
        <f>IF($X$2=$R$2,$L$15,_xlfn.CONCAT($C$15,"?"))</f>
        <v>XC = 318.31Ω</v>
      </c>
      <c r="AA8" s="408"/>
      <c r="AB8">
        <f>$H$15</f>
        <v>318.31</v>
      </c>
      <c r="AC8" s="1" t="s">
        <v>892</v>
      </c>
      <c r="AD8">
        <v>0</v>
      </c>
      <c r="AE8">
        <v>0</v>
      </c>
      <c r="AG8">
        <v>0</v>
      </c>
      <c r="AH8">
        <f>IF($X$2=$R$2,-AB8,0)</f>
        <v>-318.31</v>
      </c>
    </row>
    <row r="9" spans="3:34" ht="20.5" customHeight="1" x14ac:dyDescent="0.45">
      <c r="C9" s="8" t="s">
        <v>867</v>
      </c>
      <c r="D9" s="4">
        <v>5</v>
      </c>
      <c r="E9" s="4" t="s">
        <v>716</v>
      </c>
      <c r="F9" s="5" t="s">
        <v>45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5.0000000000000001E-3</v>
      </c>
      <c r="I9" s="401" t="str">
        <f t="shared" si="0"/>
        <v xml:space="preserve">L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5 * 10⁻³H</v>
      </c>
      <c r="K9" s="77" t="str">
        <f>IF(E9=Einheitenvorsätze!$A$19,_xlfn.CONCAT(D9,F9),_xlfn.CONCAT(D9,E9,F9))</f>
        <v>5mH</v>
      </c>
      <c r="L9" s="77" t="str">
        <f t="shared" si="1"/>
        <v>L = 5mH</v>
      </c>
      <c r="M9" s="77" t="str">
        <f t="shared" si="2"/>
        <v>L = 5 * 10⁻³H</v>
      </c>
      <c r="V9" s="407"/>
      <c r="X9" s="402" t="str">
        <f>$L$10</f>
        <v>f =1kHZ</v>
      </c>
      <c r="Z9" s="403" t="str">
        <f>IF($X$2=$R$2,$L$19,_xlfn.CONCAT($C$19,"?"))</f>
        <v>ZRC = 322.21Ω</v>
      </c>
      <c r="AA9" s="409"/>
      <c r="AB9">
        <f>ABS(MAX(AB7:AB8))*1.1</f>
        <v>350.14100000000002</v>
      </c>
      <c r="AC9" s="1" t="s">
        <v>894</v>
      </c>
      <c r="AD9">
        <f>-AB9</f>
        <v>-350.14100000000002</v>
      </c>
      <c r="AE9">
        <f>AB9</f>
        <v>350.14100000000002</v>
      </c>
      <c r="AG9">
        <v>0</v>
      </c>
      <c r="AH9">
        <v>0</v>
      </c>
    </row>
    <row r="10" spans="3:34" ht="20.5" customHeight="1" x14ac:dyDescent="0.45">
      <c r="C10" s="8" t="s">
        <v>868</v>
      </c>
      <c r="D10" s="4">
        <v>1</v>
      </c>
      <c r="E10" s="4" t="s">
        <v>698</v>
      </c>
      <c r="F10" s="5" t="s">
        <v>869</v>
      </c>
      <c r="G10" s="77">
        <f>VLOOKUP(E10, CHOOSE({1,2,3,4,5}, Einheitenvorsätze!A:A, Einheitenvorsätze!B:B, Einheitenvorsätze!C:C, Einheitenvorsätze!D:D, Einheitenvorsätze!E:E), 5, FALSE)</f>
        <v>3</v>
      </c>
      <c r="H10" s="77">
        <f>D10*VLOOKUP(E10, CHOOSE({1,2,3,4}, Einheitenvorsätze!A:A, Einheitenvorsätze!B:B, Einheitenvorsätze!C:C, Einheitenvorsätze!D:D), 3, FALSE)</f>
        <v>1000</v>
      </c>
      <c r="I10" s="401" t="str">
        <f t="shared" si="0"/>
        <v>f =</v>
      </c>
      <c r="J10" s="77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77" t="str">
        <f>IF(E10=Einheitenvorsätze!$A$19,_xlfn.CONCAT(D10,F10),_xlfn.CONCAT(D10,E10,F10))</f>
        <v>1kHZ</v>
      </c>
      <c r="L10" s="77" t="str">
        <f t="shared" si="1"/>
        <v>f =1kHZ</v>
      </c>
      <c r="M10" s="77" t="str">
        <f t="shared" si="2"/>
        <v>f =1 * 10³HZ</v>
      </c>
      <c r="V10" s="407"/>
      <c r="Z10" s="403" t="str">
        <f>IF($X$2=$R$2,$T$19,_xlfn.CONCAT($O$19,"?"))</f>
        <v>φ = -81.1°</v>
      </c>
      <c r="AA10" s="408"/>
      <c r="AD10">
        <v>0</v>
      </c>
      <c r="AE10">
        <v>0</v>
      </c>
      <c r="AG10">
        <f>AD9</f>
        <v>-350.14100000000002</v>
      </c>
      <c r="AH10">
        <f>AE9</f>
        <v>350.14100000000002</v>
      </c>
    </row>
    <row r="11" spans="3:34" ht="20.5" customHeight="1" x14ac:dyDescent="0.35">
      <c r="V11" s="407"/>
      <c r="AA11" s="408"/>
      <c r="AD11">
        <v>0</v>
      </c>
      <c r="AE11">
        <f>AE7</f>
        <v>50</v>
      </c>
      <c r="AG11">
        <v>0</v>
      </c>
      <c r="AH11">
        <f>AH8</f>
        <v>-318.31</v>
      </c>
    </row>
    <row r="12" spans="3:34" ht="20.5" customHeight="1" thickBot="1" x14ac:dyDescent="0.4">
      <c r="C12" s="8" t="s">
        <v>870</v>
      </c>
      <c r="D12" s="77">
        <f>ROUND((2*PI()*H10 / 10^G12),4)</f>
        <v>6283.1853000000001</v>
      </c>
      <c r="E12" s="4" t="s">
        <v>707</v>
      </c>
      <c r="F12" s="5" t="s">
        <v>871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6283.1853000000001</v>
      </c>
      <c r="I12" s="401" t="str">
        <f t="shared" ref="I12" si="3">C12</f>
        <v xml:space="preserve">ω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6283.1853(1/s)</v>
      </c>
      <c r="K12" s="77" t="str">
        <f>IF(E12=Einheitenvorsätze!$A$19,_xlfn.CONCAT(D12,F12),_xlfn.CONCAT(D12,E12,F12))</f>
        <v>6283.1853(1/s)</v>
      </c>
      <c r="L12" s="77" t="str">
        <f t="shared" ref="L12" si="4">_xlfn.CONCAT(I12,K12)</f>
        <v>ω = 6283.1853(1/s)</v>
      </c>
      <c r="M12" s="77" t="str">
        <f t="shared" ref="M12" si="5">_xlfn.CONCAT(I12,J12)</f>
        <v>ω = 6283.1853(1/s)</v>
      </c>
      <c r="V12" s="410"/>
      <c r="W12" s="411"/>
      <c r="X12" s="411"/>
      <c r="Y12" s="411"/>
      <c r="Z12" s="411"/>
      <c r="AA12" s="412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872</v>
      </c>
      <c r="D15" s="77">
        <f>ROUND((1/((D12*D8)*10^(G12+G8)))/10^G15,2)</f>
        <v>318.31</v>
      </c>
      <c r="E15" s="4" t="s">
        <v>707</v>
      </c>
      <c r="F15" s="5" t="str">
        <f>F7</f>
        <v>Ω</v>
      </c>
      <c r="G15" s="77">
        <f>VLOOKUP(E15, CHOOSE({1,2,3,4,5}, Einheitenvorsätze!A:A, Einheitenvorsätze!B:B, Einheitenvorsätze!C:C, Einheitenvorsätze!D:D, Einheitenvorsätze!E:E), 5, FALSE)</f>
        <v>0</v>
      </c>
      <c r="H15" s="77">
        <f>D15*VLOOKUP(E15, CHOOSE({1,2,3,4}, Einheitenvorsätze!A:A, Einheitenvorsätze!B:B, Einheitenvorsätze!C:C, Einheitenvorsätze!D:D), 3, FALSE)</f>
        <v>318.31</v>
      </c>
      <c r="I15" s="401" t="str">
        <f t="shared" ref="I15:I16" si="6">C15</f>
        <v xml:space="preserve">XC = </v>
      </c>
      <c r="J15" s="77" t="str">
        <f>IF(E15=Einheitenvorsätze!$A$19,_xlfn.CONCAT(D15,F15),_xlfn.CONCAT(D15," * ",VLOOKUP(E15, CHOOSE({1,2,3,4}, Einheitenvorsätze!A:A, Einheitenvorsätze!B:B, Einheitenvorsätze!C:C, Einheitenvorsätze!D:D), 4, FALSE),F15))</f>
        <v>318.31Ω</v>
      </c>
      <c r="K15" s="77" t="str">
        <f>IF(E15=Einheitenvorsätze!$A$19,_xlfn.CONCAT(D15,F15),_xlfn.CONCAT(D15,E15,F15))</f>
        <v>318.31Ω</v>
      </c>
      <c r="L15" s="77" t="str">
        <f t="shared" ref="L15:L16" si="7">_xlfn.CONCAT(I15,K15)</f>
        <v>XC = 318.31Ω</v>
      </c>
      <c r="M15" s="77" t="str">
        <f t="shared" ref="M15:M16" si="8">_xlfn.CONCAT(I15,J15)</f>
        <v>XC = 318.31Ω</v>
      </c>
    </row>
    <row r="16" spans="3:34" ht="20.5" customHeight="1" x14ac:dyDescent="0.45">
      <c r="C16" s="8" t="s">
        <v>873</v>
      </c>
      <c r="D16" s="77">
        <f>ROUND((((D12*D9)*10^(G12+G9))/10^G16),4)</f>
        <v>31.415900000000001</v>
      </c>
      <c r="E16" s="4" t="s">
        <v>707</v>
      </c>
      <c r="F16" s="5" t="str">
        <f>F7</f>
        <v>Ω</v>
      </c>
      <c r="G16" s="77">
        <f>VLOOKUP(E16, CHOOSE({1,2,3,4,5}, Einheitenvorsätze!A:A, Einheitenvorsätze!B:B, Einheitenvorsätze!C:C, Einheitenvorsätze!D:D, Einheitenvorsätze!E:E), 5, FALSE)</f>
        <v>0</v>
      </c>
      <c r="H16" s="77">
        <f>D16*VLOOKUP(E16, CHOOSE({1,2,3,4}, Einheitenvorsätze!A:A, Einheitenvorsätze!B:B, Einheitenvorsätze!C:C, Einheitenvorsätze!D:D), 3, FALSE)</f>
        <v>31.415900000000001</v>
      </c>
      <c r="I16" s="401" t="str">
        <f t="shared" si="6"/>
        <v xml:space="preserve">XL = </v>
      </c>
      <c r="J16" s="77" t="str">
        <f>IF(E16=Einheitenvorsätze!$A$19,_xlfn.CONCAT(D16,F16),_xlfn.CONCAT(D16," * ",VLOOKUP(E16, CHOOSE({1,2,3,4}, Einheitenvorsätze!A:A, Einheitenvorsätze!B:B, Einheitenvorsätze!C:C, Einheitenvorsätze!D:D), 4, FALSE),F16))</f>
        <v>31.4159Ω</v>
      </c>
      <c r="K16" s="77" t="str">
        <f>IF(E16=Einheitenvorsätze!$A$19,_xlfn.CONCAT(D16,F16),_xlfn.CONCAT(D16,E16,F16))</f>
        <v>31.4159Ω</v>
      </c>
      <c r="L16" s="77" t="str">
        <f t="shared" si="7"/>
        <v>XL = 31.4159Ω</v>
      </c>
      <c r="M16" s="77" t="str">
        <f t="shared" si="8"/>
        <v>XL = 31.4159Ω</v>
      </c>
    </row>
    <row r="18" spans="2:34" x14ac:dyDescent="0.35">
      <c r="C18" t="s">
        <v>875</v>
      </c>
    </row>
    <row r="19" spans="2:34" ht="16.5" x14ac:dyDescent="0.45">
      <c r="C19" s="8" t="s">
        <v>874</v>
      </c>
      <c r="D19" s="77">
        <f>ROUND(SQRT(H7^2 + H15^2) / 10^G19,2)</f>
        <v>322.20999999999998</v>
      </c>
      <c r="E19" s="4" t="s">
        <v>707</v>
      </c>
      <c r="F19" s="5" t="str">
        <f>F16</f>
        <v>Ω</v>
      </c>
      <c r="G19" s="77">
        <f>VLOOKUP(E19, CHOOSE({1,2,3,4,5}, Einheitenvorsätze!A:A, Einheitenvorsätze!B:B, Einheitenvorsätze!C:C, Einheitenvorsätze!D:D, Einheitenvorsätze!E:E), 5, FALSE)</f>
        <v>0</v>
      </c>
      <c r="H19" s="77">
        <f>D19*VLOOKUP(E19, CHOOSE({1,2,3,4}, Einheitenvorsätze!A:A, Einheitenvorsätze!B:B, Einheitenvorsätze!C:C, Einheitenvorsätze!D:D), 3, FALSE)</f>
        <v>322.20999999999998</v>
      </c>
      <c r="I19" s="401" t="str">
        <f t="shared" ref="I19:I21" si="9">C19</f>
        <v xml:space="preserve">ZRC = </v>
      </c>
      <c r="J19" s="77" t="str">
        <f>IF(E19=Einheitenvorsätze!$A$19,_xlfn.CONCAT(D19,F19),_xlfn.CONCAT(D19," * ",VLOOKUP(E19, CHOOSE({1,2,3,4}, Einheitenvorsätze!A:A, Einheitenvorsätze!B:B, Einheitenvorsätze!C:C, Einheitenvorsätze!D:D), 4, FALSE),F19))</f>
        <v>322.21Ω</v>
      </c>
      <c r="K19" s="77" t="str">
        <f>IF(E19=Einheitenvorsätze!$A$19,_xlfn.CONCAT(D19,F19),_xlfn.CONCAT(D19,E19,F19))</f>
        <v>322.21Ω</v>
      </c>
      <c r="L19" s="77" t="str">
        <f t="shared" ref="L19:L21" si="10">_xlfn.CONCAT(I19,K19)</f>
        <v>ZRC = 322.21Ω</v>
      </c>
      <c r="M19" s="77" t="str">
        <f t="shared" ref="M19:M21" si="11">_xlfn.CONCAT(I19,J19)</f>
        <v>ZRC = 322.21Ω</v>
      </c>
      <c r="O19" s="8" t="s">
        <v>878</v>
      </c>
      <c r="P19" s="77">
        <f>ATAN2(H7,-H15)</f>
        <v>-1.414989881638913</v>
      </c>
      <c r="Q19" s="5" t="s">
        <v>202</v>
      </c>
      <c r="R19" s="77">
        <f>DEGREES(P19)</f>
        <v>-81.07294827162562</v>
      </c>
      <c r="S19" s="5" t="s">
        <v>201</v>
      </c>
      <c r="T19" s="77" t="str">
        <f>_xlfn.CONCAT(O19,ROUND(R19,1),S19)</f>
        <v>φ = -81.1°</v>
      </c>
    </row>
    <row r="20" spans="2:34" ht="16.5" x14ac:dyDescent="0.45">
      <c r="C20" s="8" t="s">
        <v>876</v>
      </c>
      <c r="D20" s="77">
        <f>ROUND(SQRT(H7^2 + H16^2)/10^G20,2)</f>
        <v>59.05</v>
      </c>
      <c r="E20" s="4" t="s">
        <v>707</v>
      </c>
      <c r="F20" s="5" t="str">
        <f>F16</f>
        <v>Ω</v>
      </c>
      <c r="G20" s="77">
        <f>VLOOKUP(E20, CHOOSE({1,2,3,4,5}, Einheitenvorsätze!A:A, Einheitenvorsätze!B:B, Einheitenvorsätze!C:C, Einheitenvorsätze!D:D, Einheitenvorsätze!E:E), 5, FALSE)</f>
        <v>0</v>
      </c>
      <c r="H20" s="77">
        <f>D20*VLOOKUP(E20, CHOOSE({1,2,3,4}, Einheitenvorsätze!A:A, Einheitenvorsätze!B:B, Einheitenvorsätze!C:C, Einheitenvorsätze!D:D), 3, FALSE)</f>
        <v>59.05</v>
      </c>
      <c r="I20" s="401" t="str">
        <f t="shared" si="9"/>
        <v xml:space="preserve">ZRL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59.05Ω</v>
      </c>
      <c r="K20" s="77" t="str">
        <f>IF(E20=Einheitenvorsätze!$A$19,_xlfn.CONCAT(D20,F20),_xlfn.CONCAT(D20,E20,F20))</f>
        <v>59.05Ω</v>
      </c>
      <c r="L20" s="77" t="str">
        <f t="shared" si="10"/>
        <v>ZRL = 59.05Ω</v>
      </c>
      <c r="M20" s="77" t="str">
        <f t="shared" si="11"/>
        <v>ZRL = 59.05Ω</v>
      </c>
      <c r="O20" s="8" t="s">
        <v>878</v>
      </c>
      <c r="P20" s="77">
        <f>ATAN2(H7,H16)</f>
        <v>0.5609817356066833</v>
      </c>
      <c r="Q20" s="5" t="s">
        <v>202</v>
      </c>
      <c r="R20" s="77">
        <f>DEGREES(P20)</f>
        <v>32.141885834186766</v>
      </c>
      <c r="S20" s="5" t="s">
        <v>201</v>
      </c>
      <c r="T20" s="77" t="str">
        <f>_xlfn.CONCAT(O20,ROUND(R20,1),S20)</f>
        <v>φ = 32.1°</v>
      </c>
    </row>
    <row r="21" spans="2:34" ht="16.5" x14ac:dyDescent="0.45">
      <c r="B21" s="55" t="str">
        <f>IF(D15=D16,"ohmsch",IF(D15&gt;D16,"kapazitiv","induktiv"))</f>
        <v>kapazitiv</v>
      </c>
      <c r="C21" s="8" t="s">
        <v>877</v>
      </c>
      <c r="D21" s="77">
        <f>ROUND(SQRT(H7^2 + (H15-H16)^2)/10^G21,2)</f>
        <v>291.22000000000003</v>
      </c>
      <c r="E21" s="4" t="s">
        <v>707</v>
      </c>
      <c r="F21" s="5" t="str">
        <f>F15</f>
        <v>Ω</v>
      </c>
      <c r="G21" s="77">
        <f>VLOOKUP(E21, CHOOSE({1,2,3,4,5}, Einheitenvorsätze!A:A, Einheitenvorsätze!B:B, Einheitenvorsätze!C:C, Einheitenvorsätze!D:D, Einheitenvorsätze!E:E), 5, FALSE)</f>
        <v>0</v>
      </c>
      <c r="H21" s="77">
        <f>D21*VLOOKUP(E21, CHOOSE({1,2,3,4}, Einheitenvorsätze!A:A, Einheitenvorsätze!B:B, Einheitenvorsätze!C:C, Einheitenvorsätze!D:D), 3, FALSE)</f>
        <v>291.22000000000003</v>
      </c>
      <c r="I21" s="401" t="str">
        <f t="shared" si="9"/>
        <v xml:space="preserve">ZRLC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291.22Ω</v>
      </c>
      <c r="K21" s="77" t="str">
        <f>IF(E21=Einheitenvorsätze!$A$19,_xlfn.CONCAT(D21,F21),_xlfn.CONCAT(D21,E21,F21))</f>
        <v>291.22Ω</v>
      </c>
      <c r="L21" s="77" t="str">
        <f t="shared" si="10"/>
        <v>ZRLC = 291.22Ω</v>
      </c>
      <c r="M21" s="77" t="str">
        <f t="shared" si="11"/>
        <v>ZRLC = 291.22Ω</v>
      </c>
      <c r="O21" s="8" t="s">
        <v>878</v>
      </c>
      <c r="P21" s="77">
        <f>ATAN2(H7,IF(H19&gt;H20,-H21,H21))</f>
        <v>-1.4007626371621704</v>
      </c>
      <c r="Q21" s="5" t="s">
        <v>202</v>
      </c>
      <c r="R21" s="77">
        <f>DEGREES(P21)</f>
        <v>-80.257787209007446</v>
      </c>
      <c r="S21" s="5" t="s">
        <v>201</v>
      </c>
      <c r="T21" s="77" t="str">
        <f>_xlfn.CONCAT(O21,ROUND(R21,1),S21)</f>
        <v>φ = -80.3°</v>
      </c>
    </row>
    <row r="22" spans="2:34" ht="15" thickBot="1" x14ac:dyDescent="0.4"/>
    <row r="23" spans="2:34" ht="23.5" x14ac:dyDescent="0.55000000000000004">
      <c r="V23" s="413"/>
      <c r="W23" s="414"/>
      <c r="X23" s="405"/>
      <c r="Y23" s="405"/>
      <c r="Z23" s="405"/>
      <c r="AA23" s="406"/>
    </row>
    <row r="24" spans="2:34" ht="23.5" x14ac:dyDescent="0.55000000000000004">
      <c r="V24" s="415"/>
      <c r="W24" s="245"/>
      <c r="X24" s="5" t="s">
        <v>881</v>
      </c>
      <c r="Z24" s="5" t="s">
        <v>880</v>
      </c>
      <c r="AA24" s="408"/>
    </row>
    <row r="25" spans="2:34" ht="18.5" x14ac:dyDescent="0.45">
      <c r="V25" s="407"/>
      <c r="X25" s="402" t="str">
        <f>$L$7</f>
        <v>R = 50Ω</v>
      </c>
      <c r="Z25" s="403" t="str">
        <f>IF($X$2=$R$2,$L$12,_xlfn.CONCAT($C$12,"?"))</f>
        <v>ω = 6283.1853(1/s)</v>
      </c>
      <c r="AA25" s="408"/>
      <c r="AB25">
        <f>$H$7</f>
        <v>50</v>
      </c>
      <c r="AC25" s="1" t="s">
        <v>891</v>
      </c>
      <c r="AD25">
        <v>0</v>
      </c>
      <c r="AE25">
        <f>IF($X$2=$R$2,AB25,0)</f>
        <v>50</v>
      </c>
      <c r="AG25">
        <v>0</v>
      </c>
      <c r="AH25">
        <v>0</v>
      </c>
    </row>
    <row r="26" spans="2:34" ht="18.5" x14ac:dyDescent="0.45">
      <c r="V26" s="407"/>
      <c r="X26" s="402" t="str">
        <f>$L$9</f>
        <v>L = 5mH</v>
      </c>
      <c r="Z26" s="403" t="str">
        <f>IF($X$2=$R$2,$L$16,_xlfn.CONCAT($C$16,"?"))</f>
        <v>XL = 31.4159Ω</v>
      </c>
      <c r="AA26" s="408"/>
      <c r="AB26">
        <f>$H$16</f>
        <v>31.415900000000001</v>
      </c>
      <c r="AC26" s="1" t="s">
        <v>893</v>
      </c>
      <c r="AD26">
        <v>0</v>
      </c>
      <c r="AE26">
        <v>0</v>
      </c>
      <c r="AG26">
        <v>0</v>
      </c>
      <c r="AH26">
        <f>IF($X$2=$R$2,AB26,0)</f>
        <v>31.415900000000001</v>
      </c>
    </row>
    <row r="27" spans="2:34" ht="18.5" x14ac:dyDescent="0.45">
      <c r="V27" s="407"/>
      <c r="X27" s="402" t="str">
        <f>$L$10</f>
        <v>f =1kHZ</v>
      </c>
      <c r="Z27" s="403" t="str">
        <f>IF($X$2=$R$2,$L$20,_xlfn.CONCAT($C$20,"?"))</f>
        <v>ZRL = 59.05Ω</v>
      </c>
      <c r="AA27" s="408"/>
      <c r="AB27">
        <f>ABS(MAX(AB25:AB26))*1.1</f>
        <v>55.000000000000007</v>
      </c>
      <c r="AC27" s="1" t="s">
        <v>894</v>
      </c>
      <c r="AD27">
        <f>-AB27</f>
        <v>-55.000000000000007</v>
      </c>
      <c r="AE27">
        <f>AB27</f>
        <v>55.000000000000007</v>
      </c>
      <c r="AG27">
        <v>0</v>
      </c>
      <c r="AH27">
        <v>0</v>
      </c>
    </row>
    <row r="28" spans="2:34" ht="18.5" x14ac:dyDescent="0.45">
      <c r="V28" s="407"/>
      <c r="Z28" s="403" t="str">
        <f>IF($X$2=$R$2,$T$20,_xlfn.CONCAT($O$20,"?"))</f>
        <v>φ = 32.1°</v>
      </c>
      <c r="AA28" s="408"/>
      <c r="AD28">
        <v>0</v>
      </c>
      <c r="AE28">
        <v>0</v>
      </c>
      <c r="AG28">
        <f>AD27</f>
        <v>-55.000000000000007</v>
      </c>
      <c r="AH28">
        <f>AE27</f>
        <v>55.000000000000007</v>
      </c>
    </row>
    <row r="29" spans="2:34" ht="15" thickBot="1" x14ac:dyDescent="0.4">
      <c r="V29" s="410"/>
      <c r="W29" s="411"/>
      <c r="X29" s="411"/>
      <c r="Y29" s="411"/>
      <c r="Z29" s="411"/>
      <c r="AA29" s="412"/>
      <c r="AD29">
        <v>0</v>
      </c>
      <c r="AE29">
        <f>AE25</f>
        <v>50</v>
      </c>
      <c r="AG29">
        <v>0</v>
      </c>
      <c r="AH29">
        <f>AH26</f>
        <v>31.415900000000001</v>
      </c>
    </row>
    <row r="43" spans="22:34" ht="15" thickBot="1" x14ac:dyDescent="0.4"/>
    <row r="44" spans="22:34" x14ac:dyDescent="0.35">
      <c r="V44" s="404"/>
      <c r="W44" s="405"/>
      <c r="X44" s="405"/>
      <c r="Y44" s="405"/>
      <c r="Z44" s="405"/>
      <c r="AA44" s="406"/>
    </row>
    <row r="45" spans="22:34" x14ac:dyDescent="0.35">
      <c r="V45" s="407"/>
      <c r="AA45" s="408"/>
      <c r="AB45">
        <f>$H$7</f>
        <v>50</v>
      </c>
      <c r="AC45" s="1" t="s">
        <v>891</v>
      </c>
      <c r="AD45">
        <v>0</v>
      </c>
      <c r="AE45">
        <f>IF($X$2=$R$2,AB45,0)</f>
        <v>50</v>
      </c>
      <c r="AG45">
        <v>0</v>
      </c>
      <c r="AH45">
        <v>0</v>
      </c>
    </row>
    <row r="46" spans="22:34" x14ac:dyDescent="0.35">
      <c r="V46" s="407"/>
      <c r="X46" s="5" t="s">
        <v>881</v>
      </c>
      <c r="Z46" s="5" t="s">
        <v>880</v>
      </c>
      <c r="AA46" s="408"/>
      <c r="AB46">
        <f>$H$15</f>
        <v>318.31</v>
      </c>
      <c r="AC46" s="1" t="s">
        <v>892</v>
      </c>
      <c r="AD46">
        <v>0</v>
      </c>
      <c r="AE46">
        <v>0</v>
      </c>
      <c r="AG46">
        <v>0</v>
      </c>
      <c r="AH46">
        <f>IF($X$2=$R$2,-AB46,0)</f>
        <v>-318.31</v>
      </c>
    </row>
    <row r="47" spans="22:34" ht="18.5" x14ac:dyDescent="0.45">
      <c r="V47" s="407"/>
      <c r="X47" s="402" t="str">
        <f>$L$7</f>
        <v>R = 50Ω</v>
      </c>
      <c r="Z47" s="403" t="str">
        <f>IF($X$2=$R$2,$L$12,_xlfn.CONCAT($C$12,"?"))</f>
        <v>ω = 6283.1853(1/s)</v>
      </c>
      <c r="AA47" s="408"/>
      <c r="AB47">
        <f>$H$16</f>
        <v>31.415900000000001</v>
      </c>
      <c r="AC47" s="1" t="s">
        <v>893</v>
      </c>
      <c r="AD47">
        <v>0</v>
      </c>
      <c r="AE47">
        <v>0</v>
      </c>
      <c r="AG47">
        <v>0</v>
      </c>
      <c r="AH47">
        <f>IF($X$2=$R$2,AB47,0)</f>
        <v>31.415900000000001</v>
      </c>
    </row>
    <row r="48" spans="22:34" ht="18.5" x14ac:dyDescent="0.45">
      <c r="V48" s="407"/>
      <c r="X48" s="402" t="str">
        <f>$L$9</f>
        <v>L = 5mH</v>
      </c>
      <c r="Z48" s="403" t="str">
        <f>IF($X$2=$R$2,$L$16,_xlfn.CONCAT($C$16,"?"))</f>
        <v>XL = 31.4159Ω</v>
      </c>
      <c r="AA48" s="408"/>
      <c r="AC48" s="1" t="s">
        <v>895</v>
      </c>
      <c r="AD48">
        <v>0</v>
      </c>
      <c r="AE48">
        <v>0</v>
      </c>
      <c r="AG48">
        <v>0</v>
      </c>
      <c r="AH48">
        <f>AH46+AH47</f>
        <v>-286.89409999999998</v>
      </c>
    </row>
    <row r="49" spans="22:34" ht="18.5" x14ac:dyDescent="0.45">
      <c r="V49" s="407"/>
      <c r="X49" s="402" t="str">
        <f>$L$8</f>
        <v>C = 0.5µF</v>
      </c>
      <c r="Z49" s="403" t="str">
        <f>IF($X$2=$R$2,$L$15,_xlfn.CONCAT($C$15,"?"))</f>
        <v>XC = 318.31Ω</v>
      </c>
      <c r="AA49" s="408"/>
      <c r="AC49" s="1"/>
    </row>
    <row r="50" spans="22:34" ht="18.5" x14ac:dyDescent="0.45">
      <c r="V50" s="407"/>
      <c r="X50" s="402" t="str">
        <f>$L$10</f>
        <v>f =1kHZ</v>
      </c>
      <c r="Z50" s="403" t="str">
        <f>IF($X$2=$R$2,$L$21,_xlfn.CONCAT($C$20,"?"))</f>
        <v>ZRLC = 291.22Ω</v>
      </c>
      <c r="AA50" s="408"/>
      <c r="AC50" s="1"/>
    </row>
    <row r="51" spans="22:34" ht="18.5" x14ac:dyDescent="0.45">
      <c r="V51" s="407"/>
      <c r="X51" s="403" t="str">
        <f>$B$21</f>
        <v>kapazitiv</v>
      </c>
      <c r="Z51" s="403" t="str">
        <f>IF($X$2=$R$2,$T$21,_xlfn.CONCAT($O$21,"?"))</f>
        <v>φ = -80.3°</v>
      </c>
      <c r="AA51" s="408"/>
      <c r="AC51" s="1" t="s">
        <v>896</v>
      </c>
      <c r="AD51">
        <v>0</v>
      </c>
      <c r="AE51">
        <f>AE45</f>
        <v>50</v>
      </c>
      <c r="AG51">
        <v>0</v>
      </c>
      <c r="AH51">
        <f>AH48</f>
        <v>-286.89409999999998</v>
      </c>
    </row>
    <row r="52" spans="22:34" x14ac:dyDescent="0.35">
      <c r="V52" s="407"/>
      <c r="AA52" s="408"/>
      <c r="AB52">
        <f>ABS(MAX(AB45:AB47))*1.1</f>
        <v>350.14100000000002</v>
      </c>
      <c r="AC52" s="1" t="s">
        <v>894</v>
      </c>
      <c r="AD52">
        <f>-AB52</f>
        <v>-350.14100000000002</v>
      </c>
      <c r="AE52">
        <f>AB52</f>
        <v>350.14100000000002</v>
      </c>
      <c r="AG52">
        <v>0</v>
      </c>
      <c r="AH52">
        <v>0</v>
      </c>
    </row>
    <row r="53" spans="22:34" ht="15" thickBot="1" x14ac:dyDescent="0.4">
      <c r="V53" s="410"/>
      <c r="W53" s="411"/>
      <c r="X53" s="411"/>
      <c r="Y53" s="411"/>
      <c r="Z53" s="411"/>
      <c r="AA53" s="412"/>
      <c r="AD53">
        <v>0</v>
      </c>
      <c r="AE53">
        <v>0</v>
      </c>
      <c r="AG53">
        <f>AD52</f>
        <v>-350.14100000000002</v>
      </c>
      <c r="AH53">
        <f>AE52</f>
        <v>350.14100000000002</v>
      </c>
    </row>
    <row r="54" spans="22:34" x14ac:dyDescent="0.35">
      <c r="AD54">
        <v>0</v>
      </c>
      <c r="AE54">
        <f>AE46</f>
        <v>0</v>
      </c>
      <c r="AG54">
        <v>0</v>
      </c>
      <c r="AH54">
        <f>AH47</f>
        <v>31.415900000000001</v>
      </c>
    </row>
    <row r="75" spans="34:34" x14ac:dyDescent="0.35">
      <c r="AH75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B2:W43"/>
  <sheetViews>
    <sheetView showGridLines="0" workbookViewId="0">
      <selection activeCell="N44" sqref="N44"/>
    </sheetView>
  </sheetViews>
  <sheetFormatPr baseColWidth="10" defaultRowHeight="14.5" x14ac:dyDescent="0.35"/>
  <cols>
    <col min="2" max="2" width="24.6328125" customWidth="1"/>
    <col min="4" max="4" width="11.81640625" bestFit="1" customWidth="1"/>
    <col min="5" max="5" width="6.6328125" customWidth="1"/>
    <col min="6" max="6" width="5.453125" customWidth="1"/>
    <col min="10" max="10" width="14.36328125" customWidth="1"/>
    <col min="11" max="11" width="15.81640625" customWidth="1"/>
    <col min="13" max="13" width="19.36328125" customWidth="1"/>
    <col min="14" max="14" width="30.1796875" customWidth="1"/>
  </cols>
  <sheetData>
    <row r="2" spans="2:18" ht="23.5" x14ac:dyDescent="0.55000000000000004">
      <c r="C2" s="9" t="s">
        <v>905</v>
      </c>
      <c r="R2" t="s">
        <v>64</v>
      </c>
    </row>
    <row r="3" spans="2:18" ht="23.5" x14ac:dyDescent="0.55000000000000004">
      <c r="C3" s="9"/>
      <c r="R3" t="s">
        <v>65</v>
      </c>
    </row>
    <row r="4" spans="2:18" ht="16.5" customHeight="1" x14ac:dyDescent="0.55000000000000004">
      <c r="C4" s="9"/>
      <c r="H4" s="8" t="s">
        <v>879</v>
      </c>
      <c r="I4" s="4" t="s">
        <v>64</v>
      </c>
    </row>
    <row r="5" spans="2:18" ht="16.5" customHeight="1" x14ac:dyDescent="0.55000000000000004">
      <c r="C5" s="9"/>
    </row>
    <row r="6" spans="2:18" ht="16.5" customHeight="1" x14ac:dyDescent="0.45">
      <c r="C6" s="8" t="s">
        <v>906</v>
      </c>
      <c r="D6" s="4">
        <v>10</v>
      </c>
      <c r="E6" s="4" t="s">
        <v>707</v>
      </c>
      <c r="F6" s="5" t="s">
        <v>320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10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10V</v>
      </c>
      <c r="K6" s="77" t="str">
        <f>IF(E6=Einheitenvorsätze!$A$19,_xlfn.CONCAT(D6,F6),_xlfn.CONCAT(D6,E6,F6))</f>
        <v>10V</v>
      </c>
      <c r="L6" s="77" t="str">
        <f>_xlfn.CONCAT(I6,K6)</f>
        <v>U0 = 10V</v>
      </c>
      <c r="M6" s="77" t="str">
        <f>_xlfn.CONCAT(I6,J6)</f>
        <v>U0 = 10V</v>
      </c>
    </row>
    <row r="7" spans="2:18" ht="16.5" customHeight="1" x14ac:dyDescent="0.35">
      <c r="C7" s="8" t="s">
        <v>865</v>
      </c>
      <c r="D7" s="4">
        <v>50</v>
      </c>
      <c r="E7" s="4" t="s">
        <v>707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0</v>
      </c>
      <c r="H7" s="77">
        <f>D7*VLOOKUP(E7, CHOOSE({1,2,3,4}, Einheitenvorsätze!A:A, Einheitenvorsätze!B:B, Einheitenvorsätze!C:C, Einheitenvorsätze!D:D), 3, FALSE)</f>
        <v>50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50Ω</v>
      </c>
      <c r="K7" s="77" t="str">
        <f>IF(E7=Einheitenvorsätze!$A$19,_xlfn.CONCAT(D7,F7),_xlfn.CONCAT(D7,E7,F7))</f>
        <v>50Ω</v>
      </c>
      <c r="L7" s="77" t="str">
        <f>_xlfn.CONCAT(I7,K7)</f>
        <v>R = 50Ω</v>
      </c>
      <c r="M7" s="77" t="str">
        <f>_xlfn.CONCAT(I7,J7)</f>
        <v>R = 50Ω</v>
      </c>
    </row>
    <row r="8" spans="2:18" ht="16.5" customHeight="1" x14ac:dyDescent="0.35">
      <c r="C8" s="8" t="s">
        <v>866</v>
      </c>
      <c r="D8" s="4">
        <v>0.5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4.9999999999999998E-7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0.5 * 10⁻⁶F</v>
      </c>
      <c r="K8" s="77" t="str">
        <f>IF(E8=Einheitenvorsätze!$A$19,_xlfn.CONCAT(D8,F8),_xlfn.CONCAT(D8,E8,F8))</f>
        <v>0.5µF</v>
      </c>
      <c r="L8" s="77" t="str">
        <f t="shared" ref="L8" si="1">_xlfn.CONCAT(I8,K8)</f>
        <v>C = 0.5µF</v>
      </c>
      <c r="M8" s="77" t="str">
        <f t="shared" ref="M8" si="2">_xlfn.CONCAT(I8,J8)</f>
        <v>C = 0.5 * 10⁻⁶F</v>
      </c>
    </row>
    <row r="9" spans="2:18" x14ac:dyDescent="0.35">
      <c r="C9" s="8" t="s">
        <v>440</v>
      </c>
      <c r="D9" s="4">
        <v>25</v>
      </c>
      <c r="E9" s="4" t="s">
        <v>719</v>
      </c>
      <c r="F9" s="5" t="s">
        <v>745</v>
      </c>
      <c r="G9" s="77">
        <f>VLOOKUP(E9, CHOOSE({1,2,3,4,5}, Einheitenvorsätze!A:A, Einheitenvorsätze!B:B, Einheitenvorsätze!C:C, Einheitenvorsätze!D:D, Einheitenvorsätze!E:E), 5, FALSE)</f>
        <v>-6</v>
      </c>
      <c r="H9" s="77">
        <f>D9*VLOOKUP(E9, CHOOSE({1,2,3,4}, Einheitenvorsätze!A:A, Einheitenvorsätze!B:B, Einheitenvorsätze!C:C, Einheitenvorsätze!D:D), 3, FALSE)</f>
        <v>2.4999999999999998E-5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25 * 10⁻⁶s</v>
      </c>
      <c r="K9" s="77" t="str">
        <f>IF(E9=Einheitenvorsätze!$A$19,_xlfn.CONCAT(D9,F9),_xlfn.CONCAT(D9,E9,F9))</f>
        <v>25µs</v>
      </c>
      <c r="L9" s="77" t="str">
        <f>_xlfn.CONCAT(I9,K9)</f>
        <v>t = 25µs</v>
      </c>
      <c r="M9" s="77" t="str">
        <f>_xlfn.CONCAT(I9,J9)</f>
        <v>t = 25 * 10⁻⁶s</v>
      </c>
    </row>
    <row r="11" spans="2:18" ht="18.5" x14ac:dyDescent="0.45">
      <c r="C11" s="8" t="str">
        <f>_xlfn.CONCAT(Einheitenvorsätze!C56," = ")</f>
        <v xml:space="preserve">τ = </v>
      </c>
      <c r="D11" s="77">
        <f>ROUND(D7*D8 / 10^(G7+G8-G11),4)</f>
        <v>25</v>
      </c>
      <c r="E11" s="4" t="s">
        <v>719</v>
      </c>
      <c r="F11" s="5" t="s">
        <v>871</v>
      </c>
      <c r="G11" s="77">
        <f>VLOOKUP(E11, CHOOSE({1,2,3,4,5}, Einheitenvorsätze!A:A, Einheitenvorsätze!B:B, Einheitenvorsätze!C:C, Einheitenvorsätze!D:D, Einheitenvorsätze!E:E), 5, FALSE)</f>
        <v>-6</v>
      </c>
      <c r="H11" s="77">
        <f>D11*VLOOKUP(E11, CHOOSE({1,2,3,4}, Einheitenvorsätze!A:A, Einheitenvorsätze!B:B, Einheitenvorsätze!C:C, Einheitenvorsätze!D:D), 3, FALSE)</f>
        <v>2.4999999999999998E-5</v>
      </c>
      <c r="I11" s="401" t="str">
        <f t="shared" ref="I11" si="3">C11</f>
        <v xml:space="preserve">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25 * 10⁻⁶(1/s)</v>
      </c>
      <c r="K11" s="77" t="str">
        <f>IF(E11=Einheitenvorsätze!$A$19,_xlfn.CONCAT(D11,F11),_xlfn.CONCAT(D11,E11,F11))</f>
        <v>25µ(1/s)</v>
      </c>
      <c r="L11" s="77" t="str">
        <f t="shared" ref="L11" si="4">_xlfn.CONCAT(I11,K11)</f>
        <v>τ = 25µ(1/s)</v>
      </c>
      <c r="M11" s="77" t="str">
        <f t="shared" ref="M11" si="5">_xlfn.CONCAT(I11,J11)</f>
        <v>τ = 25 * 10⁻⁶(1/s)</v>
      </c>
      <c r="N11" s="339" t="str">
        <f>_xlfn.CONCAT(C11," R*C")</f>
        <v>τ =  R*C</v>
      </c>
    </row>
    <row r="12" spans="2:18" ht="18.5" x14ac:dyDescent="0.45">
      <c r="C12" s="8" t="str">
        <f>_xlfn.CONCAT(" UC = ")</f>
        <v xml:space="preserve"> UC = </v>
      </c>
      <c r="D12" s="77">
        <f>ROUND(H6*(1-EXP(-H9/H11))/10^G12,4)</f>
        <v>6.3212000000000002</v>
      </c>
      <c r="E12" s="4" t="s">
        <v>707</v>
      </c>
      <c r="F12" s="5" t="s">
        <v>320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6.3212000000000002</v>
      </c>
      <c r="I12" s="401" t="str">
        <f t="shared" ref="I12" si="6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6.3212V</v>
      </c>
      <c r="K12" s="77" t="str">
        <f>IF(E12=Einheitenvorsätze!$A$19,_xlfn.CONCAT(D12,F12),_xlfn.CONCAT(D12,E12,F12))</f>
        <v>6.3212V</v>
      </c>
      <c r="L12" s="77" t="str">
        <f t="shared" ref="L12" si="7">_xlfn.CONCAT(I12,K12)</f>
        <v xml:space="preserve"> UC = 6.3212V</v>
      </c>
      <c r="M12" s="77" t="str">
        <f t="shared" ref="M12" si="8">_xlfn.CONCAT(I12,J12)</f>
        <v xml:space="preserve"> UC = 6.3212V</v>
      </c>
      <c r="N12" s="339" t="s">
        <v>907</v>
      </c>
    </row>
    <row r="13" spans="2:18" ht="15" thickBot="1" x14ac:dyDescent="0.4">
      <c r="C13" s="1"/>
      <c r="I13" s="1"/>
    </row>
    <row r="14" spans="2:18" x14ac:dyDescent="0.35">
      <c r="B14" s="404"/>
      <c r="C14" s="405"/>
      <c r="D14" s="405"/>
      <c r="E14" s="405"/>
      <c r="F14" s="405"/>
      <c r="G14" s="405"/>
      <c r="H14" s="405"/>
      <c r="I14" s="405"/>
      <c r="J14" s="405"/>
      <c r="K14" s="405"/>
      <c r="L14" s="406"/>
    </row>
    <row r="15" spans="2:18" x14ac:dyDescent="0.35">
      <c r="B15" s="407"/>
      <c r="L15" s="408"/>
    </row>
    <row r="16" spans="2:18" x14ac:dyDescent="0.35">
      <c r="B16" s="407"/>
      <c r="I16" s="5" t="s">
        <v>881</v>
      </c>
      <c r="K16" s="5" t="s">
        <v>880</v>
      </c>
      <c r="L16" s="408"/>
    </row>
    <row r="17" spans="2:23" ht="18.5" x14ac:dyDescent="0.45">
      <c r="B17" s="407"/>
      <c r="I17" s="402" t="str">
        <f>$L$7</f>
        <v>R = 50Ω</v>
      </c>
      <c r="K17" s="403" t="str">
        <f>IF($I$4=$R$2,$L$11,_xlfn.CONCAT($C$11,"?"))</f>
        <v>τ = 25µ(1/s)</v>
      </c>
      <c r="L17" s="408"/>
    </row>
    <row r="18" spans="2:23" ht="18.5" x14ac:dyDescent="0.45">
      <c r="B18" s="407"/>
      <c r="I18" s="402" t="str">
        <f>$L$8</f>
        <v>C = 0.5µF</v>
      </c>
      <c r="K18" s="403" t="str">
        <f>IF($I$4=$R$2,$L$12,_xlfn.CONCAT($C$11,"?"))</f>
        <v xml:space="preserve"> UC = 6.3212V</v>
      </c>
      <c r="L18" s="408"/>
    </row>
    <row r="19" spans="2:23" ht="18.5" x14ac:dyDescent="0.45">
      <c r="B19" s="407"/>
      <c r="I19" s="402" t="str">
        <f>$L$6</f>
        <v>U0 = 10V</v>
      </c>
      <c r="K19" s="419"/>
      <c r="L19" s="408"/>
    </row>
    <row r="20" spans="2:23" ht="18.5" x14ac:dyDescent="0.45">
      <c r="B20" s="407"/>
      <c r="I20" s="402" t="str">
        <f>$L$9</f>
        <v>t = 25µs</v>
      </c>
      <c r="K20" s="419"/>
      <c r="L20" s="408"/>
    </row>
    <row r="21" spans="2:23" x14ac:dyDescent="0.35">
      <c r="B21" s="407"/>
      <c r="L21" s="408"/>
    </row>
    <row r="22" spans="2:23" x14ac:dyDescent="0.35">
      <c r="B22" s="407"/>
      <c r="L22" s="408"/>
    </row>
    <row r="23" spans="2:23" ht="15" thickBot="1" x14ac:dyDescent="0.4">
      <c r="B23" s="410"/>
      <c r="C23" s="411"/>
      <c r="D23" s="411"/>
      <c r="E23" s="411"/>
      <c r="F23" s="411"/>
      <c r="G23" s="411"/>
      <c r="H23" s="411"/>
      <c r="I23" s="411"/>
      <c r="J23" s="411"/>
      <c r="K23" s="411"/>
      <c r="L23" s="412"/>
    </row>
    <row r="28" spans="2:23" x14ac:dyDescent="0.35">
      <c r="B28" s="8" t="s">
        <v>1</v>
      </c>
      <c r="C28" s="77">
        <f>D11/5</f>
        <v>5</v>
      </c>
      <c r="D28" s="77" t="str">
        <f>_xlfn.CONCAT(E9,F9)</f>
        <v>µs</v>
      </c>
    </row>
    <row r="29" spans="2:23" x14ac:dyDescent="0.35">
      <c r="B29" s="8" t="s">
        <v>19</v>
      </c>
      <c r="C29" s="77">
        <f>C30*10^$G$9</f>
        <v>0</v>
      </c>
      <c r="D29" s="77">
        <f t="shared" ref="D29:W29" si="9">D30*10^$G$9</f>
        <v>4.9999999999999996E-6</v>
      </c>
      <c r="E29" s="77">
        <f t="shared" si="9"/>
        <v>9.9999999999999991E-6</v>
      </c>
      <c r="F29" s="77">
        <f t="shared" si="9"/>
        <v>1.4999999999999999E-5</v>
      </c>
      <c r="G29" s="77">
        <f t="shared" si="9"/>
        <v>1.9999999999999998E-5</v>
      </c>
      <c r="H29" s="77">
        <f t="shared" si="9"/>
        <v>2.4999999999999998E-5</v>
      </c>
      <c r="I29" s="77">
        <f t="shared" si="9"/>
        <v>2.9999999999999997E-5</v>
      </c>
      <c r="J29" s="77">
        <f t="shared" si="9"/>
        <v>3.4999999999999997E-5</v>
      </c>
      <c r="K29" s="77">
        <f t="shared" si="9"/>
        <v>3.9999999999999996E-5</v>
      </c>
      <c r="L29" s="77">
        <f t="shared" si="9"/>
        <v>4.4999999999999996E-5</v>
      </c>
      <c r="M29" s="77">
        <f t="shared" si="9"/>
        <v>4.9999999999999996E-5</v>
      </c>
      <c r="N29" s="77">
        <f t="shared" si="9"/>
        <v>5.4999999999999995E-5</v>
      </c>
      <c r="O29" s="77">
        <f t="shared" si="9"/>
        <v>5.9999999999999995E-5</v>
      </c>
      <c r="P29" s="77">
        <f t="shared" si="9"/>
        <v>6.4999999999999994E-5</v>
      </c>
      <c r="Q29" s="77">
        <f t="shared" si="9"/>
        <v>6.9999999999999994E-5</v>
      </c>
      <c r="R29" s="77">
        <f t="shared" si="9"/>
        <v>7.4999999999999993E-5</v>
      </c>
      <c r="S29" s="77">
        <f t="shared" si="9"/>
        <v>7.9999999999999993E-5</v>
      </c>
      <c r="T29" s="77">
        <f t="shared" si="9"/>
        <v>8.4999999999999993E-5</v>
      </c>
      <c r="U29" s="77">
        <f t="shared" si="9"/>
        <v>8.9999999999999992E-5</v>
      </c>
      <c r="V29" s="77">
        <f t="shared" si="9"/>
        <v>9.4999999999999992E-5</v>
      </c>
      <c r="W29" s="77">
        <f t="shared" si="9"/>
        <v>9.9999999999999991E-5</v>
      </c>
    </row>
    <row r="30" spans="2:23" x14ac:dyDescent="0.35">
      <c r="B30" s="8" t="str">
        <f>_xlfn.CONCAT("t [",D28,"]")</f>
        <v>t [µs]</v>
      </c>
      <c r="C30" s="4">
        <v>0</v>
      </c>
      <c r="D30" s="77">
        <f>C30+$C$28</f>
        <v>5</v>
      </c>
      <c r="E30" s="77">
        <f t="shared" ref="E30:W30" si="10">D30+$C$28</f>
        <v>10</v>
      </c>
      <c r="F30" s="77">
        <f t="shared" si="10"/>
        <v>15</v>
      </c>
      <c r="G30" s="77">
        <f t="shared" si="10"/>
        <v>20</v>
      </c>
      <c r="H30" s="77">
        <f t="shared" si="10"/>
        <v>25</v>
      </c>
      <c r="I30" s="77">
        <f t="shared" si="10"/>
        <v>30</v>
      </c>
      <c r="J30" s="77">
        <f t="shared" si="10"/>
        <v>35</v>
      </c>
      <c r="K30" s="77">
        <f t="shared" si="10"/>
        <v>40</v>
      </c>
      <c r="L30" s="77">
        <f t="shared" si="10"/>
        <v>45</v>
      </c>
      <c r="M30" s="77">
        <f t="shared" si="10"/>
        <v>50</v>
      </c>
      <c r="N30" s="77">
        <f t="shared" si="10"/>
        <v>55</v>
      </c>
      <c r="O30" s="77">
        <f t="shared" si="10"/>
        <v>60</v>
      </c>
      <c r="P30" s="77">
        <f t="shared" si="10"/>
        <v>65</v>
      </c>
      <c r="Q30" s="77">
        <f t="shared" si="10"/>
        <v>70</v>
      </c>
      <c r="R30" s="77">
        <f t="shared" si="10"/>
        <v>75</v>
      </c>
      <c r="S30" s="77">
        <f t="shared" si="10"/>
        <v>80</v>
      </c>
      <c r="T30" s="77">
        <f t="shared" si="10"/>
        <v>85</v>
      </c>
      <c r="U30" s="77">
        <f t="shared" si="10"/>
        <v>90</v>
      </c>
      <c r="V30" s="77">
        <f t="shared" si="10"/>
        <v>95</v>
      </c>
      <c r="W30" s="77">
        <f t="shared" si="10"/>
        <v>100</v>
      </c>
    </row>
    <row r="31" spans="2:23" x14ac:dyDescent="0.35">
      <c r="B31" s="292" t="s">
        <v>907</v>
      </c>
      <c r="C31" s="212">
        <f>$D$6*(1-EXP(-C29/($H$7*$H$8)))</f>
        <v>0</v>
      </c>
      <c r="D31" s="212">
        <f t="shared" ref="D31:W31" si="11">$D$6*(1-EXP(-D29/($H$7*$H$8)))</f>
        <v>1.8126924692201818</v>
      </c>
      <c r="E31" s="212">
        <f t="shared" si="11"/>
        <v>3.2967995396436067</v>
      </c>
      <c r="F31" s="212">
        <f t="shared" si="11"/>
        <v>4.5118836390597359</v>
      </c>
      <c r="G31" s="212">
        <f t="shared" si="11"/>
        <v>5.5067103588277844</v>
      </c>
      <c r="H31" s="212">
        <f t="shared" si="11"/>
        <v>6.3212055882855767</v>
      </c>
      <c r="I31" s="212">
        <f t="shared" si="11"/>
        <v>6.9880578808779781</v>
      </c>
      <c r="J31" s="212">
        <f t="shared" si="11"/>
        <v>7.5340303605839356</v>
      </c>
      <c r="K31" s="212">
        <f t="shared" si="11"/>
        <v>7.9810348200534467</v>
      </c>
      <c r="L31" s="212">
        <f t="shared" si="11"/>
        <v>8.3470111177841346</v>
      </c>
      <c r="M31" s="212">
        <f t="shared" si="11"/>
        <v>8.6466471676338728</v>
      </c>
      <c r="N31" s="212">
        <f t="shared" si="11"/>
        <v>8.8919684163766615</v>
      </c>
      <c r="O31" s="212">
        <f t="shared" si="11"/>
        <v>9.0928204671058754</v>
      </c>
      <c r="P31" s="212">
        <f t="shared" si="11"/>
        <v>9.2572642178566618</v>
      </c>
      <c r="Q31" s="212">
        <f t="shared" si="11"/>
        <v>9.3918993737478207</v>
      </c>
      <c r="R31" s="212">
        <f t="shared" si="11"/>
        <v>9.5021293163213603</v>
      </c>
      <c r="S31" s="212">
        <f t="shared" si="11"/>
        <v>9.5923779602163393</v>
      </c>
      <c r="T31" s="212">
        <f t="shared" si="11"/>
        <v>9.6662673003967399</v>
      </c>
      <c r="U31" s="212">
        <f t="shared" si="11"/>
        <v>9.7267627755270745</v>
      </c>
      <c r="V31" s="212">
        <f t="shared" si="11"/>
        <v>9.7762922814383444</v>
      </c>
      <c r="W31" s="212">
        <f t="shared" si="11"/>
        <v>9.8168436111126578</v>
      </c>
    </row>
    <row r="37" spans="9:10" x14ac:dyDescent="0.35">
      <c r="I37" s="5" t="s">
        <v>909</v>
      </c>
      <c r="J37" s="5"/>
    </row>
    <row r="38" spans="9:10" x14ac:dyDescent="0.35">
      <c r="I38" s="5">
        <f>H11/10^G11</f>
        <v>25</v>
      </c>
      <c r="J38" s="5">
        <f>I38</f>
        <v>25</v>
      </c>
    </row>
    <row r="39" spans="9:10" x14ac:dyDescent="0.35">
      <c r="I39" s="5">
        <v>0</v>
      </c>
      <c r="J39" s="5">
        <f>$H$6*(1 - EXP(-1))</f>
        <v>6.3212055882855767</v>
      </c>
    </row>
    <row r="41" spans="9:10" x14ac:dyDescent="0.35">
      <c r="I41" s="5" t="s">
        <v>908</v>
      </c>
      <c r="J41" s="5"/>
    </row>
    <row r="42" spans="9:10" x14ac:dyDescent="0.35">
      <c r="I42" s="5">
        <v>0</v>
      </c>
      <c r="J42" s="5">
        <f>J38</f>
        <v>25</v>
      </c>
    </row>
    <row r="43" spans="9:10" x14ac:dyDescent="0.35">
      <c r="I43" s="5">
        <f>J39</f>
        <v>6.3212055882855767</v>
      </c>
      <c r="J43" s="5">
        <f>I43</f>
        <v>6.3212055882855767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565</v>
      </c>
    </row>
    <row r="5" spans="3:30" ht="16.5" x14ac:dyDescent="0.45">
      <c r="J5" s="5" t="s">
        <v>597</v>
      </c>
      <c r="K5" s="5"/>
      <c r="L5" s="5"/>
      <c r="N5" s="5" t="s">
        <v>596</v>
      </c>
      <c r="O5" s="5"/>
    </row>
    <row r="6" spans="3:30" ht="16.5" x14ac:dyDescent="0.45">
      <c r="J6" s="8" t="s">
        <v>588</v>
      </c>
      <c r="K6" s="4">
        <v>1.55</v>
      </c>
      <c r="L6" s="5" t="s">
        <v>553</v>
      </c>
      <c r="N6" s="5" t="s">
        <v>594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587</v>
      </c>
      <c r="K7" s="4">
        <v>0.7</v>
      </c>
      <c r="L7" s="5" t="s">
        <v>566</v>
      </c>
      <c r="N7" s="5" t="s">
        <v>593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595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589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590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591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592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589</v>
      </c>
      <c r="J17" s="295" t="s">
        <v>590</v>
      </c>
      <c r="K17" s="296" t="s">
        <v>591</v>
      </c>
    </row>
    <row r="18" spans="9:15" x14ac:dyDescent="0.35">
      <c r="I18" s="95" t="s">
        <v>566</v>
      </c>
      <c r="J18" s="295" t="s">
        <v>598</v>
      </c>
      <c r="K18" s="296" t="s">
        <v>553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852</v>
      </c>
      <c r="D2" s="90"/>
    </row>
    <row r="4" spans="2:46" ht="16.5" x14ac:dyDescent="0.45">
      <c r="E4" s="8" t="s">
        <v>549</v>
      </c>
      <c r="F4" s="4">
        <v>1</v>
      </c>
      <c r="G4" s="5" t="s">
        <v>320</v>
      </c>
      <c r="I4" s="272" t="s">
        <v>551</v>
      </c>
      <c r="J4" s="4">
        <v>120</v>
      </c>
      <c r="K4" s="5" t="s">
        <v>552</v>
      </c>
      <c r="L4" s="77">
        <f>RADIANS(J4)</f>
        <v>2.0943951023931953</v>
      </c>
      <c r="M4" s="5" t="s">
        <v>202</v>
      </c>
      <c r="T4" s="5" t="s">
        <v>474</v>
      </c>
      <c r="U4" s="77">
        <f>MIN(F8:AT8)</f>
        <v>0</v>
      </c>
      <c r="V4" s="77">
        <f>MAX(F8:AT8)</f>
        <v>400</v>
      </c>
      <c r="Y4" s="5" t="s">
        <v>475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550</v>
      </c>
      <c r="F5" s="4">
        <v>2</v>
      </c>
      <c r="G5" s="5" t="s">
        <v>38</v>
      </c>
      <c r="I5" s="272" t="s">
        <v>555</v>
      </c>
      <c r="J5" s="4">
        <v>90</v>
      </c>
      <c r="K5" s="5" t="s">
        <v>552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415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415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557</v>
      </c>
      <c r="D10" s="277" t="s">
        <v>559</v>
      </c>
      <c r="E10" s="274" t="s">
        <v>553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558</v>
      </c>
      <c r="D11" s="278" t="s">
        <v>560</v>
      </c>
      <c r="E11" s="276" t="s">
        <v>554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561</v>
      </c>
      <c r="D12" s="280" t="str">
        <f>IF($J$4=$J$5,"Umomentan^2 / R","Nicht gleichphasig")</f>
        <v>Nicht gleichphasig</v>
      </c>
      <c r="E12" s="281" t="s">
        <v>556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561</v>
      </c>
      <c r="D13" s="278" t="s">
        <v>562</v>
      </c>
      <c r="E13" s="281" t="s">
        <v>556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302</v>
      </c>
      <c r="F12" s="2">
        <v>9.81</v>
      </c>
      <c r="G12" t="s">
        <v>248</v>
      </c>
    </row>
    <row r="13" spans="5:8" x14ac:dyDescent="0.35">
      <c r="E13" s="1" t="s">
        <v>245</v>
      </c>
      <c r="F13" s="2">
        <v>5</v>
      </c>
      <c r="G13" t="s">
        <v>247</v>
      </c>
    </row>
    <row r="15" spans="5:8" ht="16.5" x14ac:dyDescent="0.45">
      <c r="E15" s="1" t="s">
        <v>239</v>
      </c>
      <c r="F15" t="s">
        <v>303</v>
      </c>
      <c r="G15">
        <f>F13*F12</f>
        <v>49.050000000000004</v>
      </c>
      <c r="H15" t="s">
        <v>304</v>
      </c>
    </row>
    <row r="17" spans="5:8" x14ac:dyDescent="0.35">
      <c r="E17" s="1" t="s">
        <v>253</v>
      </c>
      <c r="F17" s="2">
        <v>30</v>
      </c>
      <c r="G17" t="s">
        <v>201</v>
      </c>
    </row>
    <row r="18" spans="5:8" x14ac:dyDescent="0.35">
      <c r="E18" s="1" t="s">
        <v>253</v>
      </c>
      <c r="F18">
        <f>F17*PI()/180</f>
        <v>0.52359877559829882</v>
      </c>
      <c r="G18" t="s">
        <v>202</v>
      </c>
    </row>
    <row r="19" spans="5:8" x14ac:dyDescent="0.35">
      <c r="E19" s="1"/>
    </row>
    <row r="20" spans="5:8" ht="16.5" x14ac:dyDescent="0.45">
      <c r="E20" s="1" t="s">
        <v>243</v>
      </c>
      <c r="F20" t="s">
        <v>305</v>
      </c>
      <c r="G20" s="99">
        <f>$G$15*COS($F$18)</f>
        <v>42.478546055626722</v>
      </c>
      <c r="H20" t="s">
        <v>304</v>
      </c>
    </row>
    <row r="21" spans="5:8" ht="16.5" x14ac:dyDescent="0.45">
      <c r="E21" s="1" t="s">
        <v>242</v>
      </c>
      <c r="F21" t="s">
        <v>306</v>
      </c>
      <c r="G21" s="99">
        <f>$G$15*SIN($F$18)</f>
        <v>24.524999999999999</v>
      </c>
      <c r="H21" t="s">
        <v>304</v>
      </c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R132"/>
  <sheetViews>
    <sheetView showGridLines="0" zoomScaleNormal="100" workbookViewId="0"/>
  </sheetViews>
  <sheetFormatPr baseColWidth="10" defaultRowHeight="14.5" x14ac:dyDescent="0.35"/>
  <cols>
    <col min="1" max="1" width="2.453125" customWidth="1"/>
    <col min="2" max="4" width="16.1796875" customWidth="1"/>
    <col min="5" max="5" width="13.54296875" customWidth="1"/>
    <col min="6" max="6" width="18.54296875" customWidth="1"/>
    <col min="7" max="7" width="9.453125" customWidth="1"/>
    <col min="8" max="10" width="9.54296875" customWidth="1"/>
    <col min="11" max="11" width="11.7265625" customWidth="1"/>
    <col min="12" max="12" width="7.453125" customWidth="1"/>
    <col min="13" max="45" width="2.1796875" customWidth="1"/>
    <col min="46" max="48" width="4.7265625" customWidth="1"/>
    <col min="49" max="49" width="9.1796875" customWidth="1"/>
    <col min="55" max="55" width="14.81640625" customWidth="1"/>
    <col min="56" max="56" width="14.54296875" customWidth="1"/>
    <col min="57" max="57" width="15.1796875" customWidth="1"/>
  </cols>
  <sheetData>
    <row r="1" spans="3:70" ht="38.15" customHeight="1" x14ac:dyDescent="0.35"/>
    <row r="2" spans="3:70" ht="26" x14ac:dyDescent="0.6">
      <c r="E2" s="29" t="s">
        <v>315</v>
      </c>
      <c r="BB2" s="310" t="s">
        <v>616</v>
      </c>
      <c r="BC2" s="310"/>
    </row>
    <row r="3" spans="3:70" x14ac:dyDescent="0.35">
      <c r="K3" s="5" t="s">
        <v>64</v>
      </c>
      <c r="L3" s="5" t="s">
        <v>298</v>
      </c>
      <c r="BB3" s="77">
        <f>AY10</f>
        <v>50</v>
      </c>
      <c r="BC3" s="77">
        <f>BB3</f>
        <v>50</v>
      </c>
    </row>
    <row r="4" spans="3:70" x14ac:dyDescent="0.35">
      <c r="K4" s="5" t="s">
        <v>65</v>
      </c>
      <c r="L4" s="5" t="s">
        <v>300</v>
      </c>
      <c r="BB4" s="212">
        <f>IF(MIN(AY12:AY17)&gt;0,0,MIN(AY12:AY17))</f>
        <v>-1.9283628290596182</v>
      </c>
      <c r="BC4" s="212">
        <f>IF(MAX(AY12:AY17) &lt; 0,0,MAX(AY12:AY17))</f>
        <v>0.76604444311897801</v>
      </c>
    </row>
    <row r="5" spans="3:70" x14ac:dyDescent="0.35">
      <c r="BB5" s="99"/>
      <c r="BC5" s="99"/>
    </row>
    <row r="6" spans="3:70" x14ac:dyDescent="0.35">
      <c r="BB6" s="99"/>
      <c r="BC6" s="99"/>
    </row>
    <row r="7" spans="3:70" x14ac:dyDescent="0.35">
      <c r="BB7" s="99"/>
      <c r="BC7" s="99"/>
    </row>
    <row r="9" spans="3:70" x14ac:dyDescent="0.35">
      <c r="C9" s="5"/>
      <c r="D9" s="5"/>
      <c r="E9" s="5"/>
      <c r="F9" s="8" t="s">
        <v>317</v>
      </c>
      <c r="G9" s="4">
        <v>10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Y9" s="5" t="s">
        <v>615</v>
      </c>
      <c r="AZ9" s="5"/>
      <c r="BB9" s="5" t="s">
        <v>195</v>
      </c>
      <c r="BC9" s="5"/>
      <c r="BD9" s="5"/>
      <c r="BE9" s="5"/>
      <c r="BF9" s="5" t="s">
        <v>621</v>
      </c>
      <c r="BG9" s="5"/>
      <c r="BH9" s="5"/>
      <c r="BI9" s="5"/>
      <c r="BJ9" s="5" t="s">
        <v>230</v>
      </c>
      <c r="BK9" s="5"/>
      <c r="BL9" s="5"/>
      <c r="BM9" s="5"/>
      <c r="BN9" s="5"/>
      <c r="BO9" s="5"/>
      <c r="BP9" s="5"/>
      <c r="BQ9" s="5"/>
      <c r="BR9" s="5"/>
    </row>
    <row r="10" spans="3:70" ht="16.5" x14ac:dyDescent="0.45">
      <c r="C10" s="5" t="s">
        <v>617</v>
      </c>
      <c r="D10" s="5"/>
      <c r="E10" s="8" t="s">
        <v>415</v>
      </c>
      <c r="F10" s="225" t="s">
        <v>298</v>
      </c>
      <c r="G10" s="225">
        <v>0</v>
      </c>
      <c r="H10" s="77">
        <f>G10+$G$9</f>
        <v>10</v>
      </c>
      <c r="I10" s="77">
        <f t="shared" ref="I10:AU10" si="0">H10+$G$9</f>
        <v>20</v>
      </c>
      <c r="J10" s="77">
        <f t="shared" si="0"/>
        <v>30</v>
      </c>
      <c r="K10" s="77">
        <f t="shared" si="0"/>
        <v>40</v>
      </c>
      <c r="L10" s="77">
        <f t="shared" si="0"/>
        <v>50</v>
      </c>
      <c r="M10" s="77">
        <f t="shared" si="0"/>
        <v>60</v>
      </c>
      <c r="N10" s="77">
        <f t="shared" si="0"/>
        <v>70</v>
      </c>
      <c r="O10" s="77">
        <f t="shared" si="0"/>
        <v>80</v>
      </c>
      <c r="P10" s="77">
        <f t="shared" si="0"/>
        <v>90</v>
      </c>
      <c r="Q10" s="77">
        <f t="shared" si="0"/>
        <v>100</v>
      </c>
      <c r="R10" s="77">
        <f t="shared" si="0"/>
        <v>110</v>
      </c>
      <c r="S10" s="77">
        <f t="shared" si="0"/>
        <v>120</v>
      </c>
      <c r="T10" s="77">
        <f t="shared" si="0"/>
        <v>130</v>
      </c>
      <c r="U10" s="77">
        <f t="shared" si="0"/>
        <v>140</v>
      </c>
      <c r="V10" s="77">
        <f t="shared" si="0"/>
        <v>150</v>
      </c>
      <c r="W10" s="77">
        <f t="shared" si="0"/>
        <v>160</v>
      </c>
      <c r="X10" s="77">
        <f t="shared" si="0"/>
        <v>170</v>
      </c>
      <c r="Y10" s="77">
        <f t="shared" si="0"/>
        <v>180</v>
      </c>
      <c r="Z10" s="77">
        <f t="shared" si="0"/>
        <v>190</v>
      </c>
      <c r="AA10" s="77">
        <f t="shared" si="0"/>
        <v>200</v>
      </c>
      <c r="AB10" s="77">
        <f t="shared" si="0"/>
        <v>210</v>
      </c>
      <c r="AC10" s="77">
        <f t="shared" si="0"/>
        <v>220</v>
      </c>
      <c r="AD10" s="77">
        <f t="shared" si="0"/>
        <v>230</v>
      </c>
      <c r="AE10" s="77">
        <f t="shared" si="0"/>
        <v>240</v>
      </c>
      <c r="AF10" s="77">
        <f t="shared" si="0"/>
        <v>250</v>
      </c>
      <c r="AG10" s="77">
        <f t="shared" si="0"/>
        <v>260</v>
      </c>
      <c r="AH10" s="77">
        <f t="shared" si="0"/>
        <v>270</v>
      </c>
      <c r="AI10" s="77">
        <f t="shared" si="0"/>
        <v>280</v>
      </c>
      <c r="AJ10" s="77">
        <f t="shared" si="0"/>
        <v>290</v>
      </c>
      <c r="AK10" s="77">
        <f t="shared" si="0"/>
        <v>300</v>
      </c>
      <c r="AL10" s="77">
        <f t="shared" si="0"/>
        <v>310</v>
      </c>
      <c r="AM10" s="77">
        <f t="shared" si="0"/>
        <v>320</v>
      </c>
      <c r="AN10" s="77">
        <f t="shared" si="0"/>
        <v>330</v>
      </c>
      <c r="AO10" s="77">
        <f t="shared" si="0"/>
        <v>340</v>
      </c>
      <c r="AP10" s="77">
        <f t="shared" si="0"/>
        <v>350</v>
      </c>
      <c r="AQ10" s="77">
        <f t="shared" si="0"/>
        <v>360</v>
      </c>
      <c r="AR10" s="77">
        <f t="shared" si="0"/>
        <v>370</v>
      </c>
      <c r="AS10" s="77">
        <f t="shared" si="0"/>
        <v>380</v>
      </c>
      <c r="AT10" s="77">
        <f t="shared" si="0"/>
        <v>390</v>
      </c>
      <c r="AU10" s="77">
        <f t="shared" si="0"/>
        <v>400</v>
      </c>
      <c r="AY10" s="4">
        <v>50</v>
      </c>
      <c r="AZ10" s="113" t="s">
        <v>298</v>
      </c>
      <c r="BB10" s="5" t="s">
        <v>206</v>
      </c>
      <c r="BC10" s="5" t="s">
        <v>207</v>
      </c>
      <c r="BD10" s="8" t="s">
        <v>415</v>
      </c>
      <c r="BE10" s="8" t="s">
        <v>416</v>
      </c>
      <c r="BF10" s="95" t="s">
        <v>619</v>
      </c>
      <c r="BG10" s="95" t="s">
        <v>620</v>
      </c>
      <c r="BH10" s="95" t="s">
        <v>622</v>
      </c>
      <c r="BI10" s="95" t="s">
        <v>227</v>
      </c>
      <c r="BJ10" s="95" t="s">
        <v>623</v>
      </c>
      <c r="BK10" s="95" t="s">
        <v>619</v>
      </c>
      <c r="BL10" s="95" t="s">
        <v>620</v>
      </c>
      <c r="BM10" s="95" t="s">
        <v>624</v>
      </c>
      <c r="BN10" s="95" t="s">
        <v>625</v>
      </c>
      <c r="BO10" s="95" t="s">
        <v>622</v>
      </c>
      <c r="BP10" s="95" t="s">
        <v>626</v>
      </c>
      <c r="BQ10" s="95" t="s">
        <v>627</v>
      </c>
      <c r="BR10" s="95" t="s">
        <v>628</v>
      </c>
    </row>
    <row r="11" spans="3:70" x14ac:dyDescent="0.35">
      <c r="C11" s="5" t="s">
        <v>618</v>
      </c>
      <c r="D11" s="5" t="s">
        <v>629</v>
      </c>
      <c r="E11" s="8" t="s">
        <v>415</v>
      </c>
      <c r="F11" s="8" t="s">
        <v>300</v>
      </c>
      <c r="G11" s="212">
        <f>IF($F$10=$L$3,G10*PI()/180,G10)</f>
        <v>0</v>
      </c>
      <c r="H11" s="212">
        <f t="shared" ref="H11:P11" si="1">IF($F$10=$L$3,H10*PI()/180,H10)</f>
        <v>0.17453292519943295</v>
      </c>
      <c r="I11" s="212">
        <f t="shared" si="1"/>
        <v>0.3490658503988659</v>
      </c>
      <c r="J11" s="212">
        <f t="shared" si="1"/>
        <v>0.52359877559829882</v>
      </c>
      <c r="K11" s="212">
        <f t="shared" si="1"/>
        <v>0.69813170079773179</v>
      </c>
      <c r="L11" s="212">
        <f t="shared" si="1"/>
        <v>0.87266462599716477</v>
      </c>
      <c r="M11" s="212">
        <f t="shared" si="1"/>
        <v>1.0471975511965976</v>
      </c>
      <c r="N11" s="212">
        <f t="shared" si="1"/>
        <v>1.2217304763960306</v>
      </c>
      <c r="O11" s="212">
        <f t="shared" si="1"/>
        <v>1.3962634015954636</v>
      </c>
      <c r="P11" s="212">
        <f t="shared" si="1"/>
        <v>1.5707963267948966</v>
      </c>
      <c r="Q11" s="212">
        <f t="shared" ref="Q11:AU11" si="2">IF($F$10=$L$3,Q10*PI()/180,Q10)</f>
        <v>1.7453292519943295</v>
      </c>
      <c r="R11" s="212">
        <f t="shared" si="2"/>
        <v>1.9198621771937625</v>
      </c>
      <c r="S11" s="212">
        <f t="shared" si="2"/>
        <v>2.0943951023931953</v>
      </c>
      <c r="T11" s="212">
        <f t="shared" si="2"/>
        <v>2.2689280275926285</v>
      </c>
      <c r="U11" s="212">
        <f t="shared" si="2"/>
        <v>2.4434609527920612</v>
      </c>
      <c r="V11" s="212">
        <f t="shared" si="2"/>
        <v>2.6179938779914944</v>
      </c>
      <c r="W11" s="212">
        <f t="shared" si="2"/>
        <v>2.7925268031909272</v>
      </c>
      <c r="X11" s="212">
        <f t="shared" si="2"/>
        <v>2.9670597283903604</v>
      </c>
      <c r="Y11" s="212">
        <f t="shared" si="2"/>
        <v>3.1415926535897931</v>
      </c>
      <c r="Z11" s="212">
        <f t="shared" si="2"/>
        <v>3.3161255787892263</v>
      </c>
      <c r="AA11" s="212">
        <f t="shared" si="2"/>
        <v>3.4906585039886591</v>
      </c>
      <c r="AB11" s="212">
        <f t="shared" si="2"/>
        <v>3.6651914291880923</v>
      </c>
      <c r="AC11" s="212">
        <f t="shared" si="2"/>
        <v>3.839724354387525</v>
      </c>
      <c r="AD11" s="212">
        <f t="shared" si="2"/>
        <v>4.0142572795869578</v>
      </c>
      <c r="AE11" s="212">
        <f t="shared" si="2"/>
        <v>4.1887902047863905</v>
      </c>
      <c r="AF11" s="212">
        <f t="shared" si="2"/>
        <v>4.3633231299858233</v>
      </c>
      <c r="AG11" s="212">
        <f t="shared" si="2"/>
        <v>4.5378560551852569</v>
      </c>
      <c r="AH11" s="212">
        <f t="shared" si="2"/>
        <v>4.7123889803846897</v>
      </c>
      <c r="AI11" s="212">
        <f t="shared" si="2"/>
        <v>4.8869219055841224</v>
      </c>
      <c r="AJ11" s="212">
        <f t="shared" si="2"/>
        <v>5.0614548307835552</v>
      </c>
      <c r="AK11" s="212">
        <f t="shared" si="2"/>
        <v>5.2359877559829888</v>
      </c>
      <c r="AL11" s="212">
        <f t="shared" si="2"/>
        <v>5.4105206811824216</v>
      </c>
      <c r="AM11" s="212">
        <f t="shared" si="2"/>
        <v>5.5850536063818543</v>
      </c>
      <c r="AN11" s="212">
        <f t="shared" si="2"/>
        <v>5.7595865315812871</v>
      </c>
      <c r="AO11" s="212">
        <f t="shared" si="2"/>
        <v>5.9341194567807207</v>
      </c>
      <c r="AP11" s="212">
        <f t="shared" si="2"/>
        <v>6.1086523819801526</v>
      </c>
      <c r="AQ11" s="212">
        <f t="shared" si="2"/>
        <v>6.2831853071795862</v>
      </c>
      <c r="AR11" s="212">
        <f t="shared" si="2"/>
        <v>6.457718232379019</v>
      </c>
      <c r="AS11" s="212">
        <f t="shared" si="2"/>
        <v>6.6322511575784526</v>
      </c>
      <c r="AT11" s="212">
        <f t="shared" si="2"/>
        <v>6.8067840827778845</v>
      </c>
      <c r="AU11" s="212">
        <f t="shared" si="2"/>
        <v>6.9813170079773181</v>
      </c>
      <c r="AV11" s="99"/>
      <c r="AW11" s="1" t="s">
        <v>632</v>
      </c>
      <c r="AY11" s="309">
        <f>IF($AZ$10=$L$3,AY10*PI()/180,G10)</f>
        <v>0.87266462599716477</v>
      </c>
      <c r="AZ11" s="5" t="str">
        <f>L4</f>
        <v>[rad]</v>
      </c>
      <c r="BB11" s="5"/>
      <c r="BC11" s="5"/>
      <c r="BD11" s="5"/>
      <c r="BE11" s="5"/>
      <c r="BF11" s="5"/>
      <c r="BG11" s="5"/>
      <c r="BH11" s="5"/>
      <c r="BI11" s="5"/>
      <c r="BJ11" s="77" cm="1">
        <f t="array" ref="BJ11">MAX(ABS(BB12:BB16))</f>
        <v>3.1622776601683795</v>
      </c>
      <c r="BK11" s="77">
        <v>0</v>
      </c>
      <c r="BL11" s="77">
        <f>BJ11</f>
        <v>3.1622776601683795</v>
      </c>
      <c r="BM11" s="77">
        <v>0</v>
      </c>
      <c r="BN11" s="77">
        <f>-BJ11</f>
        <v>-3.1622776601683795</v>
      </c>
      <c r="BO11" s="77">
        <f>BL11</f>
        <v>3.1622776601683795</v>
      </c>
      <c r="BP11" s="77">
        <v>0</v>
      </c>
      <c r="BQ11" s="77">
        <f>BN11</f>
        <v>-3.1622776601683795</v>
      </c>
      <c r="BR11" s="77">
        <v>0</v>
      </c>
    </row>
    <row r="12" spans="3:70" ht="18.5" x14ac:dyDescent="0.45">
      <c r="C12" s="4">
        <v>1</v>
      </c>
      <c r="D12" s="4">
        <v>0</v>
      </c>
      <c r="E12" s="279" t="s">
        <v>316</v>
      </c>
      <c r="F12" s="279" t="str">
        <f>_xlfn.CONCAT(C12, IF(D12=0," * sin(x) =",IF(D12&lt;0,_xlfn.CONCAT(" * sin(x - ",ABS(D12),") ="),_xlfn.CONCAT(" * sin(x + ",D12,") ="))))</f>
        <v>1 * sin(x) =</v>
      </c>
      <c r="G12" s="212">
        <f>IF($AW$12=$K$3,$C$12*SIN(G11+RADIANS($D$12)),0)</f>
        <v>0</v>
      </c>
      <c r="H12" s="212">
        <f t="shared" ref="H12:AU12" si="3">IF($AW$12=$K$3,$C$12*SIN(H11+RADIANS($D$12)),0)</f>
        <v>0.17364817766693033</v>
      </c>
      <c r="I12" s="212">
        <f t="shared" si="3"/>
        <v>0.34202014332566871</v>
      </c>
      <c r="J12" s="212">
        <f t="shared" si="3"/>
        <v>0.49999999999999994</v>
      </c>
      <c r="K12" s="212">
        <f t="shared" si="3"/>
        <v>0.64278760968653925</v>
      </c>
      <c r="L12" s="212">
        <f t="shared" si="3"/>
        <v>0.76604444311897801</v>
      </c>
      <c r="M12" s="212">
        <f t="shared" si="3"/>
        <v>0.8660254037844386</v>
      </c>
      <c r="N12" s="212">
        <f t="shared" si="3"/>
        <v>0.93969262078590832</v>
      </c>
      <c r="O12" s="212">
        <f t="shared" si="3"/>
        <v>0.98480775301220802</v>
      </c>
      <c r="P12" s="212">
        <f t="shared" si="3"/>
        <v>1</v>
      </c>
      <c r="Q12" s="212">
        <f t="shared" si="3"/>
        <v>0.98480775301220802</v>
      </c>
      <c r="R12" s="212">
        <f t="shared" si="3"/>
        <v>0.93969262078590843</v>
      </c>
      <c r="S12" s="212">
        <f t="shared" si="3"/>
        <v>0.86602540378443871</v>
      </c>
      <c r="T12" s="212">
        <f t="shared" si="3"/>
        <v>0.76604444311897801</v>
      </c>
      <c r="U12" s="212">
        <f t="shared" si="3"/>
        <v>0.64278760968653947</v>
      </c>
      <c r="V12" s="212">
        <f t="shared" si="3"/>
        <v>0.49999999999999994</v>
      </c>
      <c r="W12" s="212">
        <f t="shared" si="3"/>
        <v>0.34202014332566888</v>
      </c>
      <c r="X12" s="212">
        <f t="shared" si="3"/>
        <v>0.17364817766693028</v>
      </c>
      <c r="Y12" s="212">
        <f t="shared" si="3"/>
        <v>1.22514845490862E-16</v>
      </c>
      <c r="Z12" s="212">
        <f t="shared" si="3"/>
        <v>-0.17364817766693047</v>
      </c>
      <c r="AA12" s="212">
        <f t="shared" si="3"/>
        <v>-0.34202014332566866</v>
      </c>
      <c r="AB12" s="212">
        <f t="shared" si="3"/>
        <v>-0.50000000000000011</v>
      </c>
      <c r="AC12" s="212">
        <f t="shared" si="3"/>
        <v>-0.64278760968653925</v>
      </c>
      <c r="AD12" s="212">
        <f t="shared" si="3"/>
        <v>-0.7660444431189779</v>
      </c>
      <c r="AE12" s="212">
        <f t="shared" si="3"/>
        <v>-0.86602540378443837</v>
      </c>
      <c r="AF12" s="212">
        <f t="shared" si="3"/>
        <v>-0.93969262078590821</v>
      </c>
      <c r="AG12" s="212">
        <f t="shared" si="3"/>
        <v>-0.98480775301220802</v>
      </c>
      <c r="AH12" s="212">
        <f t="shared" si="3"/>
        <v>-1</v>
      </c>
      <c r="AI12" s="212">
        <f t="shared" si="3"/>
        <v>-0.98480775301220813</v>
      </c>
      <c r="AJ12" s="212">
        <f t="shared" si="3"/>
        <v>-0.93969262078590854</v>
      </c>
      <c r="AK12" s="212">
        <f t="shared" si="3"/>
        <v>-0.8660254037844386</v>
      </c>
      <c r="AL12" s="212">
        <f t="shared" si="3"/>
        <v>-0.76604444311897812</v>
      </c>
      <c r="AM12" s="212">
        <f t="shared" si="3"/>
        <v>-0.64278760968653958</v>
      </c>
      <c r="AN12" s="212">
        <f t="shared" si="3"/>
        <v>-0.50000000000000044</v>
      </c>
      <c r="AO12" s="212">
        <f t="shared" si="3"/>
        <v>-0.3420201433256686</v>
      </c>
      <c r="AP12" s="212">
        <f t="shared" si="3"/>
        <v>-0.17364817766693127</v>
      </c>
      <c r="AQ12" s="212">
        <f t="shared" si="3"/>
        <v>-2.45029690981724E-16</v>
      </c>
      <c r="AR12" s="212">
        <f t="shared" si="3"/>
        <v>0.17364817766692991</v>
      </c>
      <c r="AS12" s="212">
        <f t="shared" si="3"/>
        <v>0.34202014332566893</v>
      </c>
      <c r="AT12" s="212">
        <f t="shared" si="3"/>
        <v>0.49999999999999928</v>
      </c>
      <c r="AU12" s="212">
        <f t="shared" si="3"/>
        <v>0.64278760968653914</v>
      </c>
      <c r="AV12" s="99"/>
      <c r="AW12" s="318" t="s">
        <v>64</v>
      </c>
      <c r="AY12" s="212">
        <f>IF($AW$12=$K$3,$C$12 * SIN(AY11 + RADIANS($D$12)),0)</f>
        <v>0.76604444311897801</v>
      </c>
      <c r="AZ12" s="5"/>
      <c r="BB12" s="77">
        <f>IF($AW$12=$K$3,$C12,0)</f>
        <v>1</v>
      </c>
      <c r="BC12" s="77">
        <f>$AY$10+$D$12</f>
        <v>50</v>
      </c>
      <c r="BD12" s="311">
        <f>BB12*COS(RADIANS(BC12))</f>
        <v>0.64278760968653936</v>
      </c>
      <c r="BE12" s="311">
        <f>BB12*SIN(RADIANS(BC12))</f>
        <v>0.76604444311897801</v>
      </c>
      <c r="BF12" s="311">
        <v>0</v>
      </c>
      <c r="BG12" s="311">
        <f>BD12</f>
        <v>0.64278760968653936</v>
      </c>
      <c r="BH12" s="311">
        <v>0</v>
      </c>
      <c r="BI12" s="311">
        <f>BE12</f>
        <v>0.76604444311897801</v>
      </c>
    </row>
    <row r="13" spans="3:70" ht="18.5" x14ac:dyDescent="0.45">
      <c r="C13" s="4">
        <v>3</v>
      </c>
      <c r="D13" s="4">
        <v>-180</v>
      </c>
      <c r="E13" s="317" t="s">
        <v>319</v>
      </c>
      <c r="F13" s="317" t="str">
        <f>_xlfn.CONCAT(C13, IF(D13=0," * cos(x) =",IF(D13&lt;0,_xlfn.CONCAT(" * cos(x - ",ABS(D13),") ="),_xlfn.CONCAT(" * cos(x + ",D13,") ="))))</f>
        <v>3 * cos(x - 180) =</v>
      </c>
      <c r="G13" s="212">
        <f>IF($AW$13=$K$3,$C$13*COS(G11+RADIANS($D$13)),0)</f>
        <v>-3</v>
      </c>
      <c r="H13" s="212">
        <f t="shared" ref="H13:AU13" si="4">IF($AW$13=$K$3,$C$13*COS(H11+RADIANS($D$13)),0)</f>
        <v>-2.9544232590366239</v>
      </c>
      <c r="I13" s="212">
        <f t="shared" si="4"/>
        <v>-2.8190778623577248</v>
      </c>
      <c r="J13" s="212">
        <f t="shared" si="4"/>
        <v>-2.598076211353316</v>
      </c>
      <c r="K13" s="212">
        <f t="shared" si="4"/>
        <v>-2.2981333293569337</v>
      </c>
      <c r="L13" s="212">
        <f t="shared" si="4"/>
        <v>-1.9283628290596182</v>
      </c>
      <c r="M13" s="212">
        <f t="shared" si="4"/>
        <v>-1.5000000000000007</v>
      </c>
      <c r="N13" s="212">
        <f t="shared" si="4"/>
        <v>-1.0260604299770062</v>
      </c>
      <c r="O13" s="212">
        <f t="shared" si="4"/>
        <v>-0.52094453300079091</v>
      </c>
      <c r="P13" s="212">
        <f t="shared" si="4"/>
        <v>1.83772268236293E-16</v>
      </c>
      <c r="Q13" s="212">
        <f t="shared" si="4"/>
        <v>0.52094453300079124</v>
      </c>
      <c r="R13" s="212">
        <f t="shared" si="4"/>
        <v>1.0260604299770064</v>
      </c>
      <c r="S13" s="212">
        <f t="shared" si="4"/>
        <v>1.4999999999999996</v>
      </c>
      <c r="T13" s="212">
        <f t="shared" si="4"/>
        <v>1.9283628290596184</v>
      </c>
      <c r="U13" s="212">
        <f t="shared" si="4"/>
        <v>2.2981333293569342</v>
      </c>
      <c r="V13" s="212">
        <f t="shared" si="4"/>
        <v>2.598076211353316</v>
      </c>
      <c r="W13" s="212">
        <f t="shared" si="4"/>
        <v>2.8190778623577248</v>
      </c>
      <c r="X13" s="212">
        <f t="shared" si="4"/>
        <v>2.9544232590366244</v>
      </c>
      <c r="Y13" s="212">
        <f t="shared" si="4"/>
        <v>3</v>
      </c>
      <c r="Z13" s="212">
        <f t="shared" si="4"/>
        <v>2.9544232590366239</v>
      </c>
      <c r="AA13" s="212">
        <f t="shared" si="4"/>
        <v>2.8190778623577248</v>
      </c>
      <c r="AB13" s="212">
        <f t="shared" si="4"/>
        <v>2.5980762113533156</v>
      </c>
      <c r="AC13" s="212">
        <f t="shared" si="4"/>
        <v>2.2981333293569342</v>
      </c>
      <c r="AD13" s="212">
        <f t="shared" si="4"/>
        <v>1.9283628290596184</v>
      </c>
      <c r="AE13" s="212">
        <f t="shared" si="4"/>
        <v>1.5000000000000009</v>
      </c>
      <c r="AF13" s="212">
        <f t="shared" si="4"/>
        <v>1.0260604299770077</v>
      </c>
      <c r="AG13" s="212">
        <f t="shared" si="4"/>
        <v>0.52094453300079069</v>
      </c>
      <c r="AH13" s="212">
        <f t="shared" si="4"/>
        <v>1.83772268236293E-16</v>
      </c>
      <c r="AI13" s="212">
        <f t="shared" si="4"/>
        <v>-0.52094453300079024</v>
      </c>
      <c r="AJ13" s="212">
        <f t="shared" si="4"/>
        <v>-1.0260604299770049</v>
      </c>
      <c r="AK13" s="212">
        <f t="shared" si="4"/>
        <v>-1.5000000000000007</v>
      </c>
      <c r="AL13" s="212">
        <f t="shared" si="4"/>
        <v>-1.9283628290596182</v>
      </c>
      <c r="AM13" s="212">
        <f t="shared" si="4"/>
        <v>-2.2981333293569337</v>
      </c>
      <c r="AN13" s="212">
        <f t="shared" si="4"/>
        <v>-2.5980762113533156</v>
      </c>
      <c r="AO13" s="212">
        <f t="shared" si="4"/>
        <v>-2.8190778623577253</v>
      </c>
      <c r="AP13" s="212">
        <f t="shared" si="4"/>
        <v>-2.9544232590366235</v>
      </c>
      <c r="AQ13" s="212">
        <f t="shared" si="4"/>
        <v>-3</v>
      </c>
      <c r="AR13" s="212">
        <f t="shared" si="4"/>
        <v>-2.9544232590366244</v>
      </c>
      <c r="AS13" s="212">
        <f t="shared" si="4"/>
        <v>-2.8190778623577248</v>
      </c>
      <c r="AT13" s="212">
        <f t="shared" si="4"/>
        <v>-2.5980762113533169</v>
      </c>
      <c r="AU13" s="212">
        <f t="shared" si="4"/>
        <v>-2.2981333293569342</v>
      </c>
      <c r="AV13" s="99"/>
      <c r="AW13" s="318" t="s">
        <v>64</v>
      </c>
      <c r="AY13" s="212">
        <f>IF($AW$13=$K$3,$C$13 * COS(AY11+RADIANS(D13)),0)</f>
        <v>-1.9283628290596182</v>
      </c>
      <c r="AZ13" s="5"/>
      <c r="BB13" s="77">
        <f>IF($AW$13=$K$3,$C13,0)</f>
        <v>3</v>
      </c>
      <c r="BC13" s="77">
        <f>$AY$10+90+$D$13</f>
        <v>-40</v>
      </c>
      <c r="BD13" s="311">
        <f>BB13*COS(RADIANS(BC13))</f>
        <v>2.2981333293569342</v>
      </c>
      <c r="BE13" s="311">
        <f>BB13*SIN(RADIANS(BC13))</f>
        <v>-1.9283628290596178</v>
      </c>
      <c r="BF13" s="311">
        <v>0</v>
      </c>
      <c r="BG13" s="311">
        <f>BD13</f>
        <v>2.2981333293569342</v>
      </c>
      <c r="BH13" s="311">
        <v>0</v>
      </c>
      <c r="BI13" s="311">
        <f>BE13</f>
        <v>-1.9283628290596178</v>
      </c>
    </row>
    <row r="14" spans="3:70" ht="18.5" x14ac:dyDescent="0.45">
      <c r="E14" s="316"/>
      <c r="F14" s="316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Y14" s="99"/>
      <c r="BD14" s="313"/>
      <c r="BE14" s="313"/>
      <c r="BF14" s="313"/>
      <c r="BG14" s="313"/>
      <c r="BH14" s="313"/>
      <c r="BI14" s="313"/>
    </row>
    <row r="15" spans="3:70" ht="18.5" x14ac:dyDescent="0.45">
      <c r="D15" s="1"/>
      <c r="E15" s="316"/>
      <c r="F15" s="316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Y15" s="99"/>
      <c r="BD15" s="313"/>
      <c r="BE15" s="313"/>
      <c r="BF15" s="313"/>
      <c r="BG15" s="313"/>
      <c r="BH15" s="313"/>
      <c r="BI15" s="313"/>
      <c r="BJ15" s="5" t="s">
        <v>637</v>
      </c>
      <c r="BK15" s="5"/>
      <c r="BL15" s="5"/>
      <c r="BM15" s="5"/>
      <c r="BN15" s="5" t="s">
        <v>638</v>
      </c>
      <c r="BO15" s="5"/>
      <c r="BP15" s="5"/>
      <c r="BQ15" s="5"/>
    </row>
    <row r="16" spans="3:70" ht="18.5" x14ac:dyDescent="0.45">
      <c r="D16" s="321"/>
      <c r="E16" s="319" t="s">
        <v>635</v>
      </c>
      <c r="F16" s="319" t="s">
        <v>631</v>
      </c>
      <c r="G16" s="212">
        <f>IF($AW$16=$K$3,G12+G13,0)</f>
        <v>-3</v>
      </c>
      <c r="H16" s="212">
        <f t="shared" ref="H16:AU16" si="5">IF($AW$16=$K$3,H12+H13,0)</f>
        <v>-2.7807750813696934</v>
      </c>
      <c r="I16" s="212">
        <f t="shared" si="5"/>
        <v>-2.477057719032056</v>
      </c>
      <c r="J16" s="212">
        <f t="shared" si="5"/>
        <v>-2.098076211353316</v>
      </c>
      <c r="K16" s="212">
        <f t="shared" si="5"/>
        <v>-1.6553457196703945</v>
      </c>
      <c r="L16" s="212">
        <f t="shared" si="5"/>
        <v>-1.1623183859406403</v>
      </c>
      <c r="M16" s="212">
        <f t="shared" si="5"/>
        <v>-0.63397459621556207</v>
      </c>
      <c r="N16" s="212">
        <f t="shared" si="5"/>
        <v>-8.6367809191097877E-2</v>
      </c>
      <c r="O16" s="212">
        <f t="shared" si="5"/>
        <v>0.46386322001141711</v>
      </c>
      <c r="P16" s="212">
        <f t="shared" si="5"/>
        <v>1.0000000000000002</v>
      </c>
      <c r="Q16" s="212">
        <f t="shared" si="5"/>
        <v>1.5057522860129993</v>
      </c>
      <c r="R16" s="212">
        <f t="shared" si="5"/>
        <v>1.9657530507629148</v>
      </c>
      <c r="S16" s="212">
        <f t="shared" si="5"/>
        <v>2.3660254037844384</v>
      </c>
      <c r="T16" s="212">
        <f t="shared" si="5"/>
        <v>2.6944072721785965</v>
      </c>
      <c r="U16" s="212">
        <f t="shared" si="5"/>
        <v>2.9409209390434734</v>
      </c>
      <c r="V16" s="212">
        <f t="shared" si="5"/>
        <v>3.098076211353316</v>
      </c>
      <c r="W16" s="212">
        <f t="shared" si="5"/>
        <v>3.1610980056833937</v>
      </c>
      <c r="X16" s="212">
        <f t="shared" si="5"/>
        <v>3.1280714367035545</v>
      </c>
      <c r="Y16" s="212">
        <f t="shared" si="5"/>
        <v>3</v>
      </c>
      <c r="Z16" s="212">
        <f t="shared" si="5"/>
        <v>2.7807750813696934</v>
      </c>
      <c r="AA16" s="212">
        <f t="shared" si="5"/>
        <v>2.4770577190320564</v>
      </c>
      <c r="AB16" s="212">
        <f t="shared" si="5"/>
        <v>2.0980762113533156</v>
      </c>
      <c r="AC16" s="212">
        <f t="shared" si="5"/>
        <v>1.6553457196703949</v>
      </c>
      <c r="AD16" s="212">
        <f t="shared" si="5"/>
        <v>1.1623183859406405</v>
      </c>
      <c r="AE16" s="212">
        <f t="shared" si="5"/>
        <v>0.63397459621556251</v>
      </c>
      <c r="AF16" s="212">
        <f t="shared" si="5"/>
        <v>8.6367809191099543E-2</v>
      </c>
      <c r="AG16" s="212">
        <f t="shared" si="5"/>
        <v>-0.46386322001141733</v>
      </c>
      <c r="AH16" s="212">
        <f t="shared" si="5"/>
        <v>-0.99999999999999978</v>
      </c>
      <c r="AI16" s="212">
        <f t="shared" si="5"/>
        <v>-1.5057522860129984</v>
      </c>
      <c r="AJ16" s="212">
        <f t="shared" si="5"/>
        <v>-1.9657530507629133</v>
      </c>
      <c r="AK16" s="212">
        <f t="shared" si="5"/>
        <v>-2.3660254037844393</v>
      </c>
      <c r="AL16" s="212">
        <f t="shared" si="5"/>
        <v>-2.6944072721785961</v>
      </c>
      <c r="AM16" s="212">
        <f t="shared" si="5"/>
        <v>-2.9409209390434734</v>
      </c>
      <c r="AN16" s="212">
        <f t="shared" si="5"/>
        <v>-3.098076211353316</v>
      </c>
      <c r="AO16" s="212">
        <f t="shared" si="5"/>
        <v>-3.1610980056833937</v>
      </c>
      <c r="AP16" s="212">
        <f t="shared" si="5"/>
        <v>-3.1280714367035549</v>
      </c>
      <c r="AQ16" s="212">
        <f t="shared" si="5"/>
        <v>-3.0000000000000004</v>
      </c>
      <c r="AR16" s="212">
        <f t="shared" si="5"/>
        <v>-2.7807750813696943</v>
      </c>
      <c r="AS16" s="212">
        <f t="shared" si="5"/>
        <v>-2.477057719032056</v>
      </c>
      <c r="AT16" s="212">
        <f t="shared" si="5"/>
        <v>-2.0980762113533178</v>
      </c>
      <c r="AU16" s="212">
        <f t="shared" si="5"/>
        <v>-1.6553457196703949</v>
      </c>
      <c r="AV16" s="99"/>
      <c r="AW16" s="318" t="s">
        <v>64</v>
      </c>
      <c r="AY16" s="212">
        <f>IF($AW$16=$K$3,AY12+AY13,0)</f>
        <v>-1.1623183859406403</v>
      </c>
      <c r="BB16" s="311">
        <f>SQRT(BD16^2+BE16^2)</f>
        <v>3.1622776601683795</v>
      </c>
      <c r="BC16" s="311">
        <f>IF($AW$16=$K$3,DEGREES(ATAN2(BD16,BE16)),0)</f>
        <v>-21.56505117707799</v>
      </c>
      <c r="BD16" s="311">
        <f>IF($AW$16=$K$3,BD12+BD13,0)</f>
        <v>2.9409209390434734</v>
      </c>
      <c r="BE16" s="311">
        <f>IF($AW$16=$K$3,BE12+BE13,0)</f>
        <v>-1.1623183859406399</v>
      </c>
      <c r="BF16" s="311">
        <v>0</v>
      </c>
      <c r="BG16" s="311">
        <f>BD16</f>
        <v>2.9409209390434734</v>
      </c>
      <c r="BH16" s="311">
        <v>0</v>
      </c>
      <c r="BI16" s="322">
        <f>BE16</f>
        <v>-1.1623183859406399</v>
      </c>
      <c r="BJ16" s="311">
        <f>IF($AW$16=$K$3,BD13,0)</f>
        <v>2.2981333293569342</v>
      </c>
      <c r="BK16" s="311">
        <f>BD16</f>
        <v>2.9409209390434734</v>
      </c>
      <c r="BL16" s="311">
        <f>IF($AW$16=$K$3,BE13,0)</f>
        <v>-1.9283628290596178</v>
      </c>
      <c r="BM16" s="311">
        <f>BE16</f>
        <v>-1.1623183859406399</v>
      </c>
      <c r="BN16" s="311">
        <f>BD12</f>
        <v>0.64278760968653936</v>
      </c>
      <c r="BO16" s="311">
        <f>BK16</f>
        <v>2.9409209390434734</v>
      </c>
      <c r="BP16" s="311">
        <f>IF($AW$16=$K$3,BE12,0)</f>
        <v>0.76604444311897801</v>
      </c>
      <c r="BQ16" s="311">
        <f>BM16</f>
        <v>-1.1623183859406399</v>
      </c>
    </row>
    <row r="17" spans="4:61" ht="18.5" x14ac:dyDescent="0.45">
      <c r="D17" s="321"/>
      <c r="E17" s="320" t="s">
        <v>635</v>
      </c>
      <c r="F17" s="320" t="s">
        <v>636</v>
      </c>
      <c r="G17" s="212">
        <f>IF($AW$17=$K$3,G12*G13,0)</f>
        <v>0</v>
      </c>
      <c r="H17" s="212">
        <f t="shared" ref="H17:AU17" si="6">IF($AW$17=$K$3,H12*H13,0)</f>
        <v>0</v>
      </c>
      <c r="I17" s="212">
        <f t="shared" si="6"/>
        <v>0</v>
      </c>
      <c r="J17" s="212">
        <f t="shared" si="6"/>
        <v>0</v>
      </c>
      <c r="K17" s="212">
        <f t="shared" si="6"/>
        <v>0</v>
      </c>
      <c r="L17" s="212">
        <f t="shared" si="6"/>
        <v>0</v>
      </c>
      <c r="M17" s="212">
        <f t="shared" si="6"/>
        <v>0</v>
      </c>
      <c r="N17" s="212">
        <f t="shared" si="6"/>
        <v>0</v>
      </c>
      <c r="O17" s="212">
        <f t="shared" si="6"/>
        <v>0</v>
      </c>
      <c r="P17" s="212">
        <f t="shared" si="6"/>
        <v>0</v>
      </c>
      <c r="Q17" s="212">
        <f t="shared" si="6"/>
        <v>0</v>
      </c>
      <c r="R17" s="212">
        <f t="shared" si="6"/>
        <v>0</v>
      </c>
      <c r="S17" s="212">
        <f t="shared" si="6"/>
        <v>0</v>
      </c>
      <c r="T17" s="212">
        <f t="shared" si="6"/>
        <v>0</v>
      </c>
      <c r="U17" s="212">
        <f t="shared" si="6"/>
        <v>0</v>
      </c>
      <c r="V17" s="212">
        <f t="shared" si="6"/>
        <v>0</v>
      </c>
      <c r="W17" s="212">
        <f t="shared" si="6"/>
        <v>0</v>
      </c>
      <c r="X17" s="212">
        <f t="shared" si="6"/>
        <v>0</v>
      </c>
      <c r="Y17" s="212">
        <f t="shared" si="6"/>
        <v>0</v>
      </c>
      <c r="Z17" s="212">
        <f t="shared" si="6"/>
        <v>0</v>
      </c>
      <c r="AA17" s="212">
        <f t="shared" si="6"/>
        <v>0</v>
      </c>
      <c r="AB17" s="212">
        <f t="shared" si="6"/>
        <v>0</v>
      </c>
      <c r="AC17" s="212">
        <f t="shared" si="6"/>
        <v>0</v>
      </c>
      <c r="AD17" s="212">
        <f t="shared" si="6"/>
        <v>0</v>
      </c>
      <c r="AE17" s="212">
        <f t="shared" si="6"/>
        <v>0</v>
      </c>
      <c r="AF17" s="212">
        <f t="shared" si="6"/>
        <v>0</v>
      </c>
      <c r="AG17" s="212">
        <f t="shared" si="6"/>
        <v>0</v>
      </c>
      <c r="AH17" s="212">
        <f t="shared" si="6"/>
        <v>0</v>
      </c>
      <c r="AI17" s="212">
        <f t="shared" si="6"/>
        <v>0</v>
      </c>
      <c r="AJ17" s="212">
        <f t="shared" si="6"/>
        <v>0</v>
      </c>
      <c r="AK17" s="212">
        <f t="shared" si="6"/>
        <v>0</v>
      </c>
      <c r="AL17" s="212">
        <f t="shared" si="6"/>
        <v>0</v>
      </c>
      <c r="AM17" s="212">
        <f t="shared" si="6"/>
        <v>0</v>
      </c>
      <c r="AN17" s="212">
        <f t="shared" si="6"/>
        <v>0</v>
      </c>
      <c r="AO17" s="212">
        <f t="shared" si="6"/>
        <v>0</v>
      </c>
      <c r="AP17" s="212">
        <f t="shared" si="6"/>
        <v>0</v>
      </c>
      <c r="AQ17" s="212">
        <f t="shared" si="6"/>
        <v>0</v>
      </c>
      <c r="AR17" s="212">
        <f t="shared" si="6"/>
        <v>0</v>
      </c>
      <c r="AS17" s="212">
        <f t="shared" si="6"/>
        <v>0</v>
      </c>
      <c r="AT17" s="212">
        <f t="shared" si="6"/>
        <v>0</v>
      </c>
      <c r="AU17" s="212">
        <f t="shared" si="6"/>
        <v>0</v>
      </c>
      <c r="AV17" s="99"/>
      <c r="AW17" s="318" t="s">
        <v>65</v>
      </c>
      <c r="AY17" s="212">
        <f>IF($AW$17=$K$3,AY12*AY13,0)</f>
        <v>0</v>
      </c>
      <c r="BD17" s="313"/>
      <c r="BE17" s="313"/>
      <c r="BF17" s="313"/>
      <c r="BG17" s="313"/>
      <c r="BH17" s="313"/>
      <c r="BI17" s="313"/>
    </row>
    <row r="18" spans="4:61" x14ac:dyDescent="0.35">
      <c r="E18" s="314"/>
      <c r="F18" s="315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Y18" s="99"/>
      <c r="BD18" s="313"/>
      <c r="BE18" s="313"/>
      <c r="BF18" s="313"/>
      <c r="BG18" s="313"/>
      <c r="BH18" s="313"/>
      <c r="BI18" s="313"/>
    </row>
    <row r="61" spans="5:49" ht="18.5" x14ac:dyDescent="0.45">
      <c r="E61" s="273" t="s">
        <v>633</v>
      </c>
      <c r="F61" s="273" t="s">
        <v>318</v>
      </c>
      <c r="G61" s="212">
        <f t="shared" ref="G61:AU61" si="7">IF(ABS(TAN(G11))&gt;10,0,TAN(G11))</f>
        <v>0</v>
      </c>
      <c r="H61" s="212">
        <f t="shared" si="7"/>
        <v>0.17632698070846498</v>
      </c>
      <c r="I61" s="212">
        <f t="shared" si="7"/>
        <v>0.36397023426620234</v>
      </c>
      <c r="J61" s="212">
        <f t="shared" si="7"/>
        <v>0.57735026918962573</v>
      </c>
      <c r="K61" s="212">
        <f t="shared" si="7"/>
        <v>0.83909963117727993</v>
      </c>
      <c r="L61" s="212">
        <f t="shared" si="7"/>
        <v>1.19175359259421</v>
      </c>
      <c r="M61" s="212">
        <f t="shared" si="7"/>
        <v>1.7320508075688767</v>
      </c>
      <c r="N61" s="212">
        <f t="shared" si="7"/>
        <v>2.7474774194546216</v>
      </c>
      <c r="O61" s="212">
        <f t="shared" si="7"/>
        <v>5.6712818196177066</v>
      </c>
      <c r="P61" s="212">
        <f t="shared" si="7"/>
        <v>0</v>
      </c>
      <c r="Q61" s="212">
        <f t="shared" si="7"/>
        <v>-5.6712818196177111</v>
      </c>
      <c r="R61" s="212">
        <f t="shared" si="7"/>
        <v>-2.7474774194546225</v>
      </c>
      <c r="S61" s="212">
        <f t="shared" si="7"/>
        <v>-1.7320508075688783</v>
      </c>
      <c r="T61" s="212">
        <f t="shared" si="7"/>
        <v>-1.19175359259421</v>
      </c>
      <c r="U61" s="212">
        <f t="shared" si="7"/>
        <v>-0.83909963117728037</v>
      </c>
      <c r="V61" s="212">
        <f t="shared" si="7"/>
        <v>-0.57735026918962573</v>
      </c>
      <c r="W61" s="212">
        <f t="shared" si="7"/>
        <v>-0.36397023426620256</v>
      </c>
      <c r="X61" s="212">
        <f t="shared" si="7"/>
        <v>-0.17632698070846489</v>
      </c>
      <c r="Y61" s="212">
        <f t="shared" si="7"/>
        <v>-1.22514845490862E-16</v>
      </c>
      <c r="Z61" s="212">
        <f t="shared" si="7"/>
        <v>0.17632698070846509</v>
      </c>
      <c r="AA61" s="212">
        <f t="shared" si="7"/>
        <v>0.36397023426620229</v>
      </c>
      <c r="AB61" s="212">
        <f t="shared" si="7"/>
        <v>0.57735026918962595</v>
      </c>
      <c r="AC61" s="212">
        <f t="shared" si="7"/>
        <v>0.83909963117727993</v>
      </c>
      <c r="AD61" s="212">
        <f t="shared" si="7"/>
        <v>1.1917535925942093</v>
      </c>
      <c r="AE61" s="212">
        <f t="shared" si="7"/>
        <v>1.7320508075688754</v>
      </c>
      <c r="AF61" s="212">
        <f t="shared" si="7"/>
        <v>2.7474774194546168</v>
      </c>
      <c r="AG61" s="212">
        <f t="shared" si="7"/>
        <v>5.6712818196177102</v>
      </c>
      <c r="AH61" s="212">
        <f t="shared" si="7"/>
        <v>0</v>
      </c>
      <c r="AI61" s="212">
        <f t="shared" si="7"/>
        <v>-5.6712818196177226</v>
      </c>
      <c r="AJ61" s="212">
        <f t="shared" si="7"/>
        <v>-2.7474774194546274</v>
      </c>
      <c r="AK61" s="212">
        <f t="shared" si="7"/>
        <v>-1.732050807568877</v>
      </c>
      <c r="AL61" s="212">
        <f t="shared" si="7"/>
        <v>-1.1917535925942102</v>
      </c>
      <c r="AM61" s="212">
        <f t="shared" si="7"/>
        <v>-0.83909963117728059</v>
      </c>
      <c r="AN61" s="212">
        <f t="shared" si="7"/>
        <v>-0.57735026918962651</v>
      </c>
      <c r="AO61" s="212">
        <f t="shared" si="7"/>
        <v>-0.36397023426620218</v>
      </c>
      <c r="AP61" s="212">
        <f t="shared" si="7"/>
        <v>-0.17632698070846592</v>
      </c>
      <c r="AQ61" s="212">
        <f t="shared" si="7"/>
        <v>-2.45029690981724E-16</v>
      </c>
      <c r="AR61" s="212">
        <f t="shared" si="7"/>
        <v>0.1763269807084645</v>
      </c>
      <c r="AS61" s="212">
        <f t="shared" si="7"/>
        <v>0.36397023426620262</v>
      </c>
      <c r="AT61" s="212">
        <f t="shared" si="7"/>
        <v>0.57735026918962462</v>
      </c>
      <c r="AU61" s="212">
        <f t="shared" si="7"/>
        <v>0.8390996311772797</v>
      </c>
      <c r="AV61" s="312"/>
      <c r="AW61" s="312"/>
    </row>
    <row r="62" spans="5:49" ht="18.5" x14ac:dyDescent="0.45">
      <c r="E62" s="279" t="s">
        <v>634</v>
      </c>
      <c r="F62" s="279" t="s">
        <v>630</v>
      </c>
      <c r="G62" s="212">
        <f t="shared" ref="G62:AU62" si="8">SIN(G11)</f>
        <v>0</v>
      </c>
      <c r="H62" s="212">
        <f t="shared" si="8"/>
        <v>0.17364817766693033</v>
      </c>
      <c r="I62" s="212">
        <f t="shared" si="8"/>
        <v>0.34202014332566871</v>
      </c>
      <c r="J62" s="212">
        <f t="shared" si="8"/>
        <v>0.49999999999999994</v>
      </c>
      <c r="K62" s="212">
        <f t="shared" si="8"/>
        <v>0.64278760968653925</v>
      </c>
      <c r="L62" s="212">
        <f t="shared" si="8"/>
        <v>0.76604444311897801</v>
      </c>
      <c r="M62" s="212">
        <f t="shared" si="8"/>
        <v>0.8660254037844386</v>
      </c>
      <c r="N62" s="212">
        <f t="shared" si="8"/>
        <v>0.93969262078590832</v>
      </c>
      <c r="O62" s="212">
        <f t="shared" si="8"/>
        <v>0.98480775301220802</v>
      </c>
      <c r="P62" s="212">
        <f t="shared" si="8"/>
        <v>1</v>
      </c>
      <c r="Q62" s="212">
        <f t="shared" si="8"/>
        <v>0.98480775301220802</v>
      </c>
      <c r="R62" s="212">
        <f t="shared" si="8"/>
        <v>0.93969262078590843</v>
      </c>
      <c r="S62" s="212">
        <f t="shared" si="8"/>
        <v>0.86602540378443871</v>
      </c>
      <c r="T62" s="212">
        <f t="shared" si="8"/>
        <v>0.76604444311897801</v>
      </c>
      <c r="U62" s="212">
        <f t="shared" si="8"/>
        <v>0.64278760968653947</v>
      </c>
      <c r="V62" s="212">
        <f t="shared" si="8"/>
        <v>0.49999999999999994</v>
      </c>
      <c r="W62" s="212">
        <f t="shared" si="8"/>
        <v>0.34202014332566888</v>
      </c>
      <c r="X62" s="212">
        <f t="shared" si="8"/>
        <v>0.17364817766693028</v>
      </c>
      <c r="Y62" s="212">
        <f t="shared" si="8"/>
        <v>1.22514845490862E-16</v>
      </c>
      <c r="Z62" s="212">
        <f t="shared" si="8"/>
        <v>-0.17364817766693047</v>
      </c>
      <c r="AA62" s="212">
        <f t="shared" si="8"/>
        <v>-0.34202014332566866</v>
      </c>
      <c r="AB62" s="212">
        <f t="shared" si="8"/>
        <v>-0.50000000000000011</v>
      </c>
      <c r="AC62" s="212">
        <f t="shared" si="8"/>
        <v>-0.64278760968653925</v>
      </c>
      <c r="AD62" s="212">
        <f t="shared" si="8"/>
        <v>-0.7660444431189779</v>
      </c>
      <c r="AE62" s="212">
        <f t="shared" si="8"/>
        <v>-0.86602540378443837</v>
      </c>
      <c r="AF62" s="212">
        <f t="shared" si="8"/>
        <v>-0.93969262078590821</v>
      </c>
      <c r="AG62" s="212">
        <f t="shared" si="8"/>
        <v>-0.98480775301220802</v>
      </c>
      <c r="AH62" s="212">
        <f t="shared" si="8"/>
        <v>-1</v>
      </c>
      <c r="AI62" s="212">
        <f t="shared" si="8"/>
        <v>-0.98480775301220813</v>
      </c>
      <c r="AJ62" s="212">
        <f t="shared" si="8"/>
        <v>-0.93969262078590854</v>
      </c>
      <c r="AK62" s="212">
        <f t="shared" si="8"/>
        <v>-0.8660254037844386</v>
      </c>
      <c r="AL62" s="212">
        <f t="shared" si="8"/>
        <v>-0.76604444311897812</v>
      </c>
      <c r="AM62" s="212">
        <f t="shared" si="8"/>
        <v>-0.64278760968653958</v>
      </c>
      <c r="AN62" s="212">
        <f t="shared" si="8"/>
        <v>-0.50000000000000044</v>
      </c>
      <c r="AO62" s="212">
        <f t="shared" si="8"/>
        <v>-0.3420201433256686</v>
      </c>
      <c r="AP62" s="212">
        <f t="shared" si="8"/>
        <v>-0.17364817766693127</v>
      </c>
      <c r="AQ62" s="212">
        <f t="shared" si="8"/>
        <v>-2.45029690981724E-16</v>
      </c>
      <c r="AR62" s="212">
        <f t="shared" si="8"/>
        <v>0.17364817766692991</v>
      </c>
      <c r="AS62" s="212">
        <f t="shared" si="8"/>
        <v>0.34202014332566893</v>
      </c>
      <c r="AT62" s="212">
        <f t="shared" si="8"/>
        <v>0.49999999999999928</v>
      </c>
      <c r="AU62" s="212">
        <f t="shared" si="8"/>
        <v>0.64278760968653914</v>
      </c>
      <c r="AV62" s="312"/>
      <c r="AW62" s="312"/>
    </row>
    <row r="91" spans="5:18" ht="15" thickBot="1" x14ac:dyDescent="0.4"/>
    <row r="92" spans="5:18" ht="27" customHeight="1" thickBot="1" x14ac:dyDescent="0.4">
      <c r="E92" s="386" t="s">
        <v>653</v>
      </c>
      <c r="F92" s="350" t="s">
        <v>652</v>
      </c>
      <c r="G92" s="350" t="s">
        <v>658</v>
      </c>
      <c r="H92" s="350" t="s">
        <v>654</v>
      </c>
      <c r="I92" s="350" t="s">
        <v>655</v>
      </c>
      <c r="J92" s="350" t="s">
        <v>656</v>
      </c>
      <c r="K92" s="350" t="s">
        <v>663</v>
      </c>
      <c r="L92" s="420" t="s">
        <v>659</v>
      </c>
      <c r="M92" s="420"/>
      <c r="N92" s="420"/>
      <c r="O92" s="421"/>
      <c r="P92" s="422" t="s">
        <v>65</v>
      </c>
      <c r="Q92" s="423"/>
      <c r="R92" s="424"/>
    </row>
    <row r="93" spans="5:18" s="61" customFormat="1" ht="34" customHeight="1" x14ac:dyDescent="0.35">
      <c r="E93" s="347">
        <v>45</v>
      </c>
      <c r="F93" s="387" t="s">
        <v>298</v>
      </c>
      <c r="G93" s="388" t="str">
        <f>IF($P$92=$K$3,IF(F93=$L$3,RADIANS(E93),E93),"")</f>
        <v/>
      </c>
      <c r="H93" s="348" t="str">
        <f>IF($P$92=$K$3,SIN(G93),"")</f>
        <v/>
      </c>
      <c r="I93" s="348" t="str">
        <f>IF($P$92=$K$3,COS(G93),"")</f>
        <v/>
      </c>
      <c r="J93" s="348" t="str">
        <f>IF($P$92=$K$3,TAN(G93),"")</f>
        <v/>
      </c>
      <c r="K93" s="389" t="str">
        <f>IF($P$92=$K$3,IF(F93=$L$4,DEGREES(E93),E93),"")</f>
        <v/>
      </c>
    </row>
    <row r="94" spans="5:18" s="61" customFormat="1" ht="34" customHeight="1" x14ac:dyDescent="0.35">
      <c r="E94" s="347" t="s">
        <v>657</v>
      </c>
      <c r="F94" s="387" t="s">
        <v>300</v>
      </c>
      <c r="G94" s="388" t="str">
        <f>IF($P$92=$K$3,2*PI(),"")</f>
        <v/>
      </c>
      <c r="H94" s="348" t="str">
        <f t="shared" ref="H94:H96" si="9">IF($P$92=$K$3,SIN(G94),"")</f>
        <v/>
      </c>
      <c r="I94" s="348" t="str">
        <f t="shared" ref="I94:I96" si="10">IF($P$92=$K$3,COS(G94),"")</f>
        <v/>
      </c>
      <c r="J94" s="348" t="str">
        <f t="shared" ref="J94:J96" si="11">IF($P$92=$K$3,TAN(G94),"")</f>
        <v/>
      </c>
      <c r="K94" s="389" t="str">
        <f>IF($P$92=$K$3,IF(F94=$L$4,DEGREES(2*PI()),2*PI()),"")</f>
        <v/>
      </c>
    </row>
    <row r="95" spans="5:18" s="61" customFormat="1" ht="34" customHeight="1" x14ac:dyDescent="0.35">
      <c r="E95" s="347">
        <v>-3.14</v>
      </c>
      <c r="F95" s="387" t="s">
        <v>300</v>
      </c>
      <c r="G95" s="388" t="str">
        <f>IF($P$92=$K$3,IF(F95=$L$3,RADIANS(E95),E95),"")</f>
        <v/>
      </c>
      <c r="H95" s="348" t="str">
        <f t="shared" si="9"/>
        <v/>
      </c>
      <c r="I95" s="348" t="str">
        <f t="shared" si="10"/>
        <v/>
      </c>
      <c r="J95" s="348" t="str">
        <f t="shared" si="11"/>
        <v/>
      </c>
      <c r="K95" s="389" t="str">
        <f t="shared" ref="K95:K96" si="12">IF($P$92=$K$3,IF(F95=$L$4,DEGREES(E95),E95),"")</f>
        <v/>
      </c>
    </row>
    <row r="96" spans="5:18" s="61" customFormat="1" ht="34" customHeight="1" x14ac:dyDescent="0.35">
      <c r="E96" s="347">
        <v>-30</v>
      </c>
      <c r="F96" s="387" t="s">
        <v>298</v>
      </c>
      <c r="G96" s="388" t="str">
        <f>IF($P$92=$K$3,IF(F96=$L$3,RADIANS(E96),E96),"")</f>
        <v/>
      </c>
      <c r="H96" s="348" t="str">
        <f t="shared" si="9"/>
        <v/>
      </c>
      <c r="I96" s="348" t="str">
        <f t="shared" si="10"/>
        <v/>
      </c>
      <c r="J96" s="348" t="str">
        <f t="shared" si="11"/>
        <v/>
      </c>
      <c r="K96" s="389" t="str">
        <f t="shared" si="12"/>
        <v/>
      </c>
    </row>
    <row r="100" spans="5:11" ht="30" customHeight="1" x14ac:dyDescent="0.35">
      <c r="E100" s="92"/>
      <c r="F100" s="92"/>
      <c r="G100" s="349" t="s">
        <v>663</v>
      </c>
      <c r="H100" s="349" t="s">
        <v>658</v>
      </c>
    </row>
    <row r="101" spans="5:11" ht="32.5" customHeight="1" x14ac:dyDescent="0.35">
      <c r="E101" s="350" t="s">
        <v>660</v>
      </c>
      <c r="F101" s="347">
        <v>0.25</v>
      </c>
      <c r="G101" s="352" t="str">
        <f>IF($P$92=$K$3,DEGREES(ASIN(F101)),"")</f>
        <v/>
      </c>
      <c r="H101" s="351" t="str">
        <f>IF($P$92=$K$3,ASIN(F101),"")</f>
        <v/>
      </c>
    </row>
    <row r="102" spans="5:11" ht="32.5" customHeight="1" x14ac:dyDescent="0.35">
      <c r="E102" s="350" t="s">
        <v>660</v>
      </c>
      <c r="F102" s="347">
        <v>-0.5</v>
      </c>
      <c r="G102" s="352" t="str">
        <f>IF($P$92=$K$3,DEGREES(ASIN(F102)),"")</f>
        <v/>
      </c>
      <c r="H102" s="351" t="str">
        <f>IF($P$92=$K$3,ASIN(F102),"")</f>
        <v/>
      </c>
    </row>
    <row r="103" spans="5:11" ht="32.5" customHeight="1" x14ac:dyDescent="0.35">
      <c r="E103" s="350" t="s">
        <v>661</v>
      </c>
      <c r="F103" s="347">
        <v>-0.5</v>
      </c>
      <c r="G103" s="352" t="str">
        <f>IF($P$92=$K$3,DEGREES(ACOS(F103)),"")</f>
        <v/>
      </c>
      <c r="H103" s="351" t="str">
        <f>IF($P$92=$K$3,ACOS(F103),"")</f>
        <v/>
      </c>
    </row>
    <row r="104" spans="5:11" ht="32.5" customHeight="1" x14ac:dyDescent="0.35">
      <c r="E104" s="350" t="s">
        <v>661</v>
      </c>
      <c r="F104" s="347">
        <f>1/SQRT(2)</f>
        <v>0.70710678118654746</v>
      </c>
      <c r="G104" s="352" t="str">
        <f>IF($P$92=$K$3,DEGREES(ACOS(F104)),"")</f>
        <v/>
      </c>
      <c r="H104" s="351" t="str">
        <f>IF($P$92=$K$3,ACOS(F104),"")</f>
        <v/>
      </c>
    </row>
    <row r="105" spans="5:11" ht="32.5" customHeight="1" x14ac:dyDescent="0.35">
      <c r="E105" s="350" t="s">
        <v>662</v>
      </c>
      <c r="F105" s="347">
        <v>50</v>
      </c>
      <c r="G105" s="352" t="str">
        <f>IF($P$92=$K$3,DEGREES(ATAN(F105)),"")</f>
        <v/>
      </c>
      <c r="H105" s="351" t="str">
        <f>IF($P$92=$K$3,ATAN(F105),"")</f>
        <v/>
      </c>
    </row>
    <row r="106" spans="5:11" ht="32.5" customHeight="1" x14ac:dyDescent="0.35">
      <c r="E106" s="350" t="s">
        <v>662</v>
      </c>
      <c r="F106" s="347">
        <v>0.25</v>
      </c>
      <c r="G106" s="352" t="str">
        <f>IF($P$92=$K$3,DEGREES(ATAN(F106)),"")</f>
        <v/>
      </c>
      <c r="H106" s="351" t="str">
        <f>IF($P$92=$K$3,ATAN(F106),"")</f>
        <v/>
      </c>
    </row>
    <row r="110" spans="5:11" ht="26.5" thickBot="1" x14ac:dyDescent="0.65">
      <c r="E110" s="353" t="s">
        <v>664</v>
      </c>
      <c r="F110" s="353"/>
      <c r="H110" s="354" t="s">
        <v>821</v>
      </c>
    </row>
    <row r="111" spans="5:11" x14ac:dyDescent="0.35">
      <c r="E111" s="366" t="s">
        <v>665</v>
      </c>
      <c r="F111" s="10">
        <v>5</v>
      </c>
      <c r="G111" s="10" t="s">
        <v>713</v>
      </c>
      <c r="H111" s="10" t="s">
        <v>716</v>
      </c>
      <c r="I111" s="367">
        <f>F111*VLOOKUP(G111, CHOOSE({1,2,3,4}, Einheitenvorsätze!A:A, Einheitenvorsätze!B:B, Einheitenvorsätze!C:C, Einheitenvorsätze!D:D), 3, FALSE)</f>
        <v>0.05</v>
      </c>
      <c r="J111" s="367" t="str">
        <f>H111</f>
        <v>m</v>
      </c>
      <c r="K111" s="368" t="str">
        <f>_xlfn.CONCAT(F111," * ",VLOOKUP(G111, CHOOSE({1,2,3,4}, Einheitenvorsätze!A:A, Einheitenvorsätze!B:B, Einheitenvorsätze!C:C, Einheitenvorsätze!D:D), 4, FALSE),H111)</f>
        <v>5 * 10⁻²m</v>
      </c>
    </row>
    <row r="112" spans="5:11" x14ac:dyDescent="0.35">
      <c r="E112" s="264" t="s">
        <v>666</v>
      </c>
      <c r="F112" s="4">
        <v>0.6</v>
      </c>
      <c r="G112" s="4" t="s">
        <v>707</v>
      </c>
      <c r="H112" s="4" t="s">
        <v>748</v>
      </c>
      <c r="I112" s="77">
        <f>F112*VLOOKUP(G112, CHOOSE({1,2,3,4}, Einheitenvorsätze!A:A, Einheitenvorsätze!B:B, Einheitenvorsätze!C:C, Einheitenvorsätze!D:D), 3, FALSE)</f>
        <v>0.6</v>
      </c>
      <c r="J112" s="77" t="str">
        <f t="shared" ref="J112:J113" si="13">H112</f>
        <v>Hz</v>
      </c>
      <c r="K112" s="268" t="str">
        <f>_xlfn.CONCAT(F112," * ",VLOOKUP(G112, CHOOSE({1,2,3,4}, Einheitenvorsätze!A:A, Einheitenvorsätze!B:B, Einheitenvorsätze!C:C, Einheitenvorsätze!D:D), 4, FALSE),H112)</f>
        <v>0.6 * 10⁰Hz</v>
      </c>
    </row>
    <row r="113" spans="4:11" ht="15" thickBot="1" x14ac:dyDescent="0.4">
      <c r="E113" s="369" t="s">
        <v>667</v>
      </c>
      <c r="F113" s="11">
        <v>6.2</v>
      </c>
      <c r="G113" s="11" t="s">
        <v>707</v>
      </c>
      <c r="H113" s="11" t="s">
        <v>745</v>
      </c>
      <c r="I113" s="370">
        <f>F113*VLOOKUP(G113, CHOOSE({1,2,3,4}, Einheitenvorsätze!A:A, Einheitenvorsätze!B:B, Einheitenvorsätze!C:C, Einheitenvorsätze!D:D), 3, FALSE)</f>
        <v>6.2</v>
      </c>
      <c r="J113" s="370" t="str">
        <f t="shared" si="13"/>
        <v>s</v>
      </c>
      <c r="K113" s="371" t="str">
        <f>_xlfn.CONCAT(F113," * ",VLOOKUP(G113, CHOOSE({1,2,3,4}, Einheitenvorsätze!A:A, Einheitenvorsätze!B:B, Einheitenvorsätze!C:C, Einheitenvorsätze!D:D), 4, FALSE),H113)</f>
        <v>6.2 * 10⁰s</v>
      </c>
    </row>
    <row r="116" spans="4:11" ht="18.5" x14ac:dyDescent="0.45">
      <c r="D116" s="168"/>
      <c r="E116" s="373" t="str">
        <f>_xlfn.CONCAT("y(",$K$113,") = ")</f>
        <v xml:space="preserve">y(6.2 * 10⁰s) = </v>
      </c>
      <c r="F116" s="374" t="str">
        <f>_xlfn.CONCAT(K111, " * sin(2",Einheitenvorsätze!$C$53," * ",K112," * ",K113,")")</f>
        <v>5 * 10⁻²m * sin(2π * 0.6 * 10⁰Hz * 6.2 * 10⁰s)</v>
      </c>
      <c r="G116" s="374"/>
      <c r="H116" s="168"/>
      <c r="I116" s="168"/>
    </row>
    <row r="117" spans="4:11" ht="18.5" x14ac:dyDescent="0.45">
      <c r="D117" s="168"/>
      <c r="E117" s="373" t="str">
        <f t="shared" ref="E117:E118" si="14">_xlfn.CONCAT("y(",$K$113,") = ")</f>
        <v xml:space="preserve">y(6.2 * 10⁰s) = </v>
      </c>
      <c r="F117" s="374" t="str">
        <f>_xlfn.CONCAT(I111, " * sin(2",Einheitenvorsätze!$C$53," * ",I112," * ",I113,")",H111)</f>
        <v>0.05 * sin(2π * 0.6 * 6.2)m</v>
      </c>
      <c r="G117" s="168"/>
      <c r="H117" s="168"/>
      <c r="I117" s="168"/>
    </row>
    <row r="118" spans="4:11" ht="23.5" x14ac:dyDescent="0.55000000000000004">
      <c r="D118" s="375"/>
      <c r="E118" s="376" t="str">
        <f t="shared" si="14"/>
        <v xml:space="preserve">y(6.2 * 10⁰s) = </v>
      </c>
      <c r="F118" s="377">
        <f>I111*SIN(MOD(2*PI()*I112*I113,2*PI()))</f>
        <v>-4.9114362536434426E-2</v>
      </c>
      <c r="G118" s="375" t="str">
        <f>H111</f>
        <v>m</v>
      </c>
      <c r="H118" s="375"/>
      <c r="I118" s="168"/>
      <c r="J118" s="66"/>
    </row>
    <row r="123" spans="4:11" ht="15" thickBot="1" x14ac:dyDescent="0.4"/>
    <row r="124" spans="4:11" x14ac:dyDescent="0.35">
      <c r="D124" s="261"/>
      <c r="E124" s="262" t="s">
        <v>828</v>
      </c>
      <c r="F124" s="382">
        <v>230</v>
      </c>
      <c r="G124" s="383" t="s">
        <v>320</v>
      </c>
    </row>
    <row r="125" spans="4:11" x14ac:dyDescent="0.35">
      <c r="D125" s="378"/>
      <c r="E125" s="8" t="s">
        <v>829</v>
      </c>
      <c r="F125" s="75">
        <v>50</v>
      </c>
      <c r="G125" s="384" t="s">
        <v>748</v>
      </c>
    </row>
    <row r="126" spans="4:11" x14ac:dyDescent="0.35">
      <c r="D126" s="378"/>
      <c r="E126" s="8" t="s">
        <v>830</v>
      </c>
      <c r="F126" s="212">
        <f>F124*SQRT(2)</f>
        <v>325.26911934581187</v>
      </c>
      <c r="G126" s="268" t="str">
        <f>G124</f>
        <v>V</v>
      </c>
    </row>
    <row r="127" spans="4:11" x14ac:dyDescent="0.35">
      <c r="D127" s="378"/>
      <c r="E127" s="8" t="s">
        <v>831</v>
      </c>
      <c r="F127" s="212">
        <f>F124</f>
        <v>230</v>
      </c>
      <c r="G127" s="268" t="str">
        <f>G124</f>
        <v>V</v>
      </c>
    </row>
    <row r="128" spans="4:11" x14ac:dyDescent="0.35">
      <c r="D128" s="378"/>
      <c r="E128" s="8" t="s">
        <v>832</v>
      </c>
      <c r="F128" s="212">
        <f>F125</f>
        <v>50</v>
      </c>
      <c r="G128" s="384" t="str">
        <f>G125</f>
        <v>Hz</v>
      </c>
    </row>
    <row r="129" spans="4:19" x14ac:dyDescent="0.35">
      <c r="D129" s="378"/>
      <c r="E129" s="8" t="s">
        <v>824</v>
      </c>
      <c r="F129" s="212">
        <f>1/F128</f>
        <v>0.02</v>
      </c>
      <c r="G129" s="384" t="s">
        <v>745</v>
      </c>
    </row>
    <row r="130" spans="4:19" x14ac:dyDescent="0.35">
      <c r="D130" s="378"/>
      <c r="E130" s="8" t="s">
        <v>825</v>
      </c>
      <c r="F130" s="212">
        <f>2*PI()*F125</f>
        <v>314.15926535897933</v>
      </c>
      <c r="G130" s="384" t="s">
        <v>833</v>
      </c>
    </row>
    <row r="131" spans="4:19" x14ac:dyDescent="0.35">
      <c r="D131" s="378"/>
      <c r="E131" s="8" t="s">
        <v>826</v>
      </c>
      <c r="F131" s="212">
        <f>I131*F129</f>
        <v>6000000</v>
      </c>
      <c r="G131" s="384" t="s">
        <v>716</v>
      </c>
      <c r="I131" s="425">
        <f>3*10^8</f>
        <v>300000000</v>
      </c>
      <c r="J131" s="426"/>
      <c r="K131" s="381" t="s">
        <v>834</v>
      </c>
      <c r="L131" s="5"/>
      <c r="M131" s="5"/>
      <c r="N131" s="5"/>
      <c r="O131" s="5"/>
      <c r="P131" s="5"/>
      <c r="Q131" s="5"/>
      <c r="R131" s="5"/>
      <c r="S131" s="5"/>
    </row>
    <row r="132" spans="4:19" ht="15" thickBot="1" x14ac:dyDescent="0.4">
      <c r="D132" s="379"/>
      <c r="E132" s="380" t="s">
        <v>827</v>
      </c>
      <c r="F132" s="385">
        <f>F126*SIN(2*PI()*F125*I132)</f>
        <v>-7.9700591799201791E-14</v>
      </c>
      <c r="G132" s="371" t="str">
        <f>G124</f>
        <v>V</v>
      </c>
      <c r="I132" s="425">
        <v>0.02</v>
      </c>
      <c r="J132" s="426"/>
      <c r="K132" s="381" t="s">
        <v>835</v>
      </c>
      <c r="L132" s="5"/>
      <c r="M132" s="5"/>
      <c r="N132" s="5"/>
      <c r="O132" s="5"/>
      <c r="P132" s="5"/>
      <c r="Q132" s="5"/>
      <c r="R132" s="5"/>
      <c r="S132" s="5"/>
    </row>
  </sheetData>
  <mergeCells count="4">
    <mergeCell ref="L92:O92"/>
    <mergeCell ref="P92:R92"/>
    <mergeCell ref="I131:J131"/>
    <mergeCell ref="I132:J132"/>
  </mergeCells>
  <dataValidations count="3">
    <dataValidation type="list" allowBlank="1" showInputMessage="1" showErrorMessage="1" sqref="F10 AZ10 F93:F96" xr:uid="{0301A70D-6277-4BB2-81B6-2BB5B814650B}">
      <formula1>$L$3:$L$4</formula1>
    </dataValidation>
    <dataValidation type="list" allowBlank="1" showInputMessage="1" showErrorMessage="1" sqref="AY10" xr:uid="{0C1E6814-736D-4D2F-9025-618FBD23A267}">
      <formula1>$G$10:$AU$10</formula1>
    </dataValidation>
    <dataValidation type="list" allowBlank="1" showInputMessage="1" showErrorMessage="1" sqref="D16:D17 AW12:AW13 AW16:AW17 P92:R92" xr:uid="{8FB8006F-A5AB-41B5-B544-F9B479F8D761}">
      <formula1>$K$3:$K$4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G111:G113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>
      <selection activeCell="H16" sqref="H16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331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</v>
      </c>
      <c r="W3" s="74">
        <f>MAX(K14:L20)</f>
        <v>19.696155060244159</v>
      </c>
      <c r="Y3" s="5" t="s">
        <v>232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</v>
      </c>
      <c r="W4" s="5">
        <f>ABS(W3)</f>
        <v>19.696155060244159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20</v>
      </c>
      <c r="W5" s="5">
        <f>V5*1.1</f>
        <v>22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28" t="s">
        <v>216</v>
      </c>
      <c r="D12" s="428"/>
      <c r="E12" s="428"/>
      <c r="F12" s="428"/>
      <c r="G12" s="428"/>
      <c r="H12" s="56"/>
      <c r="I12" s="428" t="s">
        <v>217</v>
      </c>
      <c r="J12" s="428"/>
      <c r="K12" s="428" t="s">
        <v>212</v>
      </c>
      <c r="L12" s="428"/>
      <c r="M12" s="428" t="s">
        <v>218</v>
      </c>
      <c r="N12" s="428"/>
      <c r="O12" s="428"/>
      <c r="P12" s="427" t="s">
        <v>229</v>
      </c>
      <c r="Q12" s="427"/>
      <c r="R12" s="427"/>
      <c r="S12" s="427"/>
      <c r="T12" s="427" t="s">
        <v>261</v>
      </c>
      <c r="U12" s="427"/>
      <c r="V12" s="427"/>
      <c r="W12" s="427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10</v>
      </c>
      <c r="E14" s="92" t="s">
        <v>205</v>
      </c>
      <c r="F14" s="4">
        <v>5</v>
      </c>
      <c r="G14" s="4" t="s">
        <v>205</v>
      </c>
      <c r="H14" s="103"/>
      <c r="I14" s="5" t="str">
        <f>IF(AND(E14=$S$5,G14=$S$5),$T$3,IF(AND(E14=$S$5,G14=$S$4),$T$4,IF(AND(E14=$S$5,G14=$S$3),$T$5,$T$6)))</f>
        <v>Kartesisch</v>
      </c>
      <c r="J14" s="74" t="str">
        <f>IF(I14=$T$5,F14*PI()/180,IF(I14=$T$4,F14,""))</f>
        <v/>
      </c>
      <c r="K14" s="101">
        <f>IF(I14=$T$3,D14,D14*COS(J14))</f>
        <v>10</v>
      </c>
      <c r="L14" s="101">
        <f>IF(I14=$T$3,F14,D14*SIN(J14))</f>
        <v>5</v>
      </c>
      <c r="M14" s="102">
        <f>SQRT(K14^2 + L14^2)</f>
        <v>11.180339887498949</v>
      </c>
      <c r="N14" s="102">
        <f>DEGREES(ATAN2(K14,L14))</f>
        <v>26.56505117707799</v>
      </c>
      <c r="O14" s="102">
        <f>ATAN2(K14,L14)</f>
        <v>0.46364760900080609</v>
      </c>
      <c r="P14" s="74">
        <v>0</v>
      </c>
      <c r="Q14" s="74">
        <f>K14</f>
        <v>10</v>
      </c>
      <c r="R14" s="74">
        <v>0</v>
      </c>
      <c r="S14" s="74">
        <f>L14</f>
        <v>5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10</v>
      </c>
      <c r="E15" s="92" t="s">
        <v>205</v>
      </c>
      <c r="F15" s="4">
        <v>-12</v>
      </c>
      <c r="G15" s="4" t="s">
        <v>205</v>
      </c>
      <c r="H15" s="104" t="s">
        <v>235</v>
      </c>
      <c r="I15" s="5" t="str">
        <f t="shared" ref="I15:I20" si="0">IF(AND(E15=$S$5,G15=$S$5),$T$3,IF(AND(E15=$S$5,G15=$S$4),$T$4,IF(AND(E15=$S$5,G15=$S$3),$T$5,$T$6)))</f>
        <v>Kartesisch</v>
      </c>
      <c r="J15" s="74" t="str">
        <f t="shared" ref="J15:J20" si="1">IF(I15=$T$5,F15*PI()/180,IF(I15=$T$4,F15,""))</f>
        <v/>
      </c>
      <c r="K15" s="101">
        <f t="shared" ref="K15:K20" si="2">IF(I15=$T$3,D15,D15*COS(J15))</f>
        <v>10</v>
      </c>
      <c r="L15" s="101">
        <f t="shared" ref="L15:L20" si="3">IF(I15=$T$3,F15,D15*SIN(J15))</f>
        <v>-12</v>
      </c>
      <c r="M15" s="102">
        <f t="shared" ref="M15:M20" si="4">SQRT(K15^2 + L15^2)</f>
        <v>15.620499351813308</v>
      </c>
      <c r="N15" s="102">
        <f t="shared" ref="N15:N20" si="5">DEGREES(ATAN2(K15,L15))</f>
        <v>-50.19442890773481</v>
      </c>
      <c r="O15" s="102">
        <f t="shared" ref="O15:O20" si="6">ATAN2(K15,L15)</f>
        <v>-0.87605805059819342</v>
      </c>
      <c r="P15" s="74">
        <f t="shared" ref="P15:P20" si="7">IF(H15=$R$6,0,IF(H15=$R$3,Q14,0))</f>
        <v>10</v>
      </c>
      <c r="Q15" s="74">
        <f t="shared" ref="Q15:Q20" si="8">IF(H15=$R$6,0,IF(H15=$R$3,K15+Q14,K15))</f>
        <v>20</v>
      </c>
      <c r="R15" s="74">
        <f t="shared" ref="R15:R20" si="9">IF(H15=$R$6,0,IF(H15=$R$3,S14,0))</f>
        <v>5</v>
      </c>
      <c r="S15" s="74">
        <f t="shared" ref="S15:S20" si="10">IF(H15=$R$6,0,IF(H15=$R$3,S14+L15,L15))</f>
        <v>-7</v>
      </c>
      <c r="T15" s="74">
        <v>0</v>
      </c>
      <c r="U15" s="74">
        <v>0</v>
      </c>
      <c r="V15" s="74">
        <f t="shared" ref="V15:V20" si="11">IF(P15&lt;&gt;0,Q15,0)</f>
        <v>20</v>
      </c>
      <c r="W15" s="74">
        <f t="shared" ref="W15:W20" si="12">IF(R15&lt;&gt;0,S15,0)</f>
        <v>-7</v>
      </c>
    </row>
    <row r="16" spans="3:29" x14ac:dyDescent="0.35">
      <c r="C16" s="4" t="s">
        <v>220</v>
      </c>
      <c r="D16" s="4">
        <v>-8</v>
      </c>
      <c r="E16" s="92" t="s">
        <v>205</v>
      </c>
      <c r="F16" s="4">
        <v>15</v>
      </c>
      <c r="G16" s="4" t="s">
        <v>205</v>
      </c>
      <c r="H16" s="104" t="s">
        <v>235</v>
      </c>
      <c r="I16" s="5" t="str">
        <f t="shared" si="0"/>
        <v>Kartesisch</v>
      </c>
      <c r="J16" s="74" t="str">
        <f t="shared" si="1"/>
        <v/>
      </c>
      <c r="K16" s="101">
        <f t="shared" si="2"/>
        <v>-8</v>
      </c>
      <c r="L16" s="101">
        <f t="shared" si="3"/>
        <v>15</v>
      </c>
      <c r="M16" s="102">
        <f t="shared" si="4"/>
        <v>17</v>
      </c>
      <c r="N16" s="102">
        <f t="shared" si="5"/>
        <v>118.07248693585296</v>
      </c>
      <c r="O16" s="102">
        <f t="shared" si="6"/>
        <v>2.060753653048625</v>
      </c>
      <c r="P16" s="74">
        <f t="shared" si="7"/>
        <v>20</v>
      </c>
      <c r="Q16" s="74">
        <f t="shared" si="8"/>
        <v>12</v>
      </c>
      <c r="R16" s="74">
        <f t="shared" si="9"/>
        <v>-7</v>
      </c>
      <c r="S16" s="74">
        <f t="shared" si="10"/>
        <v>8</v>
      </c>
      <c r="T16" s="74">
        <v>0</v>
      </c>
      <c r="U16" s="74">
        <v>0</v>
      </c>
      <c r="V16" s="74">
        <f t="shared" si="11"/>
        <v>12</v>
      </c>
      <c r="W16" s="74">
        <f t="shared" si="12"/>
        <v>8</v>
      </c>
    </row>
    <row r="17" spans="3:23" x14ac:dyDescent="0.35">
      <c r="C17" s="4" t="s">
        <v>221</v>
      </c>
      <c r="D17" s="4">
        <v>-10</v>
      </c>
      <c r="E17" s="92" t="s">
        <v>205</v>
      </c>
      <c r="F17" s="4">
        <v>-20</v>
      </c>
      <c r="G17" s="4" t="s">
        <v>205</v>
      </c>
      <c r="H17" s="104" t="s">
        <v>260</v>
      </c>
      <c r="I17" s="5" t="str">
        <f t="shared" si="0"/>
        <v>Kartesisch</v>
      </c>
      <c r="J17" s="74" t="str">
        <f t="shared" si="1"/>
        <v/>
      </c>
      <c r="K17" s="101">
        <f t="shared" si="2"/>
        <v>-10</v>
      </c>
      <c r="L17" s="101">
        <f t="shared" si="3"/>
        <v>-20</v>
      </c>
      <c r="M17" s="102">
        <f t="shared" si="4"/>
        <v>22.360679774997898</v>
      </c>
      <c r="N17" s="102">
        <f t="shared" si="5"/>
        <v>-116.56505117707799</v>
      </c>
      <c r="O17" s="102">
        <f t="shared" si="6"/>
        <v>-2.0344439357957027</v>
      </c>
      <c r="P17" s="74">
        <f t="shared" si="7"/>
        <v>0</v>
      </c>
      <c r="Q17" s="74">
        <f t="shared" si="8"/>
        <v>0</v>
      </c>
      <c r="R17" s="74">
        <f t="shared" si="9"/>
        <v>0</v>
      </c>
      <c r="S17" s="74">
        <f t="shared" si="10"/>
        <v>0</v>
      </c>
      <c r="T17" s="74">
        <v>0</v>
      </c>
      <c r="U17" s="74">
        <v>0</v>
      </c>
      <c r="V17" s="74">
        <f t="shared" si="11"/>
        <v>0</v>
      </c>
      <c r="W17" s="74">
        <f t="shared" si="12"/>
        <v>0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Normal="100" workbookViewId="0">
      <selection activeCell="I4" sqref="I4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851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413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330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330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330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29" t="s">
        <v>417</v>
      </c>
      <c r="C13" s="426"/>
      <c r="D13" s="426"/>
      <c r="E13" s="426"/>
      <c r="F13" s="426"/>
      <c r="G13" s="426"/>
      <c r="H13" s="426"/>
      <c r="I13" s="426"/>
      <c r="L13" s="429" t="s">
        <v>418</v>
      </c>
      <c r="M13" s="430"/>
      <c r="N13" s="430"/>
      <c r="O13" s="430"/>
      <c r="Q13" s="429" t="s">
        <v>230</v>
      </c>
      <c r="R13" s="430"/>
      <c r="S13" s="430"/>
      <c r="T13" s="430"/>
      <c r="U13" s="430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414</v>
      </c>
      <c r="F14" s="213" t="s">
        <v>91</v>
      </c>
      <c r="G14" s="213" t="s">
        <v>414</v>
      </c>
      <c r="H14" s="213" t="s">
        <v>415</v>
      </c>
      <c r="I14" s="213" t="s">
        <v>416</v>
      </c>
      <c r="L14" s="219" t="s">
        <v>422</v>
      </c>
      <c r="M14" s="219" t="s">
        <v>423</v>
      </c>
      <c r="N14" s="219" t="s">
        <v>424</v>
      </c>
      <c r="O14" s="219" t="s">
        <v>425</v>
      </c>
      <c r="P14" s="217"/>
      <c r="Q14" s="223" t="s">
        <v>419</v>
      </c>
      <c r="R14" s="219"/>
      <c r="S14" s="219"/>
      <c r="T14" s="219"/>
      <c r="U14" s="219"/>
    </row>
    <row r="15" spans="2:21" x14ac:dyDescent="0.35">
      <c r="B15" s="215" t="s">
        <v>420</v>
      </c>
      <c r="C15" s="211">
        <v>10</v>
      </c>
      <c r="D15" s="75">
        <v>180</v>
      </c>
      <c r="E15" s="75" t="s">
        <v>201</v>
      </c>
      <c r="F15" s="212">
        <f>IF(E15=M7,D15,IF(D8=M6,D15*PI()/180,"Unknown"))</f>
        <v>3.1415926535897931</v>
      </c>
      <c r="G15" s="74" t="str">
        <f>M7</f>
        <v>rad</v>
      </c>
      <c r="H15" s="212">
        <f>C15*COS(F15)</f>
        <v>-10</v>
      </c>
      <c r="I15" s="212">
        <f>C15*SIN(F15)</f>
        <v>1.22514845490862E-15</v>
      </c>
      <c r="L15" s="220">
        <v>0</v>
      </c>
      <c r="M15" s="220">
        <f>H15</f>
        <v>-10</v>
      </c>
      <c r="N15" s="220">
        <v>0</v>
      </c>
      <c r="O15" s="220">
        <f>I15</f>
        <v>1.22514845490862E-15</v>
      </c>
      <c r="P15" s="221"/>
      <c r="Q15" s="222">
        <f>MAX(ABS(O15),ABS(M16),ABS(O16),ABS(M15),ABS(M17),ABS(O17))</f>
        <v>14</v>
      </c>
      <c r="R15" s="220">
        <f>Q16</f>
        <v>15.400000000000002</v>
      </c>
      <c r="S15" s="220">
        <v>0</v>
      </c>
      <c r="T15" s="220">
        <f>-R15</f>
        <v>-15.400000000000002</v>
      </c>
      <c r="U15" s="220">
        <v>0</v>
      </c>
    </row>
    <row r="16" spans="2:21" x14ac:dyDescent="0.35">
      <c r="B16" s="216" t="s">
        <v>421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15.400000000000002</v>
      </c>
      <c r="R16" s="220">
        <v>0</v>
      </c>
      <c r="S16" s="220">
        <f>R15</f>
        <v>15.400000000000002</v>
      </c>
      <c r="T16" s="220">
        <v>0</v>
      </c>
      <c r="U16" s="220">
        <f>T15</f>
        <v>-15.400000000000002</v>
      </c>
    </row>
    <row r="17" spans="2:54" ht="16.5" x14ac:dyDescent="0.45">
      <c r="B17" s="224" t="s">
        <v>432</v>
      </c>
      <c r="C17" s="212">
        <f>SQRT(H17^2+I17^2)</f>
        <v>14.866068747318506</v>
      </c>
      <c r="D17" s="212">
        <f>F17*180/PI()</f>
        <v>160.34617594194668</v>
      </c>
      <c r="E17" s="74" t="str">
        <f>E16</f>
        <v>°</v>
      </c>
      <c r="F17" s="212">
        <f>ATAN2(H17,I17)</f>
        <v>2.7985687131690895</v>
      </c>
      <c r="G17" s="74" t="str">
        <f>G16</f>
        <v>rad</v>
      </c>
      <c r="H17" s="212">
        <f>H16+H15</f>
        <v>-14</v>
      </c>
      <c r="I17" s="212">
        <f>I16+I15</f>
        <v>5.0000000000000009</v>
      </c>
      <c r="L17" s="220">
        <v>0</v>
      </c>
      <c r="M17" s="220">
        <f>H17</f>
        <v>-14</v>
      </c>
      <c r="N17" s="220">
        <v>0</v>
      </c>
      <c r="O17" s="220">
        <f>I17</f>
        <v>5.0000000000000009</v>
      </c>
    </row>
    <row r="18" spans="2:54" ht="16.5" x14ac:dyDescent="0.45">
      <c r="B18" s="8" t="s">
        <v>433</v>
      </c>
      <c r="C18" s="77">
        <f>C16*C15</f>
        <v>64.031242374328485</v>
      </c>
      <c r="D18" s="212">
        <f>D16+D15</f>
        <v>308.65980825409008</v>
      </c>
      <c r="E18" s="74" t="str">
        <f>E17</f>
        <v>°</v>
      </c>
      <c r="F18" s="212">
        <f>F15+F16</f>
        <v>5.3871299226082421</v>
      </c>
      <c r="G18" s="74" t="str">
        <f>G17</f>
        <v>rad</v>
      </c>
      <c r="H18" s="212">
        <f>C18*COS(F18)</f>
        <v>39.999999999999979</v>
      </c>
      <c r="I18" s="212">
        <f>C18*SIN(F18)</f>
        <v>-50.000000000000014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420</v>
      </c>
      <c r="M23" s="218">
        <f>$C$15*SIN(M22+$F$15)</f>
        <v>1.22514845490862E-15</v>
      </c>
      <c r="N23" s="218">
        <f t="shared" ref="N23:AW23" si="2">$C$15*SIN(N22+$F$15)</f>
        <v>-1.7364817766693004</v>
      </c>
      <c r="O23" s="218">
        <f t="shared" si="2"/>
        <v>-3.4202014332566866</v>
      </c>
      <c r="P23" s="218">
        <f t="shared" si="2"/>
        <v>-4.9999999999999973</v>
      </c>
      <c r="Q23" s="218">
        <f t="shared" si="2"/>
        <v>-6.4278760968653925</v>
      </c>
      <c r="R23" s="218">
        <f t="shared" si="2"/>
        <v>-7.660444431189779</v>
      </c>
      <c r="S23" s="218">
        <f t="shared" si="2"/>
        <v>-8.6602540378443837</v>
      </c>
      <c r="T23" s="218">
        <f t="shared" si="2"/>
        <v>-9.3969262078590852</v>
      </c>
      <c r="U23" s="218">
        <f t="shared" si="2"/>
        <v>-9.8480775301220795</v>
      </c>
      <c r="V23" s="218">
        <f t="shared" si="2"/>
        <v>-10</v>
      </c>
      <c r="W23" s="218">
        <f t="shared" si="2"/>
        <v>-9.8480775301220813</v>
      </c>
      <c r="X23" s="218">
        <f t="shared" si="2"/>
        <v>-9.3969262078590852</v>
      </c>
      <c r="Y23" s="218">
        <f t="shared" si="2"/>
        <v>-8.6602540378443909</v>
      </c>
      <c r="Z23" s="218">
        <f t="shared" si="2"/>
        <v>-7.6604444311897808</v>
      </c>
      <c r="AA23" s="218">
        <f t="shared" si="2"/>
        <v>-6.4278760968653961</v>
      </c>
      <c r="AB23" s="218">
        <f t="shared" si="2"/>
        <v>-4.9999999999999964</v>
      </c>
      <c r="AC23" s="218">
        <f t="shared" si="2"/>
        <v>-3.4202014332566861</v>
      </c>
      <c r="AD23" s="218">
        <f t="shared" si="2"/>
        <v>-1.7364817766693039</v>
      </c>
      <c r="AE23" s="218">
        <f t="shared" si="2"/>
        <v>-2.45029690981724E-15</v>
      </c>
      <c r="AF23" s="218">
        <f t="shared" si="2"/>
        <v>1.736481776669299</v>
      </c>
      <c r="AG23" s="218">
        <f t="shared" si="2"/>
        <v>3.4202014332566808</v>
      </c>
      <c r="AH23" s="218">
        <f t="shared" si="2"/>
        <v>5</v>
      </c>
      <c r="AI23" s="218">
        <f t="shared" si="2"/>
        <v>6.4278760968653916</v>
      </c>
      <c r="AJ23" s="218">
        <f t="shared" si="2"/>
        <v>7.6604444311897781</v>
      </c>
      <c r="AK23" s="218">
        <f t="shared" si="2"/>
        <v>8.6602540378443837</v>
      </c>
      <c r="AL23" s="218">
        <f t="shared" si="2"/>
        <v>9.3969262078590816</v>
      </c>
      <c r="AM23" s="218">
        <f t="shared" si="2"/>
        <v>9.8480775301220795</v>
      </c>
      <c r="AN23" s="218">
        <f t="shared" si="2"/>
        <v>10</v>
      </c>
      <c r="AO23" s="218">
        <f t="shared" si="2"/>
        <v>9.8480775301220813</v>
      </c>
      <c r="AP23" s="218">
        <f t="shared" si="2"/>
        <v>9.3969262078590869</v>
      </c>
      <c r="AQ23" s="218">
        <f t="shared" si="2"/>
        <v>8.660254037844382</v>
      </c>
      <c r="AR23" s="218">
        <f t="shared" si="2"/>
        <v>7.6604444311897755</v>
      </c>
      <c r="AS23" s="218">
        <f t="shared" si="2"/>
        <v>6.4278760968653899</v>
      </c>
      <c r="AT23" s="218">
        <f t="shared" si="2"/>
        <v>4.9999999999999982</v>
      </c>
      <c r="AU23" s="218">
        <f t="shared" si="2"/>
        <v>3.420201433256687</v>
      </c>
      <c r="AV23" s="218">
        <f t="shared" si="2"/>
        <v>1.736481776669305</v>
      </c>
      <c r="AW23" s="218">
        <f t="shared" si="2"/>
        <v>3.67544536472586E-15</v>
      </c>
    </row>
    <row r="24" spans="2:54" ht="16" customHeight="1" x14ac:dyDescent="0.35">
      <c r="L24" s="216" t="s">
        <v>421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432</v>
      </c>
      <c r="M25" s="218">
        <f>M23+M24</f>
        <v>5.0000000000000018</v>
      </c>
      <c r="N25" s="218">
        <f t="shared" ref="N25:AW25" si="4">N23+N24</f>
        <v>2.4929642777240208</v>
      </c>
      <c r="O25" s="218">
        <f t="shared" si="4"/>
        <v>-8.981890262981862E-2</v>
      </c>
      <c r="P25" s="218">
        <f t="shared" si="4"/>
        <v>-2.6698729810778015</v>
      </c>
      <c r="Q25" s="218">
        <f t="shared" si="4"/>
        <v>-5.1688043200166582</v>
      </c>
      <c r="R25" s="218">
        <f t="shared" si="4"/>
        <v>-7.5106841552329913</v>
      </c>
      <c r="S25" s="218">
        <f t="shared" si="4"/>
        <v>-9.6243556529821337</v>
      </c>
      <c r="T25" s="218">
        <f t="shared" si="4"/>
        <v>-11.445595974374372</v>
      </c>
      <c r="U25" s="218">
        <f t="shared" si="4"/>
        <v>-12.919067653836258</v>
      </c>
      <c r="V25" s="218">
        <f t="shared" si="4"/>
        <v>-13.999999999999998</v>
      </c>
      <c r="W25" s="218">
        <f t="shared" si="4"/>
        <v>-14.655549430505562</v>
      </c>
      <c r="X25" s="218">
        <f t="shared" si="4"/>
        <v>-14.86579740763106</v>
      </c>
      <c r="Y25" s="218">
        <f t="shared" si="4"/>
        <v>-14.624355652982143</v>
      </c>
      <c r="Z25" s="218">
        <f t="shared" si="4"/>
        <v>-13.938560252098389</v>
      </c>
      <c r="AA25" s="218">
        <f t="shared" si="4"/>
        <v>-12.829248751206443</v>
      </c>
      <c r="AB25" s="218">
        <f t="shared" si="4"/>
        <v>-11.330127018922189</v>
      </c>
      <c r="AC25" s="218">
        <f t="shared" si="4"/>
        <v>-9.4867451104889042</v>
      </c>
      <c r="AD25" s="218">
        <f t="shared" si="4"/>
        <v>-7.3551132523980662</v>
      </c>
      <c r="AE25" s="218">
        <f t="shared" si="4"/>
        <v>-5.0000000000000044</v>
      </c>
      <c r="AF25" s="218">
        <f t="shared" si="4"/>
        <v>-2.4929642777240231</v>
      </c>
      <c r="AG25" s="218">
        <f t="shared" si="4"/>
        <v>8.9818902629809294E-2</v>
      </c>
      <c r="AH25" s="218">
        <f t="shared" si="4"/>
        <v>2.6698729810778059</v>
      </c>
      <c r="AI25" s="218">
        <f t="shared" si="4"/>
        <v>5.1688043200166565</v>
      </c>
      <c r="AJ25" s="218">
        <f t="shared" si="4"/>
        <v>7.5106841552329904</v>
      </c>
      <c r="AK25" s="218">
        <f t="shared" si="4"/>
        <v>9.6243556529821337</v>
      </c>
      <c r="AL25" s="218">
        <f t="shared" si="4"/>
        <v>11.445595974374365</v>
      </c>
      <c r="AM25" s="218">
        <f t="shared" si="4"/>
        <v>12.919067653836258</v>
      </c>
      <c r="AN25" s="218">
        <f t="shared" si="4"/>
        <v>13.999999999999996</v>
      </c>
      <c r="AO25" s="218">
        <f t="shared" si="4"/>
        <v>14.655549430505562</v>
      </c>
      <c r="AP25" s="218">
        <f t="shared" si="4"/>
        <v>14.86579740763106</v>
      </c>
      <c r="AQ25" s="218">
        <f t="shared" si="4"/>
        <v>14.624355652982135</v>
      </c>
      <c r="AR25" s="218">
        <f t="shared" si="4"/>
        <v>13.938560252098384</v>
      </c>
      <c r="AS25" s="218">
        <f t="shared" si="4"/>
        <v>12.829248751206437</v>
      </c>
      <c r="AT25" s="218">
        <f t="shared" si="4"/>
        <v>11.330127018922191</v>
      </c>
      <c r="AU25" s="218">
        <f t="shared" si="4"/>
        <v>9.4867451104889042</v>
      </c>
      <c r="AV25" s="218">
        <f t="shared" si="4"/>
        <v>7.355113252398068</v>
      </c>
      <c r="AW25" s="218">
        <f t="shared" si="4"/>
        <v>5.0000000000000062</v>
      </c>
    </row>
    <row r="26" spans="2:54" ht="16" customHeight="1" x14ac:dyDescent="0.35"/>
    <row r="44" spans="2:4" x14ac:dyDescent="0.35">
      <c r="B44" s="2" t="s">
        <v>426</v>
      </c>
      <c r="C44" s="2"/>
      <c r="D44" t="s">
        <v>427</v>
      </c>
    </row>
    <row r="45" spans="2:4" x14ac:dyDescent="0.35">
      <c r="B45" s="3" t="s">
        <v>428</v>
      </c>
      <c r="C45" s="3"/>
      <c r="D45" t="s">
        <v>431</v>
      </c>
    </row>
    <row r="46" spans="2:4" x14ac:dyDescent="0.35">
      <c r="B46" t="s">
        <v>429</v>
      </c>
      <c r="D46" t="s">
        <v>430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46036.751640162038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46037</v>
      </c>
      <c r="E16" s="94">
        <f t="shared" ca="1" si="4"/>
        <v>45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Noch kein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46062</v>
      </c>
      <c r="E17" s="94">
        <f t="shared" ca="1" si="4"/>
        <v>80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Noch kein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46067</v>
      </c>
      <c r="E18" s="94">
        <f t="shared" ca="1" si="4"/>
        <v>52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Noch kein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46083</v>
      </c>
      <c r="E19" s="94">
        <f t="shared" ca="1" si="4"/>
        <v>66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Noch kein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46083</v>
      </c>
      <c r="E20" s="94">
        <f t="shared" ca="1" si="4"/>
        <v>31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Noch kein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46122</v>
      </c>
      <c r="E21" s="94">
        <f t="shared" ca="1" si="4"/>
        <v>25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Noch kein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843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843</v>
      </c>
    </row>
    <row r="25" spans="2:41" ht="21" x14ac:dyDescent="0.5">
      <c r="B25" s="245"/>
      <c r="H25" s="393" t="s">
        <v>840</v>
      </c>
      <c r="I25" s="392" t="s">
        <v>836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844</v>
      </c>
    </row>
    <row r="26" spans="2:41" ht="21" x14ac:dyDescent="0.5">
      <c r="B26" s="245"/>
      <c r="H26" s="393" t="s">
        <v>841</v>
      </c>
      <c r="I26" s="392" t="s">
        <v>837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842</v>
      </c>
      <c r="I27" s="392" t="s">
        <v>838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845</v>
      </c>
      <c r="I28" s="392" t="s">
        <v>839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853</v>
      </c>
      <c r="D2" s="394"/>
    </row>
    <row r="4" spans="2:26" x14ac:dyDescent="0.35">
      <c r="J4" t="s">
        <v>645</v>
      </c>
    </row>
    <row r="5" spans="2:26" x14ac:dyDescent="0.35">
      <c r="J5" t="s">
        <v>882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882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643</v>
      </c>
      <c r="C12" s="337" t="s">
        <v>883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884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642</v>
      </c>
      <c r="C14" s="337" t="s">
        <v>885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886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648</v>
      </c>
      <c r="C38" s="92"/>
      <c r="D38" s="92"/>
      <c r="E38" s="92"/>
      <c r="G38" t="s">
        <v>649</v>
      </c>
    </row>
    <row r="39" spans="2:9" ht="16.5" x14ac:dyDescent="0.45">
      <c r="B39" s="8" t="s">
        <v>644</v>
      </c>
      <c r="C39" s="5">
        <f>(E15-E13)/(E12-E14)</f>
        <v>13.837633945532412</v>
      </c>
      <c r="D39" s="5"/>
      <c r="E39" s="5" t="s">
        <v>645</v>
      </c>
      <c r="F39" s="340"/>
      <c r="G39" t="s">
        <v>650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646</v>
      </c>
      <c r="C42" s="5">
        <f>E12*C39+E13</f>
        <v>143.91139303353708</v>
      </c>
      <c r="D42" s="5"/>
      <c r="E42" s="5" t="s">
        <v>647</v>
      </c>
      <c r="G42" t="s">
        <v>651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646</v>
      </c>
      <c r="C43" s="5">
        <f>E14*C39+E15</f>
        <v>143.91139303353708</v>
      </c>
      <c r="D43" s="5"/>
      <c r="E43" s="5" t="s">
        <v>647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34" t="s">
        <v>901</v>
      </c>
      <c r="D3" s="434" t="s">
        <v>667</v>
      </c>
      <c r="E3" s="418">
        <v>4</v>
      </c>
      <c r="F3" s="418" t="s">
        <v>882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34" t="s">
        <v>21</v>
      </c>
      <c r="D4" s="434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34" t="s">
        <v>22</v>
      </c>
      <c r="D5" s="434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34" t="s">
        <v>887</v>
      </c>
      <c r="D6" s="434"/>
      <c r="E6" s="418">
        <v>50</v>
      </c>
      <c r="F6" s="418" t="s">
        <v>862</v>
      </c>
      <c r="G6" s="77">
        <f>IF(F6=H6,E6,E6*1000)</f>
        <v>50</v>
      </c>
      <c r="H6" s="5" t="str">
        <f>O6</f>
        <v>[m]</v>
      </c>
      <c r="N6" t="s">
        <v>902</v>
      </c>
      <c r="O6" t="s">
        <v>862</v>
      </c>
      <c r="P6" t="s">
        <v>882</v>
      </c>
    </row>
    <row r="7" spans="2:28" ht="15.65" customHeight="1" x14ac:dyDescent="0.35">
      <c r="N7" t="s">
        <v>23</v>
      </c>
      <c r="O7" t="s">
        <v>647</v>
      </c>
      <c r="P7" t="s">
        <v>903</v>
      </c>
    </row>
    <row r="8" spans="2:28" ht="15.65" customHeight="1" x14ac:dyDescent="0.35">
      <c r="P8" t="s">
        <v>645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35" t="s">
        <v>899</v>
      </c>
      <c r="D11" s="431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898</v>
      </c>
    </row>
    <row r="12" spans="2:28" ht="22.5" customHeight="1" x14ac:dyDescent="0.65">
      <c r="C12" s="435" t="s">
        <v>900</v>
      </c>
      <c r="D12" s="431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647</v>
      </c>
      <c r="N12" t="s">
        <v>897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32" t="s">
        <v>1</v>
      </c>
      <c r="D18" s="433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36" t="s">
        <v>19</v>
      </c>
      <c r="D19" s="436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31" t="s">
        <v>24</v>
      </c>
      <c r="D20" s="431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31" t="s">
        <v>888</v>
      </c>
      <c r="D21" s="431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3:D3"/>
    <mergeCell ref="C11:D11"/>
    <mergeCell ref="C12:D12"/>
    <mergeCell ref="C19:D19"/>
    <mergeCell ref="C20:D20"/>
    <mergeCell ref="C21:D21"/>
    <mergeCell ref="C18:D18"/>
    <mergeCell ref="C4:D4"/>
    <mergeCell ref="C5:D5"/>
    <mergeCell ref="C6:D6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55" zoomScaleNormal="5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45" t="str">
        <f>$O$8</f>
        <v>Anfangs-Geschwindigkeit</v>
      </c>
      <c r="D6" s="446"/>
      <c r="E6" s="449" t="str">
        <f>$O$9</f>
        <v>Geschwindigkeit</v>
      </c>
      <c r="F6" s="446"/>
      <c r="G6" s="449" t="str">
        <f>$O$10</f>
        <v>Strecke</v>
      </c>
      <c r="H6" s="446"/>
      <c r="I6" s="449" t="str">
        <f>$O$11</f>
        <v>Zeit</v>
      </c>
      <c r="J6" s="446"/>
      <c r="K6" s="449" t="str">
        <f>$O$12</f>
        <v>Beschleunigung</v>
      </c>
      <c r="L6" s="450"/>
    </row>
    <row r="7" spans="1:19" ht="15" thickBot="1" x14ac:dyDescent="0.4">
      <c r="B7" s="13" t="s">
        <v>37</v>
      </c>
      <c r="C7" s="447" t="str">
        <f>$P$8</f>
        <v>v0 [m/s]</v>
      </c>
      <c r="D7" s="448"/>
      <c r="E7" s="451" t="str">
        <f>$P$9</f>
        <v>v [m/s]</v>
      </c>
      <c r="F7" s="448"/>
      <c r="G7" s="451" t="str">
        <f>$P$10</f>
        <v>s [m]</v>
      </c>
      <c r="H7" s="448"/>
      <c r="I7" s="451" t="str">
        <f>$P$11</f>
        <v>t [s]</v>
      </c>
      <c r="J7" s="448"/>
      <c r="K7" s="451" t="str">
        <f>$P$12</f>
        <v>a [m/s2]</v>
      </c>
      <c r="L7" s="452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53">
        <v>119</v>
      </c>
      <c r="H8" s="458"/>
      <c r="I8" s="453">
        <v>7</v>
      </c>
      <c r="J8" s="458"/>
      <c r="K8" s="453">
        <v>2</v>
      </c>
      <c r="L8" s="454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55">
        <v>24</v>
      </c>
      <c r="F9" s="459"/>
      <c r="G9" s="16" t="s">
        <v>75</v>
      </c>
      <c r="H9" s="16">
        <f>E9*I9 - K9*I9^2/2</f>
        <v>119</v>
      </c>
      <c r="I9" s="455">
        <v>7</v>
      </c>
      <c r="J9" s="459"/>
      <c r="K9" s="455">
        <v>2</v>
      </c>
      <c r="L9" s="456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55">
        <v>24</v>
      </c>
      <c r="F10" s="459"/>
      <c r="G10" s="455">
        <v>119</v>
      </c>
      <c r="H10" s="459"/>
      <c r="I10" s="16" t="s">
        <v>76</v>
      </c>
      <c r="J10" s="16">
        <f>(E10 - SQRT(E10^2 - 2*K10*G10))/K10</f>
        <v>7</v>
      </c>
      <c r="K10" s="455">
        <v>2</v>
      </c>
      <c r="L10" s="456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55">
        <v>24</v>
      </c>
      <c r="F11" s="459"/>
      <c r="G11" s="455">
        <v>119</v>
      </c>
      <c r="H11" s="459"/>
      <c r="I11" s="455">
        <v>7</v>
      </c>
      <c r="J11" s="459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61">
        <v>10</v>
      </c>
      <c r="D12" s="459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55">
        <v>7</v>
      </c>
      <c r="J12" s="459"/>
      <c r="K12" s="455">
        <v>2</v>
      </c>
      <c r="L12" s="456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61">
        <v>10</v>
      </c>
      <c r="D13" s="459"/>
      <c r="E13" s="16" t="s">
        <v>80</v>
      </c>
      <c r="F13" s="16">
        <f>SQRT(C13^2 + 2*K13*G13)</f>
        <v>24</v>
      </c>
      <c r="G13" s="455">
        <v>119</v>
      </c>
      <c r="H13" s="459"/>
      <c r="I13" s="22" t="s">
        <v>55</v>
      </c>
      <c r="J13" s="16">
        <f xml:space="preserve"> (-C13 + SQRT(C13^2 + 2*K13*G13))/K13</f>
        <v>7</v>
      </c>
      <c r="K13" s="457">
        <v>2</v>
      </c>
      <c r="L13" s="456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61">
        <v>10</v>
      </c>
      <c r="D14" s="459"/>
      <c r="E14" s="16" t="s">
        <v>81</v>
      </c>
      <c r="F14" s="16">
        <f>2*G14/I14 - C14</f>
        <v>24</v>
      </c>
      <c r="G14" s="455">
        <v>119</v>
      </c>
      <c r="H14" s="459"/>
      <c r="I14" s="455">
        <v>7</v>
      </c>
      <c r="J14" s="460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61">
        <v>10</v>
      </c>
      <c r="D15" s="459"/>
      <c r="E15" s="455">
        <v>24</v>
      </c>
      <c r="F15" s="459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55">
        <v>2</v>
      </c>
      <c r="L15" s="456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61">
        <v>10</v>
      </c>
      <c r="D16" s="459"/>
      <c r="E16" s="455">
        <v>24</v>
      </c>
      <c r="F16" s="459"/>
      <c r="G16" s="16" t="s">
        <v>83</v>
      </c>
      <c r="H16" s="16">
        <f>(C16+E16)*I16/2</f>
        <v>119</v>
      </c>
      <c r="I16" s="455">
        <v>7</v>
      </c>
      <c r="J16" s="459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63">
        <v>10</v>
      </c>
      <c r="D17" s="462"/>
      <c r="E17" s="457">
        <v>24</v>
      </c>
      <c r="F17" s="462"/>
      <c r="G17" s="457">
        <v>119</v>
      </c>
      <c r="H17" s="462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41" t="str">
        <f>P13</f>
        <v>ω0 [rad/s]</v>
      </c>
      <c r="D18" s="442"/>
      <c r="E18" s="443" t="str">
        <f>P14</f>
        <v>ω [rad/s]</v>
      </c>
      <c r="F18" s="442"/>
      <c r="G18" s="443" t="str">
        <f>P15</f>
        <v>φ [rad]</v>
      </c>
      <c r="H18" s="442"/>
      <c r="I18" s="443" t="str">
        <f>P16</f>
        <v>t [s]</v>
      </c>
      <c r="J18" s="442"/>
      <c r="K18" s="443" t="str">
        <f>P17</f>
        <v>α [rad/s2]</v>
      </c>
      <c r="L18" s="444"/>
    </row>
    <row r="19" spans="1:16" ht="29.15" customHeight="1" thickBot="1" x14ac:dyDescent="0.4">
      <c r="C19" s="437" t="str">
        <f>O13</f>
        <v>Anfangs-Winkelgeschwindigkeit</v>
      </c>
      <c r="D19" s="438"/>
      <c r="E19" s="439" t="str">
        <f>O14</f>
        <v>Winkelgeschwindigkeit</v>
      </c>
      <c r="F19" s="438"/>
      <c r="G19" s="439" t="str">
        <f>O15</f>
        <v>Winkel</v>
      </c>
      <c r="H19" s="438"/>
      <c r="I19" s="439" t="str">
        <f>O16</f>
        <v>Zeit</v>
      </c>
      <c r="J19" s="438"/>
      <c r="K19" s="439" t="str">
        <f>O17</f>
        <v>Winkelbeschleunigung</v>
      </c>
      <c r="L19" s="440"/>
    </row>
  </sheetData>
  <mergeCells count="50">
    <mergeCell ref="G17:H17"/>
    <mergeCell ref="E16:F16"/>
    <mergeCell ref="E17:F17"/>
    <mergeCell ref="C17:D17"/>
    <mergeCell ref="I16:J16"/>
    <mergeCell ref="G8:H8"/>
    <mergeCell ref="G10:H10"/>
    <mergeCell ref="G11:H11"/>
    <mergeCell ref="G13:H13"/>
    <mergeCell ref="G14:H14"/>
    <mergeCell ref="C12:D12"/>
    <mergeCell ref="C13:D13"/>
    <mergeCell ref="C14:D14"/>
    <mergeCell ref="C15:D15"/>
    <mergeCell ref="C16:D16"/>
    <mergeCell ref="E9:F9"/>
    <mergeCell ref="E10:F10"/>
    <mergeCell ref="E11:F11"/>
    <mergeCell ref="E15:F15"/>
    <mergeCell ref="K15:L15"/>
    <mergeCell ref="I8:J8"/>
    <mergeCell ref="I9:J9"/>
    <mergeCell ref="I11:J11"/>
    <mergeCell ref="I12:J12"/>
    <mergeCell ref="I14:J14"/>
    <mergeCell ref="K8:L8"/>
    <mergeCell ref="K9:L9"/>
    <mergeCell ref="K10:L10"/>
    <mergeCell ref="K12:L12"/>
    <mergeCell ref="K13:L13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C18:D18"/>
    <mergeCell ref="E18:F18"/>
    <mergeCell ref="G18:H18"/>
    <mergeCell ref="I18:J18"/>
    <mergeCell ref="K18:L18"/>
    <mergeCell ref="C19:D19"/>
    <mergeCell ref="E19:F19"/>
    <mergeCell ref="G19:H19"/>
    <mergeCell ref="I19:J19"/>
    <mergeCell ref="K19:L19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863</v>
      </c>
      <c r="C12" s="5"/>
      <c r="D12" s="337" t="s">
        <v>860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864</v>
      </c>
      <c r="C13" s="5"/>
      <c r="D13" s="337" t="s">
        <v>861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639</v>
      </c>
      <c r="D14" s="4">
        <v>36.6</v>
      </c>
      <c r="E14" s="77">
        <f>D14*1000</f>
        <v>36600</v>
      </c>
      <c r="F14" s="77" t="s">
        <v>862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856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855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857</v>
      </c>
      <c r="C18" s="337" t="s">
        <v>640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641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858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859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648</v>
      </c>
      <c r="C44" s="92"/>
      <c r="D44" s="92"/>
      <c r="E44" s="399"/>
      <c r="F44" s="399"/>
      <c r="H44" t="s">
        <v>649</v>
      </c>
    </row>
    <row r="45" spans="2:10" ht="16.5" x14ac:dyDescent="0.45">
      <c r="B45" s="8" t="s">
        <v>644</v>
      </c>
      <c r="C45" s="5" t="e">
        <f>(D21-D14)/(#REF!-D18)</f>
        <v>#REF!</v>
      </c>
      <c r="D45" s="5" t="s">
        <v>645</v>
      </c>
      <c r="G45" s="340"/>
      <c r="H45" t="s">
        <v>650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646</v>
      </c>
      <c r="C48" s="5" t="e">
        <f>#REF!*C45+D14</f>
        <v>#REF!</v>
      </c>
      <c r="D48" s="5" t="s">
        <v>647</v>
      </c>
      <c r="H48" t="s">
        <v>651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646</v>
      </c>
      <c r="C49" s="5" t="e">
        <f>D18*C45+D21</f>
        <v>#REF!</v>
      </c>
      <c r="D49" s="5" t="s">
        <v>647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307</v>
      </c>
      <c r="N7" t="s">
        <v>309</v>
      </c>
      <c r="U7" s="431" t="s">
        <v>73</v>
      </c>
      <c r="V7" s="431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307</v>
      </c>
      <c r="N8" t="s">
        <v>308</v>
      </c>
      <c r="U8" s="1"/>
      <c r="V8" s="24"/>
      <c r="AL8" s="5" t="s">
        <v>65</v>
      </c>
    </row>
    <row r="9" spans="3:54" x14ac:dyDescent="0.35">
      <c r="M9" s="118" t="s">
        <v>311</v>
      </c>
      <c r="N9" t="s">
        <v>310</v>
      </c>
    </row>
    <row r="11" spans="3:54" ht="21" x14ac:dyDescent="0.35">
      <c r="C11" s="464"/>
      <c r="D11" s="464"/>
      <c r="E11" s="464"/>
      <c r="F11" s="464"/>
      <c r="G11" s="464"/>
      <c r="H11" s="464"/>
      <c r="I11" s="464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65" t="s">
        <v>441</v>
      </c>
      <c r="D12" s="465"/>
      <c r="E12" s="465"/>
      <c r="F12" s="465"/>
      <c r="G12" s="465"/>
      <c r="H12" s="465"/>
      <c r="I12" s="465"/>
      <c r="J12" s="32"/>
      <c r="K12" s="32"/>
      <c r="M12" s="42" t="s">
        <v>435</v>
      </c>
      <c r="N12" s="23">
        <v>50</v>
      </c>
      <c r="O12" s="466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312</v>
      </c>
      <c r="E13" s="44" t="s">
        <v>439</v>
      </c>
      <c r="F13" s="44" t="s">
        <v>434</v>
      </c>
      <c r="G13" s="44" t="s">
        <v>437</v>
      </c>
      <c r="H13" s="44" t="s">
        <v>313</v>
      </c>
      <c r="I13" s="44" t="s">
        <v>314</v>
      </c>
      <c r="J13" s="45"/>
      <c r="K13" s="45"/>
      <c r="M13" s="53" t="s">
        <v>436</v>
      </c>
      <c r="N13" s="47">
        <f>PI()*N12/180</f>
        <v>0.87266462599716477</v>
      </c>
      <c r="O13" s="467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440</v>
      </c>
      <c r="N14" s="232">
        <f>$F$19 * N12 / 360</f>
        <v>2.7777777777777779E-3</v>
      </c>
      <c r="O14" s="468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438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467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474</v>
      </c>
      <c r="AA4" s="5"/>
      <c r="AC4" s="5" t="s">
        <v>475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464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465</v>
      </c>
      <c r="R7" s="431" t="s">
        <v>73</v>
      </c>
      <c r="S7" s="431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64"/>
      <c r="D11" s="464"/>
      <c r="E11" s="464"/>
      <c r="F11" s="464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65" t="s">
        <v>476</v>
      </c>
      <c r="D12" s="465"/>
      <c r="E12" s="465"/>
      <c r="F12" s="465"/>
      <c r="G12" s="32"/>
      <c r="H12" s="32"/>
      <c r="J12" s="42" t="s">
        <v>62</v>
      </c>
      <c r="K12" s="23">
        <v>60</v>
      </c>
      <c r="L12" s="466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68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466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468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469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470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471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473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472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448</v>
      </c>
      <c r="E59" t="s">
        <v>451</v>
      </c>
      <c r="G59" t="s">
        <v>458</v>
      </c>
    </row>
    <row r="60" spans="3:10" ht="16.5" x14ac:dyDescent="0.45">
      <c r="C60" t="s">
        <v>449</v>
      </c>
      <c r="E60" t="s">
        <v>452</v>
      </c>
      <c r="G60" t="s">
        <v>459</v>
      </c>
    </row>
    <row r="61" spans="3:10" x14ac:dyDescent="0.35">
      <c r="C61" s="244" t="s">
        <v>450</v>
      </c>
      <c r="E61" t="s">
        <v>453</v>
      </c>
    </row>
    <row r="63" spans="3:10" x14ac:dyDescent="0.35">
      <c r="C63" t="s">
        <v>455</v>
      </c>
      <c r="E63" t="s">
        <v>454</v>
      </c>
      <c r="J63" t="s">
        <v>457</v>
      </c>
    </row>
    <row r="64" spans="3:10" ht="18.5" x14ac:dyDescent="0.45">
      <c r="C64" t="s">
        <v>456</v>
      </c>
      <c r="E64" t="s">
        <v>463</v>
      </c>
    </row>
    <row r="66" spans="3:5" ht="24" x14ac:dyDescent="0.65">
      <c r="E66" s="245" t="s">
        <v>461</v>
      </c>
    </row>
    <row r="68" spans="3:5" x14ac:dyDescent="0.35">
      <c r="C68" t="s">
        <v>460</v>
      </c>
    </row>
    <row r="74" spans="3:5" x14ac:dyDescent="0.35">
      <c r="C74" t="s">
        <v>462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445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478</v>
      </c>
      <c r="AB3" s="257">
        <f>SQRT(3)/2</f>
        <v>0.8660254037844386</v>
      </c>
      <c r="AD3" s="1"/>
      <c r="AE3" s="258"/>
      <c r="AG3" s="256" t="s">
        <v>482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477</v>
      </c>
      <c r="AB4" s="257">
        <f>COS(RADIANS(30))</f>
        <v>0.86602540378443871</v>
      </c>
      <c r="AD4" s="256" t="s">
        <v>480</v>
      </c>
      <c r="AE4" s="257">
        <f>COS(RADIANS(60))</f>
        <v>0.50000000000000011</v>
      </c>
      <c r="AG4" s="256" t="s">
        <v>481</v>
      </c>
      <c r="AH4" s="257">
        <f>COS(RADIANS(45))</f>
        <v>0.70710678118654757</v>
      </c>
    </row>
    <row r="5" spans="2:43" ht="14.5" customHeight="1" x14ac:dyDescent="0.35">
      <c r="AA5" s="256" t="s">
        <v>479</v>
      </c>
      <c r="AB5" s="257">
        <f>SIN(RADIANS(60))</f>
        <v>0.8660254037844386</v>
      </c>
      <c r="AD5" s="256" t="s">
        <v>477</v>
      </c>
      <c r="AE5" s="257">
        <f>SIN(RADIANS(30))</f>
        <v>0.49999999999999994</v>
      </c>
      <c r="AG5" s="256" t="s">
        <v>481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417</v>
      </c>
      <c r="C9" s="5"/>
      <c r="D9" s="5"/>
      <c r="E9" s="5"/>
      <c r="F9" s="5"/>
      <c r="G9" s="5"/>
      <c r="H9" s="5"/>
      <c r="I9" s="5"/>
      <c r="J9" s="5"/>
      <c r="M9" s="429" t="s">
        <v>418</v>
      </c>
      <c r="N9" s="430"/>
      <c r="O9" s="430"/>
      <c r="P9" s="430"/>
      <c r="R9" s="429" t="s">
        <v>230</v>
      </c>
      <c r="S9" s="430"/>
      <c r="T9" s="430"/>
      <c r="U9" s="430"/>
      <c r="V9" s="430"/>
      <c r="W9"/>
      <c r="X9" s="5" t="s">
        <v>484</v>
      </c>
      <c r="Y9" s="5"/>
      <c r="Z9"/>
      <c r="AA9" s="5" t="s">
        <v>483</v>
      </c>
      <c r="AB9" s="5"/>
    </row>
    <row r="10" spans="2:43" ht="16.5" x14ac:dyDescent="0.45">
      <c r="B10" s="214" t="s">
        <v>196</v>
      </c>
      <c r="C10" s="213" t="s">
        <v>612</v>
      </c>
      <c r="D10" s="213" t="s">
        <v>613</v>
      </c>
      <c r="E10" s="213" t="s">
        <v>91</v>
      </c>
      <c r="F10" s="213" t="s">
        <v>414</v>
      </c>
      <c r="G10" s="213" t="s">
        <v>91</v>
      </c>
      <c r="H10" s="213" t="s">
        <v>414</v>
      </c>
      <c r="I10" s="213" t="s">
        <v>415</v>
      </c>
      <c r="J10" s="213" t="s">
        <v>416</v>
      </c>
      <c r="M10" s="219" t="s">
        <v>422</v>
      </c>
      <c r="N10" s="219" t="s">
        <v>423</v>
      </c>
      <c r="O10" s="219" t="s">
        <v>424</v>
      </c>
      <c r="P10" s="219" t="s">
        <v>425</v>
      </c>
      <c r="Q10" s="217"/>
      <c r="R10" s="223" t="s">
        <v>419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442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443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563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444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485</v>
      </c>
      <c r="Y14" s="259">
        <f>C11-Y10</f>
        <v>487.90367901871775</v>
      </c>
      <c r="Z14"/>
    </row>
    <row r="15" spans="2:43" ht="16.5" x14ac:dyDescent="0.45">
      <c r="AB15" s="1" t="s">
        <v>486</v>
      </c>
      <c r="AC15" s="259">
        <f>AB11</f>
        <v>281.69132042006549</v>
      </c>
    </row>
    <row r="16" spans="2:43" ht="16.5" x14ac:dyDescent="0.45">
      <c r="AB16" s="224" t="s">
        <v>487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446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564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563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447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444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426</v>
      </c>
      <c r="C44" s="2"/>
      <c r="D44" t="s">
        <v>427</v>
      </c>
      <c r="P44" s="218"/>
      <c r="Z44"/>
    </row>
    <row r="45" spans="2:26" x14ac:dyDescent="0.35">
      <c r="B45" s="3" t="s">
        <v>428</v>
      </c>
      <c r="C45" s="3"/>
      <c r="D45" t="s">
        <v>431</v>
      </c>
      <c r="P45" s="218"/>
      <c r="Z45"/>
    </row>
    <row r="46" spans="2:26" x14ac:dyDescent="0.35">
      <c r="B46" t="s">
        <v>429</v>
      </c>
      <c r="D46" t="s">
        <v>430</v>
      </c>
      <c r="P46" s="218"/>
      <c r="Z46"/>
    </row>
    <row r="49" spans="2:5" ht="15" thickBot="1" x14ac:dyDescent="0.4"/>
    <row r="50" spans="2:5" ht="17" thickBot="1" x14ac:dyDescent="0.5">
      <c r="B50" s="260" t="s">
        <v>487</v>
      </c>
      <c r="C50" s="227" t="s">
        <v>488</v>
      </c>
      <c r="D50" s="229"/>
      <c r="E50" s="230"/>
    </row>
    <row r="86" spans="2:20" ht="21" x14ac:dyDescent="0.5">
      <c r="B86" s="69" t="s">
        <v>567</v>
      </c>
      <c r="M86" s="8" t="s">
        <v>571</v>
      </c>
      <c r="N86" s="4">
        <v>300</v>
      </c>
      <c r="O86" s="5" t="s">
        <v>572</v>
      </c>
      <c r="P86" s="5"/>
      <c r="Q86" s="288">
        <f>N86*SQRT(2)</f>
        <v>424.26406871192853</v>
      </c>
      <c r="R86" s="107" t="s">
        <v>574</v>
      </c>
    </row>
    <row r="87" spans="2:20" ht="16.5" x14ac:dyDescent="0.45">
      <c r="M87" s="8" t="s">
        <v>573</v>
      </c>
      <c r="N87" s="288">
        <f>N86*SQRT(3)</f>
        <v>519.6152422706632</v>
      </c>
      <c r="O87" s="5" t="s">
        <v>572</v>
      </c>
      <c r="P87" s="5"/>
      <c r="Q87" s="288">
        <f>N87*SQRT(2)</f>
        <v>734.84692283495349</v>
      </c>
      <c r="R87" s="107" t="s">
        <v>574</v>
      </c>
    </row>
    <row r="88" spans="2:20" x14ac:dyDescent="0.35">
      <c r="M88" s="8" t="s">
        <v>568</v>
      </c>
      <c r="N88" s="4">
        <v>40</v>
      </c>
      <c r="O88" s="289" t="s">
        <v>321</v>
      </c>
      <c r="P88" s="5"/>
      <c r="Q88" s="107"/>
      <c r="R88" s="107"/>
    </row>
    <row r="89" spans="2:20" x14ac:dyDescent="0.35">
      <c r="M89" s="8" t="s">
        <v>569</v>
      </c>
      <c r="N89" s="4">
        <v>80</v>
      </c>
      <c r="O89" s="289" t="s">
        <v>321</v>
      </c>
      <c r="P89" s="5"/>
      <c r="Q89" s="107"/>
      <c r="R89" s="107"/>
    </row>
    <row r="90" spans="2:20" x14ac:dyDescent="0.35">
      <c r="M90" s="8" t="s">
        <v>570</v>
      </c>
      <c r="N90" s="4">
        <v>160</v>
      </c>
      <c r="O90" s="289" t="s">
        <v>321</v>
      </c>
      <c r="P90" s="5"/>
      <c r="Q90" s="107"/>
      <c r="R90" s="107"/>
    </row>
    <row r="94" spans="2:20" x14ac:dyDescent="0.35">
      <c r="J94" s="90" t="s">
        <v>575</v>
      </c>
      <c r="Q94" s="90" t="s">
        <v>585</v>
      </c>
    </row>
    <row r="96" spans="2:20" ht="17.5" x14ac:dyDescent="0.45">
      <c r="J96" s="8" t="s">
        <v>576</v>
      </c>
      <c r="K96" s="5" t="s">
        <v>577</v>
      </c>
      <c r="L96" s="290">
        <f>$N$86^2/$N$88</f>
        <v>2250</v>
      </c>
      <c r="M96" s="5" t="s">
        <v>578</v>
      </c>
      <c r="Q96" s="8"/>
      <c r="R96" s="5"/>
      <c r="S96" s="290"/>
      <c r="T96" s="5"/>
    </row>
    <row r="97" spans="10:14" ht="17.5" x14ac:dyDescent="0.45">
      <c r="J97" s="8" t="s">
        <v>579</v>
      </c>
      <c r="K97" s="5" t="s">
        <v>582</v>
      </c>
      <c r="L97" s="290">
        <f>$N$86^2/$N$89</f>
        <v>1125</v>
      </c>
      <c r="M97" s="5" t="s">
        <v>578</v>
      </c>
    </row>
    <row r="98" spans="10:14" ht="17.5" x14ac:dyDescent="0.45">
      <c r="J98" s="8" t="s">
        <v>580</v>
      </c>
      <c r="K98" s="5" t="s">
        <v>583</v>
      </c>
      <c r="L98" s="290">
        <f>$N$86^2/$N$90</f>
        <v>562.5</v>
      </c>
      <c r="M98" s="5" t="s">
        <v>578</v>
      </c>
    </row>
    <row r="99" spans="10:14" ht="16.5" x14ac:dyDescent="0.45">
      <c r="J99" s="8" t="s">
        <v>581</v>
      </c>
      <c r="K99" s="5" t="s">
        <v>584</v>
      </c>
      <c r="L99" s="290">
        <f>SUM(L96:L98)</f>
        <v>3937.5</v>
      </c>
      <c r="M99" s="5" t="s">
        <v>578</v>
      </c>
    </row>
    <row r="100" spans="10:14" ht="21.65" customHeight="1" x14ac:dyDescent="0.35"/>
    <row r="101" spans="10:14" ht="16.5" x14ac:dyDescent="0.45">
      <c r="J101" s="292" t="s">
        <v>602</v>
      </c>
      <c r="K101" s="298" t="s">
        <v>603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604</v>
      </c>
      <c r="K102" s="298" t="s">
        <v>605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606</v>
      </c>
      <c r="K103" s="298" t="s">
        <v>607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415</v>
      </c>
      <c r="N106" s="95" t="s">
        <v>416</v>
      </c>
    </row>
    <row r="107" spans="10:14" ht="16.5" x14ac:dyDescent="0.45">
      <c r="J107" s="292" t="s">
        <v>608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609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610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601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608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609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610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601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611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586</v>
      </c>
      <c r="L121" s="301" t="s">
        <v>65</v>
      </c>
    </row>
    <row r="123" spans="10:15" x14ac:dyDescent="0.35">
      <c r="M123" t="s">
        <v>599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600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322</v>
      </c>
    </row>
    <row r="5" spans="3:29" ht="24" x14ac:dyDescent="0.65">
      <c r="P5" s="136" t="s">
        <v>333</v>
      </c>
      <c r="Q5" s="135" t="s">
        <v>332</v>
      </c>
      <c r="R5" s="122">
        <v>0.5</v>
      </c>
      <c r="S5" s="175" t="s">
        <v>321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334</v>
      </c>
      <c r="Q6" s="135" t="s">
        <v>332</v>
      </c>
      <c r="R6" s="122">
        <v>0.5</v>
      </c>
      <c r="S6" s="175" t="s">
        <v>321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335</v>
      </c>
      <c r="Q7" s="135" t="s">
        <v>332</v>
      </c>
      <c r="R7" s="122">
        <v>1</v>
      </c>
      <c r="S7" s="175" t="s">
        <v>321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336</v>
      </c>
      <c r="Q8" s="135" t="s">
        <v>332</v>
      </c>
      <c r="R8" s="122">
        <v>1</v>
      </c>
      <c r="S8" s="175" t="s">
        <v>321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337</v>
      </c>
      <c r="Q9" s="135" t="s">
        <v>332</v>
      </c>
      <c r="R9" s="122">
        <v>2</v>
      </c>
      <c r="S9" s="175" t="s">
        <v>321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338</v>
      </c>
      <c r="Q10" s="135" t="s">
        <v>332</v>
      </c>
      <c r="R10" s="122">
        <v>2</v>
      </c>
      <c r="S10" s="175" t="s">
        <v>321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339</v>
      </c>
      <c r="Q11" s="135" t="s">
        <v>332</v>
      </c>
      <c r="R11" s="122">
        <v>0.5</v>
      </c>
      <c r="S11" s="175" t="s">
        <v>321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340</v>
      </c>
      <c r="Q12" s="135" t="s">
        <v>332</v>
      </c>
      <c r="R12" s="122">
        <v>0.5</v>
      </c>
      <c r="S12" s="175" t="s">
        <v>321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341</v>
      </c>
      <c r="Q13" s="135" t="s">
        <v>332</v>
      </c>
      <c r="R13" s="122">
        <v>2</v>
      </c>
      <c r="S13" s="175" t="s">
        <v>321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342</v>
      </c>
      <c r="Q14" s="135" t="s">
        <v>332</v>
      </c>
      <c r="R14" s="122">
        <v>1</v>
      </c>
      <c r="S14" s="175" t="s">
        <v>321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402</v>
      </c>
      <c r="Q15" s="171" t="s">
        <v>332</v>
      </c>
      <c r="R15" s="172">
        <f>R273</f>
        <v>1.5203252032520327</v>
      </c>
      <c r="S15" s="176" t="s">
        <v>320</v>
      </c>
      <c r="U15" s="137" t="s">
        <v>401</v>
      </c>
      <c r="V15" s="198" t="s">
        <v>332</v>
      </c>
      <c r="W15" s="122">
        <v>12</v>
      </c>
      <c r="X15" s="192" t="s">
        <v>320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389</v>
      </c>
      <c r="V17" s="198" t="s">
        <v>332</v>
      </c>
      <c r="W17" s="149" t="s">
        <v>395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389</v>
      </c>
      <c r="V18" s="199" t="s">
        <v>332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390</v>
      </c>
      <c r="V20" s="198" t="s">
        <v>332</v>
      </c>
      <c r="W20" s="149" t="s">
        <v>396</v>
      </c>
      <c r="X20" s="5"/>
    </row>
    <row r="21" spans="16:24" ht="35.5" customHeight="1" x14ac:dyDescent="0.8">
      <c r="U21" s="155" t="s">
        <v>390</v>
      </c>
      <c r="V21" s="199" t="s">
        <v>332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391</v>
      </c>
      <c r="V23" s="198" t="s">
        <v>332</v>
      </c>
      <c r="W23" s="149" t="s">
        <v>397</v>
      </c>
      <c r="X23" s="5"/>
    </row>
    <row r="24" spans="16:24" ht="35.5" customHeight="1" x14ac:dyDescent="0.8">
      <c r="U24" s="155" t="s">
        <v>391</v>
      </c>
      <c r="V24" s="199" t="s">
        <v>332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392</v>
      </c>
      <c r="V26" s="198" t="s">
        <v>332</v>
      </c>
      <c r="W26" s="149" t="s">
        <v>398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392</v>
      </c>
      <c r="V27" s="199" t="s">
        <v>332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393</v>
      </c>
      <c r="V30" s="198" t="s">
        <v>332</v>
      </c>
      <c r="W30" s="162" t="s">
        <v>399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393</v>
      </c>
      <c r="V31" s="199" t="s">
        <v>332</v>
      </c>
      <c r="W31" s="166">
        <f>W68*R11</f>
        <v>2.0534759358288772</v>
      </c>
      <c r="X31" s="166" t="s">
        <v>320</v>
      </c>
    </row>
    <row r="32" spans="16:24" ht="35.5" customHeight="1" x14ac:dyDescent="0.35"/>
    <row r="33" spans="3:24" ht="35.5" customHeight="1" x14ac:dyDescent="0.85">
      <c r="U33" s="160" t="s">
        <v>394</v>
      </c>
      <c r="V33" s="198" t="s">
        <v>332</v>
      </c>
      <c r="W33" s="162" t="s">
        <v>400</v>
      </c>
      <c r="X33" s="193"/>
    </row>
    <row r="34" spans="3:24" ht="35.5" customHeight="1" x14ac:dyDescent="0.85">
      <c r="U34" s="165" t="s">
        <v>394</v>
      </c>
      <c r="V34" s="199" t="s">
        <v>332</v>
      </c>
      <c r="W34" s="166">
        <f>W68*R12</f>
        <v>2.0534759358288772</v>
      </c>
      <c r="X34" s="166" t="s">
        <v>320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323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343</v>
      </c>
      <c r="Q58" s="135" t="s">
        <v>332</v>
      </c>
      <c r="R58" s="124" t="s">
        <v>347</v>
      </c>
      <c r="S58" s="177"/>
      <c r="U58" s="160" t="s">
        <v>383</v>
      </c>
      <c r="V58" s="198" t="s">
        <v>332</v>
      </c>
      <c r="W58" s="162" t="s">
        <v>385</v>
      </c>
      <c r="X58" s="193"/>
    </row>
    <row r="59" spans="16:24" ht="32.5" x14ac:dyDescent="0.85">
      <c r="P59" s="139" t="s">
        <v>343</v>
      </c>
      <c r="Q59" s="140" t="s">
        <v>332</v>
      </c>
      <c r="R59" s="141">
        <f>1/(1/R6+1/R7)</f>
        <v>0.33333333333333331</v>
      </c>
      <c r="S59" s="178" t="s">
        <v>321</v>
      </c>
      <c r="U59" s="165" t="s">
        <v>383</v>
      </c>
      <c r="V59" s="199" t="s">
        <v>332</v>
      </c>
      <c r="W59" s="166">
        <f>W48*W50</f>
        <v>0.38502673796791448</v>
      </c>
      <c r="X59" s="166" t="s">
        <v>320</v>
      </c>
    </row>
    <row r="61" spans="16:24" ht="32.5" x14ac:dyDescent="0.85">
      <c r="P61" s="123" t="s">
        <v>344</v>
      </c>
      <c r="Q61" s="135" t="s">
        <v>332</v>
      </c>
      <c r="R61" s="124" t="s">
        <v>348</v>
      </c>
      <c r="S61" s="177"/>
      <c r="U61" s="160" t="s">
        <v>384</v>
      </c>
      <c r="V61" s="198" t="s">
        <v>332</v>
      </c>
      <c r="W61" s="162" t="s">
        <v>386</v>
      </c>
      <c r="X61" s="193"/>
    </row>
    <row r="62" spans="16:24" ht="32.5" x14ac:dyDescent="0.85">
      <c r="P62" s="139" t="s">
        <v>344</v>
      </c>
      <c r="Q62" s="140" t="s">
        <v>332</v>
      </c>
      <c r="R62" s="141">
        <f>1/(1/R8+1/R9)</f>
        <v>0.66666666666666663</v>
      </c>
      <c r="S62" s="178" t="s">
        <v>321</v>
      </c>
      <c r="U62" s="165" t="s">
        <v>408</v>
      </c>
      <c r="V62" s="199" t="s">
        <v>332</v>
      </c>
      <c r="W62" s="166">
        <f>W48*W51</f>
        <v>0.25668449197860965</v>
      </c>
      <c r="X62" s="166" t="s">
        <v>320</v>
      </c>
    </row>
    <row r="64" spans="16:24" ht="30" x14ac:dyDescent="0.8">
      <c r="P64" s="123" t="s">
        <v>345</v>
      </c>
      <c r="Q64" s="135" t="s">
        <v>332</v>
      </c>
      <c r="R64" s="124" t="s">
        <v>349</v>
      </c>
      <c r="S64" s="177"/>
      <c r="U64" s="127" t="s">
        <v>382</v>
      </c>
      <c r="V64" s="198" t="s">
        <v>332</v>
      </c>
      <c r="W64" s="149" t="s">
        <v>387</v>
      </c>
      <c r="X64" s="5"/>
    </row>
    <row r="65" spans="16:24" ht="30" x14ac:dyDescent="0.8">
      <c r="P65" s="139" t="s">
        <v>345</v>
      </c>
      <c r="Q65" s="140" t="s">
        <v>332</v>
      </c>
      <c r="R65" s="141">
        <f>R11+R12</f>
        <v>1</v>
      </c>
      <c r="S65" s="178" t="s">
        <v>321</v>
      </c>
      <c r="U65" s="155" t="s">
        <v>382</v>
      </c>
      <c r="V65" s="199" t="s">
        <v>332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381</v>
      </c>
      <c r="V67" s="198" t="s">
        <v>332</v>
      </c>
      <c r="W67" s="149" t="s">
        <v>388</v>
      </c>
      <c r="X67" s="5"/>
    </row>
    <row r="68" spans="16:24" ht="30" x14ac:dyDescent="0.8">
      <c r="U68" s="155" t="s">
        <v>409</v>
      </c>
      <c r="V68" s="199" t="s">
        <v>332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404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405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328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346</v>
      </c>
      <c r="Q97" s="135" t="s">
        <v>332</v>
      </c>
      <c r="R97" s="124" t="s">
        <v>350</v>
      </c>
      <c r="S97" s="177"/>
      <c r="U97" s="127" t="s">
        <v>377</v>
      </c>
      <c r="V97" s="198" t="s">
        <v>332</v>
      </c>
      <c r="W97" s="149" t="s">
        <v>378</v>
      </c>
      <c r="X97" s="5"/>
    </row>
    <row r="98" spans="16:24" ht="30" x14ac:dyDescent="0.8">
      <c r="P98" s="139" t="s">
        <v>346</v>
      </c>
      <c r="Q98" s="140" t="s">
        <v>332</v>
      </c>
      <c r="R98" s="141">
        <f>R90+R88</f>
        <v>0.83333333333333326</v>
      </c>
      <c r="S98" s="178" t="s">
        <v>321</v>
      </c>
      <c r="U98" s="155" t="s">
        <v>412</v>
      </c>
      <c r="V98" s="199" t="s">
        <v>332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351</v>
      </c>
      <c r="Q100" s="135" t="s">
        <v>332</v>
      </c>
      <c r="R100" s="124" t="s">
        <v>352</v>
      </c>
      <c r="S100" s="177"/>
      <c r="U100" s="127" t="s">
        <v>379</v>
      </c>
      <c r="V100" s="198" t="s">
        <v>332</v>
      </c>
      <c r="W100" s="149" t="s">
        <v>380</v>
      </c>
      <c r="X100" s="5"/>
    </row>
    <row r="101" spans="16:24" ht="30" x14ac:dyDescent="0.8">
      <c r="P101" s="139" t="s">
        <v>351</v>
      </c>
      <c r="Q101" s="140" t="s">
        <v>332</v>
      </c>
      <c r="R101" s="141">
        <f>1/(1/R89+1/R91)</f>
        <v>0.66666666666666663</v>
      </c>
      <c r="S101" s="178" t="s">
        <v>321</v>
      </c>
      <c r="U101" s="155" t="s">
        <v>379</v>
      </c>
      <c r="V101" s="199" t="s">
        <v>332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403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327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353</v>
      </c>
      <c r="Q140" s="135" t="s">
        <v>332</v>
      </c>
      <c r="R140" s="124" t="s">
        <v>354</v>
      </c>
      <c r="S140" s="179"/>
      <c r="U140" s="160" t="s">
        <v>374</v>
      </c>
      <c r="V140" s="198" t="s">
        <v>332</v>
      </c>
      <c r="W140" s="162" t="s">
        <v>368</v>
      </c>
      <c r="X140" s="193"/>
    </row>
    <row r="141" spans="3:24" ht="32.5" x14ac:dyDescent="0.85">
      <c r="P141" s="144" t="s">
        <v>353</v>
      </c>
      <c r="Q141" s="140" t="s">
        <v>332</v>
      </c>
      <c r="R141" s="145">
        <f>1/(1/R135+1/R136)</f>
        <v>0.37037037037037035</v>
      </c>
      <c r="S141" s="180" t="s">
        <v>321</v>
      </c>
      <c r="U141" s="165" t="s">
        <v>407</v>
      </c>
      <c r="V141" s="199" t="s">
        <v>332</v>
      </c>
      <c r="W141" s="166">
        <f>W137*W135</f>
        <v>0.64171122994652408</v>
      </c>
      <c r="X141" s="166" t="s">
        <v>320</v>
      </c>
    </row>
    <row r="143" spans="3:24" ht="32.5" x14ac:dyDescent="0.85">
      <c r="U143" s="160" t="s">
        <v>375</v>
      </c>
      <c r="V143" s="198" t="s">
        <v>332</v>
      </c>
      <c r="W143" s="162" t="s">
        <v>370</v>
      </c>
      <c r="X143" s="193"/>
    </row>
    <row r="144" spans="3:24" ht="32.5" x14ac:dyDescent="0.85">
      <c r="U144" s="165" t="s">
        <v>375</v>
      </c>
      <c r="V144" s="199" t="s">
        <v>332</v>
      </c>
      <c r="W144" s="166">
        <f>W137*W136</f>
        <v>3.4652406417112305</v>
      </c>
      <c r="X144" s="166" t="s">
        <v>320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376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326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355</v>
      </c>
      <c r="Q179" s="135" t="s">
        <v>332</v>
      </c>
      <c r="R179" s="126" t="s">
        <v>356</v>
      </c>
      <c r="S179" s="181"/>
      <c r="U179" s="127" t="s">
        <v>365</v>
      </c>
      <c r="V179" s="198" t="s">
        <v>332</v>
      </c>
      <c r="W179" s="149" t="s">
        <v>364</v>
      </c>
      <c r="X179" s="194"/>
    </row>
    <row r="180" spans="4:24" ht="30" x14ac:dyDescent="0.8">
      <c r="P180" s="151" t="s">
        <v>355</v>
      </c>
      <c r="Q180" s="140" t="s">
        <v>332</v>
      </c>
      <c r="R180" s="152">
        <f>R172+R173</f>
        <v>2.3703703703703702</v>
      </c>
      <c r="S180" s="182" t="s">
        <v>321</v>
      </c>
      <c r="U180" s="155" t="s">
        <v>365</v>
      </c>
      <c r="V180" s="199" t="s">
        <v>332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367</v>
      </c>
      <c r="V182" s="198" t="s">
        <v>332</v>
      </c>
      <c r="W182" s="149" t="s">
        <v>366</v>
      </c>
      <c r="X182" s="194"/>
    </row>
    <row r="183" spans="4:24" ht="30" x14ac:dyDescent="0.8">
      <c r="U183" s="155" t="s">
        <v>411</v>
      </c>
      <c r="V183" s="199" t="s">
        <v>332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329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325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357</v>
      </c>
      <c r="Q225" s="135" t="s">
        <v>332</v>
      </c>
      <c r="R225" s="126" t="s">
        <v>358</v>
      </c>
      <c r="S225" s="181"/>
      <c r="T225" s="128"/>
      <c r="U225" s="157" t="s">
        <v>372</v>
      </c>
      <c r="V225" s="198" t="s">
        <v>332</v>
      </c>
      <c r="W225" s="161" t="s">
        <v>362</v>
      </c>
      <c r="X225" s="195"/>
    </row>
    <row r="226" spans="9:24" ht="30" x14ac:dyDescent="0.8">
      <c r="P226" s="151" t="s">
        <v>357</v>
      </c>
      <c r="Q226" s="140" t="s">
        <v>332</v>
      </c>
      <c r="R226" s="152">
        <f>1/(1/R217+1/R218)</f>
        <v>0.52032520325203258</v>
      </c>
      <c r="S226" s="182" t="s">
        <v>321</v>
      </c>
      <c r="T226" s="128"/>
      <c r="U226" s="158" t="s">
        <v>406</v>
      </c>
      <c r="V226" s="199" t="s">
        <v>332</v>
      </c>
      <c r="W226" s="159">
        <f>W218*W217</f>
        <v>4.1069518716577544</v>
      </c>
      <c r="X226" s="159" t="s">
        <v>320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371</v>
      </c>
      <c r="V228" s="198" t="s">
        <v>332</v>
      </c>
      <c r="W228" s="149" t="s">
        <v>363</v>
      </c>
      <c r="X228" s="195"/>
    </row>
    <row r="229" spans="9:24" ht="30" x14ac:dyDescent="0.8">
      <c r="U229" s="158" t="s">
        <v>371</v>
      </c>
      <c r="V229" s="199" t="s">
        <v>332</v>
      </c>
      <c r="W229" s="159">
        <f>W217*W219</f>
        <v>7.8930481283422456</v>
      </c>
      <c r="X229" s="159" t="s">
        <v>320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373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324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361</v>
      </c>
      <c r="Q272" s="135" t="s">
        <v>332</v>
      </c>
      <c r="R272" s="126" t="s">
        <v>359</v>
      </c>
      <c r="S272" s="181"/>
      <c r="U272" s="127" t="s">
        <v>360</v>
      </c>
      <c r="V272" s="198" t="s">
        <v>332</v>
      </c>
      <c r="W272" s="149" t="s">
        <v>369</v>
      </c>
      <c r="X272" s="196"/>
    </row>
    <row r="273" spans="9:24" ht="30" x14ac:dyDescent="0.8">
      <c r="I273" s="164">
        <f>W267</f>
        <v>12</v>
      </c>
      <c r="P273" s="151" t="s">
        <v>361</v>
      </c>
      <c r="Q273" s="140" t="s">
        <v>332</v>
      </c>
      <c r="R273" s="152">
        <f>R267+R268</f>
        <v>1.5203252032520327</v>
      </c>
      <c r="S273" s="182" t="s">
        <v>321</v>
      </c>
      <c r="U273" s="155" t="s">
        <v>410</v>
      </c>
      <c r="V273" s="205" t="s">
        <v>332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489</v>
      </c>
    </row>
  </sheetData>
  <pageMargins left="0.7" right="0.7" top="0.78740157499999996" bottom="0.78740157499999996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490</v>
      </c>
    </row>
    <row r="21" spans="3:13" ht="15" thickBot="1" x14ac:dyDescent="0.4"/>
    <row r="22" spans="3:13" ht="16.5" x14ac:dyDescent="0.45">
      <c r="C22" s="261" t="s">
        <v>499</v>
      </c>
      <c r="D22" s="262" t="s">
        <v>415</v>
      </c>
      <c r="E22" s="262" t="s">
        <v>416</v>
      </c>
      <c r="F22" s="262" t="s">
        <v>491</v>
      </c>
      <c r="G22" s="262" t="s">
        <v>492</v>
      </c>
      <c r="H22" s="263" t="s">
        <v>493</v>
      </c>
      <c r="L22" t="s">
        <v>510</v>
      </c>
      <c r="M22" t="s">
        <v>511</v>
      </c>
    </row>
    <row r="23" spans="3:13" x14ac:dyDescent="0.35">
      <c r="C23" s="264" t="s">
        <v>495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496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497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498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500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501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502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503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504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505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506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507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508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509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494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512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513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514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515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516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517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518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519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520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521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513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522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523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524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525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526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527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528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529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530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531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532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533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534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535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536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537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538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539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515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540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541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542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543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544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545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546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547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548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26</vt:i4>
      </vt:variant>
    </vt:vector>
  </HeadingPairs>
  <TitlesOfParts>
    <vt:vector size="26" baseType="lpstr">
      <vt:lpstr>TOC</vt:lpstr>
      <vt:lpstr>Einheitenvorsätze</vt:lpstr>
      <vt:lpstr>Elektronische Schaltzeichen</vt:lpstr>
      <vt:lpstr>LCR-Glieder</vt:lpstr>
      <vt:lpstr>Kondensator an Gleichspannung</vt:lpstr>
      <vt:lpstr>Quelle mit Innenwiderstand</vt:lpstr>
      <vt:lpstr>Leistung bei Wechselstrom</vt:lpstr>
      <vt:lpstr>Schiefeebene</vt:lpstr>
      <vt:lpstr>Schiefe-Ebene (alt)</vt:lpstr>
      <vt:lpstr>Sinus_Cosinus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2025-06-12T05:29:37Z</cp:lastPrinted>
  <dcterms:created xsi:type="dcterms:W3CDTF">2015-06-05T18:19:34Z</dcterms:created>
  <dcterms:modified xsi:type="dcterms:W3CDTF">2026-01-14T17:06:52Z</dcterms:modified>
</cp:coreProperties>
</file>