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3.xml" ContentType="application/vnd.openxmlformats-officedocument.drawing+xml"/>
  <Override PartName="/xl/comments3.xml" ContentType="application/vnd.openxmlformats-officedocument.spreadsheetml.comments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F09192DE-CC70-470F-BFFC-D7A9E20405F2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LCR-Glieder" sheetId="35" r:id="rId4"/>
    <sheet name="Kondensator an Gleichspannung" sheetId="36" r:id="rId5"/>
    <sheet name="Quelle mit Innenwiderstand" sheetId="29" r:id="rId6"/>
    <sheet name="Leistung bei Wechselstrom" sheetId="28" r:id="rId7"/>
    <sheet name="Schiefeebene" sheetId="19" r:id="rId8"/>
    <sheet name="Schiefe-Ebene (alt)" sheetId="20" r:id="rId9"/>
    <sheet name="Sinus_Cosinus" sheetId="22" r:id="rId10"/>
    <sheet name="Vektoroperationen" sheetId="18" r:id="rId11"/>
    <sheet name="VektorZeitbereich" sheetId="24" r:id="rId12"/>
    <sheet name="Geburtstagsliste" sheetId="17" r:id="rId13"/>
    <sheet name="Einheiten umrechnen" sheetId="16" r:id="rId14"/>
    <sheet name="Flächenberechnungen" sheetId="14" r:id="rId15"/>
    <sheet name="Kinematik_1" sheetId="4" r:id="rId16"/>
    <sheet name="Kinematik_1 (Weg-Zeit)" sheetId="33" r:id="rId17"/>
    <sheet name="Kinematik_2" sheetId="9" r:id="rId18"/>
    <sheet name="Kinematik_2_Berechnungen" sheetId="11" r:id="rId19"/>
    <sheet name="Kinematik_2 (Weg-Zeit)" sheetId="34" r:id="rId20"/>
    <sheet name="Fourierreihe" sheetId="12" r:id="rId21"/>
    <sheet name="Scheinleistung" sheetId="15" r:id="rId22"/>
    <sheet name="3-Phasenstrom" sheetId="25" r:id="rId23"/>
    <sheet name="Gemischte Schaltung" sheetId="23" r:id="rId24"/>
    <sheet name="Theoreme" sheetId="26" r:id="rId25"/>
    <sheet name="Fläche eines Polygones" sheetId="27" r:id="rId26"/>
  </sheets>
  <definedNames>
    <definedName name="_xlnm._FilterDatabase" localSheetId="12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36" l="1"/>
  <c r="Y32" i="36"/>
  <c r="D13" i="36"/>
  <c r="P45" i="36"/>
  <c r="O45" i="36"/>
  <c r="I74" i="36"/>
  <c r="H78" i="36" s="1"/>
  <c r="I78" i="36" s="1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C11" i="36"/>
  <c r="O11" i="36" s="1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Z7" i="35"/>
  <c r="J9" i="36"/>
  <c r="H8" i="36"/>
  <c r="G11" i="36"/>
  <c r="G10" i="35"/>
  <c r="D15" i="35"/>
  <c r="K9" i="36"/>
  <c r="I9" i="36"/>
  <c r="H9" i="36"/>
  <c r="G9" i="36"/>
  <c r="C31" i="36" s="1"/>
  <c r="C33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E10" i="13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L8" i="36" l="1"/>
  <c r="I20" i="36" s="1"/>
  <c r="N11" i="36"/>
  <c r="D11" i="36"/>
  <c r="J11" i="36" s="1"/>
  <c r="Q43" i="36"/>
  <c r="Q45" i="36" s="1"/>
  <c r="D12" i="35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K11" i="36" l="1"/>
  <c r="I21" i="36"/>
  <c r="I22" i="36"/>
  <c r="I19" i="36"/>
  <c r="H11" i="36"/>
  <c r="R12" i="36"/>
  <c r="E32" i="36"/>
  <c r="L11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H73" i="36" l="1"/>
  <c r="I73" i="36" s="1"/>
  <c r="I77" i="36" s="1"/>
  <c r="I40" i="36"/>
  <c r="O16" i="36"/>
  <c r="O17" i="36" s="1"/>
  <c r="O18" i="36" s="1"/>
  <c r="D12" i="36"/>
  <c r="E31" i="36"/>
  <c r="E33" i="36" s="1"/>
  <c r="E34" i="36"/>
  <c r="D31" i="36"/>
  <c r="D33" i="36" s="1"/>
  <c r="D34" i="36"/>
  <c r="J40" i="36"/>
  <c r="J44" i="36" s="1"/>
  <c r="K19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H12" i="36" l="1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L20" i="36" l="1"/>
  <c r="G31" i="36"/>
  <c r="G33" i="36" s="1"/>
  <c r="G34" i="36"/>
  <c r="K20" i="36"/>
  <c r="U43" i="36"/>
  <c r="U45" i="36" s="1"/>
  <c r="T44" i="36"/>
  <c r="I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H31" i="36" l="1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I31" i="36" l="1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J31" i="36" l="1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K31" i="36" l="1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M17" i="22"/>
  <c r="T17" i="4"/>
  <c r="S18" i="4"/>
  <c r="N12" i="22"/>
  <c r="N13" i="22"/>
  <c r="M16" i="22"/>
  <c r="N61" i="22"/>
  <c r="N62" i="22"/>
  <c r="O11" i="22"/>
  <c r="P10" i="22"/>
  <c r="Y44" i="36" l="1"/>
  <c r="Y45" i="36"/>
  <c r="L31" i="36"/>
  <c r="L33" i="36" s="1"/>
  <c r="L34" i="36"/>
  <c r="N17" i="22"/>
  <c r="M32" i="36"/>
  <c r="N20" i="9"/>
  <c r="N21" i="9"/>
  <c r="O19" i="9"/>
  <c r="S18" i="34"/>
  <c r="T11" i="34"/>
  <c r="R11" i="33"/>
  <c r="Q12" i="33"/>
  <c r="Q14" i="33"/>
  <c r="U17" i="4"/>
  <c r="T18" i="4"/>
  <c r="O12" i="22"/>
  <c r="O13" i="22"/>
  <c r="N16" i="22"/>
  <c r="O61" i="22"/>
  <c r="O62" i="22"/>
  <c r="P11" i="22"/>
  <c r="Q10" i="22"/>
  <c r="M31" i="36" l="1"/>
  <c r="M33" i="36" s="1"/>
  <c r="M34" i="36"/>
  <c r="O17" i="22"/>
  <c r="N32" i="36"/>
  <c r="O20" i="9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N31" i="36" l="1"/>
  <c r="N33" i="36" s="1"/>
  <c r="N34" i="36"/>
  <c r="O32" i="36"/>
  <c r="P20" i="9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O31" i="36" l="1"/>
  <c r="O33" i="36" s="1"/>
  <c r="O34" i="36"/>
  <c r="P32" i="36"/>
  <c r="Q20" i="9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P31" i="36" l="1"/>
  <c r="P33" i="36" s="1"/>
  <c r="P34" i="36"/>
  <c r="Q32" i="36"/>
  <c r="R21" i="9"/>
  <c r="R20" i="9"/>
  <c r="S19" i="9"/>
  <c r="X11" i="34"/>
  <c r="W18" i="34"/>
  <c r="U12" i="33"/>
  <c r="U14" i="33"/>
  <c r="V11" i="33"/>
  <c r="R17" i="22"/>
  <c r="X18" i="4"/>
  <c r="Y17" i="4"/>
  <c r="S12" i="22"/>
  <c r="S13" i="22"/>
  <c r="R16" i="22"/>
  <c r="S61" i="22"/>
  <c r="S62" i="22"/>
  <c r="U10" i="22"/>
  <c r="T11" i="22"/>
  <c r="Q31" i="36" l="1"/>
  <c r="Q33" i="36" s="1"/>
  <c r="Q34" i="36"/>
  <c r="S17" i="22"/>
  <c r="R32" i="36"/>
  <c r="S20" i="9"/>
  <c r="S21" i="9"/>
  <c r="T19" i="9"/>
  <c r="X18" i="34"/>
  <c r="Y11" i="34"/>
  <c r="V14" i="33"/>
  <c r="W11" i="33"/>
  <c r="V12" i="33"/>
  <c r="Y18" i="4"/>
  <c r="Z17" i="4"/>
  <c r="T12" i="22"/>
  <c r="T13" i="22"/>
  <c r="S16" i="22"/>
  <c r="T61" i="22"/>
  <c r="T62" i="22"/>
  <c r="U11" i="22"/>
  <c r="V10" i="22"/>
  <c r="R31" i="36" l="1"/>
  <c r="R33" i="36" s="1"/>
  <c r="R34" i="36"/>
  <c r="T17" i="22"/>
  <c r="S32" i="36"/>
  <c r="T20" i="9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S31" i="36" l="1"/>
  <c r="S33" i="36" s="1"/>
  <c r="S34" i="36"/>
  <c r="T32" i="36"/>
  <c r="U20" i="9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T31" i="36" l="1"/>
  <c r="T33" i="36" s="1"/>
  <c r="T34" i="36"/>
  <c r="U32" i="36"/>
  <c r="V21" i="9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U31" i="36" l="1"/>
  <c r="U33" i="36" s="1"/>
  <c r="U34" i="36"/>
  <c r="V32" i="36"/>
  <c r="W20" i="9"/>
  <c r="W21" i="9"/>
  <c r="X19" i="9"/>
  <c r="Z14" i="33"/>
  <c r="Z12" i="33"/>
  <c r="W17" i="22"/>
  <c r="AD17" i="4"/>
  <c r="AC18" i="4"/>
  <c r="X12" i="22"/>
  <c r="X13" i="22"/>
  <c r="W16" i="22"/>
  <c r="X61" i="22"/>
  <c r="X62" i="22"/>
  <c r="Z10" i="22"/>
  <c r="Y11" i="22"/>
  <c r="V31" i="36" l="1"/>
  <c r="V33" i="36" s="1"/>
  <c r="V34" i="36"/>
  <c r="X17" i="22"/>
  <c r="W32" i="36"/>
  <c r="Z31" i="36" s="1"/>
  <c r="X20" i="9"/>
  <c r="X21" i="9"/>
  <c r="Y19" i="9"/>
  <c r="AE17" i="4"/>
  <c r="AD18" i="4"/>
  <c r="Y12" i="22"/>
  <c r="Y13" i="22"/>
  <c r="X16" i="22"/>
  <c r="Y61" i="22"/>
  <c r="Y62" i="22"/>
  <c r="Z11" i="22"/>
  <c r="AA10" i="22"/>
  <c r="W31" i="36" l="1"/>
  <c r="W33" i="36" s="1"/>
  <c r="W34" i="36"/>
  <c r="Y20" i="9"/>
  <c r="Y21" i="9"/>
  <c r="Z19" i="9"/>
  <c r="Y17" i="22"/>
  <c r="AF17" i="4"/>
  <c r="AE18" i="4"/>
  <c r="Z12" i="22"/>
  <c r="Z13" i="22"/>
  <c r="Y16" i="22"/>
  <c r="Z61" i="22"/>
  <c r="Z62" i="22"/>
  <c r="AA11" i="22"/>
  <c r="AB10" i="22"/>
  <c r="Z17" i="22" l="1"/>
  <c r="Z21" i="9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B16" i="22"/>
  <c r="AC61" i="22"/>
  <c r="AC62" i="22"/>
  <c r="AE10" i="22"/>
  <c r="AD11" i="22"/>
  <c r="AC17" i="22" l="1"/>
  <c r="AJ17" i="4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61" i="22"/>
  <c r="AG62" i="22"/>
  <c r="AH11" i="22"/>
  <c r="AI10" i="22"/>
  <c r="AG17" i="22" l="1"/>
  <c r="AN17" i="4"/>
  <c r="AM18" i="4"/>
  <c r="AH12" i="22"/>
  <c r="AH13" i="22"/>
  <c r="AG16" i="22"/>
  <c r="AH61" i="22"/>
  <c r="AH62" i="22"/>
  <c r="AI11" i="22"/>
  <c r="AJ10" i="22"/>
  <c r="AH17" i="22" l="1"/>
  <c r="AN18" i="4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61" i="22"/>
  <c r="AJ62" i="22"/>
  <c r="AK11" i="22"/>
  <c r="AL10" i="22"/>
  <c r="AJ17" i="22" l="1"/>
  <c r="AK12" i="22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Q16" i="22"/>
  <c r="AR61" i="22"/>
  <c r="AR62" i="22"/>
  <c r="AT10" i="22"/>
  <c r="AS11" i="22"/>
  <c r="AR17" i="22" l="1"/>
  <c r="AR16" i="22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<sst xmlns="http://schemas.openxmlformats.org/spreadsheetml/2006/main" count="1442" uniqueCount="923">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</sst>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</numFmts>
  <fonts count="1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80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18.126924692201818</c:v>
                </c:pt>
                <c:pt idx="2">
                  <c:v>32.967995396436066</c:v>
                </c:pt>
                <c:pt idx="3">
                  <c:v>45.118836390597359</c:v>
                </c:pt>
                <c:pt idx="4">
                  <c:v>55.067103588277845</c:v>
                </c:pt>
                <c:pt idx="5">
                  <c:v>63.212055882855765</c:v>
                </c:pt>
                <c:pt idx="6">
                  <c:v>69.880578808779774</c:v>
                </c:pt>
                <c:pt idx="7">
                  <c:v>75.340303605839352</c:v>
                </c:pt>
                <c:pt idx="8">
                  <c:v>79.810348200534463</c:v>
                </c:pt>
                <c:pt idx="9">
                  <c:v>83.470111177841346</c:v>
                </c:pt>
                <c:pt idx="10">
                  <c:v>86.466471676338728</c:v>
                </c:pt>
                <c:pt idx="11">
                  <c:v>88.919684163766604</c:v>
                </c:pt>
                <c:pt idx="12">
                  <c:v>90.928204671058751</c:v>
                </c:pt>
                <c:pt idx="13">
                  <c:v>92.57264217856661</c:v>
                </c:pt>
                <c:pt idx="14">
                  <c:v>93.918993737478203</c:v>
                </c:pt>
                <c:pt idx="15">
                  <c:v>95.021293163213599</c:v>
                </c:pt>
                <c:pt idx="16">
                  <c:v>95.923779602163378</c:v>
                </c:pt>
                <c:pt idx="17">
                  <c:v>96.662673003967399</c:v>
                </c:pt>
                <c:pt idx="18">
                  <c:v>97.267627755270752</c:v>
                </c:pt>
                <c:pt idx="19">
                  <c:v>97.76292281438343</c:v>
                </c:pt>
                <c:pt idx="20">
                  <c:v>98.168436111126582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63.212055882855765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63.212055882855765</c:v>
                </c:pt>
                <c:pt idx="1">
                  <c:v>63.212055882855765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100</c:v>
                </c:pt>
                <c:pt idx="1">
                  <c:v>81.873075307798189</c:v>
                </c:pt>
                <c:pt idx="2">
                  <c:v>67.032004603563934</c:v>
                </c:pt>
                <c:pt idx="3">
                  <c:v>54.881163609402641</c:v>
                </c:pt>
                <c:pt idx="4">
                  <c:v>44.932896411722155</c:v>
                </c:pt>
                <c:pt idx="5">
                  <c:v>36.787944117144235</c:v>
                </c:pt>
                <c:pt idx="6">
                  <c:v>30.119421191220212</c:v>
                </c:pt>
                <c:pt idx="7">
                  <c:v>24.659696394160648</c:v>
                </c:pt>
                <c:pt idx="8">
                  <c:v>20.189651799465537</c:v>
                </c:pt>
                <c:pt idx="9">
                  <c:v>16.529888822158654</c:v>
                </c:pt>
                <c:pt idx="10">
                  <c:v>13.533528323661271</c:v>
                </c:pt>
                <c:pt idx="11">
                  <c:v>11.080315836233387</c:v>
                </c:pt>
                <c:pt idx="12">
                  <c:v>9.071795328941251</c:v>
                </c:pt>
                <c:pt idx="13">
                  <c:v>7.4273578214333877</c:v>
                </c:pt>
                <c:pt idx="14">
                  <c:v>6.0810062625217975</c:v>
                </c:pt>
                <c:pt idx="15">
                  <c:v>4.9787068367863947</c:v>
                </c:pt>
                <c:pt idx="16">
                  <c:v>4.0762203978366207</c:v>
                </c:pt>
                <c:pt idx="17">
                  <c:v>3.337326996032608</c:v>
                </c:pt>
                <c:pt idx="18">
                  <c:v>2.7323722447292558</c:v>
                </c:pt>
                <c:pt idx="19">
                  <c:v>2.2370771856165601</c:v>
                </c:pt>
                <c:pt idx="20">
                  <c:v>1.8315638888734178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36.787944117144235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36.787944117144235</c:v>
                </c:pt>
                <c:pt idx="1">
                  <c:v>36.787944117144235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 + 180)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1.22514845490862E-16</c:v>
                </c:pt>
                <c:pt idx="1">
                  <c:v>-0.17364817766693003</c:v>
                </c:pt>
                <c:pt idx="2">
                  <c:v>-0.34202014332566866</c:v>
                </c:pt>
                <c:pt idx="3">
                  <c:v>-0.49999999999999972</c:v>
                </c:pt>
                <c:pt idx="4">
                  <c:v>-0.64278760968653925</c:v>
                </c:pt>
                <c:pt idx="5">
                  <c:v>-0.7660444431189779</c:v>
                </c:pt>
                <c:pt idx="6">
                  <c:v>-0.86602540378443837</c:v>
                </c:pt>
                <c:pt idx="7">
                  <c:v>-0.93969262078590843</c:v>
                </c:pt>
                <c:pt idx="8">
                  <c:v>-0.98480775301220802</c:v>
                </c:pt>
                <c:pt idx="9">
                  <c:v>-1</c:v>
                </c:pt>
                <c:pt idx="10">
                  <c:v>-0.98480775301220813</c:v>
                </c:pt>
                <c:pt idx="11">
                  <c:v>-0.93969262078590854</c:v>
                </c:pt>
                <c:pt idx="12">
                  <c:v>-0.86602540378443904</c:v>
                </c:pt>
                <c:pt idx="13">
                  <c:v>-0.76604444311897812</c:v>
                </c:pt>
                <c:pt idx="14">
                  <c:v>-0.64278760968653958</c:v>
                </c:pt>
                <c:pt idx="15">
                  <c:v>-0.49999999999999967</c:v>
                </c:pt>
                <c:pt idx="16">
                  <c:v>-0.3420201433256686</c:v>
                </c:pt>
                <c:pt idx="17">
                  <c:v>-0.17364817766693039</c:v>
                </c:pt>
                <c:pt idx="18">
                  <c:v>-2.45029690981724E-16</c:v>
                </c:pt>
                <c:pt idx="19">
                  <c:v>0.17364817766692991</c:v>
                </c:pt>
                <c:pt idx="20">
                  <c:v>0.3420201433256681</c:v>
                </c:pt>
                <c:pt idx="21">
                  <c:v>0.5</c:v>
                </c:pt>
                <c:pt idx="22">
                  <c:v>0.64278760968653914</c:v>
                </c:pt>
                <c:pt idx="23">
                  <c:v>0.76604444311897779</c:v>
                </c:pt>
                <c:pt idx="24">
                  <c:v>0.86602540378443837</c:v>
                </c:pt>
                <c:pt idx="25">
                  <c:v>0.93969262078590809</c:v>
                </c:pt>
                <c:pt idx="26">
                  <c:v>0.98480775301220802</c:v>
                </c:pt>
                <c:pt idx="27">
                  <c:v>1</c:v>
                </c:pt>
                <c:pt idx="28">
                  <c:v>0.98480775301220813</c:v>
                </c:pt>
                <c:pt idx="29">
                  <c:v>0.93969262078590865</c:v>
                </c:pt>
                <c:pt idx="30">
                  <c:v>0.86602540378443826</c:v>
                </c:pt>
                <c:pt idx="31">
                  <c:v>0.76604444311897757</c:v>
                </c:pt>
                <c:pt idx="32">
                  <c:v>0.64278760968653903</c:v>
                </c:pt>
                <c:pt idx="33">
                  <c:v>0.49999999999999978</c:v>
                </c:pt>
                <c:pt idx="34">
                  <c:v>0.34202014332566871</c:v>
                </c:pt>
                <c:pt idx="35">
                  <c:v>0.1736481776669305</c:v>
                </c:pt>
                <c:pt idx="36">
                  <c:v>3.67544536472586E-16</c:v>
                </c:pt>
                <c:pt idx="37">
                  <c:v>-0.17364817766692978</c:v>
                </c:pt>
                <c:pt idx="38">
                  <c:v>-0.34202014332566799</c:v>
                </c:pt>
                <c:pt idx="39">
                  <c:v>-0.49999999999999917</c:v>
                </c:pt>
                <c:pt idx="40">
                  <c:v>-0.64278760968653836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-0.98480775301220791</c:v>
                </c:pt>
                <c:pt idx="1">
                  <c:v>1.2855752193730787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-0.3420201433256681</c:v>
                </c:pt>
                <c:pt idx="2">
                  <c:v>-0.64278760968653925</c:v>
                </c:pt>
                <c:pt idx="3">
                  <c:v>-0.86602540378443826</c:v>
                </c:pt>
                <c:pt idx="4">
                  <c:v>-0.98480775301220791</c:v>
                </c:pt>
                <c:pt idx="5">
                  <c:v>-0.98480775301220791</c:v>
                </c:pt>
                <c:pt idx="6">
                  <c:v>-0.8660254037844386</c:v>
                </c:pt>
                <c:pt idx="7">
                  <c:v>-0.64278760968653947</c:v>
                </c:pt>
                <c:pt idx="8">
                  <c:v>-0.34202014332566882</c:v>
                </c:pt>
                <c:pt idx="9">
                  <c:v>-1.22514845490862E-16</c:v>
                </c:pt>
                <c:pt idx="10">
                  <c:v>0.34202014332566866</c:v>
                </c:pt>
                <c:pt idx="11">
                  <c:v>0.64278760968653936</c:v>
                </c:pt>
                <c:pt idx="12">
                  <c:v>0.86602540378443871</c:v>
                </c:pt>
                <c:pt idx="13">
                  <c:v>0.98480775301220824</c:v>
                </c:pt>
                <c:pt idx="14">
                  <c:v>0.98480775301220824</c:v>
                </c:pt>
                <c:pt idx="15">
                  <c:v>0.86602540378443815</c:v>
                </c:pt>
                <c:pt idx="16">
                  <c:v>0.64278760968653903</c:v>
                </c:pt>
                <c:pt idx="17">
                  <c:v>0.34202014332566877</c:v>
                </c:pt>
                <c:pt idx="18">
                  <c:v>4.90059381963448E-16</c:v>
                </c:pt>
                <c:pt idx="19">
                  <c:v>-0.34202014332566788</c:v>
                </c:pt>
                <c:pt idx="20">
                  <c:v>-0.64278760968653814</c:v>
                </c:pt>
                <c:pt idx="21">
                  <c:v>-0.8660254037844386</c:v>
                </c:pt>
                <c:pt idx="22">
                  <c:v>-0.9848077530122078</c:v>
                </c:pt>
                <c:pt idx="23">
                  <c:v>-0.98480775301220802</c:v>
                </c:pt>
                <c:pt idx="24">
                  <c:v>-0.86602540378443915</c:v>
                </c:pt>
                <c:pt idx="25">
                  <c:v>-0.64278760968654036</c:v>
                </c:pt>
                <c:pt idx="26">
                  <c:v>-0.34202014332566866</c:v>
                </c:pt>
                <c:pt idx="27">
                  <c:v>-3.67544536472586E-16</c:v>
                </c:pt>
                <c:pt idx="28">
                  <c:v>0.34202014332566799</c:v>
                </c:pt>
                <c:pt idx="29">
                  <c:v>0.64278760968653847</c:v>
                </c:pt>
                <c:pt idx="30">
                  <c:v>0.86602540378443849</c:v>
                </c:pt>
                <c:pt idx="31">
                  <c:v>0.98480775301220735</c:v>
                </c:pt>
                <c:pt idx="32">
                  <c:v>0.98480775301220724</c:v>
                </c:pt>
                <c:pt idx="33">
                  <c:v>0.86602540378443804</c:v>
                </c:pt>
                <c:pt idx="34">
                  <c:v>0.64278760968653936</c:v>
                </c:pt>
                <c:pt idx="35">
                  <c:v>0.34202014332566899</c:v>
                </c:pt>
                <c:pt idx="36">
                  <c:v>7.3508907294517201E-16</c:v>
                </c:pt>
                <c:pt idx="37">
                  <c:v>-0.3420201433256676</c:v>
                </c:pt>
                <c:pt idx="38">
                  <c:v>-0.64278760968653792</c:v>
                </c:pt>
                <c:pt idx="39">
                  <c:v>-0.8660254037844376</c:v>
                </c:pt>
                <c:pt idx="40">
                  <c:v>-0.98480775301220669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-0.64278760968653947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-0.7660444431189779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-0.64278760968653947</c:v>
                </c:pt>
                <c:pt idx="1">
                  <c:v>0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1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7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8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hyperlink" Target="#TOC!A1"/><Relationship Id="rId5" Type="http://schemas.openxmlformats.org/officeDocument/2006/relationships/chart" Target="../charts/chart31.xml"/><Relationship Id="rId4" Type="http://schemas.openxmlformats.org/officeDocument/2006/relationships/image" Target="../media/image1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704849</xdr:colOff>
      <xdr:row>1</xdr:row>
      <xdr:rowOff>3174</xdr:rowOff>
    </xdr:from>
    <xdr:to>
      <xdr:col>1</xdr:col>
      <xdr:colOff>546099</xdr:colOff>
      <xdr:row>2</xdr:row>
      <xdr:rowOff>157405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04849" y="187324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1816847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2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10" sqref="E10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 an Wechselspannung</v>
      </c>
    </row>
    <row r="10" spans="2:7" x14ac:dyDescent="0.35">
      <c r="B10" s="70">
        <v>45873</v>
      </c>
      <c r="C10" s="71" t="str">
        <f>Theoreme!$C$2</f>
        <v>Trigonometrischen Theoreme und Identitäten</v>
      </c>
      <c r="D10" s="70">
        <v>46035</v>
      </c>
      <c r="E10" s="71" t="str">
        <f>'Kondensator an Gleichspannung'!C2</f>
        <v>Kondensator an Gleichspannung</v>
      </c>
    </row>
    <row r="11" spans="2:7" x14ac:dyDescent="0.35">
      <c r="B11" s="70">
        <v>45873</v>
      </c>
      <c r="C11" s="71" t="str">
        <f>'Fläche eines Polygones'!C2</f>
        <v>Polygone-Fläche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2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C1"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X55" sqref="X55:X56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tabSelected="1" topLeftCell="G36" zoomScale="85" zoomScaleNormal="85" workbookViewId="0">
      <selection activeCell="S40" sqref="S40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64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100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100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100V</v>
      </c>
      <c r="K6" s="77" t="str">
        <f>IF(E6=Einheitenvorsätze!$A$19,_xlfn.CONCAT(D6,F6),_xlfn.CONCAT(D6,E6,F6))</f>
        <v>100V</v>
      </c>
      <c r="L6" s="77" t="str">
        <f>_xlfn.CONCAT(I6,K6)</f>
        <v>U0 = 100V</v>
      </c>
      <c r="M6" s="77" t="str">
        <f>_xlfn.CONCAT(I6,J6)</f>
        <v>U0 = 100V</v>
      </c>
    </row>
    <row r="7" spans="2:19" ht="16.5" customHeight="1" x14ac:dyDescent="0.35">
      <c r="C7" s="8" t="s">
        <v>865</v>
      </c>
      <c r="D7" s="4">
        <v>1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10⁶Ω</v>
      </c>
      <c r="K7" s="77" t="str">
        <f>IF(E7=Einheitenvorsätze!$A$19,_xlfn.CONCAT(D7,F7),_xlfn.CONCAT(D7,E7,F7))</f>
        <v>1MeΩ</v>
      </c>
      <c r="L7" s="77" t="str">
        <f>_xlfn.CONCAT(I7,K7)</f>
        <v>R = 1MeΩ</v>
      </c>
      <c r="M7" s="77" t="str">
        <f>_xlfn.CONCAT(I7,J7)</f>
        <v>R = 1 * 10⁶Ω</v>
      </c>
    </row>
    <row r="8" spans="2:19" ht="16.5" customHeight="1" x14ac:dyDescent="0.35">
      <c r="C8" s="8" t="s">
        <v>866</v>
      </c>
      <c r="D8" s="4">
        <v>10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9.9999999999999991E-6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10 * 10⁻⁶F</v>
      </c>
      <c r="K8" s="77" t="str">
        <f>IF(E8=Einheitenvorsätze!$A$19,_xlfn.CONCAT(D8,F8),_xlfn.CONCAT(D8,E8,F8))</f>
        <v>10µF</v>
      </c>
      <c r="L8" s="77" t="str">
        <f t="shared" ref="L8" si="1">_xlfn.CONCAT(I8,K8)</f>
        <v>C = 10µF</v>
      </c>
      <c r="M8" s="77" t="str">
        <f t="shared" ref="M8" si="2">_xlfn.CONCAT(I8,J8)</f>
        <v>C = 10 * 10⁻⁶F</v>
      </c>
    </row>
    <row r="9" spans="2:19" ht="18.5" x14ac:dyDescent="0.45">
      <c r="C9" s="8" t="s">
        <v>440</v>
      </c>
      <c r="D9" s="4">
        <v>10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10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10s</v>
      </c>
      <c r="K9" s="77" t="str">
        <f>IF(E9=Einheitenvorsätze!$A$19,_xlfn.CONCAT(D9,F9),_xlfn.CONCAT(D9,E9,F9))</f>
        <v>10s</v>
      </c>
      <c r="L9" s="77" t="str">
        <f>_xlfn.CONCAT(I9,K9)</f>
        <v>t = 10s</v>
      </c>
      <c r="M9" s="77" t="str">
        <f>_xlfn.CONCAT(I9,J9)</f>
        <v>t = 10s</v>
      </c>
      <c r="O9" s="339" t="str">
        <f>_xlfn.CONCAT(C9,"-",Einheitenvorsätze!C56," * ln(1 - UC/U0)")</f>
        <v>t = -τ * ln(1 - UC/U0)</v>
      </c>
      <c r="R9" s="424">
        <f xml:space="preserve"> -D11 * LN(1 - D12/D6)</f>
        <v>10.000011992290341</v>
      </c>
    </row>
    <row r="10" spans="2:19" ht="18.5" x14ac:dyDescent="0.45">
      <c r="O10" s="339"/>
      <c r="R10" s="24"/>
    </row>
    <row r="11" spans="2:19" ht="18.5" x14ac:dyDescent="0.45">
      <c r="C11" s="8" t="str">
        <f>_xlfn.CONCAT(Einheitenvorsätze!C56," = ")</f>
        <v xml:space="preserve">τ = </v>
      </c>
      <c r="D11" s="77">
        <f>ROUND(D7*D8 / 10^(G7+G8-G11),4)</f>
        <v>10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10</v>
      </c>
      <c r="I11" s="401" t="str">
        <f>C11</f>
        <v xml:space="preserve">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10s</v>
      </c>
      <c r="K11" s="77" t="str">
        <f>IF(E11=Einheitenvorsätze!$A$19,_xlfn.CONCAT(D11,F11),_xlfn.CONCAT(D11,E11,F11))</f>
        <v>10s</v>
      </c>
      <c r="L11" s="77" t="str">
        <f t="shared" ref="L11" si="3">_xlfn.CONCAT(I11,K11)</f>
        <v>τ = 10s</v>
      </c>
      <c r="M11" s="77" t="str">
        <f t="shared" ref="M11" si="4">_xlfn.CONCAT(I11,J11)</f>
        <v>τ = 10s</v>
      </c>
      <c r="N11" s="339" t="str">
        <f>_xlfn.CONCAT(C11," R*C")</f>
        <v>τ =  R*C</v>
      </c>
      <c r="O11" s="339" t="str">
        <f>_xlfn.CONCAT(C11,"-t/ln(1 - UC/U0)")</f>
        <v>τ = -t/ln(1 - UC/U0)</v>
      </c>
      <c r="R11" s="424">
        <f xml:space="preserve"> -D9 / LN(1 - D12/D6)</f>
        <v>9.9999880077240402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63.2121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63.2121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63.2121V</v>
      </c>
      <c r="K12" s="77" t="str">
        <f>IF(E12=Einheitenvorsätze!$A$19,_xlfn.CONCAT(D12,F12),_xlfn.CONCAT(D12,E12,F12))</f>
        <v>63.2121V</v>
      </c>
      <c r="L12" s="77" t="str">
        <f t="shared" ref="L12" si="6">_xlfn.CONCAT(I12,K12)</f>
        <v xml:space="preserve"> UC = 63.2121V</v>
      </c>
      <c r="M12" s="77" t="str">
        <f t="shared" ref="M12" si="7">_xlfn.CONCAT(I12,J12)</f>
        <v xml:space="preserve"> UC = 63.2121V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63.212055882855765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36.7879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36.7879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36.7879V</v>
      </c>
      <c r="K13" s="77" t="str">
        <f>IF(E13=Einheitenvorsätze!$A$19,_xlfn.CONCAT(D13,F13),_xlfn.CONCAT(D13,E13,F13))</f>
        <v>36.7879V</v>
      </c>
      <c r="L13" s="77" t="str">
        <f t="shared" ref="L13" si="9">_xlfn.CONCAT(I13,K13)</f>
        <v xml:space="preserve"> UC = 36.7879V</v>
      </c>
      <c r="M13" s="77" t="str">
        <f t="shared" ref="M13" si="10">_xlfn.CONCAT(I13,J13)</f>
        <v xml:space="preserve"> UC = 36.7879V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-1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0.36787944117144233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0.63212055882855767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1MeΩ</v>
      </c>
      <c r="K19" s="403" t="str">
        <f>IF($I$4=$R$2,$L$11,_xlfn.CONCAT($C$11,"?"))</f>
        <v>τ = 10s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10µF</v>
      </c>
      <c r="K20" s="403" t="str">
        <f>IF($I$4=$R$2,$L$12,_xlfn.CONCAT($C$11,"?"))</f>
        <v xml:space="preserve"> UC = 63.2121V</v>
      </c>
      <c r="L20" s="420">
        <f>$H$12/$H$6</f>
        <v>0.63212100000000004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100V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10s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100</v>
      </c>
      <c r="Z32" s="212">
        <f>Y32</f>
        <v>100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18.126924692201818</v>
      </c>
      <c r="E33" s="212">
        <f t="shared" si="14"/>
        <v>32.967995396436066</v>
      </c>
      <c r="F33" s="212">
        <f t="shared" si="14"/>
        <v>45.118836390597359</v>
      </c>
      <c r="G33" s="212">
        <f t="shared" si="14"/>
        <v>55.067103588277845</v>
      </c>
      <c r="H33" s="212">
        <f t="shared" si="14"/>
        <v>63.212055882855765</v>
      </c>
      <c r="I33" s="212">
        <f t="shared" si="14"/>
        <v>69.880578808779774</v>
      </c>
      <c r="J33" s="212">
        <f t="shared" si="14"/>
        <v>75.340303605839352</v>
      </c>
      <c r="K33" s="212">
        <f t="shared" si="14"/>
        <v>79.810348200534463</v>
      </c>
      <c r="L33" s="212">
        <f t="shared" si="14"/>
        <v>83.470111177841346</v>
      </c>
      <c r="M33" s="212">
        <f t="shared" si="14"/>
        <v>86.466471676338728</v>
      </c>
      <c r="N33" s="212">
        <f t="shared" si="14"/>
        <v>88.919684163766604</v>
      </c>
      <c r="O33" s="212">
        <f t="shared" si="14"/>
        <v>90.928204671058751</v>
      </c>
      <c r="P33" s="212">
        <f t="shared" si="14"/>
        <v>92.57264217856661</v>
      </c>
      <c r="Q33" s="212">
        <f t="shared" si="14"/>
        <v>93.918993737478203</v>
      </c>
      <c r="R33" s="212">
        <f t="shared" si="14"/>
        <v>95.021293163213599</v>
      </c>
      <c r="S33" s="212">
        <f t="shared" si="14"/>
        <v>95.923779602163378</v>
      </c>
      <c r="T33" s="212">
        <f t="shared" si="14"/>
        <v>96.662673003967399</v>
      </c>
      <c r="U33" s="212">
        <f t="shared" si="14"/>
        <v>97.267627755270752</v>
      </c>
      <c r="V33" s="212">
        <f t="shared" si="14"/>
        <v>97.76292281438343</v>
      </c>
      <c r="W33" s="212">
        <f t="shared" si="14"/>
        <v>98.168436111126582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100</v>
      </c>
      <c r="D34" s="212">
        <f t="shared" ref="C34:W34" si="15">$D$6*EXP(-D32/($H$7*$H$8))</f>
        <v>81.873075307798189</v>
      </c>
      <c r="E34" s="212">
        <f t="shared" si="15"/>
        <v>67.032004603563934</v>
      </c>
      <c r="F34" s="212">
        <f t="shared" si="15"/>
        <v>54.881163609402641</v>
      </c>
      <c r="G34" s="212">
        <f t="shared" si="15"/>
        <v>44.932896411722155</v>
      </c>
      <c r="H34" s="212">
        <f t="shared" si="15"/>
        <v>36.787944117144235</v>
      </c>
      <c r="I34" s="212">
        <f t="shared" si="15"/>
        <v>30.119421191220212</v>
      </c>
      <c r="J34" s="212">
        <f t="shared" si="15"/>
        <v>24.659696394160648</v>
      </c>
      <c r="K34" s="212">
        <f t="shared" si="15"/>
        <v>20.189651799465537</v>
      </c>
      <c r="L34" s="212">
        <f t="shared" si="15"/>
        <v>16.529888822158654</v>
      </c>
      <c r="M34" s="212">
        <f t="shared" si="15"/>
        <v>13.533528323661271</v>
      </c>
      <c r="N34" s="212">
        <f t="shared" si="15"/>
        <v>11.080315836233387</v>
      </c>
      <c r="O34" s="212">
        <f t="shared" si="15"/>
        <v>9.071795328941251</v>
      </c>
      <c r="P34" s="212">
        <f t="shared" si="15"/>
        <v>7.4273578214333877</v>
      </c>
      <c r="Q34" s="212">
        <f t="shared" si="15"/>
        <v>6.0810062625217975</v>
      </c>
      <c r="R34" s="212">
        <f t="shared" si="15"/>
        <v>4.9787068367863947</v>
      </c>
      <c r="S34" s="212">
        <f t="shared" si="15"/>
        <v>4.0762203978366207</v>
      </c>
      <c r="T34" s="212">
        <f t="shared" si="15"/>
        <v>3.337326996032608</v>
      </c>
      <c r="U34" s="212">
        <f t="shared" si="15"/>
        <v>2.7323722447292558</v>
      </c>
      <c r="V34" s="212">
        <f t="shared" si="15"/>
        <v>2.2370771856165601</v>
      </c>
      <c r="W34" s="212">
        <f t="shared" si="15"/>
        <v>1.8315638888734178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10</v>
      </c>
      <c r="J40" s="5">
        <f>I40</f>
        <v>10</v>
      </c>
    </row>
    <row r="41" spans="1:25" ht="18.5" x14ac:dyDescent="0.45">
      <c r="I41" s="5">
        <v>0</v>
      </c>
      <c r="J41" s="5">
        <f>$H$6*(1 - EXP(-1))</f>
        <v>63.212055882855765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10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63.212055882855765</v>
      </c>
      <c r="J45" s="5">
        <f>I45</f>
        <v>63.212055882855765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10</v>
      </c>
      <c r="I73" s="77">
        <f>H73</f>
        <v>10</v>
      </c>
    </row>
    <row r="74" spans="8:9" x14ac:dyDescent="0.35">
      <c r="H74" s="77">
        <v>0</v>
      </c>
      <c r="I74" s="77">
        <f>$H$6*(EXP(-1))</f>
        <v>36.787944117144235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10</v>
      </c>
    </row>
    <row r="78" spans="8:9" x14ac:dyDescent="0.35">
      <c r="H78" s="77">
        <f>I74</f>
        <v>36.787944117144235</v>
      </c>
      <c r="I78" s="77">
        <f>H78</f>
        <v>36.787944117144235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="115" zoomScaleNormal="115" workbookViewId="0">
      <selection activeCell="D13" sqref="D13"/>
    </sheetView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-0.98480775301220791</v>
      </c>
      <c r="BC4" s="212">
        <f>IF(MAX(AY12:AY17) &lt; 0,0,MAX(AY12:AY17))</f>
        <v>1.2855752193730787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2</v>
      </c>
      <c r="BK11" s="77">
        <v>0</v>
      </c>
      <c r="BL11" s="77">
        <f>BJ11</f>
        <v>2</v>
      </c>
      <c r="BM11" s="77">
        <v>0</v>
      </c>
      <c r="BN11" s="77">
        <f>-BJ11</f>
        <v>-2</v>
      </c>
      <c r="BO11" s="77">
        <f>BL11</f>
        <v>2</v>
      </c>
      <c r="BP11" s="77">
        <v>0</v>
      </c>
      <c r="BQ11" s="77">
        <f>BN11</f>
        <v>-2</v>
      </c>
      <c r="BR11" s="77">
        <v>0</v>
      </c>
    </row>
    <row r="12" spans="3:70" ht="18.5" x14ac:dyDescent="0.45">
      <c r="C12" s="4">
        <v>1</v>
      </c>
      <c r="D12" s="4">
        <v>180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 + 180) =</v>
      </c>
      <c r="G12" s="212">
        <f>IF($AW$12=$K$3,$C$12*SIN(G11+RADIANS($D$12)),0)</f>
        <v>1.22514845490862E-16</v>
      </c>
      <c r="H12" s="212">
        <f t="shared" ref="H12:AU12" si="3">IF($AW$12=$K$3,$C$12*SIN(H11+RADIANS($D$12)),0)</f>
        <v>-0.17364817766693003</v>
      </c>
      <c r="I12" s="212">
        <f t="shared" si="3"/>
        <v>-0.34202014332566866</v>
      </c>
      <c r="J12" s="212">
        <f t="shared" si="3"/>
        <v>-0.49999999999999972</v>
      </c>
      <c r="K12" s="212">
        <f t="shared" si="3"/>
        <v>-0.64278760968653925</v>
      </c>
      <c r="L12" s="212">
        <f t="shared" si="3"/>
        <v>-0.7660444431189779</v>
      </c>
      <c r="M12" s="212">
        <f t="shared" si="3"/>
        <v>-0.86602540378443837</v>
      </c>
      <c r="N12" s="212">
        <f t="shared" si="3"/>
        <v>-0.93969262078590843</v>
      </c>
      <c r="O12" s="212">
        <f t="shared" si="3"/>
        <v>-0.98480775301220802</v>
      </c>
      <c r="P12" s="212">
        <f t="shared" si="3"/>
        <v>-1</v>
      </c>
      <c r="Q12" s="212">
        <f t="shared" si="3"/>
        <v>-0.98480775301220813</v>
      </c>
      <c r="R12" s="212">
        <f t="shared" si="3"/>
        <v>-0.93969262078590854</v>
      </c>
      <c r="S12" s="212">
        <f t="shared" si="3"/>
        <v>-0.86602540378443904</v>
      </c>
      <c r="T12" s="212">
        <f t="shared" si="3"/>
        <v>-0.76604444311897812</v>
      </c>
      <c r="U12" s="212">
        <f t="shared" si="3"/>
        <v>-0.64278760968653958</v>
      </c>
      <c r="V12" s="212">
        <f t="shared" si="3"/>
        <v>-0.49999999999999967</v>
      </c>
      <c r="W12" s="212">
        <f t="shared" si="3"/>
        <v>-0.3420201433256686</v>
      </c>
      <c r="X12" s="212">
        <f t="shared" si="3"/>
        <v>-0.17364817766693039</v>
      </c>
      <c r="Y12" s="212">
        <f t="shared" si="3"/>
        <v>-2.45029690981724E-16</v>
      </c>
      <c r="Z12" s="212">
        <f t="shared" si="3"/>
        <v>0.17364817766692991</v>
      </c>
      <c r="AA12" s="212">
        <f t="shared" si="3"/>
        <v>0.3420201433256681</v>
      </c>
      <c r="AB12" s="212">
        <f t="shared" si="3"/>
        <v>0.5</v>
      </c>
      <c r="AC12" s="212">
        <f t="shared" si="3"/>
        <v>0.64278760968653914</v>
      </c>
      <c r="AD12" s="212">
        <f t="shared" si="3"/>
        <v>0.76604444311897779</v>
      </c>
      <c r="AE12" s="212">
        <f t="shared" si="3"/>
        <v>0.86602540378443837</v>
      </c>
      <c r="AF12" s="212">
        <f t="shared" si="3"/>
        <v>0.93969262078590809</v>
      </c>
      <c r="AG12" s="212">
        <f t="shared" si="3"/>
        <v>0.98480775301220802</v>
      </c>
      <c r="AH12" s="212">
        <f t="shared" si="3"/>
        <v>1</v>
      </c>
      <c r="AI12" s="212">
        <f t="shared" si="3"/>
        <v>0.98480775301220813</v>
      </c>
      <c r="AJ12" s="212">
        <f t="shared" si="3"/>
        <v>0.93969262078590865</v>
      </c>
      <c r="AK12" s="212">
        <f t="shared" si="3"/>
        <v>0.86602540378443826</v>
      </c>
      <c r="AL12" s="212">
        <f t="shared" si="3"/>
        <v>0.76604444311897757</v>
      </c>
      <c r="AM12" s="212">
        <f t="shared" si="3"/>
        <v>0.64278760968653903</v>
      </c>
      <c r="AN12" s="212">
        <f t="shared" si="3"/>
        <v>0.49999999999999978</v>
      </c>
      <c r="AO12" s="212">
        <f t="shared" si="3"/>
        <v>0.34202014332566871</v>
      </c>
      <c r="AP12" s="212">
        <f t="shared" si="3"/>
        <v>0.1736481776669305</v>
      </c>
      <c r="AQ12" s="212">
        <f t="shared" si="3"/>
        <v>3.67544536472586E-16</v>
      </c>
      <c r="AR12" s="212">
        <f t="shared" si="3"/>
        <v>-0.17364817766692978</v>
      </c>
      <c r="AS12" s="212">
        <f t="shared" si="3"/>
        <v>-0.34202014332566799</v>
      </c>
      <c r="AT12" s="212">
        <f t="shared" si="3"/>
        <v>-0.49999999999999917</v>
      </c>
      <c r="AU12" s="212">
        <f t="shared" si="3"/>
        <v>-0.64278760968653836</v>
      </c>
      <c r="AV12" s="99"/>
      <c r="AW12" s="318" t="s">
        <v>64</v>
      </c>
      <c r="AY12" s="212">
        <f>IF($AW$12=$K$3,$C$12 * SIN(AY11 + RADIANS($D$12)),0)</f>
        <v>-0.7660444431189779</v>
      </c>
      <c r="AZ12" s="5"/>
      <c r="BB12" s="77">
        <f>IF($AW$12=$K$3,$C12,0)</f>
        <v>1</v>
      </c>
      <c r="BC12" s="77">
        <f>$AY$10+$D$12</f>
        <v>230</v>
      </c>
      <c r="BD12" s="311">
        <f>BB12*COS(RADIANS(BC12))</f>
        <v>-0.64278760968653947</v>
      </c>
      <c r="BE12" s="311">
        <f>BB12*SIN(RADIANS(BC12))</f>
        <v>-0.7660444431189779</v>
      </c>
      <c r="BF12" s="311">
        <v>0</v>
      </c>
      <c r="BG12" s="311">
        <f>BD12</f>
        <v>-0.64278760968653947</v>
      </c>
      <c r="BH12" s="311">
        <v>0</v>
      </c>
      <c r="BI12" s="311">
        <f>BE12</f>
        <v>-0.7660444431189779</v>
      </c>
    </row>
    <row r="13" spans="3:70" ht="18.5" x14ac:dyDescent="0.45">
      <c r="C13" s="4">
        <v>2</v>
      </c>
      <c r="D13" s="4">
        <v>0</v>
      </c>
      <c r="E13" s="317" t="s">
        <v>319</v>
      </c>
      <c r="F13" s="317" t="str">
        <f>_xlfn.CONCAT(C13, IF(D13=0," * cos(x) =",IF(D13&lt;0,_xlfn.CONCAT(" * cos(x - ",ABS(D13),") ="),_xlfn.CONCAT(" * cos(x + ",D13,") ="))))</f>
        <v>2 * cos(x) =</v>
      </c>
      <c r="G13" s="212">
        <f>IF($AW$13=$K$3,$C$13*COS(G11+RADIANS($D$13)),0)</f>
        <v>2</v>
      </c>
      <c r="H13" s="212">
        <f t="shared" ref="H13:AU13" si="4">IF($AW$13=$K$3,$C$13*COS(H11+RADIANS($D$13)),0)</f>
        <v>1.969615506024416</v>
      </c>
      <c r="I13" s="212">
        <f t="shared" si="4"/>
        <v>1.8793852415718169</v>
      </c>
      <c r="J13" s="212">
        <f t="shared" si="4"/>
        <v>1.7320508075688774</v>
      </c>
      <c r="K13" s="212">
        <f t="shared" si="4"/>
        <v>1.532088886237956</v>
      </c>
      <c r="L13" s="212">
        <f t="shared" si="4"/>
        <v>1.2855752193730787</v>
      </c>
      <c r="M13" s="212">
        <f t="shared" si="4"/>
        <v>1.0000000000000002</v>
      </c>
      <c r="N13" s="212">
        <f t="shared" si="4"/>
        <v>0.68404028665133765</v>
      </c>
      <c r="O13" s="212">
        <f t="shared" si="4"/>
        <v>0.34729635533386083</v>
      </c>
      <c r="P13" s="212">
        <f t="shared" si="4"/>
        <v>1.22514845490862E-16</v>
      </c>
      <c r="Q13" s="212">
        <f t="shared" si="4"/>
        <v>-0.34729635533386061</v>
      </c>
      <c r="R13" s="212">
        <f t="shared" si="4"/>
        <v>-0.68404028665133743</v>
      </c>
      <c r="S13" s="212">
        <f t="shared" si="4"/>
        <v>-0.99999999999999956</v>
      </c>
      <c r="T13" s="212">
        <f t="shared" si="4"/>
        <v>-1.2855752193730787</v>
      </c>
      <c r="U13" s="212">
        <f t="shared" si="4"/>
        <v>-1.5320888862379558</v>
      </c>
      <c r="V13" s="212">
        <f t="shared" si="4"/>
        <v>-1.7320508075688774</v>
      </c>
      <c r="W13" s="212">
        <f t="shared" si="4"/>
        <v>-1.8793852415718166</v>
      </c>
      <c r="X13" s="212">
        <f t="shared" si="4"/>
        <v>-1.969615506024416</v>
      </c>
      <c r="Y13" s="212">
        <f t="shared" si="4"/>
        <v>-2</v>
      </c>
      <c r="Z13" s="212">
        <f t="shared" si="4"/>
        <v>-1.969615506024416</v>
      </c>
      <c r="AA13" s="212">
        <f t="shared" si="4"/>
        <v>-1.8793852415718169</v>
      </c>
      <c r="AB13" s="212">
        <f t="shared" si="4"/>
        <v>-1.7320508075688772</v>
      </c>
      <c r="AC13" s="212">
        <f t="shared" si="4"/>
        <v>-1.532088886237956</v>
      </c>
      <c r="AD13" s="212">
        <f t="shared" si="4"/>
        <v>-1.2855752193730789</v>
      </c>
      <c r="AE13" s="212">
        <f t="shared" si="4"/>
        <v>-1.0000000000000009</v>
      </c>
      <c r="AF13" s="212">
        <f t="shared" si="4"/>
        <v>-0.68404028665133876</v>
      </c>
      <c r="AG13" s="212">
        <f t="shared" si="4"/>
        <v>-0.34729635533386066</v>
      </c>
      <c r="AH13" s="212">
        <f t="shared" si="4"/>
        <v>-3.67544536472586E-16</v>
      </c>
      <c r="AI13" s="212">
        <f t="shared" si="4"/>
        <v>0.34729635533385994</v>
      </c>
      <c r="AJ13" s="212">
        <f t="shared" si="4"/>
        <v>0.68404028665133632</v>
      </c>
      <c r="AK13" s="212">
        <f t="shared" si="4"/>
        <v>1.0000000000000002</v>
      </c>
      <c r="AL13" s="212">
        <f t="shared" si="4"/>
        <v>1.2855752193730785</v>
      </c>
      <c r="AM13" s="212">
        <f t="shared" si="4"/>
        <v>1.5320888862379556</v>
      </c>
      <c r="AN13" s="212">
        <f t="shared" si="4"/>
        <v>1.7320508075688767</v>
      </c>
      <c r="AO13" s="212">
        <f t="shared" si="4"/>
        <v>1.8793852415718169</v>
      </c>
      <c r="AP13" s="212">
        <f t="shared" si="4"/>
        <v>1.9696155060244158</v>
      </c>
      <c r="AQ13" s="212">
        <f t="shared" si="4"/>
        <v>2</v>
      </c>
      <c r="AR13" s="212">
        <f t="shared" si="4"/>
        <v>1.9696155060244163</v>
      </c>
      <c r="AS13" s="212">
        <f t="shared" si="4"/>
        <v>1.8793852415718166</v>
      </c>
      <c r="AT13" s="212">
        <f t="shared" si="4"/>
        <v>1.7320508075688781</v>
      </c>
      <c r="AU13" s="212">
        <f t="shared" si="4"/>
        <v>1.5320888862379562</v>
      </c>
      <c r="AV13" s="99"/>
      <c r="AW13" s="318" t="s">
        <v>64</v>
      </c>
      <c r="AY13" s="212">
        <f>IF($AW$13=$K$3,$C$13 * COS(AY11+RADIANS(D13)),0)</f>
        <v>1.2855752193730787</v>
      </c>
      <c r="AZ13" s="5"/>
      <c r="BB13" s="77">
        <f>IF($AW$13=$K$3,$C13,0)</f>
        <v>2</v>
      </c>
      <c r="BC13" s="77">
        <f>$AY$10+90+$D$13</f>
        <v>140</v>
      </c>
      <c r="BD13" s="311">
        <f>BB13*COS(RADIANS(BC13))</f>
        <v>-1.5320888862379558</v>
      </c>
      <c r="BE13" s="311">
        <f>BB13*SIN(RADIANS(BC13))</f>
        <v>1.2855752193730789</v>
      </c>
      <c r="BF13" s="311">
        <v>0</v>
      </c>
      <c r="BG13" s="311">
        <f>BD13</f>
        <v>-1.5320888862379558</v>
      </c>
      <c r="BH13" s="311">
        <v>0</v>
      </c>
      <c r="BI13" s="311">
        <f>BE13</f>
        <v>1.2855752193730789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0</v>
      </c>
      <c r="H16" s="212">
        <f t="shared" ref="H16:AU16" si="5">IF($AW$16=$K$3,H12+H13,0)</f>
        <v>0</v>
      </c>
      <c r="I16" s="212">
        <f t="shared" si="5"/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99"/>
      <c r="AW16" s="318" t="s">
        <v>65</v>
      </c>
      <c r="AY16" s="212">
        <f>IF($AW$16=$K$3,AY12+AY13,0)</f>
        <v>0</v>
      </c>
      <c r="BB16" s="311">
        <f>SQRT(BD16^2+BE16^2)</f>
        <v>0</v>
      </c>
      <c r="BC16" s="311">
        <f>IF($AW$16=$K$3,DEGREES(ATAN2(BD16,BE16)),0)</f>
        <v>0</v>
      </c>
      <c r="BD16" s="311">
        <f>IF($AW$16=$K$3,BD12+BD13,0)</f>
        <v>0</v>
      </c>
      <c r="BE16" s="311">
        <f>IF($AW$16=$K$3,BE12+BE13,0)</f>
        <v>0</v>
      </c>
      <c r="BF16" s="311">
        <v>0</v>
      </c>
      <c r="BG16" s="311">
        <f>BD16</f>
        <v>0</v>
      </c>
      <c r="BH16" s="311">
        <v>0</v>
      </c>
      <c r="BI16" s="322">
        <f>BE16</f>
        <v>0</v>
      </c>
      <c r="BJ16" s="311">
        <f>IF($AW$16=$K$3,BD13,0)</f>
        <v>0</v>
      </c>
      <c r="BK16" s="311">
        <f>BD16</f>
        <v>0</v>
      </c>
      <c r="BL16" s="311">
        <f>IF($AW$16=$K$3,BE13,0)</f>
        <v>0</v>
      </c>
      <c r="BM16" s="311">
        <f>BE16</f>
        <v>0</v>
      </c>
      <c r="BN16" s="311">
        <f>BD12</f>
        <v>-0.64278760968653947</v>
      </c>
      <c r="BO16" s="311">
        <f>BK16</f>
        <v>0</v>
      </c>
      <c r="BP16" s="311">
        <f>IF($AW$16=$K$3,BE12,0)</f>
        <v>0</v>
      </c>
      <c r="BQ16" s="311">
        <f>BM16</f>
        <v>0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2.45029690981724E-16</v>
      </c>
      <c r="H17" s="212">
        <f t="shared" ref="H17:AU17" si="6">IF($AW$17=$K$3,H12*H13,0)</f>
        <v>-0.3420201433256681</v>
      </c>
      <c r="I17" s="212">
        <f t="shared" si="6"/>
        <v>-0.64278760968653925</v>
      </c>
      <c r="J17" s="212">
        <f t="shared" si="6"/>
        <v>-0.86602540378443826</v>
      </c>
      <c r="K17" s="212">
        <f t="shared" si="6"/>
        <v>-0.98480775301220791</v>
      </c>
      <c r="L17" s="212">
        <f t="shared" si="6"/>
        <v>-0.98480775301220791</v>
      </c>
      <c r="M17" s="212">
        <f t="shared" si="6"/>
        <v>-0.8660254037844386</v>
      </c>
      <c r="N17" s="212">
        <f t="shared" si="6"/>
        <v>-0.64278760968653947</v>
      </c>
      <c r="O17" s="212">
        <f t="shared" si="6"/>
        <v>-0.34202014332566882</v>
      </c>
      <c r="P17" s="212">
        <f t="shared" si="6"/>
        <v>-1.22514845490862E-16</v>
      </c>
      <c r="Q17" s="212">
        <f t="shared" si="6"/>
        <v>0.34202014332566866</v>
      </c>
      <c r="R17" s="212">
        <f t="shared" si="6"/>
        <v>0.64278760968653936</v>
      </c>
      <c r="S17" s="212">
        <f t="shared" si="6"/>
        <v>0.86602540378443871</v>
      </c>
      <c r="T17" s="212">
        <f t="shared" si="6"/>
        <v>0.98480775301220824</v>
      </c>
      <c r="U17" s="212">
        <f t="shared" si="6"/>
        <v>0.98480775301220824</v>
      </c>
      <c r="V17" s="212">
        <f t="shared" si="6"/>
        <v>0.86602540378443815</v>
      </c>
      <c r="W17" s="212">
        <f t="shared" si="6"/>
        <v>0.64278760968653903</v>
      </c>
      <c r="X17" s="212">
        <f t="shared" si="6"/>
        <v>0.34202014332566877</v>
      </c>
      <c r="Y17" s="212">
        <f t="shared" si="6"/>
        <v>4.90059381963448E-16</v>
      </c>
      <c r="Z17" s="212">
        <f t="shared" si="6"/>
        <v>-0.34202014332566788</v>
      </c>
      <c r="AA17" s="212">
        <f t="shared" si="6"/>
        <v>-0.64278760968653814</v>
      </c>
      <c r="AB17" s="212">
        <f t="shared" si="6"/>
        <v>-0.8660254037844386</v>
      </c>
      <c r="AC17" s="212">
        <f t="shared" si="6"/>
        <v>-0.9848077530122078</v>
      </c>
      <c r="AD17" s="212">
        <f t="shared" si="6"/>
        <v>-0.98480775301220802</v>
      </c>
      <c r="AE17" s="212">
        <f t="shared" si="6"/>
        <v>-0.86602540378443915</v>
      </c>
      <c r="AF17" s="212">
        <f t="shared" si="6"/>
        <v>-0.64278760968654036</v>
      </c>
      <c r="AG17" s="212">
        <f t="shared" si="6"/>
        <v>-0.34202014332566866</v>
      </c>
      <c r="AH17" s="212">
        <f t="shared" si="6"/>
        <v>-3.67544536472586E-16</v>
      </c>
      <c r="AI17" s="212">
        <f t="shared" si="6"/>
        <v>0.34202014332566799</v>
      </c>
      <c r="AJ17" s="212">
        <f t="shared" si="6"/>
        <v>0.64278760968653847</v>
      </c>
      <c r="AK17" s="212">
        <f t="shared" si="6"/>
        <v>0.86602540378443849</v>
      </c>
      <c r="AL17" s="212">
        <f t="shared" si="6"/>
        <v>0.98480775301220735</v>
      </c>
      <c r="AM17" s="212">
        <f t="shared" si="6"/>
        <v>0.98480775301220724</v>
      </c>
      <c r="AN17" s="212">
        <f t="shared" si="6"/>
        <v>0.86602540378443804</v>
      </c>
      <c r="AO17" s="212">
        <f t="shared" si="6"/>
        <v>0.64278760968653936</v>
      </c>
      <c r="AP17" s="212">
        <f t="shared" si="6"/>
        <v>0.34202014332566899</v>
      </c>
      <c r="AQ17" s="212">
        <f t="shared" si="6"/>
        <v>7.3508907294517201E-16</v>
      </c>
      <c r="AR17" s="212">
        <f t="shared" si="6"/>
        <v>-0.3420201433256676</v>
      </c>
      <c r="AS17" s="212">
        <f t="shared" si="6"/>
        <v>-0.64278760968653792</v>
      </c>
      <c r="AT17" s="212">
        <f t="shared" si="6"/>
        <v>-0.8660254037844376</v>
      </c>
      <c r="AU17" s="212">
        <f t="shared" si="6"/>
        <v>-0.98480775301220669</v>
      </c>
      <c r="AV17" s="99"/>
      <c r="AW17" s="318" t="s">
        <v>64</v>
      </c>
      <c r="AY17" s="212">
        <f>IF($AW$17=$K$3,AY12*AY13,0)</f>
        <v>-0.98480775301220791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31" t="s">
        <v>659</v>
      </c>
      <c r="M92" s="431"/>
      <c r="N92" s="431"/>
      <c r="O92" s="432"/>
      <c r="P92" s="433" t="s">
        <v>65</v>
      </c>
      <c r="Q92" s="434"/>
      <c r="R92" s="435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36">
        <f>3*10^8</f>
        <v>300000000</v>
      </c>
      <c r="J131" s="437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36">
        <v>0.02</v>
      </c>
      <c r="J132" s="437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39" t="s">
        <v>216</v>
      </c>
      <c r="D12" s="439"/>
      <c r="E12" s="439"/>
      <c r="F12" s="439"/>
      <c r="G12" s="439"/>
      <c r="H12" s="56"/>
      <c r="I12" s="439" t="s">
        <v>217</v>
      </c>
      <c r="J12" s="439"/>
      <c r="K12" s="439" t="s">
        <v>212</v>
      </c>
      <c r="L12" s="439"/>
      <c r="M12" s="439" t="s">
        <v>218</v>
      </c>
      <c r="N12" s="439"/>
      <c r="O12" s="439"/>
      <c r="P12" s="438" t="s">
        <v>229</v>
      </c>
      <c r="Q12" s="438"/>
      <c r="R12" s="438"/>
      <c r="S12" s="438"/>
      <c r="T12" s="438" t="s">
        <v>261</v>
      </c>
      <c r="U12" s="438"/>
      <c r="V12" s="438"/>
      <c r="W12" s="438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A67" sqref="A6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40" t="s">
        <v>417</v>
      </c>
      <c r="C13" s="437"/>
      <c r="D13" s="437"/>
      <c r="E13" s="437"/>
      <c r="F13" s="437"/>
      <c r="G13" s="437"/>
      <c r="H13" s="437"/>
      <c r="I13" s="437"/>
      <c r="L13" s="440" t="s">
        <v>418</v>
      </c>
      <c r="M13" s="441"/>
      <c r="N13" s="441"/>
      <c r="O13" s="441"/>
      <c r="Q13" s="440" t="s">
        <v>230</v>
      </c>
      <c r="R13" s="441"/>
      <c r="S13" s="441"/>
      <c r="T13" s="441"/>
      <c r="U13" s="441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46093.402387037037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42" t="s">
        <v>901</v>
      </c>
      <c r="D3" s="442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42" t="s">
        <v>21</v>
      </c>
      <c r="D4" s="442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42" t="s">
        <v>22</v>
      </c>
      <c r="D5" s="442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42" t="s">
        <v>887</v>
      </c>
      <c r="D6" s="442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43" t="s">
        <v>899</v>
      </c>
      <c r="D11" s="444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43" t="s">
        <v>900</v>
      </c>
      <c r="D12" s="444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46" t="s">
        <v>1</v>
      </c>
      <c r="D18" s="447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45" t="s">
        <v>19</v>
      </c>
      <c r="D19" s="445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44" t="s">
        <v>24</v>
      </c>
      <c r="D20" s="444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44" t="s">
        <v>888</v>
      </c>
      <c r="D21" s="444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59" t="str">
        <f>$O$8</f>
        <v>Anfangs-Geschwindigkeit</v>
      </c>
      <c r="D6" s="460"/>
      <c r="E6" s="463" t="str">
        <f>$O$9</f>
        <v>Geschwindigkeit</v>
      </c>
      <c r="F6" s="460"/>
      <c r="G6" s="463" t="str">
        <f>$O$10</f>
        <v>Strecke</v>
      </c>
      <c r="H6" s="460"/>
      <c r="I6" s="463" t="str">
        <f>$O$11</f>
        <v>Zeit</v>
      </c>
      <c r="J6" s="460"/>
      <c r="K6" s="463" t="str">
        <f>$O$12</f>
        <v>Beschleunigung</v>
      </c>
      <c r="L6" s="464"/>
    </row>
    <row r="7" spans="1:19" ht="15" thickBot="1" x14ac:dyDescent="0.4">
      <c r="B7" s="13" t="s">
        <v>37</v>
      </c>
      <c r="C7" s="461" t="str">
        <f>$P$8</f>
        <v>v0 [m/s]</v>
      </c>
      <c r="D7" s="462"/>
      <c r="E7" s="465" t="str">
        <f>$P$9</f>
        <v>v [m/s]</v>
      </c>
      <c r="F7" s="462"/>
      <c r="G7" s="465" t="str">
        <f>$P$10</f>
        <v>s [m]</v>
      </c>
      <c r="H7" s="462"/>
      <c r="I7" s="465" t="str">
        <f>$P$11</f>
        <v>t [s]</v>
      </c>
      <c r="J7" s="462"/>
      <c r="K7" s="465" t="str">
        <f>$P$12</f>
        <v>a [m/s2]</v>
      </c>
      <c r="L7" s="466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53">
        <v>119</v>
      </c>
      <c r="H8" s="454"/>
      <c r="I8" s="453">
        <v>7</v>
      </c>
      <c r="J8" s="454"/>
      <c r="K8" s="453">
        <v>2</v>
      </c>
      <c r="L8" s="458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50">
        <v>24</v>
      </c>
      <c r="F9" s="451"/>
      <c r="G9" s="16" t="s">
        <v>75</v>
      </c>
      <c r="H9" s="16">
        <f>E9*I9 - K9*I9^2/2</f>
        <v>119</v>
      </c>
      <c r="I9" s="450">
        <v>7</v>
      </c>
      <c r="J9" s="451"/>
      <c r="K9" s="450">
        <v>2</v>
      </c>
      <c r="L9" s="456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50">
        <v>24</v>
      </c>
      <c r="F10" s="451"/>
      <c r="G10" s="450">
        <v>119</v>
      </c>
      <c r="H10" s="451"/>
      <c r="I10" s="16" t="s">
        <v>76</v>
      </c>
      <c r="J10" s="16">
        <f>(E10 - SQRT(E10^2 - 2*K10*G10))/K10</f>
        <v>7</v>
      </c>
      <c r="K10" s="450">
        <v>2</v>
      </c>
      <c r="L10" s="456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50">
        <v>24</v>
      </c>
      <c r="F11" s="451"/>
      <c r="G11" s="450">
        <v>119</v>
      </c>
      <c r="H11" s="451"/>
      <c r="I11" s="450">
        <v>7</v>
      </c>
      <c r="J11" s="451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55">
        <v>10</v>
      </c>
      <c r="D12" s="451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50">
        <v>7</v>
      </c>
      <c r="J12" s="451"/>
      <c r="K12" s="450">
        <v>2</v>
      </c>
      <c r="L12" s="456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55">
        <v>10</v>
      </c>
      <c r="D13" s="451"/>
      <c r="E13" s="16" t="s">
        <v>80</v>
      </c>
      <c r="F13" s="16">
        <f>SQRT(C13^2 + 2*K13*G13)</f>
        <v>24</v>
      </c>
      <c r="G13" s="450">
        <v>119</v>
      </c>
      <c r="H13" s="451"/>
      <c r="I13" s="22" t="s">
        <v>55</v>
      </c>
      <c r="J13" s="16">
        <f xml:space="preserve"> (-C13 + SQRT(C13^2 + 2*K13*G13))/K13</f>
        <v>7</v>
      </c>
      <c r="K13" s="448">
        <v>2</v>
      </c>
      <c r="L13" s="456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55">
        <v>10</v>
      </c>
      <c r="D14" s="451"/>
      <c r="E14" s="16" t="s">
        <v>81</v>
      </c>
      <c r="F14" s="16">
        <f>2*G14/I14 - C14</f>
        <v>24</v>
      </c>
      <c r="G14" s="450">
        <v>119</v>
      </c>
      <c r="H14" s="451"/>
      <c r="I14" s="450">
        <v>7</v>
      </c>
      <c r="J14" s="457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55">
        <v>10</v>
      </c>
      <c r="D15" s="451"/>
      <c r="E15" s="450">
        <v>24</v>
      </c>
      <c r="F15" s="451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50">
        <v>2</v>
      </c>
      <c r="L15" s="456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55">
        <v>10</v>
      </c>
      <c r="D16" s="451"/>
      <c r="E16" s="450">
        <v>24</v>
      </c>
      <c r="F16" s="451"/>
      <c r="G16" s="16" t="s">
        <v>83</v>
      </c>
      <c r="H16" s="16">
        <f>(C16+E16)*I16/2</f>
        <v>119</v>
      </c>
      <c r="I16" s="450">
        <v>7</v>
      </c>
      <c r="J16" s="451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52">
        <v>10</v>
      </c>
      <c r="D17" s="449"/>
      <c r="E17" s="448">
        <v>24</v>
      </c>
      <c r="F17" s="449"/>
      <c r="G17" s="448">
        <v>119</v>
      </c>
      <c r="H17" s="449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67" t="str">
        <f>P13</f>
        <v>ω0 [rad/s]</v>
      </c>
      <c r="D18" s="468"/>
      <c r="E18" s="469" t="str">
        <f>P14</f>
        <v>ω [rad/s]</v>
      </c>
      <c r="F18" s="468"/>
      <c r="G18" s="469" t="str">
        <f>P15</f>
        <v>φ [rad]</v>
      </c>
      <c r="H18" s="468"/>
      <c r="I18" s="469" t="str">
        <f>P16</f>
        <v>t [s]</v>
      </c>
      <c r="J18" s="468"/>
      <c r="K18" s="469" t="str">
        <f>P17</f>
        <v>α [rad/s2]</v>
      </c>
      <c r="L18" s="470"/>
    </row>
    <row r="19" spans="1:16" ht="29.15" customHeight="1" thickBot="1" x14ac:dyDescent="0.4">
      <c r="C19" s="471" t="str">
        <f>O13</f>
        <v>Anfangs-Winkelgeschwindigkeit</v>
      </c>
      <c r="D19" s="472"/>
      <c r="E19" s="473" t="str">
        <f>O14</f>
        <v>Winkelgeschwindigkeit</v>
      </c>
      <c r="F19" s="472"/>
      <c r="G19" s="473" t="str">
        <f>O15</f>
        <v>Winkel</v>
      </c>
      <c r="H19" s="472"/>
      <c r="I19" s="473" t="str">
        <f>O16</f>
        <v>Zeit</v>
      </c>
      <c r="J19" s="472"/>
      <c r="K19" s="473" t="str">
        <f>O17</f>
        <v>Winkelbeschleunigung</v>
      </c>
      <c r="L19" s="474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44" t="s">
        <v>73</v>
      </c>
      <c r="V7" s="444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75"/>
      <c r="D11" s="475"/>
      <c r="E11" s="475"/>
      <c r="F11" s="475"/>
      <c r="G11" s="475"/>
      <c r="H11" s="475"/>
      <c r="I11" s="475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76" t="s">
        <v>441</v>
      </c>
      <c r="D12" s="476"/>
      <c r="E12" s="476"/>
      <c r="F12" s="476"/>
      <c r="G12" s="476"/>
      <c r="H12" s="476"/>
      <c r="I12" s="476"/>
      <c r="J12" s="32"/>
      <c r="K12" s="32"/>
      <c r="M12" s="42" t="s">
        <v>435</v>
      </c>
      <c r="N12" s="23">
        <v>50</v>
      </c>
      <c r="O12" s="477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78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79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44" t="s">
        <v>73</v>
      </c>
      <c r="S7" s="444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75"/>
      <c r="D11" s="475"/>
      <c r="E11" s="475"/>
      <c r="F11" s="475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76" t="s">
        <v>476</v>
      </c>
      <c r="D12" s="476"/>
      <c r="E12" s="476"/>
      <c r="F12" s="476"/>
      <c r="G12" s="32"/>
      <c r="H12" s="32"/>
      <c r="J12" s="42" t="s">
        <v>62</v>
      </c>
      <c r="K12" s="23">
        <v>60</v>
      </c>
      <c r="L12" s="477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79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40" t="s">
        <v>418</v>
      </c>
      <c r="N9" s="441"/>
      <c r="O9" s="441"/>
      <c r="P9" s="441"/>
      <c r="R9" s="440" t="s">
        <v>230</v>
      </c>
      <c r="S9" s="441"/>
      <c r="T9" s="441"/>
      <c r="U9" s="441"/>
      <c r="V9" s="441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26</vt:i4>
      </vt:variant>
    </vt:vector>
  </HeadingPairs>
  <TitlesOfParts>
    <vt:vector size="26" baseType="lpstr">
      <vt:lpstr>TOC</vt:lpstr>
      <vt:lpstr>Einheitenvorsätze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2026-03-12T08:47:50Z</dcterms:modified>
</cp:coreProperties>
</file>