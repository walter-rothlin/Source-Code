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8.xml" ContentType="application/vnd.openxmlformats-officedocument.drawing+xml"/>
  <Override PartName="/xl/comments2.xml" ContentType="application/vnd.openxmlformats-officedocument.spreadsheetml.comments+xml"/>
  <Override PartName="/xl/drawings/drawing19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0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1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2.xml" ContentType="application/vnd.openxmlformats-officedocument.drawing+xml"/>
  <Override PartName="/xl/comments3.xml" ContentType="application/vnd.openxmlformats-officedocument.spreadsheetml.comments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C96E5EE9-4F98-453D-B6C8-A21C63E1185A}" xr6:coauthVersionLast="47" xr6:coauthVersionMax="47" xr10:uidLastSave="{00000000-0000-0000-0000-000000000000}"/>
  <bookViews>
    <workbookView xWindow="-28920" yWindow="-5685" windowWidth="29040" windowHeight="16440" activeTab="3" xr2:uid="{00000000-000D-0000-FFFF-FFFF00000000}"/>
  </bookViews>
  <sheets>
    <sheet name="TOC" sheetId="13" r:id="rId1"/>
    <sheet name="Einheitenvorsätze" sheetId="32" r:id="rId2"/>
    <sheet name="Elektronische Schaltzeichen" sheetId="30" r:id="rId3"/>
    <sheet name="LCR-Glieder" sheetId="35" r:id="rId4"/>
    <sheet name="Quelle mit Innenwiderstand" sheetId="29" r:id="rId5"/>
    <sheet name="Leistung bei Wechselstrom" sheetId="28" r:id="rId6"/>
    <sheet name="Schiefeebene" sheetId="19" r:id="rId7"/>
    <sheet name="Schiefe-Ebene (alt)" sheetId="20" r:id="rId8"/>
    <sheet name="Sinus_Cosinus" sheetId="22" r:id="rId9"/>
    <sheet name="Vektoroperationen" sheetId="18" r:id="rId10"/>
    <sheet name="VektorZeitbereich" sheetId="24" r:id="rId11"/>
    <sheet name="Geburtstagsliste" sheetId="17" r:id="rId12"/>
    <sheet name="Einheiten umrechnen" sheetId="16" r:id="rId13"/>
    <sheet name="Flächenberechnungen" sheetId="14" r:id="rId14"/>
    <sheet name="Kinematik_1" sheetId="4" r:id="rId15"/>
    <sheet name="Kinematik_1 (Weg-Zeit)" sheetId="33" r:id="rId16"/>
    <sheet name="Kinematik_2" sheetId="9" r:id="rId17"/>
    <sheet name="Kinematik_2_Berechnungen" sheetId="11" r:id="rId18"/>
    <sheet name="Kinematik_2 (Weg-Zeit)" sheetId="34" r:id="rId19"/>
    <sheet name="Fourierreihe" sheetId="12" r:id="rId20"/>
    <sheet name="Scheinleistung" sheetId="15" r:id="rId21"/>
    <sheet name="3-Phasenstrom" sheetId="25" r:id="rId22"/>
    <sheet name="Gemischte Schaltung" sheetId="23" r:id="rId23"/>
    <sheet name="Theoreme" sheetId="26" r:id="rId24"/>
    <sheet name="Fläche eines Polygones" sheetId="27" r:id="rId25"/>
  </sheets>
  <definedNames>
    <definedName name="_xlnm._FilterDatabase" localSheetId="11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1" i="35" l="1"/>
  <c r="P20" i="35"/>
  <c r="Z27" i="35"/>
  <c r="X50" i="35"/>
  <c r="Z48" i="35"/>
  <c r="X48" i="35"/>
  <c r="Z47" i="35"/>
  <c r="X47" i="35"/>
  <c r="Z26" i="35"/>
  <c r="Z25" i="35"/>
  <c r="Z7" i="35"/>
  <c r="X9" i="35"/>
  <c r="X7" i="35"/>
  <c r="X27" i="35"/>
  <c r="X26" i="35"/>
  <c r="X25" i="35"/>
  <c r="AH26" i="35"/>
  <c r="AH29" i="35" s="1"/>
  <c r="AE27" i="35"/>
  <c r="AH28" i="35" s="1"/>
  <c r="AD27" i="35"/>
  <c r="AG28" i="35" s="1"/>
  <c r="AE25" i="35"/>
  <c r="AE29" i="35" s="1"/>
  <c r="AB26" i="35"/>
  <c r="AB7" i="35"/>
  <c r="X4" i="9"/>
  <c r="N4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E11" i="9"/>
  <c r="D15" i="33"/>
  <c r="D13" i="33"/>
  <c r="D14" i="33"/>
  <c r="D12" i="33"/>
  <c r="I21" i="35"/>
  <c r="G21" i="35"/>
  <c r="I20" i="35"/>
  <c r="G20" i="35"/>
  <c r="I19" i="35"/>
  <c r="G19" i="35"/>
  <c r="I16" i="35"/>
  <c r="G16" i="35"/>
  <c r="I15" i="35"/>
  <c r="G15" i="35"/>
  <c r="G12" i="35"/>
  <c r="G8" i="35"/>
  <c r="G9" i="35"/>
  <c r="G10" i="35"/>
  <c r="G7" i="35"/>
  <c r="I19" i="32"/>
  <c r="H19" i="32"/>
  <c r="I17" i="32"/>
  <c r="I12" i="35"/>
  <c r="K8" i="35"/>
  <c r="K9" i="35"/>
  <c r="K10" i="35"/>
  <c r="L10" i="35" s="1"/>
  <c r="I8" i="35"/>
  <c r="I9" i="35"/>
  <c r="I10" i="35"/>
  <c r="I7" i="35"/>
  <c r="J8" i="35"/>
  <c r="J9" i="35"/>
  <c r="J10" i="35"/>
  <c r="O12" i="32"/>
  <c r="F7" i="35"/>
  <c r="K7" i="35" s="1"/>
  <c r="H8" i="35"/>
  <c r="H9" i="35"/>
  <c r="H10" i="35"/>
  <c r="D12" i="35" s="1"/>
  <c r="D16" i="35" s="1"/>
  <c r="H7" i="35"/>
  <c r="L12" i="32"/>
  <c r="E9" i="13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23" i="13"/>
  <c r="C45" i="34"/>
  <c r="J45" i="34" s="1"/>
  <c r="I48" i="34" s="1"/>
  <c r="J48" i="34" s="1"/>
  <c r="C23" i="34"/>
  <c r="G18" i="34"/>
  <c r="H11" i="34"/>
  <c r="I11" i="34" s="1"/>
  <c r="J11" i="34" s="1"/>
  <c r="C19" i="13"/>
  <c r="E18" i="13"/>
  <c r="C7" i="13"/>
  <c r="C9" i="13"/>
  <c r="C6" i="13"/>
  <c r="E8" i="13"/>
  <c r="C18" i="13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K94" i="22"/>
  <c r="K95" i="22"/>
  <c r="K96" i="22"/>
  <c r="K93" i="22"/>
  <c r="G132" i="22"/>
  <c r="G128" i="22"/>
  <c r="G127" i="22"/>
  <c r="G126" i="22"/>
  <c r="I131" i="22"/>
  <c r="F130" i="22"/>
  <c r="F128" i="22"/>
  <c r="F129" i="22" s="1"/>
  <c r="F127" i="22"/>
  <c r="F126" i="22"/>
  <c r="I111" i="22"/>
  <c r="G118" i="22"/>
  <c r="I112" i="22"/>
  <c r="J112" i="22"/>
  <c r="K112" i="22"/>
  <c r="I113" i="22"/>
  <c r="J113" i="22"/>
  <c r="K113" i="22"/>
  <c r="E117" i="22" s="1"/>
  <c r="K111" i="22"/>
  <c r="I18" i="32"/>
  <c r="I16" i="32"/>
  <c r="J111" i="22"/>
  <c r="M12" i="32"/>
  <c r="E5" i="13"/>
  <c r="F104" i="22"/>
  <c r="G104" i="22" s="1"/>
  <c r="G106" i="22"/>
  <c r="H106" i="22"/>
  <c r="G102" i="22"/>
  <c r="H102" i="22"/>
  <c r="G105" i="22"/>
  <c r="H105" i="22"/>
  <c r="H103" i="22"/>
  <c r="G103" i="22"/>
  <c r="H101" i="22"/>
  <c r="G101" i="22"/>
  <c r="G93" i="22"/>
  <c r="J93" i="22" s="1"/>
  <c r="AE7" i="35" l="1"/>
  <c r="AB25" i="35"/>
  <c r="AB27" i="35" s="1"/>
  <c r="G14" i="33"/>
  <c r="AE11" i="35"/>
  <c r="J7" i="35"/>
  <c r="M7" i="35" s="1"/>
  <c r="L9" i="35"/>
  <c r="F15" i="35"/>
  <c r="F21" i="35" s="1"/>
  <c r="F16" i="35"/>
  <c r="M9" i="35"/>
  <c r="D15" i="35"/>
  <c r="M8" i="35"/>
  <c r="J12" i="35"/>
  <c r="M12" i="35" s="1"/>
  <c r="M10" i="35"/>
  <c r="H16" i="35"/>
  <c r="K12" i="35"/>
  <c r="L12" i="35" s="1"/>
  <c r="H12" i="35"/>
  <c r="L8" i="35"/>
  <c r="L7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I93" i="22"/>
  <c r="F132" i="22"/>
  <c r="F131" i="22"/>
  <c r="E116" i="22"/>
  <c r="E118" i="22"/>
  <c r="F116" i="22"/>
  <c r="F117" i="22"/>
  <c r="F118" i="22"/>
  <c r="H104" i="22"/>
  <c r="G96" i="22"/>
  <c r="G95" i="22"/>
  <c r="G94" i="22"/>
  <c r="H94" i="22" s="1"/>
  <c r="F17" i="28"/>
  <c r="F12" i="22"/>
  <c r="BB13" i="22"/>
  <c r="BB12" i="22"/>
  <c r="BC13" i="22"/>
  <c r="BC12" i="22"/>
  <c r="F13" i="22"/>
  <c r="BB3" i="22"/>
  <c r="BC3" i="22" s="1"/>
  <c r="AZ11" i="22"/>
  <c r="AY11" i="22"/>
  <c r="AY12" i="22" s="1"/>
  <c r="G11" i="22"/>
  <c r="G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A10" i="9"/>
  <c r="Z10" i="9"/>
  <c r="Y10" i="9"/>
  <c r="X10" i="9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Z4" i="9"/>
  <c r="AA4" i="9" s="1"/>
  <c r="Q4" i="9"/>
  <c r="P4" i="9"/>
  <c r="S4" i="9"/>
  <c r="T4" i="9" s="1"/>
  <c r="AA3" i="9"/>
  <c r="X3" i="9"/>
  <c r="W3" i="9"/>
  <c r="T3" i="9"/>
  <c r="Q3" i="9"/>
  <c r="N3" i="9"/>
  <c r="M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AW25" i="24"/>
  <c r="AV25" i="24"/>
  <c r="AU25" i="24"/>
  <c r="AT25" i="24"/>
  <c r="AS25" i="24"/>
  <c r="AR25" i="24"/>
  <c r="AQ25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AW24" i="24"/>
  <c r="AV24" i="24"/>
  <c r="AU24" i="24"/>
  <c r="AT24" i="24"/>
  <c r="AS24" i="24"/>
  <c r="AR24" i="24"/>
  <c r="AQ24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I18" i="24"/>
  <c r="H18" i="24"/>
  <c r="G18" i="24"/>
  <c r="F18" i="24"/>
  <c r="E18" i="24"/>
  <c r="D18" i="24"/>
  <c r="C18" i="24"/>
  <c r="O17" i="24"/>
  <c r="M17" i="24"/>
  <c r="I17" i="24"/>
  <c r="H17" i="24"/>
  <c r="G17" i="24"/>
  <c r="F17" i="24"/>
  <c r="E17" i="24"/>
  <c r="D17" i="24"/>
  <c r="C17" i="24"/>
  <c r="U16" i="24"/>
  <c r="S16" i="24"/>
  <c r="Q16" i="24"/>
  <c r="O16" i="24"/>
  <c r="M16" i="24"/>
  <c r="G16" i="24"/>
  <c r="F16" i="24"/>
  <c r="E16" i="24"/>
  <c r="D16" i="24"/>
  <c r="C16" i="24"/>
  <c r="T15" i="24"/>
  <c r="R15" i="24"/>
  <c r="Q15" i="24"/>
  <c r="O15" i="24"/>
  <c r="M15" i="24"/>
  <c r="I15" i="24"/>
  <c r="H15" i="24"/>
  <c r="G15" i="24"/>
  <c r="F15" i="24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V17" i="18" s="1"/>
  <c r="O17" i="18"/>
  <c r="N17" i="18"/>
  <c r="M17" i="18"/>
  <c r="L17" i="18"/>
  <c r="K17" i="18"/>
  <c r="J17" i="18"/>
  <c r="I17" i="18"/>
  <c r="W16" i="18"/>
  <c r="S16" i="18"/>
  <c r="R16" i="18"/>
  <c r="Q16" i="18"/>
  <c r="P16" i="18"/>
  <c r="V16" i="18" s="1"/>
  <c r="O16" i="18"/>
  <c r="N16" i="18"/>
  <c r="M16" i="18"/>
  <c r="L16" i="18"/>
  <c r="K16" i="18"/>
  <c r="J16" i="18"/>
  <c r="I16" i="18"/>
  <c r="S15" i="18"/>
  <c r="R15" i="18"/>
  <c r="Q15" i="18"/>
  <c r="P15" i="18"/>
  <c r="V15" i="18" s="1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H10" i="22"/>
  <c r="H11" i="22" s="1"/>
  <c r="H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E6" i="13"/>
  <c r="E7" i="13"/>
  <c r="E16" i="13"/>
  <c r="C11" i="13"/>
  <c r="C10" i="13"/>
  <c r="E17" i="13"/>
  <c r="E15" i="13"/>
  <c r="X8" i="35" l="1"/>
  <c r="X49" i="35"/>
  <c r="J16" i="35"/>
  <c r="M16" i="35" s="1"/>
  <c r="D20" i="35"/>
  <c r="H20" i="35" s="1"/>
  <c r="R20" i="35"/>
  <c r="T20" i="35" s="1"/>
  <c r="W15" i="18"/>
  <c r="F20" i="35"/>
  <c r="F19" i="35"/>
  <c r="K15" i="35"/>
  <c r="L15" i="35" s="1"/>
  <c r="B21" i="35"/>
  <c r="X51" i="35" s="1"/>
  <c r="J15" i="35"/>
  <c r="M15" i="35" s="1"/>
  <c r="H15" i="35"/>
  <c r="D19" i="35" s="1"/>
  <c r="K16" i="35"/>
  <c r="L16" i="35" s="1"/>
  <c r="J46" i="34"/>
  <c r="L11" i="34"/>
  <c r="K18" i="34"/>
  <c r="K18" i="4"/>
  <c r="I43" i="33"/>
  <c r="I40" i="33"/>
  <c r="J11" i="33"/>
  <c r="I12" i="33"/>
  <c r="I14" i="33"/>
  <c r="J94" i="22"/>
  <c r="I94" i="22"/>
  <c r="J95" i="22"/>
  <c r="I95" i="22"/>
  <c r="H96" i="22"/>
  <c r="J96" i="22"/>
  <c r="I96" i="22"/>
  <c r="G13" i="22"/>
  <c r="H13" i="22"/>
  <c r="H12" i="22"/>
  <c r="G12" i="22"/>
  <c r="H95" i="22"/>
  <c r="H93" i="22"/>
  <c r="Z5" i="28"/>
  <c r="AA5" i="28"/>
  <c r="E8" i="4"/>
  <c r="M17" i="4"/>
  <c r="L18" i="4"/>
  <c r="D8" i="4"/>
  <c r="C8" i="4"/>
  <c r="H17" i="22"/>
  <c r="AY13" i="22"/>
  <c r="AY16" i="22" s="1"/>
  <c r="G62" i="22"/>
  <c r="H62" i="22"/>
  <c r="BE13" i="22"/>
  <c r="BL16" i="22" s="1"/>
  <c r="BD13" i="22"/>
  <c r="BJ16" i="22" s="1"/>
  <c r="BD12" i="22"/>
  <c r="BE12" i="22"/>
  <c r="BP16" i="22" s="1"/>
  <c r="I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Z8" i="35" l="1"/>
  <c r="Z49" i="35"/>
  <c r="Z28" i="35"/>
  <c r="K20" i="35"/>
  <c r="L20" i="35" s="1"/>
  <c r="J20" i="35"/>
  <c r="M20" i="35" s="1"/>
  <c r="P19" i="35"/>
  <c r="R19" i="35" s="1"/>
  <c r="T19" i="35" s="1"/>
  <c r="Z10" i="35" s="1"/>
  <c r="AB8" i="35"/>
  <c r="AB9" i="35" s="1"/>
  <c r="D21" i="35"/>
  <c r="H19" i="35"/>
  <c r="L18" i="34"/>
  <c r="M11" i="34"/>
  <c r="J14" i="33"/>
  <c r="J12" i="33"/>
  <c r="K11" i="33"/>
  <c r="G16" i="22"/>
  <c r="H16" i="22"/>
  <c r="G17" i="22"/>
  <c r="N17" i="4"/>
  <c r="M18" i="4"/>
  <c r="AY17" i="22"/>
  <c r="BB4" i="22" s="1"/>
  <c r="BG13" i="22"/>
  <c r="BI13" i="22"/>
  <c r="BE16" i="22"/>
  <c r="BM16" i="22" s="1"/>
  <c r="BQ16" i="22" s="1"/>
  <c r="BD16" i="22"/>
  <c r="BN16" i="22"/>
  <c r="BG12" i="22"/>
  <c r="BI12" i="22"/>
  <c r="K8" i="17"/>
  <c r="I11" i="22"/>
  <c r="J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AE9" i="35" l="1"/>
  <c r="AH10" i="35" s="1"/>
  <c r="AH8" i="35"/>
  <c r="AH11" i="35" s="1"/>
  <c r="J19" i="35"/>
  <c r="M19" i="35" s="1"/>
  <c r="K19" i="35"/>
  <c r="L19" i="35" s="1"/>
  <c r="Z9" i="35" s="1"/>
  <c r="K21" i="35"/>
  <c r="L21" i="35" s="1"/>
  <c r="Z50" i="35" s="1"/>
  <c r="J21" i="35"/>
  <c r="M21" i="35" s="1"/>
  <c r="H21" i="35"/>
  <c r="R21" i="35" s="1"/>
  <c r="T21" i="35" s="1"/>
  <c r="Z51" i="35" s="1"/>
  <c r="M18" i="34"/>
  <c r="N11" i="34"/>
  <c r="K14" i="33"/>
  <c r="L11" i="33"/>
  <c r="K12" i="33"/>
  <c r="I12" i="22"/>
  <c r="I13" i="22"/>
  <c r="I16" i="22" s="1"/>
  <c r="BC4" i="22"/>
  <c r="O17" i="4"/>
  <c r="N18" i="4"/>
  <c r="BC16" i="22"/>
  <c r="BK16" i="22"/>
  <c r="BO16" i="22" s="1"/>
  <c r="BI16" i="22"/>
  <c r="BG16" i="22"/>
  <c r="BB16" i="22"/>
  <c r="BJ11" i="22" s="1" a="1"/>
  <c r="BJ11" i="22" s="1"/>
  <c r="I61" i="22"/>
  <c r="I62" i="22"/>
  <c r="J11" i="22"/>
  <c r="K10" i="22"/>
  <c r="AD9" i="35" l="1"/>
  <c r="AG10" i="35" s="1"/>
  <c r="N18" i="34"/>
  <c r="O11" i="34"/>
  <c r="L12" i="33"/>
  <c r="M11" i="33"/>
  <c r="L14" i="33"/>
  <c r="I17" i="22"/>
  <c r="P17" i="4"/>
  <c r="O18" i="4"/>
  <c r="BN11" i="22"/>
  <c r="BQ11" i="22" s="1"/>
  <c r="BL11" i="22"/>
  <c r="BO11" i="22" s="1"/>
  <c r="J12" i="22"/>
  <c r="J13" i="22"/>
  <c r="J61" i="22"/>
  <c r="J62" i="22"/>
  <c r="K11" i="22"/>
  <c r="L10" i="22"/>
  <c r="P11" i="34" l="1"/>
  <c r="O18" i="34"/>
  <c r="M12" i="33"/>
  <c r="M14" i="33"/>
  <c r="N11" i="33"/>
  <c r="J17" i="22"/>
  <c r="P18" i="4"/>
  <c r="Q17" i="4"/>
  <c r="J16" i="22"/>
  <c r="K12" i="22"/>
  <c r="K13" i="22"/>
  <c r="K61" i="22"/>
  <c r="K62" i="22"/>
  <c r="L11" i="22"/>
  <c r="M10" i="22"/>
  <c r="P18" i="34" l="1"/>
  <c r="Q11" i="34"/>
  <c r="N14" i="33"/>
  <c r="O11" i="33"/>
  <c r="N12" i="33"/>
  <c r="K17" i="22"/>
  <c r="R17" i="4"/>
  <c r="Q18" i="4"/>
  <c r="L12" i="22"/>
  <c r="L13" i="22"/>
  <c r="K16" i="22"/>
  <c r="L61" i="22"/>
  <c r="L62" i="22"/>
  <c r="M11" i="22"/>
  <c r="N10" i="22"/>
  <c r="Q18" i="34" l="1"/>
  <c r="R11" i="34"/>
  <c r="O14" i="33"/>
  <c r="O12" i="33"/>
  <c r="P11" i="33"/>
  <c r="L17" i="22"/>
  <c r="S17" i="4"/>
  <c r="R18" i="4"/>
  <c r="M12" i="22"/>
  <c r="M13" i="22"/>
  <c r="L16" i="22"/>
  <c r="M61" i="22"/>
  <c r="M62" i="22"/>
  <c r="O10" i="22"/>
  <c r="N11" i="22"/>
  <c r="S11" i="34" l="1"/>
  <c r="R18" i="34"/>
  <c r="P14" i="33"/>
  <c r="Q11" i="33"/>
  <c r="P12" i="33"/>
  <c r="M17" i="22"/>
  <c r="T17" i="4"/>
  <c r="S18" i="4"/>
  <c r="N12" i="22"/>
  <c r="N13" i="22"/>
  <c r="N17" i="22" s="1"/>
  <c r="M16" i="22"/>
  <c r="N61" i="22"/>
  <c r="N62" i="22"/>
  <c r="O11" i="22"/>
  <c r="P10" i="22"/>
  <c r="S18" i="34" l="1"/>
  <c r="T11" i="34"/>
  <c r="R11" i="33"/>
  <c r="Q12" i="33"/>
  <c r="Q14" i="33"/>
  <c r="U17" i="4"/>
  <c r="T18" i="4"/>
  <c r="O12" i="22"/>
  <c r="O13" i="22"/>
  <c r="O17" i="22" s="1"/>
  <c r="N16" i="22"/>
  <c r="O61" i="22"/>
  <c r="O62" i="22"/>
  <c r="P11" i="22"/>
  <c r="Q10" i="22"/>
  <c r="U11" i="34" l="1"/>
  <c r="T18" i="34"/>
  <c r="R14" i="33"/>
  <c r="R12" i="33"/>
  <c r="S11" i="33"/>
  <c r="V17" i="4"/>
  <c r="U18" i="4"/>
  <c r="P13" i="22"/>
  <c r="P12" i="22"/>
  <c r="O16" i="22"/>
  <c r="P61" i="22"/>
  <c r="P62" i="22"/>
  <c r="R10" i="22"/>
  <c r="Q11" i="22"/>
  <c r="U18" i="34" l="1"/>
  <c r="V11" i="34"/>
  <c r="S14" i="33"/>
  <c r="S12" i="33"/>
  <c r="T11" i="33"/>
  <c r="P16" i="22"/>
  <c r="P17" i="22"/>
  <c r="W17" i="4"/>
  <c r="V18" i="4"/>
  <c r="Q13" i="22"/>
  <c r="Q12" i="22"/>
  <c r="Q61" i="22"/>
  <c r="Q62" i="22"/>
  <c r="R11" i="22"/>
  <c r="S10" i="22"/>
  <c r="V18" i="34" l="1"/>
  <c r="W11" i="34"/>
  <c r="T12" i="33"/>
  <c r="U11" i="33"/>
  <c r="T14" i="33"/>
  <c r="Q16" i="22"/>
  <c r="Q17" i="22"/>
  <c r="X17" i="4"/>
  <c r="W18" i="4"/>
  <c r="R12" i="22"/>
  <c r="R13" i="22"/>
  <c r="R61" i="22"/>
  <c r="R62" i="22"/>
  <c r="S11" i="22"/>
  <c r="T10" i="22"/>
  <c r="X11" i="34" l="1"/>
  <c r="W18" i="34"/>
  <c r="U12" i="33"/>
  <c r="U14" i="33"/>
  <c r="V11" i="33"/>
  <c r="R17" i="22"/>
  <c r="X18" i="4"/>
  <c r="Y17" i="4"/>
  <c r="S12" i="22"/>
  <c r="S13" i="22"/>
  <c r="S17" i="22" s="1"/>
  <c r="R16" i="22"/>
  <c r="S61" i="22"/>
  <c r="S62" i="22"/>
  <c r="U10" i="22"/>
  <c r="T11" i="22"/>
  <c r="X18" i="34" l="1"/>
  <c r="Y11" i="34"/>
  <c r="V14" i="33"/>
  <c r="W11" i="33"/>
  <c r="V12" i="33"/>
  <c r="Y18" i="4"/>
  <c r="Z17" i="4"/>
  <c r="T12" i="22"/>
  <c r="T13" i="22"/>
  <c r="T17" i="22" s="1"/>
  <c r="S16" i="22"/>
  <c r="T61" i="22"/>
  <c r="T62" i="22"/>
  <c r="U11" i="22"/>
  <c r="V10" i="22"/>
  <c r="Z11" i="34" l="1"/>
  <c r="Y18" i="34"/>
  <c r="W14" i="33"/>
  <c r="W12" i="33"/>
  <c r="X11" i="33"/>
  <c r="Z18" i="4"/>
  <c r="AA17" i="4"/>
  <c r="U12" i="22"/>
  <c r="U13" i="22"/>
  <c r="T16" i="22"/>
  <c r="U61" i="22"/>
  <c r="U62" i="22"/>
  <c r="V11" i="22"/>
  <c r="W10" i="22"/>
  <c r="AA11" i="34" l="1"/>
  <c r="Z18" i="34"/>
  <c r="X14" i="33"/>
  <c r="Y11" i="33"/>
  <c r="X12" i="33"/>
  <c r="U17" i="22"/>
  <c r="AB17" i="4"/>
  <c r="AA18" i="4"/>
  <c r="U16" i="22"/>
  <c r="V12" i="22"/>
  <c r="V13" i="22"/>
  <c r="V61" i="22"/>
  <c r="V62" i="22"/>
  <c r="X10" i="22"/>
  <c r="W11" i="22"/>
  <c r="AA18" i="34" l="1"/>
  <c r="Z11" i="33"/>
  <c r="Y12" i="33"/>
  <c r="Y14" i="33"/>
  <c r="V17" i="22"/>
  <c r="AC17" i="4"/>
  <c r="AB18" i="4"/>
  <c r="V16" i="22"/>
  <c r="W12" i="22"/>
  <c r="W13" i="22"/>
  <c r="W61" i="22"/>
  <c r="W62" i="22"/>
  <c r="Y10" i="22"/>
  <c r="X11" i="22"/>
  <c r="Z14" i="33" l="1"/>
  <c r="Z12" i="33"/>
  <c r="W17" i="22"/>
  <c r="AD17" i="4"/>
  <c r="AC18" i="4"/>
  <c r="X12" i="22"/>
  <c r="X13" i="22"/>
  <c r="X17" i="22" s="1"/>
  <c r="W16" i="22"/>
  <c r="X61" i="22"/>
  <c r="X62" i="22"/>
  <c r="Z10" i="22"/>
  <c r="Y11" i="22"/>
  <c r="AE17" i="4" l="1"/>
  <c r="AD18" i="4"/>
  <c r="Y12" i="22"/>
  <c r="Y13" i="22"/>
  <c r="X16" i="22"/>
  <c r="Y61" i="22"/>
  <c r="Y62" i="22"/>
  <c r="Z11" i="22"/>
  <c r="AA10" i="22"/>
  <c r="Y17" i="22" l="1"/>
  <c r="AF17" i="4"/>
  <c r="AE18" i="4"/>
  <c r="Z12" i="22"/>
  <c r="Z13" i="22"/>
  <c r="Z17" i="22" s="1"/>
  <c r="Y16" i="22"/>
  <c r="Z61" i="22"/>
  <c r="Z62" i="22"/>
  <c r="AA11" i="22"/>
  <c r="AB10" i="22"/>
  <c r="AF18" i="4" l="1"/>
  <c r="AG17" i="4"/>
  <c r="Z16" i="22"/>
  <c r="AA13" i="22"/>
  <c r="AA12" i="22"/>
  <c r="AA61" i="22"/>
  <c r="AA62" i="22"/>
  <c r="AB11" i="22"/>
  <c r="AC10" i="22"/>
  <c r="AA16" i="22" l="1"/>
  <c r="AA17" i="22"/>
  <c r="AG18" i="4"/>
  <c r="AH17" i="4"/>
  <c r="AB12" i="22"/>
  <c r="AB13" i="22"/>
  <c r="AB61" i="22"/>
  <c r="AB62" i="22"/>
  <c r="AC11" i="22"/>
  <c r="AD10" i="22"/>
  <c r="AB17" i="22" l="1"/>
  <c r="AH18" i="4"/>
  <c r="AI17" i="4"/>
  <c r="AC12" i="22"/>
  <c r="AC13" i="22"/>
  <c r="AC17" i="22" s="1"/>
  <c r="AB16" i="22"/>
  <c r="AC61" i="22"/>
  <c r="AC62" i="22"/>
  <c r="AE10" i="22"/>
  <c r="AD11" i="22"/>
  <c r="AJ17" i="4" l="1"/>
  <c r="AI18" i="4"/>
  <c r="AD12" i="22"/>
  <c r="AD13" i="22"/>
  <c r="AC16" i="22"/>
  <c r="AD61" i="22"/>
  <c r="AD62" i="22"/>
  <c r="AE11" i="22"/>
  <c r="AF10" i="22"/>
  <c r="AD17" i="22" l="1"/>
  <c r="AK17" i="4"/>
  <c r="AJ18" i="4"/>
  <c r="AE12" i="22"/>
  <c r="AE13" i="22"/>
  <c r="AD16" i="22"/>
  <c r="AE61" i="22"/>
  <c r="AE62" i="22"/>
  <c r="AF11" i="22"/>
  <c r="AG10" i="22"/>
  <c r="AE17" i="22" l="1"/>
  <c r="AL17" i="4"/>
  <c r="AK18" i="4"/>
  <c r="AF13" i="22"/>
  <c r="AF12" i="22"/>
  <c r="AE16" i="22"/>
  <c r="AF61" i="22"/>
  <c r="AF62" i="22"/>
  <c r="AG11" i="22"/>
  <c r="AH10" i="22"/>
  <c r="AF16" i="22" l="1"/>
  <c r="AF17" i="22"/>
  <c r="AM17" i="4"/>
  <c r="AL18" i="4"/>
  <c r="AG12" i="22"/>
  <c r="AG13" i="22"/>
  <c r="AG17" i="22" s="1"/>
  <c r="AG61" i="22"/>
  <c r="AG62" i="22"/>
  <c r="AH11" i="22"/>
  <c r="AI10" i="22"/>
  <c r="AN17" i="4" l="1"/>
  <c r="AM18" i="4"/>
  <c r="AH12" i="22"/>
  <c r="AH13" i="22"/>
  <c r="AH17" i="22" s="1"/>
  <c r="AG16" i="22"/>
  <c r="AH61" i="22"/>
  <c r="AH62" i="22"/>
  <c r="AI11" i="22"/>
  <c r="AJ10" i="22"/>
  <c r="AN18" i="4" l="1"/>
  <c r="AO17" i="4"/>
  <c r="AO18" i="4" s="1"/>
  <c r="AI13" i="22"/>
  <c r="AI12" i="22"/>
  <c r="AH16" i="22"/>
  <c r="AI61" i="22"/>
  <c r="AI62" i="22"/>
  <c r="AK10" i="22"/>
  <c r="AJ11" i="22"/>
  <c r="AI17" i="22" l="1"/>
  <c r="AI16" i="22"/>
  <c r="AJ12" i="22"/>
  <c r="AJ13" i="22"/>
  <c r="AJ17" i="22" s="1"/>
  <c r="AJ61" i="22"/>
  <c r="AJ62" i="22"/>
  <c r="AK11" i="22"/>
  <c r="AL10" i="22"/>
  <c r="AK12" i="22" l="1"/>
  <c r="AK13" i="22"/>
  <c r="AJ16" i="22"/>
  <c r="AK61" i="22"/>
  <c r="AK62" i="22"/>
  <c r="AL11" i="22"/>
  <c r="AM10" i="22"/>
  <c r="AK17" i="22" l="1"/>
  <c r="AL12" i="22"/>
  <c r="AL13" i="22"/>
  <c r="AK16" i="22"/>
  <c r="AL61" i="22"/>
  <c r="AL62" i="22"/>
  <c r="AN10" i="22"/>
  <c r="AM11" i="22"/>
  <c r="AL17" i="22" l="1"/>
  <c r="AM12" i="22"/>
  <c r="AM13" i="22"/>
  <c r="AL16" i="22"/>
  <c r="AM61" i="22"/>
  <c r="AM62" i="22"/>
  <c r="AN11" i="22"/>
  <c r="AO10" i="22"/>
  <c r="AM17" i="22" l="1"/>
  <c r="AN12" i="22"/>
  <c r="AN13" i="22"/>
  <c r="AM16" i="22"/>
  <c r="AN61" i="22"/>
  <c r="AN62" i="22"/>
  <c r="AO11" i="22"/>
  <c r="AP10" i="22"/>
  <c r="AN17" i="22" l="1"/>
  <c r="AO13" i="22"/>
  <c r="AO12" i="22"/>
  <c r="AN16" i="22"/>
  <c r="AO61" i="22"/>
  <c r="AO62" i="22"/>
  <c r="AP11" i="22"/>
  <c r="AQ10" i="22"/>
  <c r="AO16" i="22" l="1"/>
  <c r="AO17" i="22"/>
  <c r="AP12" i="22"/>
  <c r="AP13" i="22"/>
  <c r="AP61" i="22"/>
  <c r="AP62" i="22"/>
  <c r="AQ11" i="22"/>
  <c r="AR10" i="22"/>
  <c r="AP17" i="22" l="1"/>
  <c r="AQ12" i="22"/>
  <c r="AQ13" i="22"/>
  <c r="AP16" i="22"/>
  <c r="AQ61" i="22"/>
  <c r="AQ62" i="22"/>
  <c r="AR11" i="22"/>
  <c r="AS10" i="22"/>
  <c r="AQ17" i="22" l="1"/>
  <c r="AR12" i="22"/>
  <c r="AR13" i="22"/>
  <c r="AR17" i="22" s="1"/>
  <c r="AQ16" i="22"/>
  <c r="AR61" i="22"/>
  <c r="AR62" i="22"/>
  <c r="AT10" i="22"/>
  <c r="AS11" i="22"/>
  <c r="AR16" i="22" l="1"/>
  <c r="AS12" i="22"/>
  <c r="AS13" i="22"/>
  <c r="AS17" i="22" s="1"/>
  <c r="AS61" i="22"/>
  <c r="AS62" i="22"/>
  <c r="AT11" i="22"/>
  <c r="AU10" i="22"/>
  <c r="AU11" i="22" s="1"/>
  <c r="AS16" i="22" l="1"/>
  <c r="AU12" i="22"/>
  <c r="AU13" i="22"/>
  <c r="AT12" i="22"/>
  <c r="AT13" i="22"/>
  <c r="AU61" i="22"/>
  <c r="AU62" i="22"/>
  <c r="AT61" i="22"/>
  <c r="AT62" i="22"/>
  <c r="AT17" i="22" l="1"/>
  <c r="AU17" i="22"/>
  <c r="AU16" i="22"/>
  <c r="AT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<sst xmlns="http://schemas.openxmlformats.org/spreadsheetml/2006/main" count="1368" uniqueCount="893">
  <si>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</si>
  <si>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</si>
  <si>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</si>
  <si>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</si>
  <si>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</si>
  <si>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</si>
  <si>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</si>
  <si>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</si>
  <si>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</si>
  <si>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</si>
  <si>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</si>
  <si>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</si>
  <si>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</si>
  <si>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</si>
  <si>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</si>
  <si>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</si>
  <si>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</si>
  <si>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</si>
  <si>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</si>
  <si>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</si>
  <si>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</si>
  <si>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</si>
  <si>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</si>
  <si>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</si>
  <si>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</si>
  <si>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</si>
  <si>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</si>
  <si>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</si>
  <si>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</si>
  <si>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</si>
  <si>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t>t: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</si>
  <si>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</si>
  <si>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</si>
  <si>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</si>
  <si>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</si>
  <si>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</si>
  <si>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</si>
  <si>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</si>
  <si>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</si>
  <si>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</si>
  <si>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</si>
  <si>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</si>
  <si>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</si>
  <si>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</si>
  <si>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</si>
  <si>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</si>
  <si>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</si>
  <si>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</si>
  <si>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</si>
  <si>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</si>
  <si>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</si>
  <si>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</si>
  <si>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</si>
  <si>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</si>
  <si>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</si>
  <si>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</si>
  <si>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</si>
  <si>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</si>
  <si>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</si>
  <si>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</si>
  <si>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</si>
  <si>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</si>
  <si>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</si>
  <si>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</si>
  <si>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</si>
  <si>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</si>
  <si>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</si>
  <si>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</si>
  <si>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</si>
  <si>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</si>
  <si>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</si>
  <si>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</si>
  <si>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</si>
  <si>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</si>
  <si>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</si>
  <si>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</si>
  <si>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</si>
  <si>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</si>
  <si>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</si>
  <si>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</si>
  <si>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</si>
  <si>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</si>
  <si>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</si>
  <si>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</si>
  <si>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</si>
  <si>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</si>
  <si>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</si>
  <si>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</si>
  <si>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</si>
  <si>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</si>
  <si>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</si>
  <si>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</si>
  <si>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</si>
  <si>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</si>
  <si>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</si>
  <si>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</si>
  <si>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</si>
  <si>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</si>
  <si>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</si>
  <si>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</si>
  <si>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</si>
  <si>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</si>
  <si>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</si>
  <si>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</si>
  <si>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</si>
  <si>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</si>
  <si>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</si>
  <si>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</si>
  <si>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</si>
  <si>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</si>
  <si>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</si>
  <si>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</si>
  <si>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</si>
  <si>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</si>
  <si>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</si>
  <si>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</si>
  <si>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</si>
  <si>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</si>
  <si>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</si>
  <si>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</si>
  <si>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</si>
  <si>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</si>
  <si>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</si>
  <si>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</si>
  <si>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</si>
  <si>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</si>
  <si>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</si>
  <si>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</si>
  <si>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</si>
  <si>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</si>
  <si>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</si>
  <si>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</si>
  <si>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</si>
  <si>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</si>
  <si>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</si>
  <si>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</si>
  <si>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</si>
  <si>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</si>
  <si>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</si>
  <si>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</si>
  <si>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</si>
  <si>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</si>
  <si>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</si>
  <si>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</si>
  <si>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</si>
  <si>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</si>
  <si>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</si>
  <si>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</si>
  <si>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</si>
  <si>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</si>
  <si>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</si>
  <si>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</si>
  <si>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</si>
  <si>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</si>
  <si>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</si>
  <si>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</si>
  <si>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</si>
  <si>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</si>
  <si>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</si>
  <si>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</si>
  <si>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</si>
  <si>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</si>
  <si>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</si>
  <si>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</si>
  <si>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</si>
  <si>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</si>
  <si>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</si>
  <si>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</si>
  <si>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</si>
  <si>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</si>
  <si>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</si>
  <si>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</si>
  <si>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</si>
  <si>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</si>
  <si>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</si>
  <si>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</si>
  <si>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</si>
  <si>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</si>
  <si>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</si>
  <si>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</si>
  <si>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</si>
  <si>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</si>
  <si>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</si>
  <si>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</si>
  <si>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</si>
  <si>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</si>
  <si>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</si>
  <si>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</si>
  <si>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</si>
  <si>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</si>
  <si>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</si>
  <si>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</si>
  <si>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</si>
  <si>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</si>
  <si>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</si>
  <si>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</si>
  <si>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</si>
  <si>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</si>
  <si>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</si>
  <si>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</si>
  <si>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</si>
  <si>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</si>
  <si>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</si>
  <si>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</si>
  <si>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</si>
  <si>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</si>
  <si>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</si>
  <si>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</si>
  <si>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</si>
  <si>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</si>
  <si>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</si>
  <si>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</si>
  <si>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</si>
  <si>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</si>
  <si>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</si>
  <si>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</si>
  <si>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</si>
  <si>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</si>
  <si>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</si>
  <si>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</si>
  <si>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</si>
  <si>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</si>
  <si>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</si>
  <si>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</si>
  <si>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</si>
  <si>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</si>
  <si>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</si>
  <si>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</si>
  <si>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</si>
  <si>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</si>
  <si>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</si>
  <si>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</si>
  <si>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</si>
  <si>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</si>
  <si>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</si>
  <si>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</si>
  <si>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</si>
  <si>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</si>
  <si>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</si>
  <si>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</si>
  <si>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</si>
  <si>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</si>
  <si>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</si>
  <si>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</si>
  <si>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</si>
  <si>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</si>
  <si>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</si>
  <si>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</si>
  <si>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</si>
  <si>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</si>
  <si>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</si>
  <si>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</si>
  <si>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</si>
  <si>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</si>
  <si>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</si>
  <si>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</si>
  <si>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</si>
  <si>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</si>
  <si>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</si>
  <si>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</si>
  <si>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</si>
  <si>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</si>
  <si>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</si>
  <si>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</si>
  <si>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</si>
  <si>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</si>
  <si>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</si>
  <si>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</si>
  <si>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</si>
  <si>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</si>
  <si>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</si>
  <si>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</si>
  <si>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</si>
  <si>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</si>
  <si>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</si>
  <si>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</si>
  <si>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</si>
  <si>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</si>
  <si>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</si>
  <si>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</si>
  <si>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</si>
  <si>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</si>
  <si>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</si>
  <si>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</si>
  <si>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</si>
  <si>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</si>
  <si>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</si>
  <si>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</si>
  <si>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</si>
  <si>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</si>
  <si>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</si>
  <si>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</si>
  <si>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</si>
  <si>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</si>
  <si>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</si>
  <si>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</si>
  <si>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</si>
  <si>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</si>
  <si>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</si>
  <si>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</si>
  <si>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</si>
  <si>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</si>
  <si>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</si>
  <si>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</si>
  <si>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</si>
  <si>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</si>
  <si>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</si>
  <si>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</si>
  <si>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</si>
  <si>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</si>
  <si>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</si>
  <si>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</si>
  <si>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</si>
  <si>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</si>
  <si>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</si>
  <si>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</si>
  <si>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</si>
  <si>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</si>
  <si>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</si>
  <si>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</si>
  <si>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</si>
  <si>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</si>
  <si>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</si>
  <si>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</si>
  <si>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</si>
  <si>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</si>
  <si>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</si>
  <si>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</si>
  <si>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</si>
  <si>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</si>
  <si>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</si>
  <si>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</si>
  <si>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</si>
  <si>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</si>
  <si>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</si>
  <si>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</si>
  <si>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</si>
  <si>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</si>
  <si>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</si>
  <si>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</si>
  <si>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</si>
  <si>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</si>
  <si>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</si>
  <si>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</si>
  <si>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</si>
  <si>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</si>
  <si>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</si>
  <si>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</si>
  <si>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</si>
  <si>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</si>
  <si>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</si>
  <si>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</si>
  <si>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</si>
  <si>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</si>
  <si>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</si>
  <si>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</si>
  <si>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</si>
  <si>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</si>
  <si>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</si>
  <si>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</si>
  <si>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</si>
  <si>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</si>
  <si>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</si>
  <si>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</si>
  <si>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</si>
  <si>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</si>
  <si>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</si>
  <si>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</si>
  <si>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</si>
  <si>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</si>
  <si>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</si>
  <si>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</si>
  <si>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</si>
  <si>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</si>
  <si>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</si>
  <si>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</si>
  <si>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</si>
  <si>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</si>
  <si>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</si>
  <si>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</si>
  <si>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</si>
  <si>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</si>
  <si>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</si>
  <si>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</si>
  <si>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</si>
  <si>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</si>
  <si>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</si>
  <si>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</si>
  <si>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</si>
  <si>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</si>
  <si>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</si>
  <si>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</si>
  <si>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</si>
  <si>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</si>
  <si>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</si>
  <si>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</si>
  <si>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</si>
  <si>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</si>
  <si>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</si>
  <si>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</si>
  <si>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</si>
  <si>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</si>
  <si>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</si>
  <si>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</si>
  <si>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</si>
  <si>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</si>
  <si>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</si>
  <si>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</si>
  <si>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</si>
  <si>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</si>
  <si>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</si>
  <si>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</si>
  <si>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</si>
  <si>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</si>
  <si>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</si>
  <si>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</si>
  <si>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</si>
  <si>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</si>
  <si>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</si>
  <si>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</si>
  <si>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</si>
  <si>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</si>
  <si>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</si>
  <si>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</si>
  <si>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</si>
  <si>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</si>
  <si>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</si>
  <si>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</si>
  <si>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</si>
  <si>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</si>
  <si>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</si>
  <si>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</si>
  <si>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</si>
  <si>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</si>
  <si>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</si>
  <si>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</si>
  <si>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</si>
  <si>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</si>
  <si>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</si>
  <si>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</si>
  <si>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</si>
  <si>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</si>
  <si>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</si>
  <si>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</si>
  <si>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</si>
  <si>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</si>
  <si>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</si>
  <si>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</si>
  <si>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</si>
  <si>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</si>
  <si>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</si>
  <si>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</si>
  <si>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</si>
  <si>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</si>
  <si>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</si>
  <si>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</si>
  <si>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</si>
  <si>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</si>
  <si>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</si>
  <si>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</si>
  <si>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</si>
  <si>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</si>
  <si>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</si>
  <si>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</si>
  <si>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</si>
  <si>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</si>
  <si>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</si>
  <si>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</si>
  <si>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</si>
  <si>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</si>
  <si>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</si>
  <si>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</si>
  <si>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</si>
  <si>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</si>
  <si>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</si>
  <si>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</si>
  <si>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</si>
  <si>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</si>
  <si>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</si>
  <si>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</si>
  <si>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</si>
  <si>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</si>
  <si>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</si>
  <si>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</si>
  <si>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</si>
  <si>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</si>
  <si>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</si>
  <si>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</si>
  <si>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</si>
  <si>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</si>
  <si>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</si>
  <si>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</si>
  <si>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</si>
  <si>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</si>
  <si>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</si>
  <si>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</si>
  <si>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</si>
  <si>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</si>
  <si>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</si>
  <si>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</si>
  <si>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</si>
  <si>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</si>
  <si>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</si>
  <si>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</si>
  <si>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</si>
  <si>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</si>
  <si>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</si>
  <si>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</si>
  <si>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</si>
  <si>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</si>
  <si>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</si>
  <si>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</si>
  <si>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</si>
  <si>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</si>
  <si>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</si>
  <si>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</si>
  <si>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</si>
  <si>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</si>
  <si>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</si>
  <si>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</si>
  <si>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</si>
  <si>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</si>
  <si>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</si>
  <si>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</si>
  <si>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</si>
  <si>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</si>
  <si>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</si>
  <si>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</si>
  <si>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</si>
  <si>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</si>
  <si>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</si>
  <si>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</si>
  <si>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</si>
  <si>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</si>
  <si>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</si>
  <si>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</si>
  <si>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</si>
  <si>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</si>
  <si>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</si>
  <si>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</si>
  <si>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</si>
  <si>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</si>
  <si>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</si>
  <si>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</si>
  <si>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</si>
  <si>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</si>
  <si>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</si>
  <si>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</si>
  <si>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</si>
  <si>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</si>
  <si>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</si>
  <si>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</si>
  <si>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</si>
  <si>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</si>
  <si>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</si>
  <si>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</si>
  <si>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</si>
  <si>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</si>
  <si>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</si>
  <si>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</si>
  <si>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</si>
  <si>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</si>
  <si>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</si>
  <si>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</si>
  <si>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</si>
  <si>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</si>
  <si>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</si>
  <si>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</si>
  <si>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</si>
  <si>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</si>
  <si>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</si>
  <si>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</si>
  <si>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</si>
  <si>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</si>
  <si>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</si>
  <si>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</si>
  <si>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</si>
  <si>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</si>
  <si>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</si>
  <si>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</si>
  <si>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</si>
  <si>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</si>
  <si>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</si>
  <si>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</si>
  <si>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</si>
  <si>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</si>
  <si>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</si>
  <si>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</si>
  <si>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</si>
  <si>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</si>
  <si>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</si>
  <si>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</si>
  <si>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</si>
  <si>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</si>
  <si>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</si>
  <si>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</si>
  <si>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</si>
  <si>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</si>
  <si>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</si>
  <si>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</si>
  <si>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</si>
  <si>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</si>
  <si>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</si>
  <si>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</si>
  <si>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</si>
  <si>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</si>
  <si>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</si>
  <si>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</si>
  <si>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</si>
  <si>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</si>
  <si>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</si>
  <si>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</si>
  <si>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</si>
  <si>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</si>
  <si>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</si>
  <si>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</si>
  <si>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</si>
  <si>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</si>
  <si>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</si>
  <si>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</si>
  <si>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</si>
  <si>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</si>
  <si>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</si>
  <si>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</si>
  <si>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</si>
  <si>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</si>
  <si>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</si>
  <si>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</si>
  <si>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</si>
  <si>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</si>
  <si>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</si>
  <si>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</si>
  <si>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</si>
  <si>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</si>
  <si>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</si>
  <si>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</si>
  <si>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</si>
  <si>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</si>
  <si>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</si>
  <si>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</si>
  <si>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</si>
  <si>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</si>
  <si>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</si>
  <si>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</si>
  <si>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</si>
  <si>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</si>
  <si>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</si>
  <si>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</si>
  <si>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</si>
  <si>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</si>
  <si>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</si>
  <si>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</si>
  <si>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</si>
  <si>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</si>
  <si>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</si>
  <si>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</si>
  <si>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</si>
  <si>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</si>
  <si>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</si>
  <si>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</si>
  <si>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</si>
  <si>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</si>
  <si>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</si>
  <si>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</si>
  <si>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</si>
  <si>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</si>
  <si>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</si>
  <si>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</si>
  <si>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</si>
  <si>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</si>
  <si>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</si>
  <si>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</si>
  <si>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</si>
  <si>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</si>
  <si>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</si>
  <si>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</si>
  <si>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</si>
  <si>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</si>
  <si>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</si>
  <si>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</si>
  <si>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</si>
  <si>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</si>
  <si>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</si>
  <si>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</si>
  <si>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</si>
  <si>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</si>
  <si>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</si>
  <si>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</si>
  <si>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</si>
  <si>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</si>
  <si>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</si>
  <si>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</si>
  <si>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</si>
  <si>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</si>
  <si>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</si>
  <si>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</si>
  <si>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</si>
  <si>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</si>
  <si>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</si>
  <si>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</si>
  <si>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</si>
  <si>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</si>
  <si>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</si>
  <si>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</si>
  <si>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</si>
  <si>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</si>
  <si>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</si>
  <si>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</si>
  <si>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</si>
  <si>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</si>
  <si>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</si>
  <si>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</si>
  <si>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</si>
  <si>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</si>
  <si>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</si>
  <si>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</si>
  <si>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</si>
  <si>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</si>
  <si>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</si>
  <si>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</si>
  <si>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</si>
  <si>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</si>
  <si>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</si>
  <si>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</si>
  <si>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</si>
  <si>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</si>
  <si>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</si>
  <si>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</si>
  <si>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</si>
  <si>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</si>
  <si>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</si>
  <si>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</si>
  <si>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</si>
  <si>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</si>
  <si>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</si>
  <si>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</si>
  <si>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</si>
  <si>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</si>
  <si>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</si>
  <si>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</si>
  <si>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</si>
  <si>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</si>
  <si>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</si>
  <si>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</si>
  <si>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</si>
  <si>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</si>
  <si>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</si>
  <si>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</si>
  <si>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</si>
  <si>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</si>
  <si>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</si>
  <si>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</si>
  <si>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</si>
  <si>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</si>
  <si>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</si>
  <si>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</si>
  <si>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</si>
  <si>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</si>
  <si>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</si>
  <si>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</si>
  <si>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</si>
  <si>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</si>
  <si>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</si>
  <si>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</si>
  <si>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</si>
  <si>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</si>
  <si>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</si>
  <si>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</si>
  <si>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</si>
  <si>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</si>
  <si>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</si>
  <si>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</si>
  <si>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</si>
  <si>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</si>
  <si>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</si>
  <si>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</si>
  <si>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</si>
  <si>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</si>
  <si>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</si>
  <si>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</si>
  <si>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</si>
  <si>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</si>
  <si>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</si>
  <si>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</si>
  <si>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</si>
  <si>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</si>
  <si>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</si>
  <si>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</si>
  <si>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</si>
  <si>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</si>
  <si>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</si>
  <si>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</si>
  <si>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</si>
  <si>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</si>
  <si>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</si>
  <si>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</si>
  <si>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</si>
  <si>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</si>
  <si>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</si>
  <si>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</si>
  <si>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</si>
  <si>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</si>
  <si>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</si>
  <si>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</si>
  <si>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</si>
  <si>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</si>
  <si>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</si>
  <si>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</si>
  <si>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</si>
  <si>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</si>
  <si>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</si>
  <si>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</si>
  <si>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</si>
  <si>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</si>
  <si>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</si>
  <si>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</si>
  <si>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</si>
  <si>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</si>
  <si>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</si>
  <si>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</si>
  <si>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</si>
  <si>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</si>
  <si>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</si>
  <si>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</si>
  <si>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</si>
  <si>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</si>
  <si>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</si>
  <si>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</si>
  <si>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</si>
  <si>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</si>
  <si>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</si>
  <si>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</si>
  <si>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</si>
  <si>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</si>
  <si>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</si>
  <si>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</si>
  <si>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</si>
  <si>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</si>
  <si>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</si>
  <si>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</si>
  <si>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</si>
  <si>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</si>
  <si>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</si>
  <si>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</si>
  <si>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</si>
  <si>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</si>
  <si>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</si>
  <si>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</si>
  <si>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</si>
  <si>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</si>
  <si>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</si>
  <si>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</si>
  <si>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</si>
  <si>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</si>
  <si>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</si>
  <si>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</si>
  <si>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</si>
  <si>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</si>
  <si>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</si>
  <si>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</si>
  <si>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</si>
  <si>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</si>
  <si>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</si>
  <si>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</si>
  <si>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</si>
  <si>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</si>
  <si>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>RCL-Glieder</t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</si>
  <si>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</si>
  <si>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</si>
  <si>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</si>
  <si>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</si>
  <si>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</si>
  <si>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</si>
  <si>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</si>
  <si>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r>
      <t>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</si>
  <si>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</si>
  <si>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</si>
  <si>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t>Serieschaltung:</t>
  </si>
  <si>
    <r>
      <t>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</si>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</sst>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</numFmts>
  <fonts count="1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72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0" fillId="0" borderId="16" xfId="0" applyBorder="1" applyAlignment="1">
      <alignment horizontal="right"/>
    </xf>
    <xf numFmtId="0" fontId="0" fillId="2" borderId="17" xfId="0" applyFill="1" applyBorder="1"/>
    <xf numFmtId="0" fontId="9" fillId="0" borderId="0" xfId="0" applyFont="1"/>
    <xf numFmtId="0" fontId="0" fillId="2" borderId="19" xfId="0" applyFill="1" applyBorder="1"/>
    <xf numFmtId="0" fontId="0" fillId="0" borderId="12" xfId="0" applyBorder="1"/>
    <xf numFmtId="0" fontId="0" fillId="2" borderId="20" xfId="0" applyFill="1" applyBorder="1"/>
    <xf numFmtId="0" fontId="0" fillId="0" borderId="14" xfId="0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7" xfId="0" applyBorder="1" applyAlignment="1">
      <alignment horizontal="right" vertical="center"/>
    </xf>
    <xf numFmtId="0" fontId="23" fillId="0" borderId="0" xfId="0" applyFont="1"/>
    <xf numFmtId="0" fontId="0" fillId="0" borderId="28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7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7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7" xfId="0" applyNumberFormat="1" applyFill="1" applyBorder="1" applyAlignment="1">
      <alignment horizontal="center"/>
    </xf>
    <xf numFmtId="0" fontId="0" fillId="0" borderId="1" xfId="0" applyBorder="1"/>
    <xf numFmtId="2" fontId="0" fillId="0" borderId="41" xfId="0" applyNumberFormat="1" applyBorder="1"/>
    <xf numFmtId="0" fontId="0" fillId="0" borderId="41" xfId="0" applyBorder="1"/>
    <xf numFmtId="0" fontId="0" fillId="0" borderId="43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7" xfId="0" applyNumberFormat="1" applyFill="1" applyBorder="1" applyAlignment="1">
      <alignment horizontal="center"/>
    </xf>
    <xf numFmtId="169" fontId="0" fillId="16" borderId="42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7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1" xfId="0" applyFill="1" applyBorder="1"/>
    <xf numFmtId="0" fontId="0" fillId="3" borderId="43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7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8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1" xfId="0" applyFill="1" applyBorder="1"/>
    <xf numFmtId="0" fontId="0" fillId="20" borderId="43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1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7" xfId="0" applyFont="1" applyBorder="1" applyAlignment="1">
      <alignment horizontal="right"/>
    </xf>
    <xf numFmtId="0" fontId="1" fillId="0" borderId="37" xfId="0" applyFont="1" applyBorder="1"/>
    <xf numFmtId="172" fontId="1" fillId="3" borderId="37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2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7" xfId="0" applyBorder="1" applyAlignment="1">
      <alignment horizontal="right"/>
    </xf>
    <xf numFmtId="0" fontId="0" fillId="2" borderId="37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4" xfId="0" applyFill="1" applyBorder="1"/>
    <xf numFmtId="0" fontId="0" fillId="2" borderId="45" xfId="0" applyFill="1" applyBorder="1"/>
    <xf numFmtId="0" fontId="0" fillId="2" borderId="46" xfId="0" applyFill="1" applyBorder="1"/>
    <xf numFmtId="0" fontId="0" fillId="10" borderId="1" xfId="0" applyFill="1" applyBorder="1"/>
    <xf numFmtId="0" fontId="0" fillId="10" borderId="41" xfId="0" applyFill="1" applyBorder="1"/>
    <xf numFmtId="0" fontId="0" fillId="10" borderId="43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7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8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0" fontId="0" fillId="0" borderId="41" xfId="0" applyBorder="1" applyAlignment="1">
      <alignment wrapText="1"/>
    </xf>
    <xf numFmtId="0" fontId="0" fillId="0" borderId="48" xfId="0" applyBorder="1" applyAlignment="1">
      <alignment wrapText="1"/>
    </xf>
    <xf numFmtId="0" fontId="0" fillId="2" borderId="47" xfId="0" applyFill="1" applyBorder="1" applyAlignment="1">
      <alignment horizontal="center" vertical="center"/>
    </xf>
    <xf numFmtId="0" fontId="0" fillId="2" borderId="41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4" borderId="2" xfId="0" applyFill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0" borderId="23" xfId="0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25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2" borderId="37" xfId="0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3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4" borderId="29" xfId="0" applyFill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4" borderId="35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7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Border="1"/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'LCR-Glieder'!$AD$10:$AE$10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'LCR-Glieder'!$AG$10:$AH$10</c:f>
              <c:numCache>
                <c:formatCode>General</c:formatCode>
                <c:ptCount val="2"/>
                <c:pt idx="0">
                  <c:v>-350.14100000000002</c:v>
                </c:pt>
                <c:pt idx="1">
                  <c:v>350.14100000000002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'LCR-Glieder'!$AD$9:$AE$9</c:f>
              <c:numCache>
                <c:formatCode>General</c:formatCode>
                <c:ptCount val="2"/>
                <c:pt idx="0">
                  <c:v>-350.14100000000002</c:v>
                </c:pt>
                <c:pt idx="1">
                  <c:v>350.14100000000002</c:v>
                </c:pt>
              </c:numCache>
            </c:numRef>
          </c:xVal>
          <c:yVal>
            <c:numRef>
              <c:f>'LCR-Glieder'!$AG$9:$AH$9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'LCR-Glieder'!$X$7</c:f>
              <c:strCache>
                <c:ptCount val="1"/>
                <c:pt idx="0">
                  <c:v>R = 10Ω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'LCR-Glieder'!$AD$7:$AE$7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'LCR-Glieder'!$AG$7:$AH$7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'LCR-Glieder'!$Z$8</c:f>
              <c:strCache>
                <c:ptCount val="1"/>
                <c:pt idx="0">
                  <c:v>XC = 318.31Ω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'LCR-Glieder'!$AD$8:$AE$8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'LCR-Glieder'!$AG$8:$AH$8</c:f>
              <c:numCache>
                <c:formatCode>General</c:formatCode>
                <c:ptCount val="2"/>
                <c:pt idx="0">
                  <c:v>0</c:v>
                </c:pt>
                <c:pt idx="1">
                  <c:v>-318.31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'LCR-Glieder'!$Z$9</c:f>
              <c:strCache>
                <c:ptCount val="1"/>
                <c:pt idx="0">
                  <c:v>ZRC = 318.47Ω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'LCR-Glieder'!$AD$11:$AE$11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'LCR-Glieder'!$AG$11:$AH$11</c:f>
              <c:numCache>
                <c:formatCode>General</c:formatCode>
                <c:ptCount val="2"/>
                <c:pt idx="0">
                  <c:v>0</c:v>
                </c:pt>
                <c:pt idx="1">
                  <c:v>-318.31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'LCR-Glieder'!$AD$28:$AE$28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'LCR-Glieder'!$AG$28:$AH$28</c:f>
              <c:numCache>
                <c:formatCode>General</c:formatCode>
                <c:ptCount val="2"/>
                <c:pt idx="0">
                  <c:v>-69.115200000000002</c:v>
                </c:pt>
                <c:pt idx="1">
                  <c:v>69.115200000000002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'LCR-Glieder'!$AD$27:$AE$27</c:f>
              <c:numCache>
                <c:formatCode>General</c:formatCode>
                <c:ptCount val="2"/>
                <c:pt idx="0">
                  <c:v>-69.115200000000002</c:v>
                </c:pt>
                <c:pt idx="1">
                  <c:v>69.115200000000002</c:v>
                </c:pt>
              </c:numCache>
            </c:numRef>
          </c:xVal>
          <c:yVal>
            <c:numRef>
              <c:f>'LCR-Glieder'!$AG$27:$AH$27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10Ω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62.832Ω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'LCR-Glieder'!$AD$26:$AE$26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'LCR-Glieder'!$AG$26:$AH$26</c:f>
              <c:numCache>
                <c:formatCode>General</c:formatCode>
                <c:ptCount val="2"/>
                <c:pt idx="0">
                  <c:v>0</c:v>
                </c:pt>
                <c:pt idx="1">
                  <c:v>62.832000000000001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'LCR-Glieder'!$Z$27</c:f>
              <c:strCache>
                <c:ptCount val="1"/>
                <c:pt idx="0">
                  <c:v>ZRL = 63.62Ω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'LCR-Glieder'!$AD$29:$AE$29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'LCR-Glieder'!$AG$29:$AH$29</c:f>
              <c:numCache>
                <c:formatCode>General</c:formatCode>
                <c:ptCount val="2"/>
                <c:pt idx="0">
                  <c:v>0</c:v>
                </c:pt>
                <c:pt idx="1">
                  <c:v>62.832000000000001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'LCR-Glieder'!$AD$28:$AE$28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'LCR-Glieder'!$AG$28:$AH$28</c:f>
              <c:numCache>
                <c:formatCode>General</c:formatCode>
                <c:ptCount val="2"/>
                <c:pt idx="0">
                  <c:v>-69.115200000000002</c:v>
                </c:pt>
                <c:pt idx="1">
                  <c:v>69.115200000000002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'LCR-Glieder'!$AD$27:$AE$27</c:f>
              <c:numCache>
                <c:formatCode>General</c:formatCode>
                <c:ptCount val="2"/>
                <c:pt idx="0">
                  <c:v>-69.115200000000002</c:v>
                </c:pt>
                <c:pt idx="1">
                  <c:v>69.115200000000002</c:v>
                </c:pt>
              </c:numCache>
            </c:numRef>
          </c:xVal>
          <c:yVal>
            <c:numRef>
              <c:f>'LCR-Glieder'!$AG$27:$AH$27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10Ω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62.832Ω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'LCR-Glieder'!$AD$26:$AE$26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'LCR-Glieder'!$AG$26:$AH$26</c:f>
              <c:numCache>
                <c:formatCode>General</c:formatCode>
                <c:ptCount val="2"/>
                <c:pt idx="0">
                  <c:v>0</c:v>
                </c:pt>
                <c:pt idx="1">
                  <c:v>62.832000000000001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'LCR-Glieder'!$Z$27</c:f>
              <c:strCache>
                <c:ptCount val="1"/>
                <c:pt idx="0">
                  <c:v>ZRL = 63.62Ω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'LCR-Glieder'!$AD$29:$AE$29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'LCR-Glieder'!$AG$29:$AH$29</c:f>
              <c:numCache>
                <c:formatCode>General</c:formatCode>
                <c:ptCount val="2"/>
                <c:pt idx="0">
                  <c:v>0</c:v>
                </c:pt>
                <c:pt idx="1">
                  <c:v>62.832000000000001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1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Sinus_Cosinus!$G$12:$AU$12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3 * cos(x - 180)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Sinus_Cosinus!$G$13:$AU$13</c:f>
              <c:numCache>
                <c:formatCode>#,##0.00</c:formatCode>
                <c:ptCount val="41"/>
                <c:pt idx="0">
                  <c:v>-3</c:v>
                </c:pt>
                <c:pt idx="1">
                  <c:v>-2.9544232590366239</c:v>
                </c:pt>
                <c:pt idx="2">
                  <c:v>-2.8190778623577248</c:v>
                </c:pt>
                <c:pt idx="3">
                  <c:v>-2.598076211353316</c:v>
                </c:pt>
                <c:pt idx="4">
                  <c:v>-2.2981333293569337</c:v>
                </c:pt>
                <c:pt idx="5">
                  <c:v>-1.9283628290596182</c:v>
                </c:pt>
                <c:pt idx="6">
                  <c:v>-1.5000000000000007</c:v>
                </c:pt>
                <c:pt idx="7">
                  <c:v>-1.0260604299770062</c:v>
                </c:pt>
                <c:pt idx="8">
                  <c:v>-0.52094453300079091</c:v>
                </c:pt>
                <c:pt idx="9">
                  <c:v>1.83772268236293E-16</c:v>
                </c:pt>
                <c:pt idx="10">
                  <c:v>0.52094453300079124</c:v>
                </c:pt>
                <c:pt idx="11">
                  <c:v>1.0260604299770064</c:v>
                </c:pt>
                <c:pt idx="12">
                  <c:v>1.4999999999999996</c:v>
                </c:pt>
                <c:pt idx="13">
                  <c:v>1.9283628290596184</c:v>
                </c:pt>
                <c:pt idx="14">
                  <c:v>2.2981333293569342</c:v>
                </c:pt>
                <c:pt idx="15">
                  <c:v>2.598076211353316</c:v>
                </c:pt>
                <c:pt idx="16">
                  <c:v>2.8190778623577248</c:v>
                </c:pt>
                <c:pt idx="17">
                  <c:v>2.9544232590366244</c:v>
                </c:pt>
                <c:pt idx="18">
                  <c:v>3</c:v>
                </c:pt>
                <c:pt idx="19">
                  <c:v>2.9544232590366239</c:v>
                </c:pt>
                <c:pt idx="20">
                  <c:v>2.8190778623577248</c:v>
                </c:pt>
                <c:pt idx="21">
                  <c:v>2.5980762113533156</c:v>
                </c:pt>
                <c:pt idx="22">
                  <c:v>2.2981333293569342</c:v>
                </c:pt>
                <c:pt idx="23">
                  <c:v>1.9283628290596184</c:v>
                </c:pt>
                <c:pt idx="24">
                  <c:v>1.5000000000000009</c:v>
                </c:pt>
                <c:pt idx="25">
                  <c:v>1.0260604299770077</c:v>
                </c:pt>
                <c:pt idx="26">
                  <c:v>0.52094453300079069</c:v>
                </c:pt>
                <c:pt idx="27">
                  <c:v>1.83772268236293E-16</c:v>
                </c:pt>
                <c:pt idx="28">
                  <c:v>-0.52094453300079024</c:v>
                </c:pt>
                <c:pt idx="29">
                  <c:v>-1.0260604299770049</c:v>
                </c:pt>
                <c:pt idx="30">
                  <c:v>-1.5000000000000007</c:v>
                </c:pt>
                <c:pt idx="31">
                  <c:v>-1.9283628290596182</c:v>
                </c:pt>
                <c:pt idx="32">
                  <c:v>-2.2981333293569337</c:v>
                </c:pt>
                <c:pt idx="33">
                  <c:v>-2.5980762113533156</c:v>
                </c:pt>
                <c:pt idx="34">
                  <c:v>-2.8190778623577253</c:v>
                </c:pt>
                <c:pt idx="35">
                  <c:v>-2.9544232590366235</c:v>
                </c:pt>
                <c:pt idx="36">
                  <c:v>-3</c:v>
                </c:pt>
                <c:pt idx="37">
                  <c:v>-2.9544232590366244</c:v>
                </c:pt>
                <c:pt idx="38">
                  <c:v>-2.8190778623577248</c:v>
                </c:pt>
                <c:pt idx="39">
                  <c:v>-2.5980762113533169</c:v>
                </c:pt>
                <c:pt idx="40">
                  <c:v>-2.2981333293569342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Sinus_Cosinus!$AY$9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Sinus_Cosinus!$BB$3:$BC$3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Sinus_Cosinus!$BB$4:$BC$4</c:f>
              <c:numCache>
                <c:formatCode>#,##0.00</c:formatCode>
                <c:ptCount val="2"/>
                <c:pt idx="0">
                  <c:v>-1.9283628290596182</c:v>
                </c:pt>
                <c:pt idx="1">
                  <c:v>0.76604444311897801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Sinus_Cosinus!$G$16:$AU$16</c:f>
              <c:numCache>
                <c:formatCode>#,##0.00</c:formatCode>
                <c:ptCount val="41"/>
                <c:pt idx="0">
                  <c:v>-3</c:v>
                </c:pt>
                <c:pt idx="1">
                  <c:v>-2.7807750813696934</c:v>
                </c:pt>
                <c:pt idx="2">
                  <c:v>-2.477057719032056</c:v>
                </c:pt>
                <c:pt idx="3">
                  <c:v>-2.098076211353316</c:v>
                </c:pt>
                <c:pt idx="4">
                  <c:v>-1.6553457196703945</c:v>
                </c:pt>
                <c:pt idx="5">
                  <c:v>-1.1623183859406403</c:v>
                </c:pt>
                <c:pt idx="6">
                  <c:v>-0.63397459621556207</c:v>
                </c:pt>
                <c:pt idx="7">
                  <c:v>-8.6367809191097877E-2</c:v>
                </c:pt>
                <c:pt idx="8">
                  <c:v>0.46386322001141711</c:v>
                </c:pt>
                <c:pt idx="9">
                  <c:v>1.0000000000000002</c:v>
                </c:pt>
                <c:pt idx="10">
                  <c:v>1.5057522860129993</c:v>
                </c:pt>
                <c:pt idx="11">
                  <c:v>1.9657530507629148</c:v>
                </c:pt>
                <c:pt idx="12">
                  <c:v>2.3660254037844384</c:v>
                </c:pt>
                <c:pt idx="13">
                  <c:v>2.6944072721785965</c:v>
                </c:pt>
                <c:pt idx="14">
                  <c:v>2.9409209390434734</c:v>
                </c:pt>
                <c:pt idx="15">
                  <c:v>3.098076211353316</c:v>
                </c:pt>
                <c:pt idx="16">
                  <c:v>3.1610980056833937</c:v>
                </c:pt>
                <c:pt idx="17">
                  <c:v>3.1280714367035545</c:v>
                </c:pt>
                <c:pt idx="18">
                  <c:v>3</c:v>
                </c:pt>
                <c:pt idx="19">
                  <c:v>2.7807750813696934</c:v>
                </c:pt>
                <c:pt idx="20">
                  <c:v>2.4770577190320564</c:v>
                </c:pt>
                <c:pt idx="21">
                  <c:v>2.0980762113533156</c:v>
                </c:pt>
                <c:pt idx="22">
                  <c:v>1.6553457196703949</c:v>
                </c:pt>
                <c:pt idx="23">
                  <c:v>1.1623183859406405</c:v>
                </c:pt>
                <c:pt idx="24">
                  <c:v>0.63397459621556251</c:v>
                </c:pt>
                <c:pt idx="25">
                  <c:v>8.6367809191099543E-2</c:v>
                </c:pt>
                <c:pt idx="26">
                  <c:v>-0.46386322001141733</c:v>
                </c:pt>
                <c:pt idx="27">
                  <c:v>-0.99999999999999978</c:v>
                </c:pt>
                <c:pt idx="28">
                  <c:v>-1.5057522860129984</c:v>
                </c:pt>
                <c:pt idx="29">
                  <c:v>-1.9657530507629133</c:v>
                </c:pt>
                <c:pt idx="30">
                  <c:v>-2.3660254037844393</c:v>
                </c:pt>
                <c:pt idx="31">
                  <c:v>-2.6944072721785961</c:v>
                </c:pt>
                <c:pt idx="32">
                  <c:v>-2.9409209390434734</c:v>
                </c:pt>
                <c:pt idx="33">
                  <c:v>-3.098076211353316</c:v>
                </c:pt>
                <c:pt idx="34">
                  <c:v>-3.1610980056833937</c:v>
                </c:pt>
                <c:pt idx="35">
                  <c:v>-3.1280714367035549</c:v>
                </c:pt>
                <c:pt idx="36">
                  <c:v>-3.0000000000000004</c:v>
                </c:pt>
                <c:pt idx="37">
                  <c:v>-2.7807750813696943</c:v>
                </c:pt>
                <c:pt idx="38">
                  <c:v>-2.477057719032056</c:v>
                </c:pt>
                <c:pt idx="39">
                  <c:v>-2.0980762113533178</c:v>
                </c:pt>
                <c:pt idx="40">
                  <c:v>-1.6553457196703949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Sinus_Cosinus!$F$17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Sinus_Cosinus!$G$17:$AU$17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Sinus_Cosinus!$E$12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Sinus_Cosinus!$BF$12:$BG$12</c:f>
              <c:numCache>
                <c:formatCode>0.000</c:formatCode>
                <c:ptCount val="2"/>
                <c:pt idx="0">
                  <c:v>0</c:v>
                </c:pt>
                <c:pt idx="1">
                  <c:v>0.64278760968653936</c:v>
                </c:pt>
              </c:numCache>
            </c:numRef>
          </c:xVal>
          <c:yVal>
            <c:numRef>
              <c:f>Sinus_Cosinus!$BH$12:$BI$12</c:f>
              <c:numCache>
                <c:formatCode>0.000</c:formatCode>
                <c:ptCount val="2"/>
                <c:pt idx="0">
                  <c:v>0</c:v>
                </c:pt>
                <c:pt idx="1">
                  <c:v>0.76604444311897801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Sinus_Cosinus!$E$13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Sinus_Cosinus!$BF$13:$BG$13</c:f>
              <c:numCache>
                <c:formatCode>0.000</c:formatCode>
                <c:ptCount val="2"/>
                <c:pt idx="0">
                  <c:v>0</c:v>
                </c:pt>
                <c:pt idx="1">
                  <c:v>2.2981333293569342</c:v>
                </c:pt>
              </c:numCache>
            </c:numRef>
          </c:xVal>
          <c:yVal>
            <c:numRef>
              <c:f>Sinus_Cosinus!$BH$13:$BI$13</c:f>
              <c:numCache>
                <c:formatCode>0.000</c:formatCode>
                <c:ptCount val="2"/>
                <c:pt idx="0">
                  <c:v>0</c:v>
                </c:pt>
                <c:pt idx="1">
                  <c:v>-1.9283628290596178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Sinus_Cosinus!$BJ$9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Sinus_Cosinus!$BK$11:$BN$11</c:f>
              <c:numCache>
                <c:formatCode>General</c:formatCode>
                <c:ptCount val="4"/>
                <c:pt idx="0">
                  <c:v>0</c:v>
                </c:pt>
                <c:pt idx="1">
                  <c:v>3.1622776601683795</c:v>
                </c:pt>
                <c:pt idx="2">
                  <c:v>0</c:v>
                </c:pt>
                <c:pt idx="3">
                  <c:v>-3.1622776601683795</c:v>
                </c:pt>
              </c:numCache>
            </c:numRef>
          </c:xVal>
          <c:yVal>
            <c:numRef>
              <c:f>Sinus_Cosinus!$BO$11:$BR$11</c:f>
              <c:numCache>
                <c:formatCode>General</c:formatCode>
                <c:ptCount val="4"/>
                <c:pt idx="0">
                  <c:v>3.1622776601683795</c:v>
                </c:pt>
                <c:pt idx="1">
                  <c:v>0</c:v>
                </c:pt>
                <c:pt idx="2">
                  <c:v>-3.1622776601683795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Sinus_Cosinus!$BF$16:$BG$16</c:f>
              <c:numCache>
                <c:formatCode>0.000</c:formatCode>
                <c:ptCount val="2"/>
                <c:pt idx="0">
                  <c:v>0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Sinus_Cosinus!$BH$16:$BI$16</c:f>
              <c:numCache>
                <c:formatCode>0.000</c:formatCode>
                <c:ptCount val="2"/>
                <c:pt idx="0">
                  <c:v>0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Sinus_Cosinus!$BJ$15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Sinus_Cosinus!$BJ$16:$BK$16</c:f>
              <c:numCache>
                <c:formatCode>0.000</c:formatCode>
                <c:ptCount val="2"/>
                <c:pt idx="0">
                  <c:v>2.2981333293569342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Sinus_Cosinus!$BL$16:$BM$16</c:f>
              <c:numCache>
                <c:formatCode>0.000</c:formatCode>
                <c:ptCount val="2"/>
                <c:pt idx="0">
                  <c:v>-1.9283628290596178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Sinus_Cosinus!$BN$15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Sinus_Cosinus!$BN$16:$BO$16</c:f>
              <c:numCache>
                <c:formatCode>0.000</c:formatCode>
                <c:ptCount val="2"/>
                <c:pt idx="0">
                  <c:v>0.64278760968653936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Sinus_Cosinus!$BP$16:$BQ$16</c:f>
              <c:numCache>
                <c:formatCode>0.000</c:formatCode>
                <c:ptCount val="2"/>
                <c:pt idx="0">
                  <c:v>0.76604444311897801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Sinus_Cosinus!$G$61:$AU$61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Sinus_Cosinus!$F$62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Sinus_Cosinus!$G$62:$AU$62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Kinematik_2!$C$10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Kinematik_2!$E$9:$Y$9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Kinematik_2!$E$10:$Y$10</c:f>
              <c:numCache>
                <c:formatCode>General</c:formatCode>
                <c:ptCount val="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Kinematik_2!$M$2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Kinematik_2!$M$3:$N$3</c:f>
              <c:numCache>
                <c:formatCode>General</c:formatCode>
                <c:ptCount val="2"/>
                <c:pt idx="0">
                  <c:v>7</c:v>
                </c:pt>
                <c:pt idx="1">
                  <c:v>7</c:v>
                </c:pt>
              </c:numCache>
            </c:numRef>
          </c:xVal>
          <c:yVal>
            <c:numRef>
              <c:f>Kinematik_2!$M$4:$N$4</c:f>
              <c:numCache>
                <c:formatCode>General</c:formatCode>
                <c:ptCount val="2"/>
                <c:pt idx="0">
                  <c:v>0</c:v>
                </c:pt>
                <c:pt idx="1">
                  <c:v>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Kinematik_2!$P$2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Kinematik_2!$P$3:$Q$3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Kinematik_2!$P$4:$Q$4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Kinematik_2!$S$2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Kinematik_2!$S$3:$T$3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Kinematik_2!$S$4:$T$4</c:f>
              <c:numCache>
                <c:formatCode>General</c:formatCode>
                <c:ptCount val="2"/>
                <c:pt idx="0">
                  <c:v>17</c:v>
                </c:pt>
                <c:pt idx="1">
                  <c:v>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Kinematik_2!$C$11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Kinematik_2!$E$9:$Y$9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Kinematik_2!$E$11:$Y$11</c:f>
              <c:numCache>
                <c:formatCode>General</c:formatCode>
                <c:ptCount val="21"/>
                <c:pt idx="0">
                  <c:v>50</c:v>
                </c:pt>
                <c:pt idx="1">
                  <c:v>60.5</c:v>
                </c:pt>
                <c:pt idx="2">
                  <c:v>72</c:v>
                </c:pt>
                <c:pt idx="3">
                  <c:v>84.5</c:v>
                </c:pt>
                <c:pt idx="4">
                  <c:v>98</c:v>
                </c:pt>
                <c:pt idx="5">
                  <c:v>112.5</c:v>
                </c:pt>
                <c:pt idx="6">
                  <c:v>128</c:v>
                </c:pt>
                <c:pt idx="7">
                  <c:v>144.5</c:v>
                </c:pt>
                <c:pt idx="8">
                  <c:v>162</c:v>
                </c:pt>
                <c:pt idx="9">
                  <c:v>180.5</c:v>
                </c:pt>
                <c:pt idx="10">
                  <c:v>200</c:v>
                </c:pt>
                <c:pt idx="11">
                  <c:v>220.5</c:v>
                </c:pt>
                <c:pt idx="12">
                  <c:v>242</c:v>
                </c:pt>
                <c:pt idx="13">
                  <c:v>264.5</c:v>
                </c:pt>
                <c:pt idx="14">
                  <c:v>288</c:v>
                </c:pt>
                <c:pt idx="15">
                  <c:v>312.5</c:v>
                </c:pt>
                <c:pt idx="16">
                  <c:v>338</c:v>
                </c:pt>
                <c:pt idx="17">
                  <c:v>364.5</c:v>
                </c:pt>
                <c:pt idx="18">
                  <c:v>392</c:v>
                </c:pt>
                <c:pt idx="19">
                  <c:v>420.5</c:v>
                </c:pt>
                <c:pt idx="20">
                  <c:v>450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Kinematik_2!$W$2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Kinematik_2!$W$3:$X$3</c:f>
              <c:numCache>
                <c:formatCode>General</c:formatCode>
                <c:ptCount val="2"/>
                <c:pt idx="0">
                  <c:v>7</c:v>
                </c:pt>
                <c:pt idx="1">
                  <c:v>7</c:v>
                </c:pt>
              </c:numCache>
            </c:numRef>
          </c:xVal>
          <c:yVal>
            <c:numRef>
              <c:f>Kinematik_2!$W$4:$X$4</c:f>
              <c:numCache>
                <c:formatCode>General</c:formatCode>
                <c:ptCount val="2"/>
                <c:pt idx="0">
                  <c:v>0</c:v>
                </c:pt>
                <c:pt idx="1">
                  <c:v>144.5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Kinematik_2!$Z$2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Kinematik_2!$Z$3:$AA$3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Kinematik_2!$Z$4:$AA$4</c:f>
              <c:numCache>
                <c:formatCode>General</c:formatCode>
                <c:ptCount val="2"/>
                <c:pt idx="0">
                  <c:v>144.5</c:v>
                </c:pt>
                <c:pt idx="1">
                  <c:v>144.5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TOC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4.png"/><Relationship Id="rId7" Type="http://schemas.openxmlformats.org/officeDocument/2006/relationships/image" Target="../media/image6.png"/><Relationship Id="rId2" Type="http://schemas.openxmlformats.org/officeDocument/2006/relationships/image" Target="../media/image3.png"/><Relationship Id="rId1" Type="http://schemas.openxmlformats.org/officeDocument/2006/relationships/hyperlink" Target="#TOC!A1"/><Relationship Id="rId6" Type="http://schemas.openxmlformats.org/officeDocument/2006/relationships/chart" Target="../charts/chart2.xml"/><Relationship Id="rId5" Type="http://schemas.openxmlformats.org/officeDocument/2006/relationships/image" Target="../media/image5.png"/><Relationship Id="rId4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hyperlink" Target="#TOC!A1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hyperlink" Target="#TOC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hyperlink" Target="#TOC!A1"/><Relationship Id="rId4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4" Type="http://schemas.openxmlformats.org/officeDocument/2006/relationships/chart" Target="../charts/chart18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3.xml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24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chart" Target="../charts/chart25.xml"/><Relationship Id="rId1" Type="http://schemas.openxmlformats.org/officeDocument/2006/relationships/hyperlink" Target="#TOC!A1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hyperlink" Target="#TOC!A1"/><Relationship Id="rId5" Type="http://schemas.openxmlformats.org/officeDocument/2006/relationships/chart" Target="../charts/chart28.xml"/><Relationship Id="rId4" Type="http://schemas.openxmlformats.org/officeDocument/2006/relationships/image" Target="../media/image1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3" Type="http://schemas.openxmlformats.org/officeDocument/2006/relationships/image" Target="../media/image13.png"/><Relationship Id="rId7" Type="http://schemas.openxmlformats.org/officeDocument/2006/relationships/image" Target="../media/image17.png"/><Relationship Id="rId2" Type="http://schemas.openxmlformats.org/officeDocument/2006/relationships/image" Target="../media/image12.png"/><Relationship Id="rId1" Type="http://schemas.openxmlformats.org/officeDocument/2006/relationships/hyperlink" Target="#TOC!A1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hyperlink" Target="#TOC!A1"/><Relationship Id="rId4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581190</xdr:colOff>
      <xdr:row>30</xdr:row>
      <xdr:rowOff>225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B8650E-F871-46C6-920C-5CFC63BCFB01}"/>
            </a:ext>
          </a:extLst>
        </xdr:cNvPr>
        <xdr:cNvSpPr/>
      </xdr:nvSpPr>
      <xdr:spPr>
        <a:xfrm rot="10800000">
          <a:off x="723899" y="193674"/>
          <a:ext cx="600075" cy="443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30908"/>
          <a:ext cx="1696152" cy="1173771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70610"/>
          <a:ext cx="1581439" cy="1496530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188049"/>
          <a:ext cx="2645276" cy="70964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5523"/>
          <a:ext cx="4143664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379886"/>
          <a:ext cx="4151095" cy="2449964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480245"/>
          <a:ext cx="5125354" cy="1536507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623145"/>
          <a:ext cx="3891695" cy="2564082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8709179"/>
          <a:ext cx="968608" cy="243117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618862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13</xdr:col>
      <xdr:colOff>0</xdr:colOff>
      <xdr:row>4</xdr:row>
      <xdr:rowOff>24848</xdr:rowOff>
    </xdr:from>
    <xdr:to>
      <xdr:col>13</xdr:col>
      <xdr:colOff>0</xdr:colOff>
      <xdr:row>7</xdr:row>
      <xdr:rowOff>173935</xdr:rowOff>
    </xdr:to>
    <xdr:cxnSp macro="">
      <xdr:nvCxnSpPr>
        <xdr:cNvPr id="24" name="Gerader Verbinder 23">
          <a:extLst>
            <a:ext uri="{FF2B5EF4-FFF2-40B4-BE49-F238E27FC236}">
              <a16:creationId xmlns:a16="http://schemas.microsoft.com/office/drawing/2014/main" id="{7BE249C2-7891-474F-9A79-C43994FA7BE5}"/>
            </a:ext>
          </a:extLst>
        </xdr:cNvPr>
        <xdr:cNvCxnSpPr>
          <a:cxnSpLocks/>
        </xdr:cNvCxnSpPr>
      </xdr:nvCxnSpPr>
      <xdr:spPr>
        <a:xfrm flipV="1">
          <a:off x="9450457" y="869674"/>
          <a:ext cx="0" cy="695739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110848</xdr:rowOff>
    </xdr:from>
    <xdr:to>
      <xdr:col>13</xdr:col>
      <xdr:colOff>0</xdr:colOff>
      <xdr:row>12</xdr:row>
      <xdr:rowOff>74543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1BEDE7B8-0A3D-B18F-794F-3610D901B4C7}"/>
            </a:ext>
          </a:extLst>
        </xdr:cNvPr>
        <xdr:cNvCxnSpPr>
          <a:cxnSpLocks/>
        </xdr:cNvCxnSpPr>
      </xdr:nvCxnSpPr>
      <xdr:spPr>
        <a:xfrm flipV="1">
          <a:off x="9450457" y="1684544"/>
          <a:ext cx="0" cy="6925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11458</xdr:colOff>
      <xdr:row>8</xdr:row>
      <xdr:rowOff>3175</xdr:rowOff>
    </xdr:from>
    <xdr:to>
      <xdr:col>14</xdr:col>
      <xdr:colOff>8283</xdr:colOff>
      <xdr:row>8</xdr:row>
      <xdr:rowOff>3175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478BEEDF-8779-75D1-B146-65C23DD135BC}"/>
            </a:ext>
          </a:extLst>
        </xdr:cNvPr>
        <xdr:cNvCxnSpPr>
          <a:cxnSpLocks/>
        </xdr:cNvCxnSpPr>
      </xdr:nvCxnSpPr>
      <xdr:spPr>
        <a:xfrm>
          <a:off x="9155458" y="1576871"/>
          <a:ext cx="60973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8283</xdr:colOff>
      <xdr:row>8</xdr:row>
      <xdr:rowOff>105741</xdr:rowOff>
    </xdr:from>
    <xdr:to>
      <xdr:col>14</xdr:col>
      <xdr:colOff>11458</xdr:colOff>
      <xdr:row>8</xdr:row>
      <xdr:rowOff>105741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9D314197-3948-07BE-FC3D-4A1739F43189}"/>
            </a:ext>
          </a:extLst>
        </xdr:cNvPr>
        <xdr:cNvCxnSpPr>
          <a:cxnSpLocks/>
        </xdr:cNvCxnSpPr>
      </xdr:nvCxnSpPr>
      <xdr:spPr>
        <a:xfrm>
          <a:off x="9152283" y="1679437"/>
          <a:ext cx="61608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368300</xdr:colOff>
      <xdr:row>38</xdr:row>
      <xdr:rowOff>50799</xdr:rowOff>
    </xdr:from>
    <xdr:to>
      <xdr:col>14</xdr:col>
      <xdr:colOff>333375</xdr:colOff>
      <xdr:row>79</xdr:row>
      <xdr:rowOff>98075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92300" y="7442199"/>
          <a:ext cx="11004550" cy="7772051"/>
        </a:xfrm>
        <a:prstGeom prst="rect">
          <a:avLst/>
        </a:prstGeom>
      </xdr:spPr>
    </xdr:pic>
    <xdr:clientData/>
  </xdr:twoCellAnchor>
  <xdr:twoCellAnchor editAs="oneCell">
    <xdr:from>
      <xdr:col>21</xdr:col>
      <xdr:colOff>682626</xdr:colOff>
      <xdr:row>4</xdr:row>
      <xdr:rowOff>37777</xdr:rowOff>
    </xdr:from>
    <xdr:to>
      <xdr:col>22</xdr:col>
      <xdr:colOff>1139826</xdr:colOff>
      <xdr:row>10</xdr:row>
      <xdr:rowOff>120650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27</xdr:col>
      <xdr:colOff>311151</xdr:colOff>
      <xdr:row>0</xdr:row>
      <xdr:rowOff>104775</xdr:rowOff>
    </xdr:from>
    <xdr:to>
      <xdr:col>34</xdr:col>
      <xdr:colOff>104775</xdr:colOff>
      <xdr:row>16</xdr:row>
      <xdr:rowOff>123825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660401</xdr:colOff>
      <xdr:row>22</xdr:row>
      <xdr:rowOff>88901</xdr:rowOff>
    </xdr:from>
    <xdr:to>
      <xdr:col>22</xdr:col>
      <xdr:colOff>939800</xdr:colOff>
      <xdr:row>28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27</xdr:col>
      <xdr:colOff>282575</xdr:colOff>
      <xdr:row>18</xdr:row>
      <xdr:rowOff>139700</xdr:rowOff>
    </xdr:from>
    <xdr:to>
      <xdr:col>34</xdr:col>
      <xdr:colOff>139700</xdr:colOff>
      <xdr:row>36</xdr:row>
      <xdr:rowOff>123825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21</xdr:col>
      <xdr:colOff>368300</xdr:colOff>
      <xdr:row>43</xdr:row>
      <xdr:rowOff>133349</xdr:rowOff>
    </xdr:from>
    <xdr:to>
      <xdr:col>22</xdr:col>
      <xdr:colOff>665694</xdr:colOff>
      <xdr:row>52</xdr:row>
      <xdr:rowOff>25682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27</xdr:col>
      <xdr:colOff>282575</xdr:colOff>
      <xdr:row>38</xdr:row>
      <xdr:rowOff>133350</xdr:rowOff>
    </xdr:from>
    <xdr:to>
      <xdr:col>34</xdr:col>
      <xdr:colOff>142875</xdr:colOff>
      <xdr:row>58</xdr:row>
      <xdr:rowOff>6350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46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49</xdr:col>
      <xdr:colOff>231323</xdr:colOff>
      <xdr:row>21</xdr:row>
      <xdr:rowOff>122464</xdr:rowOff>
    </xdr:from>
    <xdr:to>
      <xdr:col>56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46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69849</xdr:rowOff>
    </xdr:from>
    <xdr:to>
      <xdr:col>28</xdr:col>
      <xdr:colOff>352425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12</xdr:row>
      <xdr:rowOff>69850</xdr:rowOff>
    </xdr:from>
    <xdr:to>
      <xdr:col>7</xdr:col>
      <xdr:colOff>511175</xdr:colOff>
      <xdr:row>27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12</xdr:row>
      <xdr:rowOff>76200</xdr:rowOff>
    </xdr:from>
    <xdr:to>
      <xdr:col>14</xdr:col>
      <xdr:colOff>28575</xdr:colOff>
      <xdr:row>27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173181</xdr:colOff>
      <xdr:row>1</xdr:row>
      <xdr:rowOff>184727</xdr:rowOff>
    </xdr:from>
    <xdr:to>
      <xdr:col>1</xdr:col>
      <xdr:colOff>323272</xdr:colOff>
      <xdr:row>4</xdr:row>
      <xdr:rowOff>92363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173181" y="369454"/>
          <a:ext cx="912091" cy="65809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196273</xdr:colOff>
      <xdr:row>2</xdr:row>
      <xdr:rowOff>0</xdr:rowOff>
    </xdr:from>
    <xdr:to>
      <xdr:col>1</xdr:col>
      <xdr:colOff>496455</xdr:colOff>
      <xdr:row>5</xdr:row>
      <xdr:rowOff>230909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6273" y="484909"/>
          <a:ext cx="1062182" cy="79663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3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workbookViewId="0">
      <selection activeCell="E9" sqref="E9"/>
    </sheetView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73" t="s">
        <v>99</v>
      </c>
      <c r="D2" t="s">
        <v>891</v>
      </c>
      <c r="E2" s="75" t="s">
        <v>892</v>
      </c>
    </row>
    <row r="4" spans="2:7" x14ac:dyDescent="0.35">
      <c r="B4" s="94" t="s">
        <v>848</v>
      </c>
      <c r="D4" s="94" t="s">
        <v>850</v>
      </c>
      <c r="F4" s="94" t="s">
        <v>851</v>
      </c>
    </row>
    <row r="5" spans="2:7" x14ac:dyDescent="0.35">
      <c r="B5" s="74">
        <v>45750</v>
      </c>
      <c r="C5" s="93" t="s">
        <v>126</v>
      </c>
      <c r="D5" s="74">
        <v>45991</v>
      </c>
      <c r="E5" s="75" t="str">
        <f>Einheitenvorsätze!C2</f>
        <v>Einheiten-Vorsätze</v>
      </c>
      <c r="F5" s="74">
        <v>45758</v>
      </c>
      <c r="G5" s="75" t="str">
        <f ca="1">Geburtstagsliste!C2</f>
        <v>Geburtstagsliste für 2025</v>
      </c>
    </row>
    <row r="6" spans="2:7" x14ac:dyDescent="0.35">
      <c r="B6" s="74">
        <v>45730</v>
      </c>
      <c r="C6" s="75" t="str">
        <f>Flächenberechnungen!C2</f>
        <v>Flächenberechnungen</v>
      </c>
      <c r="D6" s="74">
        <v>45944</v>
      </c>
      <c r="E6" s="75" t="str">
        <f>'Elektronische Schaltzeichen'!C2</f>
        <v>Elektronische Schaltzeichen</v>
      </c>
    </row>
    <row r="7" spans="2:7" x14ac:dyDescent="0.35">
      <c r="B7" s="74">
        <v>46002</v>
      </c>
      <c r="C7" s="75" t="str">
        <f>Sinus_Cosinus!E2</f>
        <v>Sinus / Cosinus / Tangens</v>
      </c>
      <c r="D7" s="74">
        <v>45932</v>
      </c>
      <c r="E7" s="75" t="str">
        <f>'Quelle mit Innenwiderstand'!C2</f>
        <v>Quelle mit Innenwiderstand</v>
      </c>
    </row>
    <row r="8" spans="2:7" x14ac:dyDescent="0.35">
      <c r="B8" s="74">
        <v>45772</v>
      </c>
      <c r="C8" s="75" t="s">
        <v>332</v>
      </c>
      <c r="D8" s="74">
        <v>45799</v>
      </c>
      <c r="E8" s="75" t="str">
        <f>'Gemischte Schaltung'!C2</f>
        <v>Gemischte Schaltungen</v>
      </c>
    </row>
    <row r="9" spans="2:7" x14ac:dyDescent="0.35">
      <c r="B9" s="74">
        <v>45870</v>
      </c>
      <c r="C9" s="75" t="str">
        <f>VektorZeitbereich!C2</f>
        <v>Sinusförmige Signale im Zeitbereich / Vektoren</v>
      </c>
      <c r="D9" s="74">
        <v>45998</v>
      </c>
      <c r="E9" s="75" t="str">
        <f>'LCR-Glieder'!C2</f>
        <v>RCL-Glieder</v>
      </c>
    </row>
    <row r="10" spans="2:7" x14ac:dyDescent="0.35">
      <c r="B10" s="74">
        <v>45873</v>
      </c>
      <c r="C10" s="75" t="str">
        <f>Theoreme!$C$2</f>
        <v>Trigonometrischen Theoreme und Identitäten</v>
      </c>
    </row>
    <row r="11" spans="2:7" x14ac:dyDescent="0.35">
      <c r="B11" s="74">
        <v>45873</v>
      </c>
      <c r="C11" s="75" t="str">
        <f>'Fläche eines Polygones'!C2</f>
        <v>Polygone-Fläche</v>
      </c>
    </row>
    <row r="12" spans="2:7" x14ac:dyDescent="0.35">
      <c r="B12" s="94"/>
    </row>
    <row r="13" spans="2:7" x14ac:dyDescent="0.35">
      <c r="B13" s="94"/>
    </row>
    <row r="14" spans="2:7" x14ac:dyDescent="0.35">
      <c r="B14" s="94"/>
    </row>
    <row r="15" spans="2:7" x14ac:dyDescent="0.35">
      <c r="B15" s="94"/>
      <c r="D15" s="74">
        <v>45873</v>
      </c>
      <c r="E15" s="75" t="str">
        <f>Scheinleistung!C2</f>
        <v>Scheinleistung S [VA] - Blindleistung Q [var] - Wirkleistung P [W]</v>
      </c>
    </row>
    <row r="16" spans="2:7" x14ac:dyDescent="0.35">
      <c r="B16" s="94"/>
      <c r="D16" s="74">
        <v>45908</v>
      </c>
      <c r="E16" s="75" t="str">
        <f>'Leistung bei Wechselstrom'!C2</f>
        <v>Leistung bei  ein-phasigem Wechselstrom</v>
      </c>
    </row>
    <row r="17" spans="2:5" x14ac:dyDescent="0.35">
      <c r="B17" s="94" t="s">
        <v>849</v>
      </c>
      <c r="D17" s="74">
        <v>45939</v>
      </c>
      <c r="E17" s="75" t="str">
        <f>'3-Phasenstrom'!C2</f>
        <v>3-Phasenstrom (Verkettete Spannung)</v>
      </c>
    </row>
    <row r="18" spans="2:5" x14ac:dyDescent="0.35">
      <c r="B18" s="74">
        <v>45979</v>
      </c>
      <c r="C18" s="75" t="str">
        <f>Kinematik_1!C2</f>
        <v>Kinematik I</v>
      </c>
      <c r="D18" s="74">
        <v>45870</v>
      </c>
      <c r="E18" s="75" t="str">
        <f>Fourierreihe!C2</f>
        <v>Fourierreihe</v>
      </c>
    </row>
    <row r="19" spans="2:5" x14ac:dyDescent="0.35">
      <c r="B19" s="74">
        <v>45998</v>
      </c>
      <c r="C19" s="75" t="str">
        <f>'Kinematik_1 (Weg-Zeit)'!C2</f>
        <v>Weg-Zeit Diagramm (Kinematik I)</v>
      </c>
    </row>
    <row r="20" spans="2:5" x14ac:dyDescent="0.35">
      <c r="B20" s="74"/>
      <c r="C20" s="75"/>
    </row>
    <row r="21" spans="2:5" x14ac:dyDescent="0.35">
      <c r="B21" s="74">
        <v>46002</v>
      </c>
      <c r="C21" s="75" t="s">
        <v>100</v>
      </c>
    </row>
    <row r="22" spans="2:5" x14ac:dyDescent="0.35">
      <c r="B22" s="74">
        <v>45701</v>
      </c>
      <c r="C22" s="75" t="s">
        <v>101</v>
      </c>
    </row>
    <row r="23" spans="2:5" x14ac:dyDescent="0.35">
      <c r="B23" s="74">
        <v>45998</v>
      </c>
      <c r="C23" s="75" t="str">
        <f>'Kinematik_2 (Weg-Zeit)'!C2</f>
        <v>Weg-Zeit Diagramm (Kinematik II)</v>
      </c>
    </row>
    <row r="24" spans="2:5" x14ac:dyDescent="0.35">
      <c r="B24" s="74"/>
      <c r="C24" s="75"/>
    </row>
    <row r="25" spans="2:5" x14ac:dyDescent="0.35">
      <c r="B25" s="74">
        <v>45786</v>
      </c>
      <c r="C25" s="75" t="s">
        <v>239</v>
      </c>
      <c r="D25" s="74"/>
    </row>
    <row r="26" spans="2:5" x14ac:dyDescent="0.35">
      <c r="D26" s="74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8" location="Vektoroperationen!A1" display="Vektoroperationen" xr:uid="{898F9560-9AB3-43EE-B105-DB9C3B6E61A9}"/>
    <hyperlink ref="C25" location="Schiefeebene!A1" display="Schiefe Ebene" xr:uid="{ED253B79-5E32-4C6D-BC31-035CD76A77DC}"/>
    <hyperlink ref="C7" location="Sinus_Cosinus!A1" display="Sinus/Cosinus/Tangens" xr:uid="{9C72A74A-3681-4E08-BF54-03C3D64D9F80}"/>
    <hyperlink ref="C9" location="VektorZeitbereich!A1" display="VektorZeitbereich!A1" xr:uid="{1D9A0842-7145-4C54-B55F-840F1885E41F}"/>
    <hyperlink ref="E17" location="'3-Phasenstrom'!A1" display="Verkettete Spannung (3-Phasenstrom)" xr:uid="{F0D6490D-D7FD-40F5-9193-AEF7266C201A}"/>
    <hyperlink ref="C10" location="Theoreme!A1" display="Theoreme!A1" xr:uid="{0BE171A1-EFB5-45EC-AE54-5B69665FAB10}"/>
    <hyperlink ref="C11" location="'Fläche eines Polygones'!A1" display="'Fläche eines Polygones'!A1" xr:uid="{FA6D782C-8632-4E5B-97A4-90B6A18392EC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9" location="'LCR-Glieder'!A1" display="'LCR-Glieder'!A1" xr:uid="{1D94E871-4DC6-4C72-899A-E3ADEA3E8E24}"/>
    <hyperlink ref="E2" r:id="rId1" xr:uid="{E69BC930-8B74-47F4-A635-918B5B26A506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" workbookViewId="0">
      <selection activeCell="L22" sqref="L22"/>
    </sheetView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11" t="s">
        <v>669</v>
      </c>
    </row>
    <row r="6" spans="1:15" ht="16" customHeight="1" x14ac:dyDescent="0.35">
      <c r="A6" s="362" t="s">
        <v>671</v>
      </c>
      <c r="B6" s="362" t="s">
        <v>670</v>
      </c>
      <c r="C6" s="362" t="s">
        <v>672</v>
      </c>
      <c r="D6" s="362" t="s">
        <v>673</v>
      </c>
      <c r="E6" s="362" t="s">
        <v>824</v>
      </c>
    </row>
    <row r="7" spans="1:15" ht="16" customHeight="1" x14ac:dyDescent="0.35">
      <c r="A7" s="115" t="s">
        <v>675</v>
      </c>
      <c r="B7" s="359" t="s">
        <v>674</v>
      </c>
      <c r="C7" s="361">
        <v>1E+30</v>
      </c>
      <c r="D7" s="115" t="s">
        <v>676</v>
      </c>
      <c r="E7" s="5">
        <v>30</v>
      </c>
    </row>
    <row r="8" spans="1:15" ht="16" customHeight="1" x14ac:dyDescent="0.35">
      <c r="A8" s="115" t="s">
        <v>678</v>
      </c>
      <c r="B8" s="359" t="s">
        <v>677</v>
      </c>
      <c r="C8" s="361">
        <v>1E+27</v>
      </c>
      <c r="D8" s="115" t="s">
        <v>679</v>
      </c>
      <c r="E8" s="5">
        <v>27</v>
      </c>
    </row>
    <row r="9" spans="1:15" ht="16" customHeight="1" x14ac:dyDescent="0.35">
      <c r="A9" s="115" t="s">
        <v>681</v>
      </c>
      <c r="B9" s="359" t="s">
        <v>680</v>
      </c>
      <c r="C9" s="361">
        <v>9.9999999999999998E+23</v>
      </c>
      <c r="D9" s="115" t="s">
        <v>682</v>
      </c>
      <c r="E9" s="5">
        <v>24</v>
      </c>
    </row>
    <row r="10" spans="1:15" ht="16" customHeight="1" thickBot="1" x14ac:dyDescent="0.4">
      <c r="A10" s="115" t="s">
        <v>684</v>
      </c>
      <c r="B10" s="359" t="s">
        <v>683</v>
      </c>
      <c r="C10" s="361">
        <v>1E+21</v>
      </c>
      <c r="D10" s="115" t="s">
        <v>685</v>
      </c>
      <c r="E10" s="5">
        <v>21</v>
      </c>
    </row>
    <row r="11" spans="1:15" ht="16" customHeight="1" thickBot="1" x14ac:dyDescent="0.4">
      <c r="A11" s="115" t="s">
        <v>43</v>
      </c>
      <c r="B11" s="359" t="s">
        <v>686</v>
      </c>
      <c r="C11" s="361">
        <v>1E+18</v>
      </c>
      <c r="D11" s="115" t="s">
        <v>687</v>
      </c>
      <c r="E11" s="5">
        <v>18</v>
      </c>
      <c r="H11" s="366" t="s">
        <v>745</v>
      </c>
      <c r="I11" s="367"/>
      <c r="J11" s="368"/>
      <c r="L11" s="5" t="s">
        <v>748</v>
      </c>
      <c r="M11" s="5"/>
      <c r="O11" s="5" t="s">
        <v>747</v>
      </c>
    </row>
    <row r="12" spans="1:15" ht="16" customHeight="1" thickBot="1" x14ac:dyDescent="0.4">
      <c r="A12" s="115" t="s">
        <v>689</v>
      </c>
      <c r="B12" s="359" t="s">
        <v>688</v>
      </c>
      <c r="C12" s="361">
        <v>1000000000000000</v>
      </c>
      <c r="D12" s="115" t="s">
        <v>690</v>
      </c>
      <c r="E12" s="5">
        <v>15</v>
      </c>
      <c r="H12" s="363">
        <v>5.23</v>
      </c>
      <c r="I12" s="364" t="s">
        <v>699</v>
      </c>
      <c r="J12" s="365" t="s">
        <v>746</v>
      </c>
      <c r="L12" s="81">
        <f>H12*VLOOKUP(I12, CHOOSE({1,2,3,4}, Einheitenvorsätze!A:A, Einheitenvorsätze!B:B, Einheitenvorsätze!C:C, Einheitenvorsätze!D:D), 3, FALSE)</f>
        <v>5230</v>
      </c>
      <c r="M12" s="81" t="str">
        <f>J12</f>
        <v>s</v>
      </c>
      <c r="O12" s="81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5" t="s">
        <v>692</v>
      </c>
      <c r="B13" s="359" t="s">
        <v>691</v>
      </c>
      <c r="C13" s="361">
        <v>1000000000000</v>
      </c>
      <c r="D13" s="115" t="s">
        <v>693</v>
      </c>
      <c r="E13" s="5">
        <v>12</v>
      </c>
    </row>
    <row r="14" spans="1:15" ht="16" customHeight="1" x14ac:dyDescent="0.35">
      <c r="A14" s="115" t="s">
        <v>44</v>
      </c>
      <c r="B14" s="359" t="s">
        <v>694</v>
      </c>
      <c r="C14" s="361">
        <v>1000000000</v>
      </c>
      <c r="D14" s="115" t="s">
        <v>695</v>
      </c>
      <c r="E14" s="5">
        <v>9</v>
      </c>
    </row>
    <row r="15" spans="1:15" ht="16" customHeight="1" x14ac:dyDescent="0.35">
      <c r="A15" s="115" t="s">
        <v>823</v>
      </c>
      <c r="B15" s="359" t="s">
        <v>696</v>
      </c>
      <c r="C15" s="361">
        <v>1000000</v>
      </c>
      <c r="D15" s="115" t="s">
        <v>697</v>
      </c>
      <c r="E15" s="5">
        <v>6</v>
      </c>
    </row>
    <row r="16" spans="1:15" ht="16" customHeight="1" x14ac:dyDescent="0.35">
      <c r="A16" s="115" t="s">
        <v>699</v>
      </c>
      <c r="B16" s="359" t="s">
        <v>698</v>
      </c>
      <c r="C16" s="361">
        <v>1000</v>
      </c>
      <c r="D16" s="115" t="s">
        <v>700</v>
      </c>
      <c r="E16" s="5">
        <v>3</v>
      </c>
      <c r="H16" s="8" t="s">
        <v>670</v>
      </c>
      <c r="I16" s="369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5" t="s">
        <v>702</v>
      </c>
      <c r="B17" s="359" t="s">
        <v>701</v>
      </c>
      <c r="C17" s="361">
        <v>100</v>
      </c>
      <c r="D17" s="115" t="s">
        <v>703</v>
      </c>
      <c r="E17" s="5">
        <v>2</v>
      </c>
      <c r="H17" s="8" t="s">
        <v>672</v>
      </c>
      <c r="I17" s="369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5" t="s">
        <v>705</v>
      </c>
      <c r="B18" s="359" t="s">
        <v>704</v>
      </c>
      <c r="C18" s="361">
        <v>10</v>
      </c>
      <c r="D18" s="115" t="s">
        <v>706</v>
      </c>
      <c r="E18" s="5">
        <v>1</v>
      </c>
      <c r="H18" s="8" t="s">
        <v>673</v>
      </c>
      <c r="I18" s="369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5" t="s">
        <v>708</v>
      </c>
      <c r="B19" s="359" t="s">
        <v>707</v>
      </c>
      <c r="C19" s="361">
        <v>1</v>
      </c>
      <c r="D19" s="115" t="s">
        <v>709</v>
      </c>
      <c r="E19" s="5">
        <v>0</v>
      </c>
      <c r="H19" s="8" t="str">
        <f>E6</f>
        <v>Vielfaches</v>
      </c>
      <c r="I19" s="369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5" t="s">
        <v>711</v>
      </c>
      <c r="B20" s="359" t="s">
        <v>710</v>
      </c>
      <c r="C20" s="115">
        <v>0.1</v>
      </c>
      <c r="D20" s="115" t="s">
        <v>712</v>
      </c>
      <c r="E20" s="5">
        <v>-1</v>
      </c>
    </row>
    <row r="21" spans="1:9" ht="16" customHeight="1" x14ac:dyDescent="0.35">
      <c r="A21" s="115" t="s">
        <v>714</v>
      </c>
      <c r="B21" s="359" t="s">
        <v>713</v>
      </c>
      <c r="C21" s="115">
        <v>0.01</v>
      </c>
      <c r="D21" s="115" t="s">
        <v>715</v>
      </c>
      <c r="E21" s="5">
        <v>-2</v>
      </c>
    </row>
    <row r="22" spans="1:9" ht="16" customHeight="1" x14ac:dyDescent="0.35">
      <c r="A22" s="115" t="s">
        <v>717</v>
      </c>
      <c r="B22" s="359" t="s">
        <v>716</v>
      </c>
      <c r="C22" s="115">
        <v>1E-3</v>
      </c>
      <c r="D22" s="115" t="s">
        <v>718</v>
      </c>
      <c r="E22" s="5">
        <v>-3</v>
      </c>
    </row>
    <row r="23" spans="1:9" ht="16" customHeight="1" x14ac:dyDescent="0.35">
      <c r="A23" s="115" t="s">
        <v>720</v>
      </c>
      <c r="B23" s="359" t="s">
        <v>719</v>
      </c>
      <c r="C23" s="115">
        <v>9.9999999999999995E-7</v>
      </c>
      <c r="D23" s="115" t="s">
        <v>721</v>
      </c>
      <c r="E23" s="5">
        <v>-6</v>
      </c>
    </row>
    <row r="24" spans="1:9" ht="16" customHeight="1" x14ac:dyDescent="0.35">
      <c r="A24" s="115" t="s">
        <v>723</v>
      </c>
      <c r="B24" s="359" t="s">
        <v>722</v>
      </c>
      <c r="C24" s="115">
        <v>1.0000000000000001E-9</v>
      </c>
      <c r="D24" s="115" t="s">
        <v>724</v>
      </c>
      <c r="E24" s="5">
        <v>-9</v>
      </c>
    </row>
    <row r="25" spans="1:9" ht="16" customHeight="1" x14ac:dyDescent="0.35">
      <c r="A25" s="115" t="s">
        <v>726</v>
      </c>
      <c r="B25" s="359" t="s">
        <v>725</v>
      </c>
      <c r="C25" s="115">
        <v>9.9999999999999998E-13</v>
      </c>
      <c r="D25" s="115" t="s">
        <v>727</v>
      </c>
      <c r="E25" s="5">
        <v>-12</v>
      </c>
    </row>
    <row r="26" spans="1:9" ht="16" customHeight="1" x14ac:dyDescent="0.35">
      <c r="A26" s="115" t="s">
        <v>729</v>
      </c>
      <c r="B26" s="359" t="s">
        <v>728</v>
      </c>
      <c r="C26" s="115">
        <v>1.0000000000000001E-15</v>
      </c>
      <c r="D26" s="115" t="s">
        <v>730</v>
      </c>
      <c r="E26" s="5">
        <v>-15</v>
      </c>
    </row>
    <row r="27" spans="1:9" ht="16" customHeight="1" x14ac:dyDescent="0.35">
      <c r="A27" s="115" t="s">
        <v>732</v>
      </c>
      <c r="B27" s="359" t="s">
        <v>731</v>
      </c>
      <c r="C27" s="115">
        <v>1.0000000000000001E-18</v>
      </c>
      <c r="D27" s="115" t="s">
        <v>733</v>
      </c>
      <c r="E27" s="5">
        <v>-18</v>
      </c>
    </row>
    <row r="28" spans="1:9" ht="16" customHeight="1" x14ac:dyDescent="0.35">
      <c r="A28" s="115" t="s">
        <v>735</v>
      </c>
      <c r="B28" s="359" t="s">
        <v>734</v>
      </c>
      <c r="C28" s="360">
        <v>9.9999999999999991E-22</v>
      </c>
      <c r="D28" s="115" t="s">
        <v>736</v>
      </c>
      <c r="E28" s="5">
        <v>-21</v>
      </c>
    </row>
    <row r="29" spans="1:9" ht="16" customHeight="1" x14ac:dyDescent="0.35">
      <c r="A29" s="115" t="s">
        <v>417</v>
      </c>
      <c r="B29" s="359" t="s">
        <v>737</v>
      </c>
      <c r="C29" s="360">
        <v>9.9999999999999992E-25</v>
      </c>
      <c r="D29" s="115" t="s">
        <v>738</v>
      </c>
      <c r="E29" s="5">
        <v>-24</v>
      </c>
    </row>
    <row r="30" spans="1:9" ht="16" customHeight="1" x14ac:dyDescent="0.35">
      <c r="A30" s="115" t="s">
        <v>740</v>
      </c>
      <c r="B30" s="359" t="s">
        <v>739</v>
      </c>
      <c r="C30" s="360">
        <v>1.0000000000000001E-30</v>
      </c>
      <c r="D30" s="115" t="s">
        <v>741</v>
      </c>
      <c r="E30" s="5">
        <v>-27</v>
      </c>
    </row>
    <row r="31" spans="1:9" ht="16" customHeight="1" x14ac:dyDescent="0.35">
      <c r="A31" s="115" t="s">
        <v>743</v>
      </c>
      <c r="B31" s="359" t="s">
        <v>742</v>
      </c>
      <c r="C31" s="360">
        <v>1E-27</v>
      </c>
      <c r="D31" s="115" t="s">
        <v>744</v>
      </c>
      <c r="E31" s="5">
        <v>-30</v>
      </c>
    </row>
    <row r="36" spans="1:3" x14ac:dyDescent="0.35">
      <c r="A36" t="s">
        <v>750</v>
      </c>
    </row>
    <row r="37" spans="1:3" x14ac:dyDescent="0.35">
      <c r="A37" s="376" t="s">
        <v>753</v>
      </c>
      <c r="B37" s="376" t="s">
        <v>751</v>
      </c>
      <c r="C37" s="376" t="s">
        <v>752</v>
      </c>
    </row>
    <row r="38" spans="1:3" x14ac:dyDescent="0.35">
      <c r="A38" s="115" t="s">
        <v>755</v>
      </c>
      <c r="B38" s="115" t="s">
        <v>754</v>
      </c>
      <c r="C38" s="115" t="s">
        <v>654</v>
      </c>
    </row>
    <row r="39" spans="1:3" x14ac:dyDescent="0.35">
      <c r="A39" s="115" t="s">
        <v>758</v>
      </c>
      <c r="B39" s="115" t="s">
        <v>756</v>
      </c>
      <c r="C39" s="115" t="s">
        <v>757</v>
      </c>
    </row>
    <row r="40" spans="1:3" x14ac:dyDescent="0.35">
      <c r="A40" s="115" t="s">
        <v>761</v>
      </c>
      <c r="B40" s="115" t="s">
        <v>759</v>
      </c>
      <c r="C40" s="115" t="s">
        <v>760</v>
      </c>
    </row>
    <row r="41" spans="1:3" x14ac:dyDescent="0.35">
      <c r="A41" s="115" t="s">
        <v>764</v>
      </c>
      <c r="B41" s="115" t="s">
        <v>762</v>
      </c>
      <c r="C41" s="115" t="s">
        <v>763</v>
      </c>
    </row>
    <row r="42" spans="1:3" x14ac:dyDescent="0.35">
      <c r="A42" s="115" t="s">
        <v>767</v>
      </c>
      <c r="B42" s="115" t="s">
        <v>765</v>
      </c>
      <c r="C42" s="115" t="s">
        <v>766</v>
      </c>
    </row>
    <row r="43" spans="1:3" x14ac:dyDescent="0.35">
      <c r="A43" s="115" t="s">
        <v>770</v>
      </c>
      <c r="B43" s="115" t="s">
        <v>768</v>
      </c>
      <c r="C43" s="115" t="s">
        <v>769</v>
      </c>
    </row>
    <row r="44" spans="1:3" x14ac:dyDescent="0.35">
      <c r="A44" s="115" t="s">
        <v>773</v>
      </c>
      <c r="B44" s="115" t="s">
        <v>771</v>
      </c>
      <c r="C44" s="115" t="s">
        <v>772</v>
      </c>
    </row>
    <row r="45" spans="1:3" x14ac:dyDescent="0.35">
      <c r="A45" s="115" t="s">
        <v>776</v>
      </c>
      <c r="B45" s="115" t="s">
        <v>774</v>
      </c>
      <c r="C45" s="115" t="s">
        <v>775</v>
      </c>
    </row>
    <row r="46" spans="1:3" x14ac:dyDescent="0.35">
      <c r="A46" s="115" t="s">
        <v>779</v>
      </c>
      <c r="B46" s="115" t="s">
        <v>777</v>
      </c>
      <c r="C46" s="115" t="s">
        <v>778</v>
      </c>
    </row>
    <row r="47" spans="1:3" x14ac:dyDescent="0.35">
      <c r="A47" s="115" t="s">
        <v>782</v>
      </c>
      <c r="B47" s="115" t="s">
        <v>780</v>
      </c>
      <c r="C47" s="115" t="s">
        <v>781</v>
      </c>
    </row>
    <row r="48" spans="1:3" x14ac:dyDescent="0.35">
      <c r="A48" s="115" t="s">
        <v>785</v>
      </c>
      <c r="B48" s="115" t="s">
        <v>783</v>
      </c>
      <c r="C48" s="115" t="s">
        <v>784</v>
      </c>
    </row>
    <row r="49" spans="1:3" x14ac:dyDescent="0.35">
      <c r="A49" s="115" t="s">
        <v>788</v>
      </c>
      <c r="B49" s="115" t="s">
        <v>786</v>
      </c>
      <c r="C49" s="115" t="s">
        <v>787</v>
      </c>
    </row>
    <row r="50" spans="1:3" x14ac:dyDescent="0.35">
      <c r="A50" s="115" t="s">
        <v>791</v>
      </c>
      <c r="B50" s="115" t="s">
        <v>789</v>
      </c>
      <c r="C50" s="115" t="s">
        <v>790</v>
      </c>
    </row>
    <row r="51" spans="1:3" x14ac:dyDescent="0.35">
      <c r="A51" s="115" t="s">
        <v>794</v>
      </c>
      <c r="B51" s="115" t="s">
        <v>792</v>
      </c>
      <c r="C51" s="115" t="s">
        <v>793</v>
      </c>
    </row>
    <row r="52" spans="1:3" x14ac:dyDescent="0.35">
      <c r="A52" s="115" t="s">
        <v>797</v>
      </c>
      <c r="B52" s="115" t="s">
        <v>795</v>
      </c>
      <c r="C52" s="115" t="s">
        <v>796</v>
      </c>
    </row>
    <row r="53" spans="1:3" x14ac:dyDescent="0.35">
      <c r="A53" s="115" t="s">
        <v>799</v>
      </c>
      <c r="B53" s="115" t="s">
        <v>798</v>
      </c>
      <c r="C53" s="115" t="s">
        <v>312</v>
      </c>
    </row>
    <row r="54" spans="1:3" x14ac:dyDescent="0.35">
      <c r="A54" s="115" t="s">
        <v>802</v>
      </c>
      <c r="B54" s="115" t="s">
        <v>800</v>
      </c>
      <c r="C54" s="115" t="s">
        <v>801</v>
      </c>
    </row>
    <row r="55" spans="1:3" x14ac:dyDescent="0.35">
      <c r="A55" s="115" t="s">
        <v>821</v>
      </c>
      <c r="B55" s="115" t="s">
        <v>803</v>
      </c>
      <c r="C55" s="115" t="s">
        <v>804</v>
      </c>
    </row>
    <row r="56" spans="1:3" x14ac:dyDescent="0.35">
      <c r="A56" s="115" t="s">
        <v>807</v>
      </c>
      <c r="B56" s="115" t="s">
        <v>805</v>
      </c>
      <c r="C56" s="115" t="s">
        <v>806</v>
      </c>
    </row>
    <row r="57" spans="1:3" x14ac:dyDescent="0.35">
      <c r="A57" s="115" t="s">
        <v>810</v>
      </c>
      <c r="B57" s="115" t="s">
        <v>808</v>
      </c>
      <c r="C57" s="115" t="s">
        <v>809</v>
      </c>
    </row>
    <row r="58" spans="1:3" x14ac:dyDescent="0.35">
      <c r="A58" s="115" t="s">
        <v>812</v>
      </c>
      <c r="B58" s="115" t="s">
        <v>811</v>
      </c>
      <c r="C58" s="115" t="s">
        <v>308</v>
      </c>
    </row>
    <row r="59" spans="1:3" x14ac:dyDescent="0.35">
      <c r="A59" s="115" t="s">
        <v>815</v>
      </c>
      <c r="B59" s="115" t="s">
        <v>813</v>
      </c>
      <c r="C59" s="115" t="s">
        <v>814</v>
      </c>
    </row>
    <row r="60" spans="1:3" x14ac:dyDescent="0.35">
      <c r="A60" s="115" t="s">
        <v>818</v>
      </c>
      <c r="B60" s="115" t="s">
        <v>816</v>
      </c>
      <c r="C60" s="115" t="s">
        <v>817</v>
      </c>
    </row>
    <row r="61" spans="1:3" x14ac:dyDescent="0.35">
      <c r="A61" s="115" t="s">
        <v>820</v>
      </c>
      <c r="B61" s="115" t="s">
        <v>322</v>
      </c>
      <c r="C61" s="115" t="s">
        <v>819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topLeftCell="A9" zoomScale="115" zoomScaleNormal="115" workbookViewId="0">
      <selection activeCell="P17" sqref="P17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11" t="s">
        <v>615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H53"/>
  <sheetViews>
    <sheetView showGridLines="0" tabSelected="1" topLeftCell="L25" zoomScaleNormal="100" workbookViewId="0">
      <selection activeCell="AA37" sqref="AA37"/>
    </sheetView>
  </sheetViews>
  <sheetFormatPr baseColWidth="10" defaultRowHeight="14.5" x14ac:dyDescent="0.35"/>
  <cols>
    <col min="5" max="5" width="5.1796875" customWidth="1"/>
    <col min="6" max="6" width="4.1796875" customWidth="1"/>
    <col min="7" max="7" width="9.36328125" customWidth="1"/>
    <col min="10" max="12" width="20.7265625" customWidth="1"/>
    <col min="13" max="13" width="26.6328125" customWidth="1"/>
    <col min="14" max="14" width="6.81640625" customWidth="1"/>
    <col min="15" max="15" width="9.54296875" customWidth="1"/>
    <col min="17" max="17" width="7.90625" customWidth="1"/>
    <col min="19" max="19" width="5.453125" customWidth="1"/>
    <col min="20" max="20" width="8.7265625" customWidth="1"/>
    <col min="21" max="21" width="5.453125" customWidth="1"/>
    <col min="23" max="23" width="18.54296875" customWidth="1"/>
    <col min="24" max="24" width="14.7265625" customWidth="1"/>
    <col min="25" max="25" width="4.1796875" customWidth="1"/>
    <col min="26" max="26" width="19.453125" customWidth="1"/>
  </cols>
  <sheetData>
    <row r="2" spans="3:34" ht="23.5" x14ac:dyDescent="0.55000000000000004">
      <c r="C2" s="11" t="s">
        <v>866</v>
      </c>
      <c r="R2" t="s">
        <v>65</v>
      </c>
      <c r="W2" s="8" t="s">
        <v>881</v>
      </c>
      <c r="X2" s="4" t="s">
        <v>65</v>
      </c>
    </row>
    <row r="3" spans="3:34" ht="15" thickBot="1" x14ac:dyDescent="0.4">
      <c r="R3" t="s">
        <v>66</v>
      </c>
    </row>
    <row r="4" spans="3:34" x14ac:dyDescent="0.35">
      <c r="V4" s="408"/>
      <c r="W4" s="409"/>
      <c r="X4" s="409"/>
      <c r="Y4" s="409"/>
      <c r="Z4" s="409"/>
      <c r="AA4" s="410"/>
    </row>
    <row r="5" spans="3:34" x14ac:dyDescent="0.35">
      <c r="V5" s="411"/>
      <c r="AA5" s="412"/>
    </row>
    <row r="6" spans="3:34" x14ac:dyDescent="0.35">
      <c r="V6" s="411"/>
      <c r="X6" s="5" t="s">
        <v>883</v>
      </c>
      <c r="Z6" s="5" t="s">
        <v>882</v>
      </c>
      <c r="AA6" s="412"/>
    </row>
    <row r="7" spans="3:34" ht="20.5" customHeight="1" x14ac:dyDescent="0.45">
      <c r="C7" s="8" t="s">
        <v>867</v>
      </c>
      <c r="D7" s="4">
        <v>10</v>
      </c>
      <c r="E7" s="4" t="s">
        <v>708</v>
      </c>
      <c r="F7" s="5" t="str">
        <f>Einheitenvorsätze!B61</f>
        <v>Ω</v>
      </c>
      <c r="G7" s="81">
        <f>VLOOKUP(E7, CHOOSE({1,2,3,4,5}, Einheitenvorsätze!A:A, Einheitenvorsätze!B:B, Einheitenvorsätze!C:C, Einheitenvorsätze!D:D, Einheitenvorsätze!E:E), 5, FALSE)</f>
        <v>0</v>
      </c>
      <c r="H7" s="81">
        <f>D7*VLOOKUP(E7, CHOOSE({1,2,3,4}, Einheitenvorsätze!A:A, Einheitenvorsätze!B:B, Einheitenvorsätze!C:C, Einheitenvorsätze!D:D), 3, FALSE)</f>
        <v>10</v>
      </c>
      <c r="I7" s="405" t="str">
        <f>C7</f>
        <v xml:space="preserve">R = </v>
      </c>
      <c r="J7" s="81" t="str">
        <f>IF(E7=Einheitenvorsätze!$A$19,_xlfn.CONCAT(D7,F7),_xlfn.CONCAT(D7," * ",VLOOKUP(E7, CHOOSE({1,2,3,4}, Einheitenvorsätze!A:A, Einheitenvorsätze!B:B, Einheitenvorsätze!C:C, Einheitenvorsätze!D:D), 4, FALSE),F7))</f>
        <v>10Ω</v>
      </c>
      <c r="K7" s="81" t="str">
        <f>IF(E7=Einheitenvorsätze!$A$19,_xlfn.CONCAT(D7,F7),_xlfn.CONCAT(D7,E7,F7))</f>
        <v>10Ω</v>
      </c>
      <c r="L7" s="81" t="str">
        <f>_xlfn.CONCAT(I7,K7)</f>
        <v>R = 10Ω</v>
      </c>
      <c r="M7" s="81" t="str">
        <f>_xlfn.CONCAT(I7,J7)</f>
        <v>R = 10Ω</v>
      </c>
      <c r="V7" s="411"/>
      <c r="X7" s="406" t="str">
        <f>$L$7</f>
        <v>R = 10Ω</v>
      </c>
      <c r="Z7" s="407" t="str">
        <f>IF($X$2=$R$2,$L$12,_xlfn.CONCAT($C$12,"?"))</f>
        <v>ω = 6.2832k(1/s)</v>
      </c>
      <c r="AA7" s="412"/>
      <c r="AB7">
        <f>H7</f>
        <v>10</v>
      </c>
      <c r="AD7">
        <v>0</v>
      </c>
      <c r="AE7">
        <f>IF($X$2=$R$2,AB7,0)</f>
        <v>10</v>
      </c>
      <c r="AG7">
        <v>0</v>
      </c>
      <c r="AH7">
        <v>0</v>
      </c>
    </row>
    <row r="8" spans="3:34" ht="20.5" customHeight="1" x14ac:dyDescent="0.45">
      <c r="C8" s="8" t="s">
        <v>868</v>
      </c>
      <c r="D8" s="4">
        <v>0.5</v>
      </c>
      <c r="E8" s="4" t="s">
        <v>720</v>
      </c>
      <c r="F8" s="5" t="s">
        <v>45</v>
      </c>
      <c r="G8" s="81">
        <f>VLOOKUP(E8, CHOOSE({1,2,3,4,5}, Einheitenvorsätze!A:A, Einheitenvorsätze!B:B, Einheitenvorsätze!C:C, Einheitenvorsätze!D:D, Einheitenvorsätze!E:E), 5, FALSE)</f>
        <v>-6</v>
      </c>
      <c r="H8" s="81">
        <f>D8*VLOOKUP(E8, CHOOSE({1,2,3,4}, Einheitenvorsätze!A:A, Einheitenvorsätze!B:B, Einheitenvorsätze!C:C, Einheitenvorsätze!D:D), 3, FALSE)</f>
        <v>4.9999999999999998E-7</v>
      </c>
      <c r="I8" s="405" t="str">
        <f t="shared" ref="I8:I10" si="0">C8</f>
        <v xml:space="preserve">C = </v>
      </c>
      <c r="J8" s="81" t="str">
        <f>IF(E8=Einheitenvorsätze!$A$19,_xlfn.CONCAT(D8,F8),_xlfn.CONCAT(D8," * ",VLOOKUP(E8, CHOOSE({1,2,3,4}, Einheitenvorsätze!A:A, Einheitenvorsätze!B:B, Einheitenvorsätze!C:C, Einheitenvorsätze!D:D), 4, FALSE),F8))</f>
        <v>0.5 * 10⁻⁶F</v>
      </c>
      <c r="K8" s="81" t="str">
        <f>IF(E8=Einheitenvorsätze!$A$19,_xlfn.CONCAT(D8,F8),_xlfn.CONCAT(D8,E8,F8))</f>
        <v>0.5µF</v>
      </c>
      <c r="L8" s="81" t="str">
        <f t="shared" ref="L8:L10" si="1">_xlfn.CONCAT(I8,K8)</f>
        <v>C = 0.5µF</v>
      </c>
      <c r="M8" s="81" t="str">
        <f t="shared" ref="M8:M10" si="2">_xlfn.CONCAT(I8,J8)</f>
        <v>C = 0.5 * 10⁻⁶F</v>
      </c>
      <c r="V8" s="411"/>
      <c r="X8" s="406" t="str">
        <f>$L$8</f>
        <v>C = 0.5µF</v>
      </c>
      <c r="Z8" s="407" t="str">
        <f>IF($X$2=$R$2,$L$15,_xlfn.CONCAT($C$15,"?"))</f>
        <v>XC = 318.31Ω</v>
      </c>
      <c r="AA8" s="412"/>
      <c r="AB8">
        <f>H15</f>
        <v>318.31</v>
      </c>
      <c r="AD8">
        <v>0</v>
      </c>
      <c r="AE8">
        <v>0</v>
      </c>
      <c r="AG8">
        <v>0</v>
      </c>
      <c r="AH8">
        <f>IF($X$2=$R$2,-AB8,0)</f>
        <v>-318.31</v>
      </c>
    </row>
    <row r="9" spans="3:34" ht="20.5" customHeight="1" x14ac:dyDescent="0.45">
      <c r="C9" s="8" t="s">
        <v>869</v>
      </c>
      <c r="D9" s="4">
        <v>10</v>
      </c>
      <c r="E9" s="4" t="s">
        <v>717</v>
      </c>
      <c r="F9" s="5" t="s">
        <v>46</v>
      </c>
      <c r="G9" s="81">
        <f>VLOOKUP(E9, CHOOSE({1,2,3,4,5}, Einheitenvorsätze!A:A, Einheitenvorsätze!B:B, Einheitenvorsätze!C:C, Einheitenvorsätze!D:D, Einheitenvorsätze!E:E), 5, FALSE)</f>
        <v>-3</v>
      </c>
      <c r="H9" s="81">
        <f>D9*VLOOKUP(E9, CHOOSE({1,2,3,4}, Einheitenvorsätze!A:A, Einheitenvorsätze!B:B, Einheitenvorsätze!C:C, Einheitenvorsätze!D:D), 3, FALSE)</f>
        <v>0.01</v>
      </c>
      <c r="I9" s="405" t="str">
        <f t="shared" si="0"/>
        <v xml:space="preserve">L = </v>
      </c>
      <c r="J9" s="81" t="str">
        <f>IF(E9=Einheitenvorsätze!$A$19,_xlfn.CONCAT(D9,F9),_xlfn.CONCAT(D9," * ",VLOOKUP(E9, CHOOSE({1,2,3,4}, Einheitenvorsätze!A:A, Einheitenvorsätze!B:B, Einheitenvorsätze!C:C, Einheitenvorsätze!D:D), 4, FALSE),F9))</f>
        <v>10 * 10⁻³H</v>
      </c>
      <c r="K9" s="81" t="str">
        <f>IF(E9=Einheitenvorsätze!$A$19,_xlfn.CONCAT(D9,F9),_xlfn.CONCAT(D9,E9,F9))</f>
        <v>10mH</v>
      </c>
      <c r="L9" s="81" t="str">
        <f t="shared" si="1"/>
        <v>L = 10mH</v>
      </c>
      <c r="M9" s="81" t="str">
        <f t="shared" si="2"/>
        <v>L = 10 * 10⁻³H</v>
      </c>
      <c r="V9" s="411"/>
      <c r="X9" s="406" t="str">
        <f>$L$10</f>
        <v>f =1kHZ</v>
      </c>
      <c r="Z9" s="407" t="str">
        <f>IF($X$2=$R$2,$L$19,_xlfn.CONCAT($C$19,"?"))</f>
        <v>ZRC = 318.47Ω</v>
      </c>
      <c r="AA9" s="413"/>
      <c r="AB9">
        <f>ABS(MAX(AB7:AB8))*1.1</f>
        <v>350.14100000000002</v>
      </c>
      <c r="AD9">
        <f>-AB9</f>
        <v>-350.14100000000002</v>
      </c>
      <c r="AE9">
        <f>AB9</f>
        <v>350.14100000000002</v>
      </c>
      <c r="AG9">
        <v>0</v>
      </c>
      <c r="AH9">
        <v>0</v>
      </c>
    </row>
    <row r="10" spans="3:34" ht="20.5" customHeight="1" x14ac:dyDescent="0.45">
      <c r="C10" s="8" t="s">
        <v>870</v>
      </c>
      <c r="D10" s="4">
        <v>1</v>
      </c>
      <c r="E10" s="4" t="s">
        <v>699</v>
      </c>
      <c r="F10" s="5" t="s">
        <v>871</v>
      </c>
      <c r="G10" s="81">
        <f>VLOOKUP(E10, CHOOSE({1,2,3,4,5}, Einheitenvorsätze!A:A, Einheitenvorsätze!B:B, Einheitenvorsätze!C:C, Einheitenvorsätze!D:D, Einheitenvorsätze!E:E), 5, FALSE)</f>
        <v>3</v>
      </c>
      <c r="H10" s="81">
        <f>D10*VLOOKUP(E10, CHOOSE({1,2,3,4}, Einheitenvorsätze!A:A, Einheitenvorsätze!B:B, Einheitenvorsätze!C:C, Einheitenvorsätze!D:D), 3, FALSE)</f>
        <v>1000</v>
      </c>
      <c r="I10" s="405" t="str">
        <f t="shared" si="0"/>
        <v>f =</v>
      </c>
      <c r="J10" s="81" t="str">
        <f>IF(E10=Einheitenvorsätze!$A$19,_xlfn.CONCAT(D10,F10),_xlfn.CONCAT(D10," * ",VLOOKUP(E10, CHOOSE({1,2,3,4}, Einheitenvorsätze!A:A, Einheitenvorsätze!B:B, Einheitenvorsätze!C:C, Einheitenvorsätze!D:D), 4, FALSE),F10))</f>
        <v>1 * 10³HZ</v>
      </c>
      <c r="K10" s="81" t="str">
        <f>IF(E10=Einheitenvorsätze!$A$19,_xlfn.CONCAT(D10,F10),_xlfn.CONCAT(D10,E10,F10))</f>
        <v>1kHZ</v>
      </c>
      <c r="L10" s="81" t="str">
        <f t="shared" si="1"/>
        <v>f =1kHZ</v>
      </c>
      <c r="M10" s="81" t="str">
        <f t="shared" si="2"/>
        <v>f =1 * 10³HZ</v>
      </c>
      <c r="V10" s="411"/>
      <c r="Z10" s="407" t="str">
        <f>IF($X$2=$R$2,$T$19,_xlfn.CONCAT($O$19,"?"))</f>
        <v>φ = -88.2°</v>
      </c>
      <c r="AA10" s="412"/>
      <c r="AD10">
        <v>0</v>
      </c>
      <c r="AE10">
        <v>0</v>
      </c>
      <c r="AG10">
        <f>AD9</f>
        <v>-350.14100000000002</v>
      </c>
      <c r="AH10">
        <f>AE9</f>
        <v>350.14100000000002</v>
      </c>
    </row>
    <row r="11" spans="3:34" ht="20.5" customHeight="1" x14ac:dyDescent="0.35">
      <c r="V11" s="411"/>
      <c r="AA11" s="412"/>
      <c r="AD11">
        <v>0</v>
      </c>
      <c r="AE11">
        <f>AE7</f>
        <v>10</v>
      </c>
      <c r="AG11">
        <v>0</v>
      </c>
      <c r="AH11">
        <f>AH8</f>
        <v>-318.31</v>
      </c>
    </row>
    <row r="12" spans="3:34" ht="20.5" customHeight="1" thickBot="1" x14ac:dyDescent="0.4">
      <c r="C12" s="8" t="s">
        <v>872</v>
      </c>
      <c r="D12" s="81">
        <f>ROUND((2*PI()*H10 / 10^G12),4)</f>
        <v>6.2831999999999999</v>
      </c>
      <c r="E12" s="4" t="s">
        <v>699</v>
      </c>
      <c r="F12" s="5" t="s">
        <v>873</v>
      </c>
      <c r="G12" s="81">
        <f>VLOOKUP(E12, CHOOSE({1,2,3,4,5}, Einheitenvorsätze!A:A, Einheitenvorsätze!B:B, Einheitenvorsätze!C:C, Einheitenvorsätze!D:D, Einheitenvorsätze!E:E), 5, FALSE)</f>
        <v>3</v>
      </c>
      <c r="H12" s="81">
        <f>D12*VLOOKUP(E12, CHOOSE({1,2,3,4}, Einheitenvorsätze!A:A, Einheitenvorsätze!B:B, Einheitenvorsätze!C:C, Einheitenvorsätze!D:D), 3, FALSE)</f>
        <v>6283.2</v>
      </c>
      <c r="I12" s="405" t="str">
        <f t="shared" ref="I12" si="3">C12</f>
        <v xml:space="preserve">ω = </v>
      </c>
      <c r="J12" s="81" t="str">
        <f>IF(E12=Einheitenvorsätze!$A$19,_xlfn.CONCAT(D12,F12),_xlfn.CONCAT(D12," * ",VLOOKUP(E12, CHOOSE({1,2,3,4}, Einheitenvorsätze!A:A, Einheitenvorsätze!B:B, Einheitenvorsätze!C:C, Einheitenvorsätze!D:D), 4, FALSE),F12))</f>
        <v>6.2832 * 10³(1/s)</v>
      </c>
      <c r="K12" s="81" t="str">
        <f>IF(E12=Einheitenvorsätze!$A$19,_xlfn.CONCAT(D12,F12),_xlfn.CONCAT(D12,E12,F12))</f>
        <v>6.2832k(1/s)</v>
      </c>
      <c r="L12" s="81" t="str">
        <f t="shared" ref="L12" si="4">_xlfn.CONCAT(I12,K12)</f>
        <v>ω = 6.2832k(1/s)</v>
      </c>
      <c r="M12" s="81" t="str">
        <f t="shared" ref="M12" si="5">_xlfn.CONCAT(I12,J12)</f>
        <v>ω = 6.2832 * 10³(1/s)</v>
      </c>
      <c r="V12" s="414"/>
      <c r="W12" s="415"/>
      <c r="X12" s="415"/>
      <c r="Y12" s="415"/>
      <c r="Z12" s="415"/>
      <c r="AA12" s="416"/>
    </row>
    <row r="13" spans="3:34" ht="20.5" customHeight="1" x14ac:dyDescent="0.35"/>
    <row r="14" spans="3:34" ht="20.5" customHeight="1" x14ac:dyDescent="0.35"/>
    <row r="15" spans="3:34" ht="20.5" customHeight="1" x14ac:dyDescent="0.45">
      <c r="C15" s="8" t="s">
        <v>874</v>
      </c>
      <c r="D15" s="81">
        <f>ROUND((1/((D12*D8)*10^(G12+G8)))/10^G15,2)</f>
        <v>318.31</v>
      </c>
      <c r="E15" s="4" t="s">
        <v>708</v>
      </c>
      <c r="F15" s="5" t="str">
        <f>F7</f>
        <v>Ω</v>
      </c>
      <c r="G15" s="81">
        <f>VLOOKUP(E15, CHOOSE({1,2,3,4,5}, Einheitenvorsätze!A:A, Einheitenvorsätze!B:B, Einheitenvorsätze!C:C, Einheitenvorsätze!D:D, Einheitenvorsätze!E:E), 5, FALSE)</f>
        <v>0</v>
      </c>
      <c r="H15" s="81">
        <f>D15*VLOOKUP(E15, CHOOSE({1,2,3,4}, Einheitenvorsätze!A:A, Einheitenvorsätze!B:B, Einheitenvorsätze!C:C, Einheitenvorsätze!D:D), 3, FALSE)</f>
        <v>318.31</v>
      </c>
      <c r="I15" s="405" t="str">
        <f t="shared" ref="I15:I16" si="6">C15</f>
        <v xml:space="preserve">XC = </v>
      </c>
      <c r="J15" s="81" t="str">
        <f>IF(E15=Einheitenvorsätze!$A$19,_xlfn.CONCAT(D15,F15),_xlfn.CONCAT(D15," * ",VLOOKUP(E15, CHOOSE({1,2,3,4}, Einheitenvorsätze!A:A, Einheitenvorsätze!B:B, Einheitenvorsätze!C:C, Einheitenvorsätze!D:D), 4, FALSE),F15))</f>
        <v>318.31Ω</v>
      </c>
      <c r="K15" s="81" t="str">
        <f>IF(E15=Einheitenvorsätze!$A$19,_xlfn.CONCAT(D15,F15),_xlfn.CONCAT(D15,E15,F15))</f>
        <v>318.31Ω</v>
      </c>
      <c r="L15" s="81" t="str">
        <f t="shared" ref="L15:L16" si="7">_xlfn.CONCAT(I15,K15)</f>
        <v>XC = 318.31Ω</v>
      </c>
      <c r="M15" s="81" t="str">
        <f t="shared" ref="M15:M16" si="8">_xlfn.CONCAT(I15,J15)</f>
        <v>XC = 318.31Ω</v>
      </c>
    </row>
    <row r="16" spans="3:34" ht="20.5" customHeight="1" x14ac:dyDescent="0.45">
      <c r="C16" s="8" t="s">
        <v>875</v>
      </c>
      <c r="D16" s="81">
        <f>ROUND((((D12*D9)*10^(G12+G9))/10^G16),4)</f>
        <v>62.832000000000001</v>
      </c>
      <c r="E16" s="4" t="s">
        <v>708</v>
      </c>
      <c r="F16" s="5" t="str">
        <f>F7</f>
        <v>Ω</v>
      </c>
      <c r="G16" s="81">
        <f>VLOOKUP(E16, CHOOSE({1,2,3,4,5}, Einheitenvorsätze!A:A, Einheitenvorsätze!B:B, Einheitenvorsätze!C:C, Einheitenvorsätze!D:D, Einheitenvorsätze!E:E), 5, FALSE)</f>
        <v>0</v>
      </c>
      <c r="H16" s="81">
        <f>D16*VLOOKUP(E16, CHOOSE({1,2,3,4}, Einheitenvorsätze!A:A, Einheitenvorsätze!B:B, Einheitenvorsätze!C:C, Einheitenvorsätze!D:D), 3, FALSE)</f>
        <v>62.832000000000001</v>
      </c>
      <c r="I16" s="405" t="str">
        <f t="shared" si="6"/>
        <v xml:space="preserve">XL = </v>
      </c>
      <c r="J16" s="81" t="str">
        <f>IF(E16=Einheitenvorsätze!$A$19,_xlfn.CONCAT(D16,F16),_xlfn.CONCAT(D16," * ",VLOOKUP(E16, CHOOSE({1,2,3,4}, Einheitenvorsätze!A:A, Einheitenvorsätze!B:B, Einheitenvorsätze!C:C, Einheitenvorsätze!D:D), 4, FALSE),F16))</f>
        <v>62.832Ω</v>
      </c>
      <c r="K16" s="81" t="str">
        <f>IF(E16=Einheitenvorsätze!$A$19,_xlfn.CONCAT(D16,F16),_xlfn.CONCAT(D16,E16,F16))</f>
        <v>62.832Ω</v>
      </c>
      <c r="L16" s="81" t="str">
        <f t="shared" si="7"/>
        <v>XL = 62.832Ω</v>
      </c>
      <c r="M16" s="81" t="str">
        <f t="shared" si="8"/>
        <v>XL = 62.832Ω</v>
      </c>
    </row>
    <row r="18" spans="2:34" x14ac:dyDescent="0.35">
      <c r="C18" t="s">
        <v>877</v>
      </c>
    </row>
    <row r="19" spans="2:34" ht="16.5" x14ac:dyDescent="0.45">
      <c r="C19" s="8" t="s">
        <v>876</v>
      </c>
      <c r="D19" s="81">
        <f>ROUND(SQRT(H7^2 + H15^2) / 10^G19,2)</f>
        <v>318.47000000000003</v>
      </c>
      <c r="E19" s="4" t="s">
        <v>708</v>
      </c>
      <c r="F19" s="5" t="str">
        <f>F16</f>
        <v>Ω</v>
      </c>
      <c r="G19" s="81">
        <f>VLOOKUP(E19, CHOOSE({1,2,3,4,5}, Einheitenvorsätze!A:A, Einheitenvorsätze!B:B, Einheitenvorsätze!C:C, Einheitenvorsätze!D:D, Einheitenvorsätze!E:E), 5, FALSE)</f>
        <v>0</v>
      </c>
      <c r="H19" s="81">
        <f>D19*VLOOKUP(E19, CHOOSE({1,2,3,4}, Einheitenvorsätze!A:A, Einheitenvorsätze!B:B, Einheitenvorsätze!C:C, Einheitenvorsätze!D:D), 3, FALSE)</f>
        <v>318.47000000000003</v>
      </c>
      <c r="I19" s="405" t="str">
        <f t="shared" ref="I19:I21" si="9">C19</f>
        <v xml:space="preserve">ZRC = </v>
      </c>
      <c r="J19" s="81" t="str">
        <f>IF(E19=Einheitenvorsätze!$A$19,_xlfn.CONCAT(D19,F19),_xlfn.CONCAT(D19," * ",VLOOKUP(E19, CHOOSE({1,2,3,4}, Einheitenvorsätze!A:A, Einheitenvorsätze!B:B, Einheitenvorsätze!C:C, Einheitenvorsätze!D:D), 4, FALSE),F19))</f>
        <v>318.47Ω</v>
      </c>
      <c r="K19" s="81" t="str">
        <f>IF(E19=Einheitenvorsätze!$A$19,_xlfn.CONCAT(D19,F19),_xlfn.CONCAT(D19,E19,F19))</f>
        <v>318.47Ω</v>
      </c>
      <c r="L19" s="81" t="str">
        <f t="shared" ref="L19:L21" si="10">_xlfn.CONCAT(I19,K19)</f>
        <v>ZRC = 318.47Ω</v>
      </c>
      <c r="M19" s="81" t="str">
        <f t="shared" ref="M19:M21" si="11">_xlfn.CONCAT(I19,J19)</f>
        <v>ZRC = 318.47Ω</v>
      </c>
      <c r="O19" s="8" t="s">
        <v>880</v>
      </c>
      <c r="P19" s="81">
        <f>ATAN2(H7,-H15)</f>
        <v>-1.5393907407906062</v>
      </c>
      <c r="Q19" s="5" t="s">
        <v>203</v>
      </c>
      <c r="R19" s="81">
        <f>DEGREES(P19)</f>
        <v>-88.200592468819039</v>
      </c>
      <c r="S19" s="5" t="s">
        <v>202</v>
      </c>
      <c r="T19" s="81" t="str">
        <f>_xlfn.CONCAT(O19,ROUND(R19,1),S19)</f>
        <v>φ = -88.2°</v>
      </c>
    </row>
    <row r="20" spans="2:34" ht="16.5" x14ac:dyDescent="0.45">
      <c r="C20" s="8" t="s">
        <v>878</v>
      </c>
      <c r="D20" s="81">
        <f>ROUND(SQRT(H7^2 + H16^2)/10^G20,2)</f>
        <v>63.62</v>
      </c>
      <c r="E20" s="4" t="s">
        <v>708</v>
      </c>
      <c r="F20" s="5" t="str">
        <f>F16</f>
        <v>Ω</v>
      </c>
      <c r="G20" s="81">
        <f>VLOOKUP(E20, CHOOSE({1,2,3,4,5}, Einheitenvorsätze!A:A, Einheitenvorsätze!B:B, Einheitenvorsätze!C:C, Einheitenvorsätze!D:D, Einheitenvorsätze!E:E), 5, FALSE)</f>
        <v>0</v>
      </c>
      <c r="H20" s="81">
        <f>D20*VLOOKUP(E20, CHOOSE({1,2,3,4}, Einheitenvorsätze!A:A, Einheitenvorsätze!B:B, Einheitenvorsätze!C:C, Einheitenvorsätze!D:D), 3, FALSE)</f>
        <v>63.62</v>
      </c>
      <c r="I20" s="405" t="str">
        <f t="shared" si="9"/>
        <v xml:space="preserve">ZRL = </v>
      </c>
      <c r="J20" s="81" t="str">
        <f>IF(E20=Einheitenvorsätze!$A$19,_xlfn.CONCAT(D20,F20),_xlfn.CONCAT(D20," * ",VLOOKUP(E20, CHOOSE({1,2,3,4}, Einheitenvorsätze!A:A, Einheitenvorsätze!B:B, Einheitenvorsätze!C:C, Einheitenvorsätze!D:D), 4, FALSE),F20))</f>
        <v>63.62Ω</v>
      </c>
      <c r="K20" s="81" t="str">
        <f>IF(E20=Einheitenvorsätze!$A$19,_xlfn.CONCAT(D20,F20),_xlfn.CONCAT(D20,E20,F20))</f>
        <v>63.62Ω</v>
      </c>
      <c r="L20" s="81" t="str">
        <f t="shared" si="10"/>
        <v>ZRL = 63.62Ω</v>
      </c>
      <c r="M20" s="81" t="str">
        <f t="shared" si="11"/>
        <v>ZRL = 63.62Ω</v>
      </c>
      <c r="O20" s="8" t="s">
        <v>880</v>
      </c>
      <c r="P20" s="81">
        <f>ATAN2(H7,H16)</f>
        <v>1.4129654994850303</v>
      </c>
      <c r="Q20" s="5" t="s">
        <v>203</v>
      </c>
      <c r="R20" s="81">
        <f>DEGREES(P20)</f>
        <v>80.956959718086523</v>
      </c>
      <c r="S20" s="5" t="s">
        <v>202</v>
      </c>
      <c r="T20" s="81" t="str">
        <f>_xlfn.CONCAT(O20,ROUND(R20,1),S20)</f>
        <v>φ = 81°</v>
      </c>
    </row>
    <row r="21" spans="2:34" ht="16.5" x14ac:dyDescent="0.45">
      <c r="B21" s="59" t="str">
        <f>IF(D15=D16,"ohmsch",IF(D15&gt;D16,"kapazitiv","induktiv"))</f>
        <v>kapazitiv</v>
      </c>
      <c r="C21" s="8" t="s">
        <v>879</v>
      </c>
      <c r="D21" s="81">
        <f>ROUND(SQRT(H7^2 + (H15-H16)^2)/10^G21,2)</f>
        <v>255.67</v>
      </c>
      <c r="E21" s="4" t="s">
        <v>708</v>
      </c>
      <c r="F21" s="5" t="str">
        <f>F15</f>
        <v>Ω</v>
      </c>
      <c r="G21" s="81">
        <f>VLOOKUP(E21, CHOOSE({1,2,3,4,5}, Einheitenvorsätze!A:A, Einheitenvorsätze!B:B, Einheitenvorsätze!C:C, Einheitenvorsätze!D:D, Einheitenvorsätze!E:E), 5, FALSE)</f>
        <v>0</v>
      </c>
      <c r="H21" s="81">
        <f>D21*VLOOKUP(E21, CHOOSE({1,2,3,4}, Einheitenvorsätze!A:A, Einheitenvorsätze!B:B, Einheitenvorsätze!C:C, Einheitenvorsätze!D:D), 3, FALSE)</f>
        <v>255.67</v>
      </c>
      <c r="I21" s="405" t="str">
        <f t="shared" si="9"/>
        <v xml:space="preserve">ZRLC = </v>
      </c>
      <c r="J21" s="81" t="str">
        <f>IF(E21=Einheitenvorsätze!$A$19,_xlfn.CONCAT(D21,F21),_xlfn.CONCAT(D21," * ",VLOOKUP(E21, CHOOSE({1,2,3,4}, Einheitenvorsätze!A:A, Einheitenvorsätze!B:B, Einheitenvorsätze!C:C, Einheitenvorsätze!D:D), 4, FALSE),F21))</f>
        <v>255.67Ω</v>
      </c>
      <c r="K21" s="81" t="str">
        <f>IF(E21=Einheitenvorsätze!$A$19,_xlfn.CONCAT(D21,F21),_xlfn.CONCAT(D21,E21,F21))</f>
        <v>255.67Ω</v>
      </c>
      <c r="L21" s="81" t="str">
        <f t="shared" si="10"/>
        <v>ZRLC = 255.67Ω</v>
      </c>
      <c r="M21" s="81" t="str">
        <f t="shared" si="11"/>
        <v>ZRLC = 255.67Ω</v>
      </c>
      <c r="O21" s="8" t="s">
        <v>880</v>
      </c>
      <c r="P21" s="81">
        <f>ATAN2(H7,IF(H19&gt;H20,-H21,H21))</f>
        <v>-1.5317033347576969</v>
      </c>
      <c r="Q21" s="5" t="s">
        <v>203</v>
      </c>
      <c r="R21" s="81">
        <f>DEGREES(P21)</f>
        <v>-87.760136547729928</v>
      </c>
      <c r="S21" s="5" t="s">
        <v>202</v>
      </c>
      <c r="T21" s="81" t="str">
        <f>_xlfn.CONCAT(O21,ROUND(R21,1),S21)</f>
        <v>φ = -87.8°</v>
      </c>
    </row>
    <row r="22" spans="2:34" ht="15" thickBot="1" x14ac:dyDescent="0.4"/>
    <row r="23" spans="2:34" ht="23.5" x14ac:dyDescent="0.55000000000000004">
      <c r="V23" s="417"/>
      <c r="W23" s="418"/>
      <c r="X23" s="409"/>
      <c r="Y23" s="409"/>
      <c r="Z23" s="409"/>
      <c r="AA23" s="410"/>
    </row>
    <row r="24" spans="2:34" ht="23.5" x14ac:dyDescent="0.55000000000000004">
      <c r="V24" s="419"/>
      <c r="W24" s="249"/>
      <c r="X24" s="5" t="s">
        <v>883</v>
      </c>
      <c r="Z24" s="5" t="s">
        <v>882</v>
      </c>
      <c r="AA24" s="412"/>
    </row>
    <row r="25" spans="2:34" ht="18.5" x14ac:dyDescent="0.45">
      <c r="V25" s="411"/>
      <c r="X25" s="406" t="str">
        <f>$L$7</f>
        <v>R = 10Ω</v>
      </c>
      <c r="Z25" s="407" t="str">
        <f>IF($X$2=$R$2,$L$12,_xlfn.CONCAT($C$12,"?"))</f>
        <v>ω = 6.2832k(1/s)</v>
      </c>
      <c r="AA25" s="412"/>
      <c r="AB25">
        <f>H7</f>
        <v>10</v>
      </c>
      <c r="AD25">
        <v>0</v>
      </c>
      <c r="AE25">
        <f>IF($X$2=$R$2,AB25,0)</f>
        <v>10</v>
      </c>
      <c r="AG25">
        <v>0</v>
      </c>
      <c r="AH25">
        <v>0</v>
      </c>
    </row>
    <row r="26" spans="2:34" ht="18.5" x14ac:dyDescent="0.45">
      <c r="V26" s="411"/>
      <c r="X26" s="406" t="str">
        <f>$L$9</f>
        <v>L = 10mH</v>
      </c>
      <c r="Z26" s="407" t="str">
        <f>IF($X$2=$R$2,$L$16,_xlfn.CONCAT($C$16,"?"))</f>
        <v>XL = 62.832Ω</v>
      </c>
      <c r="AA26" s="412"/>
      <c r="AB26">
        <f>H16</f>
        <v>62.832000000000001</v>
      </c>
      <c r="AD26">
        <v>0</v>
      </c>
      <c r="AE26">
        <v>0</v>
      </c>
      <c r="AG26">
        <v>0</v>
      </c>
      <c r="AH26">
        <f>IF($X$2=$R$2,AB26,0)</f>
        <v>62.832000000000001</v>
      </c>
    </row>
    <row r="27" spans="2:34" ht="18.5" x14ac:dyDescent="0.45">
      <c r="V27" s="411"/>
      <c r="X27" s="406" t="str">
        <f>$L$10</f>
        <v>f =1kHZ</v>
      </c>
      <c r="Z27" s="407" t="str">
        <f>IF($X$2=$R$2,$L$20,_xlfn.CONCAT($C$20,"?"))</f>
        <v>ZRL = 63.62Ω</v>
      </c>
      <c r="AA27" s="412"/>
      <c r="AB27">
        <f>ABS(MAX(AB25:AB26))*1.1</f>
        <v>69.115200000000002</v>
      </c>
      <c r="AD27">
        <f>-AB27</f>
        <v>-69.115200000000002</v>
      </c>
      <c r="AE27">
        <f>AB27</f>
        <v>69.115200000000002</v>
      </c>
      <c r="AG27">
        <v>0</v>
      </c>
      <c r="AH27">
        <v>0</v>
      </c>
    </row>
    <row r="28" spans="2:34" ht="18.5" x14ac:dyDescent="0.45">
      <c r="V28" s="411"/>
      <c r="Z28" s="407" t="str">
        <f>IF($X$2=$R$2,$T$20,_xlfn.CONCAT($O$20,"?"))</f>
        <v>φ = 81°</v>
      </c>
      <c r="AA28" s="412"/>
      <c r="AD28">
        <v>0</v>
      </c>
      <c r="AE28">
        <v>0</v>
      </c>
      <c r="AG28">
        <f>AD27</f>
        <v>-69.115200000000002</v>
      </c>
      <c r="AH28">
        <f>AE27</f>
        <v>69.115200000000002</v>
      </c>
    </row>
    <row r="29" spans="2:34" ht="15" thickBot="1" x14ac:dyDescent="0.4">
      <c r="V29" s="414"/>
      <c r="W29" s="415"/>
      <c r="X29" s="415"/>
      <c r="Y29" s="415"/>
      <c r="Z29" s="415"/>
      <c r="AA29" s="416"/>
      <c r="AD29">
        <v>0</v>
      </c>
      <c r="AE29">
        <f>AE25</f>
        <v>10</v>
      </c>
      <c r="AG29">
        <v>0</v>
      </c>
      <c r="AH29">
        <f>AH26</f>
        <v>62.832000000000001</v>
      </c>
    </row>
    <row r="43" spans="22:27" ht="15" thickBot="1" x14ac:dyDescent="0.4"/>
    <row r="44" spans="22:27" x14ac:dyDescent="0.35">
      <c r="V44" s="408"/>
      <c r="W44" s="409"/>
      <c r="X44" s="409"/>
      <c r="Y44" s="409"/>
      <c r="Z44" s="409"/>
      <c r="AA44" s="410"/>
    </row>
    <row r="45" spans="22:27" x14ac:dyDescent="0.35">
      <c r="V45" s="411"/>
      <c r="W45" s="471"/>
      <c r="X45" s="471"/>
      <c r="Y45" s="471"/>
      <c r="Z45" s="471"/>
      <c r="AA45" s="412"/>
    </row>
    <row r="46" spans="22:27" x14ac:dyDescent="0.35">
      <c r="V46" s="411"/>
      <c r="W46" s="471"/>
      <c r="X46" s="5" t="s">
        <v>883</v>
      </c>
      <c r="Y46" s="471"/>
      <c r="Z46" s="5" t="s">
        <v>882</v>
      </c>
      <c r="AA46" s="412"/>
    </row>
    <row r="47" spans="22:27" ht="18.5" x14ac:dyDescent="0.45">
      <c r="V47" s="411"/>
      <c r="W47" s="471"/>
      <c r="X47" s="406" t="str">
        <f>$L$7</f>
        <v>R = 10Ω</v>
      </c>
      <c r="Y47" s="471"/>
      <c r="Z47" s="407" t="str">
        <f>IF($X$2=$R$2,$L$12,_xlfn.CONCAT($C$12,"?"))</f>
        <v>ω = 6.2832k(1/s)</v>
      </c>
      <c r="AA47" s="412"/>
    </row>
    <row r="48" spans="22:27" ht="18.5" x14ac:dyDescent="0.45">
      <c r="V48" s="411"/>
      <c r="W48" s="471"/>
      <c r="X48" s="406" t="str">
        <f>$L$9</f>
        <v>L = 10mH</v>
      </c>
      <c r="Y48" s="471"/>
      <c r="Z48" s="407" t="str">
        <f>IF($X$2=$R$2,$L$16,_xlfn.CONCAT($C$16,"?"))</f>
        <v>XL = 62.832Ω</v>
      </c>
      <c r="AA48" s="412"/>
    </row>
    <row r="49" spans="22:27" ht="18.5" x14ac:dyDescent="0.45">
      <c r="V49" s="411"/>
      <c r="W49" s="471"/>
      <c r="X49" s="406" t="str">
        <f>$L$8</f>
        <v>C = 0.5µF</v>
      </c>
      <c r="Y49" s="471"/>
      <c r="Z49" s="407" t="str">
        <f>IF($X$2=$R$2,$L$15,_xlfn.CONCAT($C$15,"?"))</f>
        <v>XC = 318.31Ω</v>
      </c>
      <c r="AA49" s="412"/>
    </row>
    <row r="50" spans="22:27" ht="18.5" x14ac:dyDescent="0.45">
      <c r="V50" s="411"/>
      <c r="W50" s="471"/>
      <c r="X50" s="406" t="str">
        <f>$L$10</f>
        <v>f =1kHZ</v>
      </c>
      <c r="Y50" s="471"/>
      <c r="Z50" s="407" t="str">
        <f>IF($X$2=$R$2,$L$21,_xlfn.CONCAT($C$20,"?"))</f>
        <v>ZRLC = 255.67Ω</v>
      </c>
      <c r="AA50" s="412"/>
    </row>
    <row r="51" spans="22:27" ht="18.5" x14ac:dyDescent="0.45">
      <c r="V51" s="411"/>
      <c r="W51" s="471"/>
      <c r="X51" s="407" t="str">
        <f>$B$21</f>
        <v>kapazitiv</v>
      </c>
      <c r="Y51" s="471"/>
      <c r="Z51" s="407" t="str">
        <f>IF($X$2=$R$2,$T$21,_xlfn.CONCAT($O$21,"?"))</f>
        <v>φ = -87.8°</v>
      </c>
      <c r="AA51" s="412"/>
    </row>
    <row r="52" spans="22:27" x14ac:dyDescent="0.35">
      <c r="V52" s="411"/>
      <c r="W52" s="471"/>
      <c r="X52" s="471"/>
      <c r="Y52" s="471"/>
      <c r="Z52" s="471"/>
      <c r="AA52" s="412"/>
    </row>
    <row r="53" spans="22:27" ht="15" thickBot="1" x14ac:dyDescent="0.4">
      <c r="V53" s="414"/>
      <c r="W53" s="415"/>
      <c r="X53" s="415"/>
      <c r="Y53" s="415"/>
      <c r="Z53" s="415"/>
      <c r="AA53" s="416"/>
    </row>
  </sheetData>
  <dataValidations count="1">
    <dataValidation type="list" allowBlank="1" showInputMessage="1" showErrorMessage="1" sqref="X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E7:E10 E12 E15:E16 E19:E21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zoomScale="70" zoomScaleNormal="70" workbookViewId="0">
      <selection activeCell="A2" sqref="A2:XFD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11" t="s">
        <v>566</v>
      </c>
    </row>
    <row r="5" spans="3:30" ht="16.5" x14ac:dyDescent="0.45">
      <c r="J5" s="5" t="s">
        <v>598</v>
      </c>
      <c r="K5" s="5"/>
      <c r="L5" s="5"/>
      <c r="N5" s="5" t="s">
        <v>597</v>
      </c>
      <c r="O5" s="5"/>
    </row>
    <row r="6" spans="3:30" ht="16.5" x14ac:dyDescent="0.45">
      <c r="J6" s="8" t="s">
        <v>589</v>
      </c>
      <c r="K6" s="4">
        <v>1.55</v>
      </c>
      <c r="L6" s="5" t="s">
        <v>554</v>
      </c>
      <c r="N6" s="5" t="s">
        <v>595</v>
      </c>
      <c r="O6" s="216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588</v>
      </c>
      <c r="K7" s="4">
        <v>0.7</v>
      </c>
      <c r="L7" s="5" t="s">
        <v>567</v>
      </c>
      <c r="N7" s="5" t="s">
        <v>594</v>
      </c>
      <c r="O7" s="216">
        <f>K6/2</f>
        <v>0.77500000000000002</v>
      </c>
      <c r="Q7">
        <v>0</v>
      </c>
      <c r="R7" s="103">
        <f>MAX(O6:O8)</f>
        <v>1.1071428571428572</v>
      </c>
    </row>
    <row r="8" spans="3:30" ht="16.5" x14ac:dyDescent="0.45">
      <c r="J8" s="1"/>
      <c r="K8" s="1"/>
      <c r="N8" s="5" t="s">
        <v>596</v>
      </c>
      <c r="O8" s="216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590</v>
      </c>
      <c r="J11" s="4">
        <v>0</v>
      </c>
      <c r="K11" s="81">
        <f>J11+$J$10</f>
        <v>0.1</v>
      </c>
      <c r="L11" s="81">
        <f t="shared" ref="L11:AC11" si="0">K11+$J$10</f>
        <v>0.2</v>
      </c>
      <c r="M11" s="81">
        <f t="shared" si="0"/>
        <v>0.30000000000000004</v>
      </c>
      <c r="N11" s="81">
        <f t="shared" si="0"/>
        <v>0.4</v>
      </c>
      <c r="O11" s="81">
        <f t="shared" si="0"/>
        <v>0.5</v>
      </c>
      <c r="P11" s="81">
        <f t="shared" si="0"/>
        <v>0.6</v>
      </c>
      <c r="Q11" s="81">
        <f t="shared" si="0"/>
        <v>0.7</v>
      </c>
      <c r="R11" s="81">
        <f t="shared" si="0"/>
        <v>0.79999999999999993</v>
      </c>
      <c r="S11" s="81">
        <f t="shared" si="0"/>
        <v>0.89999999999999991</v>
      </c>
      <c r="T11" s="81">
        <f t="shared" si="0"/>
        <v>0.99999999999999989</v>
      </c>
      <c r="U11" s="81">
        <f t="shared" si="0"/>
        <v>1.0999999999999999</v>
      </c>
      <c r="V11" s="81">
        <f t="shared" si="0"/>
        <v>1.2</v>
      </c>
      <c r="W11" s="81">
        <f t="shared" si="0"/>
        <v>1.3</v>
      </c>
      <c r="X11" s="81">
        <f t="shared" si="0"/>
        <v>1.4000000000000001</v>
      </c>
      <c r="Y11" s="81">
        <f t="shared" si="0"/>
        <v>1.5000000000000002</v>
      </c>
      <c r="Z11" s="81">
        <f t="shared" si="0"/>
        <v>1.6000000000000003</v>
      </c>
      <c r="AA11" s="81">
        <f t="shared" si="0"/>
        <v>1.7000000000000004</v>
      </c>
      <c r="AB11" s="81">
        <f t="shared" si="0"/>
        <v>1.8000000000000005</v>
      </c>
      <c r="AC11" s="81">
        <f t="shared" si="0"/>
        <v>1.9000000000000006</v>
      </c>
      <c r="AD11" s="81">
        <f>AC11+$J$10</f>
        <v>2.0000000000000004</v>
      </c>
    </row>
    <row r="12" spans="3:30" ht="16.5" x14ac:dyDescent="0.45">
      <c r="I12" s="296" t="s">
        <v>591</v>
      </c>
      <c r="J12" s="216">
        <f>$K$6/($K$7+J11)</f>
        <v>2.2142857142857144</v>
      </c>
      <c r="K12" s="216">
        <f t="shared" ref="K12:AD12" si="1">$K$6/($K$7+K11)</f>
        <v>1.9375000000000002</v>
      </c>
      <c r="L12" s="216">
        <f t="shared" si="1"/>
        <v>1.7222222222222225</v>
      </c>
      <c r="M12" s="216">
        <f t="shared" si="1"/>
        <v>1.55</v>
      </c>
      <c r="N12" s="216">
        <f t="shared" si="1"/>
        <v>1.4090909090909089</v>
      </c>
      <c r="O12" s="216">
        <f t="shared" si="1"/>
        <v>1.2916666666666667</v>
      </c>
      <c r="P12" s="216">
        <f t="shared" si="1"/>
        <v>1.1923076923076925</v>
      </c>
      <c r="Q12" s="216">
        <f t="shared" si="1"/>
        <v>1.1071428571428572</v>
      </c>
      <c r="R12" s="216">
        <f t="shared" si="1"/>
        <v>1.0333333333333334</v>
      </c>
      <c r="S12" s="216">
        <f t="shared" si="1"/>
        <v>0.96875000000000011</v>
      </c>
      <c r="T12" s="216">
        <f t="shared" si="1"/>
        <v>0.91176470588235314</v>
      </c>
      <c r="U12" s="216">
        <f t="shared" si="1"/>
        <v>0.86111111111111127</v>
      </c>
      <c r="V12" s="216">
        <f t="shared" si="1"/>
        <v>0.81578947368421062</v>
      </c>
      <c r="W12" s="216">
        <f t="shared" si="1"/>
        <v>0.77500000000000002</v>
      </c>
      <c r="X12" s="216">
        <f t="shared" si="1"/>
        <v>0.73809523809523814</v>
      </c>
      <c r="Y12" s="216">
        <f t="shared" si="1"/>
        <v>0.70454545454545447</v>
      </c>
      <c r="Z12" s="216">
        <f t="shared" si="1"/>
        <v>0.67391304347826086</v>
      </c>
      <c r="AA12" s="216">
        <f t="shared" si="1"/>
        <v>0.64583333333333326</v>
      </c>
      <c r="AB12" s="216">
        <f t="shared" si="1"/>
        <v>0.61999999999999988</v>
      </c>
      <c r="AC12" s="216">
        <f t="shared" si="1"/>
        <v>0.59615384615384603</v>
      </c>
      <c r="AD12" s="216">
        <f t="shared" si="1"/>
        <v>0.57407407407407407</v>
      </c>
    </row>
    <row r="13" spans="3:30" ht="16.5" x14ac:dyDescent="0.45">
      <c r="I13" s="297" t="s">
        <v>592</v>
      </c>
      <c r="J13" s="216">
        <f>J11*J12</f>
        <v>0</v>
      </c>
      <c r="K13" s="216">
        <f t="shared" ref="K13:AD13" si="2">K11*K12</f>
        <v>0.19375000000000003</v>
      </c>
      <c r="L13" s="216">
        <f t="shared" si="2"/>
        <v>0.34444444444444455</v>
      </c>
      <c r="M13" s="216">
        <f t="shared" si="2"/>
        <v>0.46500000000000008</v>
      </c>
      <c r="N13" s="216">
        <f t="shared" si="2"/>
        <v>0.5636363636363636</v>
      </c>
      <c r="O13" s="216">
        <f t="shared" si="2"/>
        <v>0.64583333333333337</v>
      </c>
      <c r="P13" s="216">
        <f t="shared" si="2"/>
        <v>0.71538461538461551</v>
      </c>
      <c r="Q13" s="216">
        <f t="shared" si="2"/>
        <v>0.77500000000000002</v>
      </c>
      <c r="R13" s="216">
        <f t="shared" si="2"/>
        <v>0.82666666666666666</v>
      </c>
      <c r="S13" s="216">
        <f t="shared" si="2"/>
        <v>0.87187500000000007</v>
      </c>
      <c r="T13" s="216">
        <f t="shared" si="2"/>
        <v>0.91176470588235303</v>
      </c>
      <c r="U13" s="216">
        <f t="shared" si="2"/>
        <v>0.9472222222222223</v>
      </c>
      <c r="V13" s="216">
        <f t="shared" si="2"/>
        <v>0.97894736842105268</v>
      </c>
      <c r="W13" s="216">
        <f t="shared" si="2"/>
        <v>1.0075000000000001</v>
      </c>
      <c r="X13" s="216">
        <f t="shared" si="2"/>
        <v>1.0333333333333334</v>
      </c>
      <c r="Y13" s="216">
        <f t="shared" si="2"/>
        <v>1.0568181818181819</v>
      </c>
      <c r="Z13" s="216">
        <f t="shared" si="2"/>
        <v>1.0782608695652176</v>
      </c>
      <c r="AA13" s="216">
        <f t="shared" si="2"/>
        <v>1.0979166666666669</v>
      </c>
      <c r="AB13" s="216">
        <f t="shared" si="2"/>
        <v>1.1160000000000001</v>
      </c>
      <c r="AC13" s="216">
        <f t="shared" si="2"/>
        <v>1.1326923076923079</v>
      </c>
      <c r="AD13" s="216">
        <f t="shared" si="2"/>
        <v>1.1481481481481484</v>
      </c>
    </row>
    <row r="14" spans="3:30" ht="16.5" x14ac:dyDescent="0.45">
      <c r="I14" s="298" t="s">
        <v>593</v>
      </c>
      <c r="J14" s="216">
        <f>J12*J13</f>
        <v>0</v>
      </c>
      <c r="K14" s="216">
        <f t="shared" ref="K14:AD14" si="3">K12*K13</f>
        <v>0.37539062500000009</v>
      </c>
      <c r="L14" s="216">
        <f t="shared" si="3"/>
        <v>0.59320987654321022</v>
      </c>
      <c r="M14" s="216">
        <f t="shared" si="3"/>
        <v>0.72075000000000011</v>
      </c>
      <c r="N14" s="216">
        <f t="shared" si="3"/>
        <v>0.79421487603305774</v>
      </c>
      <c r="O14" s="216">
        <f t="shared" si="3"/>
        <v>0.83420138888888895</v>
      </c>
      <c r="P14" s="216">
        <f t="shared" si="3"/>
        <v>0.85295857988165713</v>
      </c>
      <c r="Q14" s="216">
        <f t="shared" si="3"/>
        <v>0.85803571428571435</v>
      </c>
      <c r="R14" s="216">
        <f t="shared" si="3"/>
        <v>0.85422222222222233</v>
      </c>
      <c r="S14" s="216">
        <f t="shared" si="3"/>
        <v>0.8446289062500002</v>
      </c>
      <c r="T14" s="216">
        <f t="shared" si="3"/>
        <v>0.83131487889273381</v>
      </c>
      <c r="U14" s="216">
        <f t="shared" si="3"/>
        <v>0.81566358024691377</v>
      </c>
      <c r="V14" s="216">
        <f t="shared" si="3"/>
        <v>0.79861495844875363</v>
      </c>
      <c r="W14" s="216">
        <f t="shared" si="3"/>
        <v>0.78081250000000002</v>
      </c>
      <c r="X14" s="216">
        <f t="shared" si="3"/>
        <v>0.76269841269841276</v>
      </c>
      <c r="Y14" s="216">
        <f t="shared" si="3"/>
        <v>0.74457644628099173</v>
      </c>
      <c r="Z14" s="216">
        <f t="shared" si="3"/>
        <v>0.72665406427221191</v>
      </c>
      <c r="AA14" s="216">
        <f t="shared" si="3"/>
        <v>0.70907118055555562</v>
      </c>
      <c r="AB14" s="216">
        <f t="shared" si="3"/>
        <v>0.69191999999999998</v>
      </c>
      <c r="AC14" s="216">
        <f t="shared" si="3"/>
        <v>0.67525887573964494</v>
      </c>
      <c r="AD14" s="216">
        <f t="shared" si="3"/>
        <v>0.65912208504801106</v>
      </c>
    </row>
    <row r="17" spans="9:15" ht="16.5" x14ac:dyDescent="0.45">
      <c r="I17" s="99" t="s">
        <v>590</v>
      </c>
      <c r="J17" s="299" t="s">
        <v>591</v>
      </c>
      <c r="K17" s="300" t="s">
        <v>592</v>
      </c>
    </row>
    <row r="18" spans="9:15" x14ac:dyDescent="0.35">
      <c r="I18" s="99" t="s">
        <v>567</v>
      </c>
      <c r="J18" s="299" t="s">
        <v>599</v>
      </c>
      <c r="K18" s="300" t="s">
        <v>554</v>
      </c>
    </row>
    <row r="19" spans="9:15" x14ac:dyDescent="0.35">
      <c r="I19" s="99">
        <v>8</v>
      </c>
      <c r="J19" s="216">
        <f t="shared" ref="J19:J24" si="4">$K$6/($K$7+I19)*1000</f>
        <v>178.16091954022991</v>
      </c>
      <c r="K19" s="216">
        <f t="shared" ref="K19:K24" si="5">I19*J19/1000</f>
        <v>1.4252873563218393</v>
      </c>
      <c r="L19" s="103"/>
      <c r="M19" s="103"/>
      <c r="N19" s="103"/>
      <c r="O19" s="103"/>
    </row>
    <row r="20" spans="9:15" x14ac:dyDescent="0.35">
      <c r="I20" s="99">
        <v>4</v>
      </c>
      <c r="J20" s="216">
        <f t="shared" si="4"/>
        <v>329.78723404255317</v>
      </c>
      <c r="K20" s="216">
        <f t="shared" si="5"/>
        <v>1.3191489361702127</v>
      </c>
    </row>
    <row r="21" spans="9:15" x14ac:dyDescent="0.35">
      <c r="I21" s="99">
        <v>1.5</v>
      </c>
      <c r="J21" s="216">
        <f t="shared" si="4"/>
        <v>704.5454545454545</v>
      </c>
      <c r="K21" s="216">
        <f t="shared" si="5"/>
        <v>1.0568181818181817</v>
      </c>
    </row>
    <row r="22" spans="9:15" x14ac:dyDescent="0.35">
      <c r="I22" s="99">
        <v>0.75</v>
      </c>
      <c r="J22" s="216">
        <f t="shared" si="4"/>
        <v>1068.9655172413795</v>
      </c>
      <c r="K22" s="216">
        <f t="shared" si="5"/>
        <v>0.8017241379310347</v>
      </c>
    </row>
    <row r="23" spans="9:15" x14ac:dyDescent="0.35">
      <c r="I23" s="99">
        <v>0.3</v>
      </c>
      <c r="J23" s="216">
        <f t="shared" si="4"/>
        <v>1550</v>
      </c>
      <c r="K23" s="216">
        <f t="shared" si="5"/>
        <v>0.46500000000000002</v>
      </c>
    </row>
    <row r="24" spans="9:15" x14ac:dyDescent="0.35">
      <c r="I24" s="99">
        <v>0</v>
      </c>
      <c r="J24" s="216">
        <f t="shared" si="4"/>
        <v>2214.2857142857142</v>
      </c>
      <c r="K24" s="216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/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11" t="s">
        <v>853</v>
      </c>
      <c r="D2" s="94"/>
    </row>
    <row r="4" spans="2:46" ht="16.5" x14ac:dyDescent="0.45">
      <c r="E4" s="8" t="s">
        <v>550</v>
      </c>
      <c r="F4" s="4">
        <v>1</v>
      </c>
      <c r="G4" s="5" t="s">
        <v>321</v>
      </c>
      <c r="I4" s="276" t="s">
        <v>552</v>
      </c>
      <c r="J4" s="4">
        <v>120</v>
      </c>
      <c r="K4" s="5" t="s">
        <v>553</v>
      </c>
      <c r="L4" s="81">
        <f>RADIANS(J4)</f>
        <v>2.0943951023931953</v>
      </c>
      <c r="M4" s="5" t="s">
        <v>203</v>
      </c>
      <c r="T4" s="5" t="s">
        <v>475</v>
      </c>
      <c r="U4" s="81">
        <f>MIN(F8:AT8)</f>
        <v>0</v>
      </c>
      <c r="V4" s="81">
        <f>MAX(F8:AT8)</f>
        <v>400</v>
      </c>
      <c r="Y4" s="5" t="s">
        <v>476</v>
      </c>
      <c r="Z4" s="5">
        <v>0</v>
      </c>
      <c r="AA4" s="5">
        <v>0</v>
      </c>
      <c r="AC4" s="5" t="s">
        <v>65</v>
      </c>
    </row>
    <row r="5" spans="2:46" ht="16.5" x14ac:dyDescent="0.45">
      <c r="E5" s="8" t="s">
        <v>551</v>
      </c>
      <c r="F5" s="4">
        <v>2</v>
      </c>
      <c r="G5" s="5" t="s">
        <v>39</v>
      </c>
      <c r="I5" s="276" t="s">
        <v>556</v>
      </c>
      <c r="J5" s="4">
        <v>90</v>
      </c>
      <c r="K5" s="5" t="s">
        <v>553</v>
      </c>
      <c r="L5" s="81">
        <f>RADIANS(J5)</f>
        <v>1.5707963267948966</v>
      </c>
      <c r="M5" s="5" t="s">
        <v>203</v>
      </c>
      <c r="T5" s="5"/>
      <c r="U5" s="5">
        <v>0</v>
      </c>
      <c r="V5" s="5">
        <v>0</v>
      </c>
      <c r="Y5" s="78"/>
      <c r="Z5" s="216">
        <f>MIN(F10:AT13)</f>
        <v>-2</v>
      </c>
      <c r="AA5" s="216">
        <f>MAX(F10:AT13)</f>
        <v>2</v>
      </c>
      <c r="AC5" s="5" t="s">
        <v>66</v>
      </c>
    </row>
    <row r="6" spans="2:46" x14ac:dyDescent="0.35">
      <c r="E6" s="1"/>
      <c r="H6" s="275"/>
    </row>
    <row r="7" spans="2:46" x14ac:dyDescent="0.35">
      <c r="E7" s="8" t="s">
        <v>318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9" t="s">
        <v>416</v>
      </c>
      <c r="D8" s="5"/>
      <c r="E8" s="99" t="s">
        <v>299</v>
      </c>
      <c r="F8" s="229">
        <v>0</v>
      </c>
      <c r="G8" s="81">
        <f>F8+$F$7</f>
        <v>10</v>
      </c>
      <c r="H8" s="81">
        <f t="shared" ref="H8:AT8" si="0">G8+$F$7</f>
        <v>20</v>
      </c>
      <c r="I8" s="81">
        <f t="shared" si="0"/>
        <v>30</v>
      </c>
      <c r="J8" s="81">
        <f t="shared" si="0"/>
        <v>40</v>
      </c>
      <c r="K8" s="81">
        <f t="shared" si="0"/>
        <v>50</v>
      </c>
      <c r="L8" s="81">
        <f t="shared" si="0"/>
        <v>60</v>
      </c>
      <c r="M8" s="81">
        <f t="shared" si="0"/>
        <v>70</v>
      </c>
      <c r="N8" s="81">
        <f t="shared" si="0"/>
        <v>80</v>
      </c>
      <c r="O8" s="81">
        <f t="shared" si="0"/>
        <v>90</v>
      </c>
      <c r="P8" s="81">
        <f t="shared" si="0"/>
        <v>100</v>
      </c>
      <c r="Q8" s="81">
        <f t="shared" si="0"/>
        <v>110</v>
      </c>
      <c r="R8" s="81">
        <f t="shared" si="0"/>
        <v>120</v>
      </c>
      <c r="S8" s="81">
        <f t="shared" si="0"/>
        <v>130</v>
      </c>
      <c r="T8" s="81">
        <f t="shared" si="0"/>
        <v>140</v>
      </c>
      <c r="U8" s="81">
        <f t="shared" si="0"/>
        <v>150</v>
      </c>
      <c r="V8" s="81">
        <f t="shared" si="0"/>
        <v>160</v>
      </c>
      <c r="W8" s="81">
        <f t="shared" si="0"/>
        <v>170</v>
      </c>
      <c r="X8" s="81">
        <f t="shared" si="0"/>
        <v>180</v>
      </c>
      <c r="Y8" s="81">
        <f t="shared" si="0"/>
        <v>190</v>
      </c>
      <c r="Z8" s="81">
        <f t="shared" si="0"/>
        <v>200</v>
      </c>
      <c r="AA8" s="81">
        <f t="shared" si="0"/>
        <v>210</v>
      </c>
      <c r="AB8" s="81">
        <f t="shared" si="0"/>
        <v>220</v>
      </c>
      <c r="AC8" s="81">
        <f t="shared" si="0"/>
        <v>230</v>
      </c>
      <c r="AD8" s="81">
        <f t="shared" si="0"/>
        <v>240</v>
      </c>
      <c r="AE8" s="81">
        <f t="shared" si="0"/>
        <v>250</v>
      </c>
      <c r="AF8" s="81">
        <f t="shared" si="0"/>
        <v>260</v>
      </c>
      <c r="AG8" s="81">
        <f t="shared" si="0"/>
        <v>270</v>
      </c>
      <c r="AH8" s="81">
        <f t="shared" si="0"/>
        <v>280</v>
      </c>
      <c r="AI8" s="81">
        <f t="shared" si="0"/>
        <v>290</v>
      </c>
      <c r="AJ8" s="81">
        <f t="shared" si="0"/>
        <v>300</v>
      </c>
      <c r="AK8" s="81">
        <f t="shared" si="0"/>
        <v>310</v>
      </c>
      <c r="AL8" s="81">
        <f t="shared" si="0"/>
        <v>320</v>
      </c>
      <c r="AM8" s="81">
        <f t="shared" si="0"/>
        <v>330</v>
      </c>
      <c r="AN8" s="81">
        <f t="shared" si="0"/>
        <v>340</v>
      </c>
      <c r="AO8" s="81">
        <f t="shared" si="0"/>
        <v>350</v>
      </c>
      <c r="AP8" s="81">
        <f t="shared" si="0"/>
        <v>360</v>
      </c>
      <c r="AQ8" s="81">
        <f t="shared" si="0"/>
        <v>370</v>
      </c>
      <c r="AR8" s="81">
        <f t="shared" si="0"/>
        <v>380</v>
      </c>
      <c r="AS8" s="81">
        <f t="shared" si="0"/>
        <v>390</v>
      </c>
      <c r="AT8" s="81">
        <f t="shared" si="0"/>
        <v>400</v>
      </c>
    </row>
    <row r="9" spans="2:46" x14ac:dyDescent="0.35">
      <c r="C9" s="99" t="s">
        <v>416</v>
      </c>
      <c r="D9" s="5"/>
      <c r="E9" s="99" t="s">
        <v>301</v>
      </c>
      <c r="F9" s="216">
        <f>F8*PI()/180</f>
        <v>0</v>
      </c>
      <c r="G9" s="216">
        <f t="shared" ref="G9:AT9" si="1">G8*PI()/180</f>
        <v>0.17453292519943295</v>
      </c>
      <c r="H9" s="216">
        <f t="shared" si="1"/>
        <v>0.3490658503988659</v>
      </c>
      <c r="I9" s="216">
        <f t="shared" si="1"/>
        <v>0.52359877559829882</v>
      </c>
      <c r="J9" s="216">
        <f t="shared" si="1"/>
        <v>0.69813170079773179</v>
      </c>
      <c r="K9" s="216">
        <f t="shared" si="1"/>
        <v>0.87266462599716477</v>
      </c>
      <c r="L9" s="216">
        <f t="shared" si="1"/>
        <v>1.0471975511965976</v>
      </c>
      <c r="M9" s="216">
        <f t="shared" si="1"/>
        <v>1.2217304763960306</v>
      </c>
      <c r="N9" s="216">
        <f t="shared" si="1"/>
        <v>1.3962634015954636</v>
      </c>
      <c r="O9" s="216">
        <f t="shared" si="1"/>
        <v>1.5707963267948966</v>
      </c>
      <c r="P9" s="216">
        <f t="shared" si="1"/>
        <v>1.7453292519943295</v>
      </c>
      <c r="Q9" s="216">
        <f t="shared" si="1"/>
        <v>1.9198621771937625</v>
      </c>
      <c r="R9" s="216">
        <f t="shared" si="1"/>
        <v>2.0943951023931953</v>
      </c>
      <c r="S9" s="216">
        <f t="shared" si="1"/>
        <v>2.2689280275926285</v>
      </c>
      <c r="T9" s="216">
        <f t="shared" si="1"/>
        <v>2.4434609527920612</v>
      </c>
      <c r="U9" s="216">
        <f t="shared" si="1"/>
        <v>2.6179938779914944</v>
      </c>
      <c r="V9" s="216">
        <f t="shared" si="1"/>
        <v>2.7925268031909272</v>
      </c>
      <c r="W9" s="216">
        <f t="shared" si="1"/>
        <v>2.9670597283903604</v>
      </c>
      <c r="X9" s="216">
        <f t="shared" si="1"/>
        <v>3.1415926535897931</v>
      </c>
      <c r="Y9" s="216">
        <f t="shared" si="1"/>
        <v>3.3161255787892263</v>
      </c>
      <c r="Z9" s="216">
        <f t="shared" si="1"/>
        <v>3.4906585039886591</v>
      </c>
      <c r="AA9" s="216">
        <f t="shared" si="1"/>
        <v>3.6651914291880923</v>
      </c>
      <c r="AB9" s="216">
        <f t="shared" si="1"/>
        <v>3.839724354387525</v>
      </c>
      <c r="AC9" s="216">
        <f t="shared" si="1"/>
        <v>4.0142572795869578</v>
      </c>
      <c r="AD9" s="216">
        <f t="shared" si="1"/>
        <v>4.1887902047863905</v>
      </c>
      <c r="AE9" s="216">
        <f t="shared" si="1"/>
        <v>4.3633231299858233</v>
      </c>
      <c r="AF9" s="216">
        <f t="shared" si="1"/>
        <v>4.5378560551852569</v>
      </c>
      <c r="AG9" s="216">
        <f t="shared" si="1"/>
        <v>4.7123889803846897</v>
      </c>
      <c r="AH9" s="216">
        <f t="shared" si="1"/>
        <v>4.8869219055841224</v>
      </c>
      <c r="AI9" s="216">
        <f t="shared" si="1"/>
        <v>5.0614548307835552</v>
      </c>
      <c r="AJ9" s="216">
        <f t="shared" si="1"/>
        <v>5.2359877559829888</v>
      </c>
      <c r="AK9" s="216">
        <f t="shared" si="1"/>
        <v>5.4105206811824216</v>
      </c>
      <c r="AL9" s="216">
        <f t="shared" si="1"/>
        <v>5.5850536063818543</v>
      </c>
      <c r="AM9" s="216">
        <f t="shared" si="1"/>
        <v>5.7595865315812871</v>
      </c>
      <c r="AN9" s="216">
        <f t="shared" si="1"/>
        <v>5.9341194567807207</v>
      </c>
      <c r="AO9" s="216">
        <f t="shared" si="1"/>
        <v>6.1086523819801526</v>
      </c>
      <c r="AP9" s="216">
        <f t="shared" si="1"/>
        <v>6.2831853071795862</v>
      </c>
      <c r="AQ9" s="216">
        <f t="shared" si="1"/>
        <v>6.457718232379019</v>
      </c>
      <c r="AR9" s="216">
        <f t="shared" si="1"/>
        <v>6.6322511575784526</v>
      </c>
      <c r="AS9" s="216">
        <f t="shared" si="1"/>
        <v>6.8067840827778845</v>
      </c>
      <c r="AT9" s="216">
        <f t="shared" si="1"/>
        <v>6.9813170079773181</v>
      </c>
    </row>
    <row r="10" spans="2:46" ht="24" x14ac:dyDescent="0.65">
      <c r="B10" s="108" t="s">
        <v>65</v>
      </c>
      <c r="C10" s="277" t="s">
        <v>558</v>
      </c>
      <c r="D10" s="281" t="s">
        <v>560</v>
      </c>
      <c r="E10" s="278" t="s">
        <v>554</v>
      </c>
      <c r="F10" s="216">
        <f>IF($B$10=$AC$4,$F$4*SIN(F9+$L$4),0)</f>
        <v>0.86602540378443871</v>
      </c>
      <c r="G10" s="216">
        <f t="shared" ref="G10:AT10" si="2">IF($B$10=$AC$4,$F$4*SIN(G9+$L$4),0)</f>
        <v>0.76604444311897835</v>
      </c>
      <c r="H10" s="216">
        <f t="shared" si="2"/>
        <v>0.64278760968653947</v>
      </c>
      <c r="I10" s="216">
        <f t="shared" si="2"/>
        <v>0.50000000000000033</v>
      </c>
      <c r="J10" s="216">
        <f t="shared" si="2"/>
        <v>0.34202014332566888</v>
      </c>
      <c r="K10" s="216">
        <f t="shared" si="2"/>
        <v>0.17364817766693069</v>
      </c>
      <c r="L10" s="216">
        <f t="shared" si="2"/>
        <v>1.22514845490862E-16</v>
      </c>
      <c r="M10" s="216">
        <f t="shared" si="2"/>
        <v>-0.17364817766693003</v>
      </c>
      <c r="N10" s="216">
        <f t="shared" si="2"/>
        <v>-0.34202014332566821</v>
      </c>
      <c r="O10" s="216">
        <f t="shared" si="2"/>
        <v>-0.49999999999999972</v>
      </c>
      <c r="P10" s="216">
        <f t="shared" si="2"/>
        <v>-0.64278760968653925</v>
      </c>
      <c r="Q10" s="216">
        <f t="shared" si="2"/>
        <v>-0.7660444431189779</v>
      </c>
      <c r="R10" s="216">
        <f t="shared" si="2"/>
        <v>-0.86602540378443837</v>
      </c>
      <c r="S10" s="216">
        <f t="shared" si="2"/>
        <v>-0.93969262078590843</v>
      </c>
      <c r="T10" s="216">
        <f t="shared" si="2"/>
        <v>-0.98480775301220802</v>
      </c>
      <c r="U10" s="216">
        <f t="shared" si="2"/>
        <v>-1</v>
      </c>
      <c r="V10" s="216">
        <f t="shared" si="2"/>
        <v>-0.98480775301220813</v>
      </c>
      <c r="W10" s="216">
        <f t="shared" si="2"/>
        <v>-0.93969262078590854</v>
      </c>
      <c r="X10" s="216">
        <f t="shared" si="2"/>
        <v>-0.86602540378443904</v>
      </c>
      <c r="Y10" s="216">
        <f t="shared" si="2"/>
        <v>-0.76604444311897812</v>
      </c>
      <c r="Z10" s="216">
        <f t="shared" si="2"/>
        <v>-0.64278760968653958</v>
      </c>
      <c r="AA10" s="216">
        <f t="shared" si="2"/>
        <v>-0.49999999999999967</v>
      </c>
      <c r="AB10" s="216">
        <f t="shared" si="2"/>
        <v>-0.3420201433256686</v>
      </c>
      <c r="AC10" s="216">
        <f t="shared" si="2"/>
        <v>-0.17364817766693039</v>
      </c>
      <c r="AD10" s="216">
        <f t="shared" si="2"/>
        <v>-2.45029690981724E-16</v>
      </c>
      <c r="AE10" s="216">
        <f t="shared" si="2"/>
        <v>0.17364817766692991</v>
      </c>
      <c r="AF10" s="216">
        <f t="shared" si="2"/>
        <v>0.3420201433256681</v>
      </c>
      <c r="AG10" s="216">
        <f t="shared" si="2"/>
        <v>0.49999999999999928</v>
      </c>
      <c r="AH10" s="216">
        <f t="shared" si="2"/>
        <v>0.64278760968653847</v>
      </c>
      <c r="AI10" s="216">
        <f t="shared" si="2"/>
        <v>0.76604444311897724</v>
      </c>
      <c r="AJ10" s="216">
        <f t="shared" si="2"/>
        <v>0.86602540378443882</v>
      </c>
      <c r="AK10" s="216">
        <f t="shared" si="2"/>
        <v>0.93969262078590843</v>
      </c>
      <c r="AL10" s="216">
        <f t="shared" si="2"/>
        <v>0.98480775301220802</v>
      </c>
      <c r="AM10" s="216">
        <f t="shared" si="2"/>
        <v>1</v>
      </c>
      <c r="AN10" s="216">
        <f t="shared" si="2"/>
        <v>0.98480775301220813</v>
      </c>
      <c r="AO10" s="216">
        <f t="shared" si="2"/>
        <v>0.93969262078590865</v>
      </c>
      <c r="AP10" s="216">
        <f t="shared" si="2"/>
        <v>0.86602540378443915</v>
      </c>
      <c r="AQ10" s="216">
        <f t="shared" si="2"/>
        <v>0.76604444311897879</v>
      </c>
      <c r="AR10" s="216">
        <f t="shared" si="2"/>
        <v>0.64278760968653903</v>
      </c>
      <c r="AS10" s="216">
        <f t="shared" si="2"/>
        <v>0.50000000000000133</v>
      </c>
      <c r="AT10" s="216">
        <f t="shared" si="2"/>
        <v>0.34202014332566871</v>
      </c>
    </row>
    <row r="11" spans="2:46" ht="24" x14ac:dyDescent="0.65">
      <c r="B11" s="108" t="s">
        <v>65</v>
      </c>
      <c r="C11" s="279" t="s">
        <v>559</v>
      </c>
      <c r="D11" s="282" t="s">
        <v>561</v>
      </c>
      <c r="E11" s="280" t="s">
        <v>555</v>
      </c>
      <c r="F11" s="216">
        <f>IF($B$11=$AC$4,$F$5*SIN(F9+$L$5),0)</f>
        <v>2</v>
      </c>
      <c r="G11" s="216">
        <f t="shared" ref="G11:AT11" si="3">IF($B$11=$AC$4,$F$5*SIN(G9+$L$5),0)</f>
        <v>1.969615506024416</v>
      </c>
      <c r="H11" s="216">
        <f t="shared" si="3"/>
        <v>1.8793852415718169</v>
      </c>
      <c r="I11" s="216">
        <f t="shared" si="3"/>
        <v>1.7320508075688774</v>
      </c>
      <c r="J11" s="216">
        <f t="shared" si="3"/>
        <v>1.532088886237956</v>
      </c>
      <c r="K11" s="216">
        <f t="shared" si="3"/>
        <v>1.2855752193730789</v>
      </c>
      <c r="L11" s="216">
        <f t="shared" si="3"/>
        <v>1.0000000000000007</v>
      </c>
      <c r="M11" s="216">
        <f t="shared" si="3"/>
        <v>0.68404028665133776</v>
      </c>
      <c r="N11" s="216">
        <f t="shared" si="3"/>
        <v>0.34729635533386055</v>
      </c>
      <c r="O11" s="216">
        <f t="shared" si="3"/>
        <v>2.45029690981724E-16</v>
      </c>
      <c r="P11" s="216">
        <f t="shared" si="3"/>
        <v>-0.34729635533386005</v>
      </c>
      <c r="Q11" s="216">
        <f t="shared" si="3"/>
        <v>-0.68404028665133731</v>
      </c>
      <c r="R11" s="216">
        <f t="shared" si="3"/>
        <v>-0.99999999999999944</v>
      </c>
      <c r="S11" s="216">
        <f t="shared" si="3"/>
        <v>-1.2855752193730785</v>
      </c>
      <c r="T11" s="216">
        <f t="shared" si="3"/>
        <v>-1.5320888862379558</v>
      </c>
      <c r="U11" s="216">
        <f t="shared" si="3"/>
        <v>-1.7320508075688776</v>
      </c>
      <c r="V11" s="216">
        <f t="shared" si="3"/>
        <v>-1.8793852415718169</v>
      </c>
      <c r="W11" s="216">
        <f t="shared" si="3"/>
        <v>-1.969615506024416</v>
      </c>
      <c r="X11" s="216">
        <f t="shared" si="3"/>
        <v>-2</v>
      </c>
      <c r="Y11" s="216">
        <f t="shared" si="3"/>
        <v>-1.9696155060244163</v>
      </c>
      <c r="Z11" s="216">
        <f t="shared" si="3"/>
        <v>-1.8793852415718171</v>
      </c>
      <c r="AA11" s="216">
        <f t="shared" si="3"/>
        <v>-1.7320508075688772</v>
      </c>
      <c r="AB11" s="216">
        <f t="shared" si="3"/>
        <v>-1.5320888862379562</v>
      </c>
      <c r="AC11" s="216">
        <f t="shared" si="3"/>
        <v>-1.2855752193730792</v>
      </c>
      <c r="AD11" s="216">
        <f t="shared" si="3"/>
        <v>-1.0000000000000009</v>
      </c>
      <c r="AE11" s="216">
        <f t="shared" si="3"/>
        <v>-0.68404028665133887</v>
      </c>
      <c r="AF11" s="216">
        <f t="shared" si="3"/>
        <v>-0.34729635533386077</v>
      </c>
      <c r="AG11" s="216">
        <f t="shared" si="3"/>
        <v>-4.90059381963448E-16</v>
      </c>
      <c r="AH11" s="216">
        <f t="shared" si="3"/>
        <v>0.34729635533385983</v>
      </c>
      <c r="AI11" s="216">
        <f t="shared" si="3"/>
        <v>0.6840402866513362</v>
      </c>
      <c r="AJ11" s="216">
        <f t="shared" si="3"/>
        <v>1</v>
      </c>
      <c r="AK11" s="216">
        <f t="shared" si="3"/>
        <v>1.2855752193730783</v>
      </c>
      <c r="AL11" s="216">
        <f t="shared" si="3"/>
        <v>1.5320888862379556</v>
      </c>
      <c r="AM11" s="216">
        <f t="shared" si="3"/>
        <v>1.7320508075688767</v>
      </c>
      <c r="AN11" s="216">
        <f t="shared" si="3"/>
        <v>1.8793852415718169</v>
      </c>
      <c r="AO11" s="216">
        <f t="shared" si="3"/>
        <v>1.9696155060244158</v>
      </c>
      <c r="AP11" s="216">
        <f t="shared" si="3"/>
        <v>2</v>
      </c>
      <c r="AQ11" s="216">
        <f t="shared" si="3"/>
        <v>1.9696155060244163</v>
      </c>
      <c r="AR11" s="216">
        <f t="shared" si="3"/>
        <v>1.879385241571816</v>
      </c>
      <c r="AS11" s="216">
        <f t="shared" si="3"/>
        <v>1.7320508075688783</v>
      </c>
      <c r="AT11" s="216">
        <f t="shared" si="3"/>
        <v>1.5320888862379551</v>
      </c>
    </row>
    <row r="12" spans="2:46" ht="21.5" x14ac:dyDescent="0.55000000000000004">
      <c r="B12" s="108" t="s">
        <v>66</v>
      </c>
      <c r="C12" s="283" t="s">
        <v>562</v>
      </c>
      <c r="D12" s="284" t="str">
        <f>IF($J$4=$J$5,"Umomentan^2 / R","Nicht gleichphasig")</f>
        <v>Nicht gleichphasig</v>
      </c>
      <c r="E12" s="285" t="s">
        <v>557</v>
      </c>
      <c r="F12" s="216">
        <f>IF($B$12=$AC$4,IF($J$4=$J$5,F10^2,0),0)</f>
        <v>0</v>
      </c>
      <c r="G12" s="216">
        <f t="shared" ref="G12:AT12" si="4">IF($B$12=$AC$4,IF($J$4=$J$5,G10^2,0),0)</f>
        <v>0</v>
      </c>
      <c r="H12" s="216">
        <f t="shared" si="4"/>
        <v>0</v>
      </c>
      <c r="I12" s="216">
        <f t="shared" si="4"/>
        <v>0</v>
      </c>
      <c r="J12" s="216">
        <f t="shared" si="4"/>
        <v>0</v>
      </c>
      <c r="K12" s="216">
        <f t="shared" si="4"/>
        <v>0</v>
      </c>
      <c r="L12" s="216">
        <f t="shared" si="4"/>
        <v>0</v>
      </c>
      <c r="M12" s="216">
        <f t="shared" si="4"/>
        <v>0</v>
      </c>
      <c r="N12" s="216">
        <f t="shared" si="4"/>
        <v>0</v>
      </c>
      <c r="O12" s="216">
        <f t="shared" si="4"/>
        <v>0</v>
      </c>
      <c r="P12" s="216">
        <f t="shared" si="4"/>
        <v>0</v>
      </c>
      <c r="Q12" s="216">
        <f t="shared" si="4"/>
        <v>0</v>
      </c>
      <c r="R12" s="216">
        <f t="shared" si="4"/>
        <v>0</v>
      </c>
      <c r="S12" s="216">
        <f t="shared" si="4"/>
        <v>0</v>
      </c>
      <c r="T12" s="216">
        <f t="shared" si="4"/>
        <v>0</v>
      </c>
      <c r="U12" s="216">
        <f t="shared" si="4"/>
        <v>0</v>
      </c>
      <c r="V12" s="216">
        <f t="shared" si="4"/>
        <v>0</v>
      </c>
      <c r="W12" s="216">
        <f t="shared" si="4"/>
        <v>0</v>
      </c>
      <c r="X12" s="216">
        <f t="shared" si="4"/>
        <v>0</v>
      </c>
      <c r="Y12" s="216">
        <f t="shared" si="4"/>
        <v>0</v>
      </c>
      <c r="Z12" s="216">
        <f t="shared" si="4"/>
        <v>0</v>
      </c>
      <c r="AA12" s="216">
        <f t="shared" si="4"/>
        <v>0</v>
      </c>
      <c r="AB12" s="216">
        <f t="shared" si="4"/>
        <v>0</v>
      </c>
      <c r="AC12" s="216">
        <f t="shared" si="4"/>
        <v>0</v>
      </c>
      <c r="AD12" s="216">
        <f t="shared" si="4"/>
        <v>0</v>
      </c>
      <c r="AE12" s="216">
        <f t="shared" si="4"/>
        <v>0</v>
      </c>
      <c r="AF12" s="216">
        <f t="shared" si="4"/>
        <v>0</v>
      </c>
      <c r="AG12" s="216">
        <f t="shared" si="4"/>
        <v>0</v>
      </c>
      <c r="AH12" s="216">
        <f t="shared" si="4"/>
        <v>0</v>
      </c>
      <c r="AI12" s="216">
        <f t="shared" si="4"/>
        <v>0</v>
      </c>
      <c r="AJ12" s="216">
        <f t="shared" si="4"/>
        <v>0</v>
      </c>
      <c r="AK12" s="216">
        <f t="shared" si="4"/>
        <v>0</v>
      </c>
      <c r="AL12" s="216">
        <f t="shared" si="4"/>
        <v>0</v>
      </c>
      <c r="AM12" s="216">
        <f t="shared" si="4"/>
        <v>0</v>
      </c>
      <c r="AN12" s="216">
        <f t="shared" si="4"/>
        <v>0</v>
      </c>
      <c r="AO12" s="216">
        <f t="shared" si="4"/>
        <v>0</v>
      </c>
      <c r="AP12" s="216">
        <f t="shared" si="4"/>
        <v>0</v>
      </c>
      <c r="AQ12" s="216">
        <f t="shared" si="4"/>
        <v>0</v>
      </c>
      <c r="AR12" s="216">
        <f t="shared" si="4"/>
        <v>0</v>
      </c>
      <c r="AS12" s="216">
        <f t="shared" si="4"/>
        <v>0</v>
      </c>
      <c r="AT12" s="216">
        <f t="shared" si="4"/>
        <v>0</v>
      </c>
    </row>
    <row r="13" spans="2:46" ht="21.5" x14ac:dyDescent="0.55000000000000004">
      <c r="B13" s="108" t="s">
        <v>65</v>
      </c>
      <c r="C13" s="283" t="s">
        <v>562</v>
      </c>
      <c r="D13" s="282" t="s">
        <v>563</v>
      </c>
      <c r="E13" s="285" t="s">
        <v>557</v>
      </c>
      <c r="F13" s="216">
        <f>IF($B$13=$AC$4,F10*F11,0)</f>
        <v>1.7320508075688774</v>
      </c>
      <c r="G13" s="216">
        <f t="shared" ref="G13:AT13" si="5">IF($B$13=$AC$4,G10*G11,0)</f>
        <v>1.5088130134709785</v>
      </c>
      <c r="H13" s="216">
        <f t="shared" si="5"/>
        <v>1.2080455471101077</v>
      </c>
      <c r="I13" s="216">
        <f t="shared" si="5"/>
        <v>0.86602540378443926</v>
      </c>
      <c r="J13" s="216">
        <f t="shared" si="5"/>
        <v>0.52400526045877016</v>
      </c>
      <c r="K13" s="216">
        <f t="shared" si="5"/>
        <v>0.22323779409789982</v>
      </c>
      <c r="L13" s="216">
        <f t="shared" si="5"/>
        <v>1.2251484549086207E-16</v>
      </c>
      <c r="M13" s="216">
        <f t="shared" si="5"/>
        <v>-0.11878234922776924</v>
      </c>
      <c r="N13" s="216">
        <f t="shared" si="5"/>
        <v>-0.11878234922776919</v>
      </c>
      <c r="O13" s="216">
        <f t="shared" si="5"/>
        <v>-1.2251484549086193E-16</v>
      </c>
      <c r="P13" s="216">
        <f t="shared" si="5"/>
        <v>0.22323779409789887</v>
      </c>
      <c r="Q13" s="216">
        <f t="shared" si="5"/>
        <v>0.52400526045876972</v>
      </c>
      <c r="R13" s="216">
        <f t="shared" si="5"/>
        <v>0.86602540378443793</v>
      </c>
      <c r="S13" s="216">
        <f t="shared" si="5"/>
        <v>1.2080455471101073</v>
      </c>
      <c r="T13" s="216">
        <f t="shared" si="5"/>
        <v>1.5088130134709776</v>
      </c>
      <c r="U13" s="216">
        <f t="shared" si="5"/>
        <v>1.7320508075688776</v>
      </c>
      <c r="V13" s="216">
        <f t="shared" si="5"/>
        <v>1.8508331567966469</v>
      </c>
      <c r="W13" s="216">
        <f t="shared" si="5"/>
        <v>1.8508331567966469</v>
      </c>
      <c r="X13" s="216">
        <f t="shared" si="5"/>
        <v>1.7320508075688781</v>
      </c>
      <c r="Y13" s="216">
        <f t="shared" si="5"/>
        <v>1.5088130134709783</v>
      </c>
      <c r="Z13" s="216">
        <f t="shared" si="5"/>
        <v>1.2080455471101081</v>
      </c>
      <c r="AA13" s="216">
        <f t="shared" si="5"/>
        <v>0.86602540378443804</v>
      </c>
      <c r="AB13" s="216">
        <f t="shared" si="5"/>
        <v>0.52400526045876983</v>
      </c>
      <c r="AC13" s="216">
        <f t="shared" si="5"/>
        <v>0.22323779409789946</v>
      </c>
      <c r="AD13" s="216">
        <f t="shared" si="5"/>
        <v>2.450296909817242E-16</v>
      </c>
      <c r="AE13" s="216">
        <f t="shared" si="5"/>
        <v>-0.11878234922776935</v>
      </c>
      <c r="AF13" s="216">
        <f t="shared" si="5"/>
        <v>-0.11878234922776922</v>
      </c>
      <c r="AG13" s="216">
        <f t="shared" si="5"/>
        <v>-2.4502969098172366E-16</v>
      </c>
      <c r="AH13" s="216">
        <f t="shared" si="5"/>
        <v>0.22323779409789846</v>
      </c>
      <c r="AI13" s="216">
        <f t="shared" si="5"/>
        <v>0.52400526045876838</v>
      </c>
      <c r="AJ13" s="216">
        <f t="shared" si="5"/>
        <v>0.86602540378443882</v>
      </c>
      <c r="AK13" s="216">
        <f t="shared" si="5"/>
        <v>1.208045547110107</v>
      </c>
      <c r="AL13" s="216">
        <f t="shared" si="5"/>
        <v>1.5088130134709774</v>
      </c>
      <c r="AM13" s="216">
        <f t="shared" si="5"/>
        <v>1.7320508075688767</v>
      </c>
      <c r="AN13" s="216">
        <f t="shared" si="5"/>
        <v>1.8508331567966469</v>
      </c>
      <c r="AO13" s="216">
        <f t="shared" si="5"/>
        <v>1.8508331567966469</v>
      </c>
      <c r="AP13" s="216">
        <f t="shared" si="5"/>
        <v>1.7320508075688783</v>
      </c>
      <c r="AQ13" s="216">
        <f t="shared" si="5"/>
        <v>1.5088130134709796</v>
      </c>
      <c r="AR13" s="216">
        <f t="shared" si="5"/>
        <v>1.2080455471101064</v>
      </c>
      <c r="AS13" s="216">
        <f t="shared" si="5"/>
        <v>0.86602540378444148</v>
      </c>
      <c r="AT13" s="216">
        <f t="shared" si="5"/>
        <v>0.52400526045876961</v>
      </c>
    </row>
    <row r="16" spans="2:46" ht="15" thickBot="1" x14ac:dyDescent="0.4"/>
    <row r="17" spans="6:10" ht="26.5" thickBot="1" x14ac:dyDescent="0.65">
      <c r="F17" s="286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7"/>
      <c r="H17" s="287"/>
      <c r="I17" s="287"/>
      <c r="J17" s="288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33" t="s">
        <v>239</v>
      </c>
      <c r="D2" s="33"/>
      <c r="L2" s="109" t="s">
        <v>255</v>
      </c>
      <c r="M2" s="110" t="s">
        <v>258</v>
      </c>
      <c r="N2" s="95"/>
    </row>
    <row r="3" spans="3:25" x14ac:dyDescent="0.35">
      <c r="L3" s="99" t="s">
        <v>202</v>
      </c>
      <c r="M3" s="99" t="s">
        <v>260</v>
      </c>
      <c r="T3" s="70"/>
      <c r="X3" s="103"/>
      <c r="Y3" s="103"/>
    </row>
    <row r="4" spans="3:25" x14ac:dyDescent="0.35">
      <c r="L4" s="99" t="s">
        <v>203</v>
      </c>
      <c r="M4" s="99" t="s">
        <v>259</v>
      </c>
      <c r="T4" s="70"/>
    </row>
    <row r="5" spans="3:25" x14ac:dyDescent="0.35">
      <c r="L5" s="99"/>
      <c r="M5" s="99" t="s">
        <v>248</v>
      </c>
      <c r="T5" s="70"/>
    </row>
    <row r="6" spans="3:25" x14ac:dyDescent="0.35">
      <c r="L6" s="99"/>
      <c r="M6" s="99" t="s">
        <v>257</v>
      </c>
    </row>
    <row r="20" spans="4:35" x14ac:dyDescent="0.35">
      <c r="D20" s="5" t="s">
        <v>245</v>
      </c>
      <c r="E20" s="8" t="s">
        <v>246</v>
      </c>
      <c r="F20" s="79">
        <v>5</v>
      </c>
      <c r="G20" s="4" t="s">
        <v>259</v>
      </c>
      <c r="I20" s="103"/>
      <c r="K20" s="5" t="s">
        <v>263</v>
      </c>
      <c r="L20" s="5"/>
    </row>
    <row r="21" spans="4:35" x14ac:dyDescent="0.35">
      <c r="D21" s="5" t="s">
        <v>253</v>
      </c>
      <c r="E21" s="8" t="s">
        <v>254</v>
      </c>
      <c r="F21" s="79">
        <v>31</v>
      </c>
      <c r="G21" s="4" t="s">
        <v>202</v>
      </c>
      <c r="I21" s="103"/>
      <c r="K21" s="8" t="s">
        <v>266</v>
      </c>
      <c r="L21" s="117">
        <v>0.6</v>
      </c>
    </row>
    <row r="22" spans="4:35" x14ac:dyDescent="0.35">
      <c r="D22" s="111"/>
      <c r="E22" s="8" t="str">
        <f>E21</f>
        <v xml:space="preserve">α = </v>
      </c>
      <c r="F22" s="112">
        <f>IF(G21=G22,F21,F21*180/PI())</f>
        <v>31</v>
      </c>
      <c r="G22" s="111" t="str">
        <f>L3</f>
        <v>°</v>
      </c>
      <c r="I22" s="103"/>
      <c r="K22" s="8" t="s">
        <v>267</v>
      </c>
      <c r="L22" s="119">
        <v>0.2</v>
      </c>
    </row>
    <row r="23" spans="4:35" x14ac:dyDescent="0.35">
      <c r="D23" s="111"/>
      <c r="E23" s="8" t="str">
        <f>E21</f>
        <v xml:space="preserve">α = </v>
      </c>
      <c r="F23" s="112">
        <f>IF(G21=G23,F21,F21*PI()/180)</f>
        <v>0.54105206811824214</v>
      </c>
      <c r="G23" s="111" t="str">
        <f>L4</f>
        <v>rad</v>
      </c>
      <c r="I23" s="103"/>
      <c r="K23" s="5" t="s">
        <v>298</v>
      </c>
      <c r="L23" s="118">
        <f>DEGREES(ATAN(L21))</f>
        <v>30.963756532073521</v>
      </c>
      <c r="M23" s="5" t="s">
        <v>299</v>
      </c>
      <c r="O23" s="5">
        <f>L23*PI()/180</f>
        <v>0.54041950027058416</v>
      </c>
      <c r="P23" s="5" t="s">
        <v>301</v>
      </c>
    </row>
    <row r="24" spans="4:35" ht="16.5" x14ac:dyDescent="0.35">
      <c r="D24" s="5" t="s">
        <v>247</v>
      </c>
      <c r="E24" s="8" t="s">
        <v>303</v>
      </c>
      <c r="F24" s="78">
        <v>9.81</v>
      </c>
      <c r="G24" s="5" t="s">
        <v>249</v>
      </c>
      <c r="K24" s="5" t="s">
        <v>300</v>
      </c>
      <c r="L24" s="118">
        <f>DEGREES(ATAN(L22))</f>
        <v>11.309932474020215</v>
      </c>
      <c r="M24" s="5" t="s">
        <v>299</v>
      </c>
      <c r="O24" s="5">
        <f>L24*PI()/180</f>
        <v>0.1973955598498808</v>
      </c>
      <c r="P24" s="5" t="s">
        <v>301</v>
      </c>
    </row>
    <row r="26" spans="4:35" ht="16.5" x14ac:dyDescent="0.45">
      <c r="D26" s="5" t="s">
        <v>256</v>
      </c>
      <c r="E26" s="8" t="s">
        <v>240</v>
      </c>
      <c r="F26" s="5" t="s">
        <v>250</v>
      </c>
      <c r="G26" s="78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241</v>
      </c>
      <c r="E27" s="8" t="s">
        <v>243</v>
      </c>
      <c r="F27" s="5" t="s">
        <v>252</v>
      </c>
      <c r="G27" s="78">
        <f>$G$26*SIN($F$23)</f>
        <v>25.262617574338158</v>
      </c>
      <c r="H27" s="5" t="str">
        <f>H26</f>
        <v>mN</v>
      </c>
    </row>
    <row r="28" spans="4:35" ht="16.5" x14ac:dyDescent="0.45">
      <c r="D28" s="5" t="s">
        <v>242</v>
      </c>
      <c r="E28" s="8" t="s">
        <v>244</v>
      </c>
      <c r="F28" s="5" t="s">
        <v>251</v>
      </c>
      <c r="G28" s="78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8"/>
      <c r="H29" s="5"/>
    </row>
    <row r="30" spans="4:35" ht="16.5" x14ac:dyDescent="0.45">
      <c r="D30" s="5" t="s">
        <v>283</v>
      </c>
      <c r="E30" s="8" t="s">
        <v>287</v>
      </c>
      <c r="F30" s="5" t="s">
        <v>282</v>
      </c>
      <c r="G30" s="78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284</v>
      </c>
      <c r="E31" s="8" t="s">
        <v>292</v>
      </c>
      <c r="F31" s="5" t="s">
        <v>288</v>
      </c>
      <c r="G31" s="78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6" t="s">
        <v>268</v>
      </c>
      <c r="L31" s="116" t="s">
        <v>264</v>
      </c>
      <c r="M31" s="116" t="s">
        <v>265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286</v>
      </c>
      <c r="E32" s="8" t="s">
        <v>289</v>
      </c>
      <c r="F32" s="5" t="s">
        <v>285</v>
      </c>
      <c r="G32" s="78">
        <f>$G$28*$L$22</f>
        <v>8.4088112198877223</v>
      </c>
      <c r="H32" s="5" t="str">
        <f>H31</f>
        <v>mN</v>
      </c>
      <c r="K32" s="115" t="s">
        <v>269</v>
      </c>
      <c r="L32" s="115" t="s">
        <v>270</v>
      </c>
      <c r="M32" s="115" t="s">
        <v>271</v>
      </c>
      <c r="O32" s="120" t="s">
        <v>254</v>
      </c>
      <c r="P32" s="120" t="s">
        <v>295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290</v>
      </c>
      <c r="E33" s="8" t="s">
        <v>293</v>
      </c>
      <c r="F33" s="5" t="s">
        <v>291</v>
      </c>
      <c r="G33" s="78">
        <f>$G$27-G32</f>
        <v>16.853806354450434</v>
      </c>
      <c r="H33" s="5" t="str">
        <f>H32</f>
        <v>mN</v>
      </c>
      <c r="K33" s="115" t="s">
        <v>272</v>
      </c>
      <c r="L33" s="115" t="s">
        <v>273</v>
      </c>
      <c r="M33" s="115" t="s">
        <v>274</v>
      </c>
      <c r="O33" s="120" t="s">
        <v>254</v>
      </c>
      <c r="P33" s="120" t="s">
        <v>296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5" t="s">
        <v>275</v>
      </c>
      <c r="L34" s="115" t="s">
        <v>274</v>
      </c>
      <c r="M34" s="115" t="s">
        <v>276</v>
      </c>
      <c r="O34" s="8" t="s">
        <v>243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5" t="s">
        <v>277</v>
      </c>
      <c r="L35" s="115" t="s">
        <v>278</v>
      </c>
      <c r="M35" s="115" t="s">
        <v>279</v>
      </c>
      <c r="O35" s="8" t="s">
        <v>287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5" t="s">
        <v>280</v>
      </c>
      <c r="L36" s="115" t="s">
        <v>281</v>
      </c>
      <c r="M36" s="115" t="s">
        <v>281</v>
      </c>
      <c r="O36" s="8" t="s">
        <v>289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292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293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294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297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21">
        <f t="shared" si="10"/>
        <v>9.6016704210091195</v>
      </c>
      <c r="AI40" s="121">
        <f t="shared" si="10"/>
        <v>9.81</v>
      </c>
    </row>
    <row r="41" spans="4:37" x14ac:dyDescent="0.35">
      <c r="AH41" s="5" t="s">
        <v>302</v>
      </c>
      <c r="AI41" s="78">
        <v>0</v>
      </c>
      <c r="AJ41" s="78">
        <f>$L$23</f>
        <v>30.963756532073521</v>
      </c>
      <c r="AK41" s="78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303</v>
      </c>
      <c r="F12" s="2">
        <v>9.81</v>
      </c>
      <c r="G12" t="s">
        <v>249</v>
      </c>
    </row>
    <row r="13" spans="5:8" x14ac:dyDescent="0.35">
      <c r="E13" s="1" t="s">
        <v>246</v>
      </c>
      <c r="F13" s="2">
        <v>5</v>
      </c>
      <c r="G13" t="s">
        <v>248</v>
      </c>
    </row>
    <row r="15" spans="5:8" ht="16.5" x14ac:dyDescent="0.45">
      <c r="E15" s="1" t="s">
        <v>240</v>
      </c>
      <c r="F15" t="s">
        <v>304</v>
      </c>
      <c r="G15">
        <f>F13*F12</f>
        <v>49.050000000000004</v>
      </c>
      <c r="H15" t="s">
        <v>305</v>
      </c>
    </row>
    <row r="17" spans="5:8" x14ac:dyDescent="0.35">
      <c r="E17" s="1" t="s">
        <v>254</v>
      </c>
      <c r="F17" s="2">
        <v>30</v>
      </c>
      <c r="G17" t="s">
        <v>202</v>
      </c>
    </row>
    <row r="18" spans="5:8" x14ac:dyDescent="0.35">
      <c r="E18" s="1" t="s">
        <v>254</v>
      </c>
      <c r="F18">
        <f>F17*PI()/180</f>
        <v>0.52359877559829882</v>
      </c>
      <c r="G18" t="s">
        <v>203</v>
      </c>
    </row>
    <row r="19" spans="5:8" x14ac:dyDescent="0.35">
      <c r="E19" s="1"/>
    </row>
    <row r="20" spans="5:8" ht="16.5" x14ac:dyDescent="0.45">
      <c r="E20" s="1" t="s">
        <v>244</v>
      </c>
      <c r="F20" t="s">
        <v>306</v>
      </c>
      <c r="G20" s="103">
        <f>$G$15*COS($F$18)</f>
        <v>42.478546055626722</v>
      </c>
      <c r="H20" t="s">
        <v>305</v>
      </c>
    </row>
    <row r="21" spans="5:8" ht="16.5" x14ac:dyDescent="0.45">
      <c r="E21" s="1" t="s">
        <v>243</v>
      </c>
      <c r="F21" t="s">
        <v>307</v>
      </c>
      <c r="G21" s="103">
        <f>$G$15*SIN($F$18)</f>
        <v>24.524999999999999</v>
      </c>
      <c r="H21" t="s">
        <v>305</v>
      </c>
    </row>
  </sheetData>
  <pageMargins left="0.7" right="0.7" top="0.78740157499999996" bottom="0.78740157499999996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R132"/>
  <sheetViews>
    <sheetView showGridLines="0" zoomScaleNormal="100" workbookViewId="0"/>
  </sheetViews>
  <sheetFormatPr baseColWidth="10" defaultRowHeight="14.5" x14ac:dyDescent="0.35"/>
  <cols>
    <col min="1" max="1" width="2.453125" customWidth="1"/>
    <col min="2" max="4" width="16.1796875" customWidth="1"/>
    <col min="5" max="5" width="13.54296875" customWidth="1"/>
    <col min="6" max="6" width="18.54296875" customWidth="1"/>
    <col min="7" max="7" width="9.453125" customWidth="1"/>
    <col min="8" max="10" width="9.54296875" customWidth="1"/>
    <col min="11" max="11" width="11.7265625" customWidth="1"/>
    <col min="12" max="12" width="7.453125" customWidth="1"/>
    <col min="13" max="45" width="2.1796875" customWidth="1"/>
    <col min="46" max="48" width="4.7265625" customWidth="1"/>
    <col min="49" max="49" width="9.1796875" customWidth="1"/>
    <col min="55" max="55" width="14.81640625" customWidth="1"/>
    <col min="56" max="56" width="14.54296875" customWidth="1"/>
    <col min="57" max="57" width="15.1796875" customWidth="1"/>
  </cols>
  <sheetData>
    <row r="1" spans="3:70" ht="38.15" customHeight="1" x14ac:dyDescent="0.35"/>
    <row r="2" spans="3:70" ht="26" x14ac:dyDescent="0.6">
      <c r="E2" s="33" t="s">
        <v>316</v>
      </c>
      <c r="BB2" s="314" t="s">
        <v>617</v>
      </c>
      <c r="BC2" s="314"/>
    </row>
    <row r="3" spans="3:70" x14ac:dyDescent="0.35">
      <c r="K3" s="5" t="s">
        <v>65</v>
      </c>
      <c r="L3" s="5" t="s">
        <v>299</v>
      </c>
      <c r="BB3" s="81">
        <f>AY10</f>
        <v>50</v>
      </c>
      <c r="BC3" s="81">
        <f>BB3</f>
        <v>50</v>
      </c>
    </row>
    <row r="4" spans="3:70" x14ac:dyDescent="0.35">
      <c r="K4" s="5" t="s">
        <v>66</v>
      </c>
      <c r="L4" s="5" t="s">
        <v>301</v>
      </c>
      <c r="BB4" s="216">
        <f>IF(MIN(AY12:AY17)&gt;0,0,MIN(AY12:AY17))</f>
        <v>-1.9283628290596182</v>
      </c>
      <c r="BC4" s="216">
        <f>IF(MAX(AY12:AY17) &lt; 0,0,MAX(AY12:AY17))</f>
        <v>0.76604444311897801</v>
      </c>
    </row>
    <row r="5" spans="3:70" x14ac:dyDescent="0.35">
      <c r="BB5" s="103"/>
      <c r="BC5" s="103"/>
    </row>
    <row r="6" spans="3:70" x14ac:dyDescent="0.35">
      <c r="BB6" s="103"/>
      <c r="BC6" s="103"/>
    </row>
    <row r="7" spans="3:70" x14ac:dyDescent="0.35">
      <c r="BB7" s="103"/>
      <c r="BC7" s="103"/>
    </row>
    <row r="9" spans="3:70" x14ac:dyDescent="0.35">
      <c r="C9" s="5"/>
      <c r="D9" s="5"/>
      <c r="E9" s="5"/>
      <c r="F9" s="8" t="s">
        <v>318</v>
      </c>
      <c r="G9" s="4">
        <v>10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Y9" s="5" t="s">
        <v>616</v>
      </c>
      <c r="AZ9" s="5"/>
      <c r="BB9" s="5" t="s">
        <v>196</v>
      </c>
      <c r="BC9" s="5"/>
      <c r="BD9" s="5"/>
      <c r="BE9" s="5"/>
      <c r="BF9" s="5" t="s">
        <v>622</v>
      </c>
      <c r="BG9" s="5"/>
      <c r="BH9" s="5"/>
      <c r="BI9" s="5"/>
      <c r="BJ9" s="5" t="s">
        <v>231</v>
      </c>
      <c r="BK9" s="5"/>
      <c r="BL9" s="5"/>
      <c r="BM9" s="5"/>
      <c r="BN9" s="5"/>
      <c r="BO9" s="5"/>
      <c r="BP9" s="5"/>
      <c r="BQ9" s="5"/>
      <c r="BR9" s="5"/>
    </row>
    <row r="10" spans="3:70" ht="16.5" x14ac:dyDescent="0.45">
      <c r="C10" s="5" t="s">
        <v>618</v>
      </c>
      <c r="D10" s="5"/>
      <c r="E10" s="8" t="s">
        <v>416</v>
      </c>
      <c r="F10" s="229" t="s">
        <v>299</v>
      </c>
      <c r="G10" s="229">
        <v>0</v>
      </c>
      <c r="H10" s="81">
        <f>G10+$G$9</f>
        <v>10</v>
      </c>
      <c r="I10" s="81">
        <f t="shared" ref="I10:AU10" si="0">H10+$G$9</f>
        <v>20</v>
      </c>
      <c r="J10" s="81">
        <f t="shared" si="0"/>
        <v>30</v>
      </c>
      <c r="K10" s="81">
        <f t="shared" si="0"/>
        <v>40</v>
      </c>
      <c r="L10" s="81">
        <f t="shared" si="0"/>
        <v>50</v>
      </c>
      <c r="M10" s="81">
        <f t="shared" si="0"/>
        <v>60</v>
      </c>
      <c r="N10" s="81">
        <f t="shared" si="0"/>
        <v>70</v>
      </c>
      <c r="O10" s="81">
        <f t="shared" si="0"/>
        <v>80</v>
      </c>
      <c r="P10" s="81">
        <f t="shared" si="0"/>
        <v>90</v>
      </c>
      <c r="Q10" s="81">
        <f t="shared" si="0"/>
        <v>100</v>
      </c>
      <c r="R10" s="81">
        <f t="shared" si="0"/>
        <v>110</v>
      </c>
      <c r="S10" s="81">
        <f t="shared" si="0"/>
        <v>120</v>
      </c>
      <c r="T10" s="81">
        <f t="shared" si="0"/>
        <v>130</v>
      </c>
      <c r="U10" s="81">
        <f t="shared" si="0"/>
        <v>140</v>
      </c>
      <c r="V10" s="81">
        <f t="shared" si="0"/>
        <v>150</v>
      </c>
      <c r="W10" s="81">
        <f t="shared" si="0"/>
        <v>160</v>
      </c>
      <c r="X10" s="81">
        <f t="shared" si="0"/>
        <v>170</v>
      </c>
      <c r="Y10" s="81">
        <f t="shared" si="0"/>
        <v>180</v>
      </c>
      <c r="Z10" s="81">
        <f t="shared" si="0"/>
        <v>190</v>
      </c>
      <c r="AA10" s="81">
        <f t="shared" si="0"/>
        <v>200</v>
      </c>
      <c r="AB10" s="81">
        <f t="shared" si="0"/>
        <v>210</v>
      </c>
      <c r="AC10" s="81">
        <f t="shared" si="0"/>
        <v>220</v>
      </c>
      <c r="AD10" s="81">
        <f t="shared" si="0"/>
        <v>230</v>
      </c>
      <c r="AE10" s="81">
        <f t="shared" si="0"/>
        <v>240</v>
      </c>
      <c r="AF10" s="81">
        <f t="shared" si="0"/>
        <v>250</v>
      </c>
      <c r="AG10" s="81">
        <f t="shared" si="0"/>
        <v>260</v>
      </c>
      <c r="AH10" s="81">
        <f t="shared" si="0"/>
        <v>270</v>
      </c>
      <c r="AI10" s="81">
        <f t="shared" si="0"/>
        <v>280</v>
      </c>
      <c r="AJ10" s="81">
        <f t="shared" si="0"/>
        <v>290</v>
      </c>
      <c r="AK10" s="81">
        <f t="shared" si="0"/>
        <v>300</v>
      </c>
      <c r="AL10" s="81">
        <f t="shared" si="0"/>
        <v>310</v>
      </c>
      <c r="AM10" s="81">
        <f t="shared" si="0"/>
        <v>320</v>
      </c>
      <c r="AN10" s="81">
        <f t="shared" si="0"/>
        <v>330</v>
      </c>
      <c r="AO10" s="81">
        <f t="shared" si="0"/>
        <v>340</v>
      </c>
      <c r="AP10" s="81">
        <f t="shared" si="0"/>
        <v>350</v>
      </c>
      <c r="AQ10" s="81">
        <f t="shared" si="0"/>
        <v>360</v>
      </c>
      <c r="AR10" s="81">
        <f t="shared" si="0"/>
        <v>370</v>
      </c>
      <c r="AS10" s="81">
        <f t="shared" si="0"/>
        <v>380</v>
      </c>
      <c r="AT10" s="81">
        <f t="shared" si="0"/>
        <v>390</v>
      </c>
      <c r="AU10" s="81">
        <f t="shared" si="0"/>
        <v>400</v>
      </c>
      <c r="AY10" s="4">
        <v>50</v>
      </c>
      <c r="AZ10" s="117" t="s">
        <v>299</v>
      </c>
      <c r="BB10" s="5" t="s">
        <v>207</v>
      </c>
      <c r="BC10" s="5" t="s">
        <v>208</v>
      </c>
      <c r="BD10" s="8" t="s">
        <v>416</v>
      </c>
      <c r="BE10" s="8" t="s">
        <v>417</v>
      </c>
      <c r="BF10" s="99" t="s">
        <v>620</v>
      </c>
      <c r="BG10" s="99" t="s">
        <v>621</v>
      </c>
      <c r="BH10" s="99" t="s">
        <v>623</v>
      </c>
      <c r="BI10" s="99" t="s">
        <v>228</v>
      </c>
      <c r="BJ10" s="99" t="s">
        <v>624</v>
      </c>
      <c r="BK10" s="99" t="s">
        <v>620</v>
      </c>
      <c r="BL10" s="99" t="s">
        <v>621</v>
      </c>
      <c r="BM10" s="99" t="s">
        <v>625</v>
      </c>
      <c r="BN10" s="99" t="s">
        <v>626</v>
      </c>
      <c r="BO10" s="99" t="s">
        <v>623</v>
      </c>
      <c r="BP10" s="99" t="s">
        <v>627</v>
      </c>
      <c r="BQ10" s="99" t="s">
        <v>628</v>
      </c>
      <c r="BR10" s="99" t="s">
        <v>629</v>
      </c>
    </row>
    <row r="11" spans="3:70" x14ac:dyDescent="0.35">
      <c r="C11" s="5" t="s">
        <v>619</v>
      </c>
      <c r="D11" s="5" t="s">
        <v>630</v>
      </c>
      <c r="E11" s="8" t="s">
        <v>416</v>
      </c>
      <c r="F11" s="8" t="s">
        <v>301</v>
      </c>
      <c r="G11" s="216">
        <f>IF($F$10=$L$3,G10*PI()/180,G10)</f>
        <v>0</v>
      </c>
      <c r="H11" s="216">
        <f t="shared" ref="H11:P11" si="1">IF($F$10=$L$3,H10*PI()/180,H10)</f>
        <v>0.17453292519943295</v>
      </c>
      <c r="I11" s="216">
        <f t="shared" si="1"/>
        <v>0.3490658503988659</v>
      </c>
      <c r="J11" s="216">
        <f t="shared" si="1"/>
        <v>0.52359877559829882</v>
      </c>
      <c r="K11" s="216">
        <f t="shared" si="1"/>
        <v>0.69813170079773179</v>
      </c>
      <c r="L11" s="216">
        <f t="shared" si="1"/>
        <v>0.87266462599716477</v>
      </c>
      <c r="M11" s="216">
        <f t="shared" si="1"/>
        <v>1.0471975511965976</v>
      </c>
      <c r="N11" s="216">
        <f t="shared" si="1"/>
        <v>1.2217304763960306</v>
      </c>
      <c r="O11" s="216">
        <f t="shared" si="1"/>
        <v>1.3962634015954636</v>
      </c>
      <c r="P11" s="216">
        <f t="shared" si="1"/>
        <v>1.5707963267948966</v>
      </c>
      <c r="Q11" s="216">
        <f t="shared" ref="Q11:AU11" si="2">IF($F$10=$L$3,Q10*PI()/180,Q10)</f>
        <v>1.7453292519943295</v>
      </c>
      <c r="R11" s="216">
        <f t="shared" si="2"/>
        <v>1.9198621771937625</v>
      </c>
      <c r="S11" s="216">
        <f t="shared" si="2"/>
        <v>2.0943951023931953</v>
      </c>
      <c r="T11" s="216">
        <f t="shared" si="2"/>
        <v>2.2689280275926285</v>
      </c>
      <c r="U11" s="216">
        <f t="shared" si="2"/>
        <v>2.4434609527920612</v>
      </c>
      <c r="V11" s="216">
        <f t="shared" si="2"/>
        <v>2.6179938779914944</v>
      </c>
      <c r="W11" s="216">
        <f t="shared" si="2"/>
        <v>2.7925268031909272</v>
      </c>
      <c r="X11" s="216">
        <f t="shared" si="2"/>
        <v>2.9670597283903604</v>
      </c>
      <c r="Y11" s="216">
        <f t="shared" si="2"/>
        <v>3.1415926535897931</v>
      </c>
      <c r="Z11" s="216">
        <f t="shared" si="2"/>
        <v>3.3161255787892263</v>
      </c>
      <c r="AA11" s="216">
        <f t="shared" si="2"/>
        <v>3.4906585039886591</v>
      </c>
      <c r="AB11" s="216">
        <f t="shared" si="2"/>
        <v>3.6651914291880923</v>
      </c>
      <c r="AC11" s="216">
        <f t="shared" si="2"/>
        <v>3.839724354387525</v>
      </c>
      <c r="AD11" s="216">
        <f t="shared" si="2"/>
        <v>4.0142572795869578</v>
      </c>
      <c r="AE11" s="216">
        <f t="shared" si="2"/>
        <v>4.1887902047863905</v>
      </c>
      <c r="AF11" s="216">
        <f t="shared" si="2"/>
        <v>4.3633231299858233</v>
      </c>
      <c r="AG11" s="216">
        <f t="shared" si="2"/>
        <v>4.5378560551852569</v>
      </c>
      <c r="AH11" s="216">
        <f t="shared" si="2"/>
        <v>4.7123889803846897</v>
      </c>
      <c r="AI11" s="216">
        <f t="shared" si="2"/>
        <v>4.8869219055841224</v>
      </c>
      <c r="AJ11" s="216">
        <f t="shared" si="2"/>
        <v>5.0614548307835552</v>
      </c>
      <c r="AK11" s="216">
        <f t="shared" si="2"/>
        <v>5.2359877559829888</v>
      </c>
      <c r="AL11" s="216">
        <f t="shared" si="2"/>
        <v>5.4105206811824216</v>
      </c>
      <c r="AM11" s="216">
        <f t="shared" si="2"/>
        <v>5.5850536063818543</v>
      </c>
      <c r="AN11" s="216">
        <f t="shared" si="2"/>
        <v>5.7595865315812871</v>
      </c>
      <c r="AO11" s="216">
        <f t="shared" si="2"/>
        <v>5.9341194567807207</v>
      </c>
      <c r="AP11" s="216">
        <f t="shared" si="2"/>
        <v>6.1086523819801526</v>
      </c>
      <c r="AQ11" s="216">
        <f t="shared" si="2"/>
        <v>6.2831853071795862</v>
      </c>
      <c r="AR11" s="216">
        <f t="shared" si="2"/>
        <v>6.457718232379019</v>
      </c>
      <c r="AS11" s="216">
        <f t="shared" si="2"/>
        <v>6.6322511575784526</v>
      </c>
      <c r="AT11" s="216">
        <f t="shared" si="2"/>
        <v>6.8067840827778845</v>
      </c>
      <c r="AU11" s="216">
        <f t="shared" si="2"/>
        <v>6.9813170079773181</v>
      </c>
      <c r="AV11" s="103"/>
      <c r="AW11" s="1" t="s">
        <v>633</v>
      </c>
      <c r="AY11" s="313">
        <f>IF($AZ$10=$L$3,AY10*PI()/180,G10)</f>
        <v>0.87266462599716477</v>
      </c>
      <c r="AZ11" s="5" t="str">
        <f>L4</f>
        <v>[rad]</v>
      </c>
      <c r="BB11" s="5"/>
      <c r="BC11" s="5"/>
      <c r="BD11" s="5"/>
      <c r="BE11" s="5"/>
      <c r="BF11" s="5"/>
      <c r="BG11" s="5"/>
      <c r="BH11" s="5"/>
      <c r="BI11" s="5"/>
      <c r="BJ11" s="81" cm="1">
        <f t="array" ref="BJ11">MAX(ABS(BB12:BB16))</f>
        <v>3.1622776601683795</v>
      </c>
      <c r="BK11" s="81">
        <v>0</v>
      </c>
      <c r="BL11" s="81">
        <f>BJ11</f>
        <v>3.1622776601683795</v>
      </c>
      <c r="BM11" s="81">
        <v>0</v>
      </c>
      <c r="BN11" s="81">
        <f>-BJ11</f>
        <v>-3.1622776601683795</v>
      </c>
      <c r="BO11" s="81">
        <f>BL11</f>
        <v>3.1622776601683795</v>
      </c>
      <c r="BP11" s="81">
        <v>0</v>
      </c>
      <c r="BQ11" s="81">
        <f>BN11</f>
        <v>-3.1622776601683795</v>
      </c>
      <c r="BR11" s="81">
        <v>0</v>
      </c>
    </row>
    <row r="12" spans="3:70" ht="18.5" x14ac:dyDescent="0.45">
      <c r="C12" s="4">
        <v>1</v>
      </c>
      <c r="D12" s="4">
        <v>0</v>
      </c>
      <c r="E12" s="283" t="s">
        <v>317</v>
      </c>
      <c r="F12" s="283" t="str">
        <f>_xlfn.CONCAT(C12, IF(D12=0," * sin(x) =",IF(D12&lt;0,_xlfn.CONCAT(" * sin(x - ",ABS(D12),") ="),_xlfn.CONCAT(" * sin(x + ",D12,") ="))))</f>
        <v>1 * sin(x) =</v>
      </c>
      <c r="G12" s="216">
        <f>IF($AW$12=$K$3,$C$12*SIN(G11+RADIANS($D$12)),0)</f>
        <v>0</v>
      </c>
      <c r="H12" s="216">
        <f t="shared" ref="H12:AU12" si="3">IF($AW$12=$K$3,$C$12*SIN(H11+RADIANS($D$12)),0)</f>
        <v>0.17364817766693033</v>
      </c>
      <c r="I12" s="216">
        <f t="shared" si="3"/>
        <v>0.34202014332566871</v>
      </c>
      <c r="J12" s="216">
        <f t="shared" si="3"/>
        <v>0.49999999999999994</v>
      </c>
      <c r="K12" s="216">
        <f t="shared" si="3"/>
        <v>0.64278760968653925</v>
      </c>
      <c r="L12" s="216">
        <f t="shared" si="3"/>
        <v>0.76604444311897801</v>
      </c>
      <c r="M12" s="216">
        <f t="shared" si="3"/>
        <v>0.8660254037844386</v>
      </c>
      <c r="N12" s="216">
        <f t="shared" si="3"/>
        <v>0.93969262078590832</v>
      </c>
      <c r="O12" s="216">
        <f t="shared" si="3"/>
        <v>0.98480775301220802</v>
      </c>
      <c r="P12" s="216">
        <f t="shared" si="3"/>
        <v>1</v>
      </c>
      <c r="Q12" s="216">
        <f t="shared" si="3"/>
        <v>0.98480775301220802</v>
      </c>
      <c r="R12" s="216">
        <f t="shared" si="3"/>
        <v>0.93969262078590843</v>
      </c>
      <c r="S12" s="216">
        <f t="shared" si="3"/>
        <v>0.86602540378443871</v>
      </c>
      <c r="T12" s="216">
        <f t="shared" si="3"/>
        <v>0.76604444311897801</v>
      </c>
      <c r="U12" s="216">
        <f t="shared" si="3"/>
        <v>0.64278760968653947</v>
      </c>
      <c r="V12" s="216">
        <f t="shared" si="3"/>
        <v>0.49999999999999994</v>
      </c>
      <c r="W12" s="216">
        <f t="shared" si="3"/>
        <v>0.34202014332566888</v>
      </c>
      <c r="X12" s="216">
        <f t="shared" si="3"/>
        <v>0.17364817766693028</v>
      </c>
      <c r="Y12" s="216">
        <f t="shared" si="3"/>
        <v>1.22514845490862E-16</v>
      </c>
      <c r="Z12" s="216">
        <f t="shared" si="3"/>
        <v>-0.17364817766693047</v>
      </c>
      <c r="AA12" s="216">
        <f t="shared" si="3"/>
        <v>-0.34202014332566866</v>
      </c>
      <c r="AB12" s="216">
        <f t="shared" si="3"/>
        <v>-0.50000000000000011</v>
      </c>
      <c r="AC12" s="216">
        <f t="shared" si="3"/>
        <v>-0.64278760968653925</v>
      </c>
      <c r="AD12" s="216">
        <f t="shared" si="3"/>
        <v>-0.7660444431189779</v>
      </c>
      <c r="AE12" s="216">
        <f t="shared" si="3"/>
        <v>-0.86602540378443837</v>
      </c>
      <c r="AF12" s="216">
        <f t="shared" si="3"/>
        <v>-0.93969262078590821</v>
      </c>
      <c r="AG12" s="216">
        <f t="shared" si="3"/>
        <v>-0.98480775301220802</v>
      </c>
      <c r="AH12" s="216">
        <f t="shared" si="3"/>
        <v>-1</v>
      </c>
      <c r="AI12" s="216">
        <f t="shared" si="3"/>
        <v>-0.98480775301220813</v>
      </c>
      <c r="AJ12" s="216">
        <f t="shared" si="3"/>
        <v>-0.93969262078590854</v>
      </c>
      <c r="AK12" s="216">
        <f t="shared" si="3"/>
        <v>-0.8660254037844386</v>
      </c>
      <c r="AL12" s="216">
        <f t="shared" si="3"/>
        <v>-0.76604444311897812</v>
      </c>
      <c r="AM12" s="216">
        <f t="shared" si="3"/>
        <v>-0.64278760968653958</v>
      </c>
      <c r="AN12" s="216">
        <f t="shared" si="3"/>
        <v>-0.50000000000000044</v>
      </c>
      <c r="AO12" s="216">
        <f t="shared" si="3"/>
        <v>-0.3420201433256686</v>
      </c>
      <c r="AP12" s="216">
        <f t="shared" si="3"/>
        <v>-0.17364817766693127</v>
      </c>
      <c r="AQ12" s="216">
        <f t="shared" si="3"/>
        <v>-2.45029690981724E-16</v>
      </c>
      <c r="AR12" s="216">
        <f t="shared" si="3"/>
        <v>0.17364817766692991</v>
      </c>
      <c r="AS12" s="216">
        <f t="shared" si="3"/>
        <v>0.34202014332566893</v>
      </c>
      <c r="AT12" s="216">
        <f t="shared" si="3"/>
        <v>0.49999999999999928</v>
      </c>
      <c r="AU12" s="216">
        <f t="shared" si="3"/>
        <v>0.64278760968653914</v>
      </c>
      <c r="AV12" s="103"/>
      <c r="AW12" s="322" t="s">
        <v>65</v>
      </c>
      <c r="AY12" s="216">
        <f>IF($AW$12=$K$3,$C$12 * SIN(AY11 + RADIANS($D$12)),0)</f>
        <v>0.76604444311897801</v>
      </c>
      <c r="AZ12" s="5"/>
      <c r="BB12" s="81">
        <f>IF($AW$12=$K$3,$C12,0)</f>
        <v>1</v>
      </c>
      <c r="BC12" s="81">
        <f>$AY$10+$D$12</f>
        <v>50</v>
      </c>
      <c r="BD12" s="315">
        <f>BB12*COS(RADIANS(BC12))</f>
        <v>0.64278760968653936</v>
      </c>
      <c r="BE12" s="315">
        <f>BB12*SIN(RADIANS(BC12))</f>
        <v>0.76604444311897801</v>
      </c>
      <c r="BF12" s="315">
        <v>0</v>
      </c>
      <c r="BG12" s="315">
        <f>BD12</f>
        <v>0.64278760968653936</v>
      </c>
      <c r="BH12" s="315">
        <v>0</v>
      </c>
      <c r="BI12" s="315">
        <f>BE12</f>
        <v>0.76604444311897801</v>
      </c>
    </row>
    <row r="13" spans="3:70" ht="18.5" x14ac:dyDescent="0.45">
      <c r="C13" s="4">
        <v>3</v>
      </c>
      <c r="D13" s="4">
        <v>-180</v>
      </c>
      <c r="E13" s="321" t="s">
        <v>320</v>
      </c>
      <c r="F13" s="321" t="str">
        <f>_xlfn.CONCAT(C13, IF(D13=0," * cos(x) =",IF(D13&lt;0,_xlfn.CONCAT(" * cos(x - ",ABS(D13),") ="),_xlfn.CONCAT(" * cos(x + ",D13,") ="))))</f>
        <v>3 * cos(x - 180) =</v>
      </c>
      <c r="G13" s="216">
        <f>IF($AW$13=$K$3,$C$13*COS(G11+RADIANS($D$13)),0)</f>
        <v>-3</v>
      </c>
      <c r="H13" s="216">
        <f t="shared" ref="H13:AU13" si="4">IF($AW$13=$K$3,$C$13*COS(H11+RADIANS($D$13)),0)</f>
        <v>-2.9544232590366239</v>
      </c>
      <c r="I13" s="216">
        <f t="shared" si="4"/>
        <v>-2.8190778623577248</v>
      </c>
      <c r="J13" s="216">
        <f t="shared" si="4"/>
        <v>-2.598076211353316</v>
      </c>
      <c r="K13" s="216">
        <f t="shared" si="4"/>
        <v>-2.2981333293569337</v>
      </c>
      <c r="L13" s="216">
        <f t="shared" si="4"/>
        <v>-1.9283628290596182</v>
      </c>
      <c r="M13" s="216">
        <f t="shared" si="4"/>
        <v>-1.5000000000000007</v>
      </c>
      <c r="N13" s="216">
        <f t="shared" si="4"/>
        <v>-1.0260604299770062</v>
      </c>
      <c r="O13" s="216">
        <f t="shared" si="4"/>
        <v>-0.52094453300079091</v>
      </c>
      <c r="P13" s="216">
        <f t="shared" si="4"/>
        <v>1.83772268236293E-16</v>
      </c>
      <c r="Q13" s="216">
        <f t="shared" si="4"/>
        <v>0.52094453300079124</v>
      </c>
      <c r="R13" s="216">
        <f t="shared" si="4"/>
        <v>1.0260604299770064</v>
      </c>
      <c r="S13" s="216">
        <f t="shared" si="4"/>
        <v>1.4999999999999996</v>
      </c>
      <c r="T13" s="216">
        <f t="shared" si="4"/>
        <v>1.9283628290596184</v>
      </c>
      <c r="U13" s="216">
        <f t="shared" si="4"/>
        <v>2.2981333293569342</v>
      </c>
      <c r="V13" s="216">
        <f t="shared" si="4"/>
        <v>2.598076211353316</v>
      </c>
      <c r="W13" s="216">
        <f t="shared" si="4"/>
        <v>2.8190778623577248</v>
      </c>
      <c r="X13" s="216">
        <f t="shared" si="4"/>
        <v>2.9544232590366244</v>
      </c>
      <c r="Y13" s="216">
        <f t="shared" si="4"/>
        <v>3</v>
      </c>
      <c r="Z13" s="216">
        <f t="shared" si="4"/>
        <v>2.9544232590366239</v>
      </c>
      <c r="AA13" s="216">
        <f t="shared" si="4"/>
        <v>2.8190778623577248</v>
      </c>
      <c r="AB13" s="216">
        <f t="shared" si="4"/>
        <v>2.5980762113533156</v>
      </c>
      <c r="AC13" s="216">
        <f t="shared" si="4"/>
        <v>2.2981333293569342</v>
      </c>
      <c r="AD13" s="216">
        <f t="shared" si="4"/>
        <v>1.9283628290596184</v>
      </c>
      <c r="AE13" s="216">
        <f t="shared" si="4"/>
        <v>1.5000000000000009</v>
      </c>
      <c r="AF13" s="216">
        <f t="shared" si="4"/>
        <v>1.0260604299770077</v>
      </c>
      <c r="AG13" s="216">
        <f t="shared" si="4"/>
        <v>0.52094453300079069</v>
      </c>
      <c r="AH13" s="216">
        <f t="shared" si="4"/>
        <v>1.83772268236293E-16</v>
      </c>
      <c r="AI13" s="216">
        <f t="shared" si="4"/>
        <v>-0.52094453300079024</v>
      </c>
      <c r="AJ13" s="216">
        <f t="shared" si="4"/>
        <v>-1.0260604299770049</v>
      </c>
      <c r="AK13" s="216">
        <f t="shared" si="4"/>
        <v>-1.5000000000000007</v>
      </c>
      <c r="AL13" s="216">
        <f t="shared" si="4"/>
        <v>-1.9283628290596182</v>
      </c>
      <c r="AM13" s="216">
        <f t="shared" si="4"/>
        <v>-2.2981333293569337</v>
      </c>
      <c r="AN13" s="216">
        <f t="shared" si="4"/>
        <v>-2.5980762113533156</v>
      </c>
      <c r="AO13" s="216">
        <f t="shared" si="4"/>
        <v>-2.8190778623577253</v>
      </c>
      <c r="AP13" s="216">
        <f t="shared" si="4"/>
        <v>-2.9544232590366235</v>
      </c>
      <c r="AQ13" s="216">
        <f t="shared" si="4"/>
        <v>-3</v>
      </c>
      <c r="AR13" s="216">
        <f t="shared" si="4"/>
        <v>-2.9544232590366244</v>
      </c>
      <c r="AS13" s="216">
        <f t="shared" si="4"/>
        <v>-2.8190778623577248</v>
      </c>
      <c r="AT13" s="216">
        <f t="shared" si="4"/>
        <v>-2.5980762113533169</v>
      </c>
      <c r="AU13" s="216">
        <f t="shared" si="4"/>
        <v>-2.2981333293569342</v>
      </c>
      <c r="AV13" s="103"/>
      <c r="AW13" s="322" t="s">
        <v>65</v>
      </c>
      <c r="AY13" s="216">
        <f>IF($AW$13=$K$3,$C$13 * COS(AY11+RADIANS(D13)),0)</f>
        <v>-1.9283628290596182</v>
      </c>
      <c r="AZ13" s="5"/>
      <c r="BB13" s="81">
        <f>IF($AW$13=$K$3,$C13,0)</f>
        <v>3</v>
      </c>
      <c r="BC13" s="81">
        <f>$AY$10+90+$D$13</f>
        <v>-40</v>
      </c>
      <c r="BD13" s="315">
        <f>BB13*COS(RADIANS(BC13))</f>
        <v>2.2981333293569342</v>
      </c>
      <c r="BE13" s="315">
        <f>BB13*SIN(RADIANS(BC13))</f>
        <v>-1.9283628290596178</v>
      </c>
      <c r="BF13" s="315">
        <v>0</v>
      </c>
      <c r="BG13" s="315">
        <f>BD13</f>
        <v>2.2981333293569342</v>
      </c>
      <c r="BH13" s="315">
        <v>0</v>
      </c>
      <c r="BI13" s="315">
        <f>BE13</f>
        <v>-1.9283628290596178</v>
      </c>
    </row>
    <row r="14" spans="3:70" ht="18.5" x14ac:dyDescent="0.45">
      <c r="E14" s="320"/>
      <c r="F14" s="320"/>
      <c r="G14" s="103"/>
      <c r="H14" s="103"/>
      <c r="I14" s="103"/>
      <c r="J14" s="103"/>
      <c r="K14" s="103"/>
      <c r="L14" s="103"/>
      <c r="M14" s="103"/>
      <c r="N14" s="103"/>
      <c r="O14" s="103"/>
      <c r="P14" s="103"/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  <c r="AR14" s="103"/>
      <c r="AS14" s="103"/>
      <c r="AT14" s="103"/>
      <c r="AU14" s="103"/>
      <c r="AV14" s="103"/>
      <c r="AW14" s="103"/>
      <c r="AY14" s="103"/>
      <c r="BD14" s="317"/>
      <c r="BE14" s="317"/>
      <c r="BF14" s="317"/>
      <c r="BG14" s="317"/>
      <c r="BH14" s="317"/>
      <c r="BI14" s="317"/>
    </row>
    <row r="15" spans="3:70" ht="18.5" x14ac:dyDescent="0.45">
      <c r="D15" s="1"/>
      <c r="E15" s="320"/>
      <c r="F15" s="320"/>
      <c r="G15" s="103"/>
      <c r="H15" s="103"/>
      <c r="I15" s="103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Y15" s="103"/>
      <c r="BD15" s="317"/>
      <c r="BE15" s="317"/>
      <c r="BF15" s="317"/>
      <c r="BG15" s="317"/>
      <c r="BH15" s="317"/>
      <c r="BI15" s="317"/>
      <c r="BJ15" s="5" t="s">
        <v>638</v>
      </c>
      <c r="BK15" s="5"/>
      <c r="BL15" s="5"/>
      <c r="BM15" s="5"/>
      <c r="BN15" s="5" t="s">
        <v>639</v>
      </c>
      <c r="BO15" s="5"/>
      <c r="BP15" s="5"/>
      <c r="BQ15" s="5"/>
    </row>
    <row r="16" spans="3:70" ht="18.5" x14ac:dyDescent="0.45">
      <c r="D16" s="325"/>
      <c r="E16" s="323" t="s">
        <v>636</v>
      </c>
      <c r="F16" s="323" t="s">
        <v>632</v>
      </c>
      <c r="G16" s="216">
        <f>IF($AW$16=$K$3,G12+G13,0)</f>
        <v>-3</v>
      </c>
      <c r="H16" s="216">
        <f t="shared" ref="H16:AU16" si="5">IF($AW$16=$K$3,H12+H13,0)</f>
        <v>-2.7807750813696934</v>
      </c>
      <c r="I16" s="216">
        <f t="shared" si="5"/>
        <v>-2.477057719032056</v>
      </c>
      <c r="J16" s="216">
        <f t="shared" si="5"/>
        <v>-2.098076211353316</v>
      </c>
      <c r="K16" s="216">
        <f t="shared" si="5"/>
        <v>-1.6553457196703945</v>
      </c>
      <c r="L16" s="216">
        <f t="shared" si="5"/>
        <v>-1.1623183859406403</v>
      </c>
      <c r="M16" s="216">
        <f t="shared" si="5"/>
        <v>-0.63397459621556207</v>
      </c>
      <c r="N16" s="216">
        <f t="shared" si="5"/>
        <v>-8.6367809191097877E-2</v>
      </c>
      <c r="O16" s="216">
        <f t="shared" si="5"/>
        <v>0.46386322001141711</v>
      </c>
      <c r="P16" s="216">
        <f t="shared" si="5"/>
        <v>1.0000000000000002</v>
      </c>
      <c r="Q16" s="216">
        <f t="shared" si="5"/>
        <v>1.5057522860129993</v>
      </c>
      <c r="R16" s="216">
        <f t="shared" si="5"/>
        <v>1.9657530507629148</v>
      </c>
      <c r="S16" s="216">
        <f t="shared" si="5"/>
        <v>2.3660254037844384</v>
      </c>
      <c r="T16" s="216">
        <f t="shared" si="5"/>
        <v>2.6944072721785965</v>
      </c>
      <c r="U16" s="216">
        <f t="shared" si="5"/>
        <v>2.9409209390434734</v>
      </c>
      <c r="V16" s="216">
        <f t="shared" si="5"/>
        <v>3.098076211353316</v>
      </c>
      <c r="W16" s="216">
        <f t="shared" si="5"/>
        <v>3.1610980056833937</v>
      </c>
      <c r="X16" s="216">
        <f t="shared" si="5"/>
        <v>3.1280714367035545</v>
      </c>
      <c r="Y16" s="216">
        <f t="shared" si="5"/>
        <v>3</v>
      </c>
      <c r="Z16" s="216">
        <f t="shared" si="5"/>
        <v>2.7807750813696934</v>
      </c>
      <c r="AA16" s="216">
        <f t="shared" si="5"/>
        <v>2.4770577190320564</v>
      </c>
      <c r="AB16" s="216">
        <f t="shared" si="5"/>
        <v>2.0980762113533156</v>
      </c>
      <c r="AC16" s="216">
        <f t="shared" si="5"/>
        <v>1.6553457196703949</v>
      </c>
      <c r="AD16" s="216">
        <f t="shared" si="5"/>
        <v>1.1623183859406405</v>
      </c>
      <c r="AE16" s="216">
        <f t="shared" si="5"/>
        <v>0.63397459621556251</v>
      </c>
      <c r="AF16" s="216">
        <f t="shared" si="5"/>
        <v>8.6367809191099543E-2</v>
      </c>
      <c r="AG16" s="216">
        <f t="shared" si="5"/>
        <v>-0.46386322001141733</v>
      </c>
      <c r="AH16" s="216">
        <f t="shared" si="5"/>
        <v>-0.99999999999999978</v>
      </c>
      <c r="AI16" s="216">
        <f t="shared" si="5"/>
        <v>-1.5057522860129984</v>
      </c>
      <c r="AJ16" s="216">
        <f t="shared" si="5"/>
        <v>-1.9657530507629133</v>
      </c>
      <c r="AK16" s="216">
        <f t="shared" si="5"/>
        <v>-2.3660254037844393</v>
      </c>
      <c r="AL16" s="216">
        <f t="shared" si="5"/>
        <v>-2.6944072721785961</v>
      </c>
      <c r="AM16" s="216">
        <f t="shared" si="5"/>
        <v>-2.9409209390434734</v>
      </c>
      <c r="AN16" s="216">
        <f t="shared" si="5"/>
        <v>-3.098076211353316</v>
      </c>
      <c r="AO16" s="216">
        <f t="shared" si="5"/>
        <v>-3.1610980056833937</v>
      </c>
      <c r="AP16" s="216">
        <f t="shared" si="5"/>
        <v>-3.1280714367035549</v>
      </c>
      <c r="AQ16" s="216">
        <f t="shared" si="5"/>
        <v>-3.0000000000000004</v>
      </c>
      <c r="AR16" s="216">
        <f t="shared" si="5"/>
        <v>-2.7807750813696943</v>
      </c>
      <c r="AS16" s="216">
        <f t="shared" si="5"/>
        <v>-2.477057719032056</v>
      </c>
      <c r="AT16" s="216">
        <f t="shared" si="5"/>
        <v>-2.0980762113533178</v>
      </c>
      <c r="AU16" s="216">
        <f t="shared" si="5"/>
        <v>-1.6553457196703949</v>
      </c>
      <c r="AV16" s="103"/>
      <c r="AW16" s="322" t="s">
        <v>65</v>
      </c>
      <c r="AY16" s="216">
        <f>IF($AW$16=$K$3,AY12+AY13,0)</f>
        <v>-1.1623183859406403</v>
      </c>
      <c r="BB16" s="315">
        <f>SQRT(BD16^2+BE16^2)</f>
        <v>3.1622776601683795</v>
      </c>
      <c r="BC16" s="315">
        <f>IF($AW$16=$K$3,DEGREES(ATAN2(BD16,BE16)),0)</f>
        <v>-21.56505117707799</v>
      </c>
      <c r="BD16" s="315">
        <f>IF($AW$16=$K$3,BD12+BD13,0)</f>
        <v>2.9409209390434734</v>
      </c>
      <c r="BE16" s="315">
        <f>IF($AW$16=$K$3,BE12+BE13,0)</f>
        <v>-1.1623183859406399</v>
      </c>
      <c r="BF16" s="315">
        <v>0</v>
      </c>
      <c r="BG16" s="315">
        <f>BD16</f>
        <v>2.9409209390434734</v>
      </c>
      <c r="BH16" s="315">
        <v>0</v>
      </c>
      <c r="BI16" s="326">
        <f>BE16</f>
        <v>-1.1623183859406399</v>
      </c>
      <c r="BJ16" s="315">
        <f>IF($AW$16=$K$3,BD13,0)</f>
        <v>2.2981333293569342</v>
      </c>
      <c r="BK16" s="315">
        <f>BD16</f>
        <v>2.9409209390434734</v>
      </c>
      <c r="BL16" s="315">
        <f>IF($AW$16=$K$3,BE13,0)</f>
        <v>-1.9283628290596178</v>
      </c>
      <c r="BM16" s="315">
        <f>BE16</f>
        <v>-1.1623183859406399</v>
      </c>
      <c r="BN16" s="315">
        <f>BD12</f>
        <v>0.64278760968653936</v>
      </c>
      <c r="BO16" s="315">
        <f>BK16</f>
        <v>2.9409209390434734</v>
      </c>
      <c r="BP16" s="315">
        <f>IF($AW$16=$K$3,BE12,0)</f>
        <v>0.76604444311897801</v>
      </c>
      <c r="BQ16" s="315">
        <f>BM16</f>
        <v>-1.1623183859406399</v>
      </c>
    </row>
    <row r="17" spans="4:61" ht="18.5" x14ac:dyDescent="0.45">
      <c r="D17" s="325"/>
      <c r="E17" s="324" t="s">
        <v>636</v>
      </c>
      <c r="F17" s="324" t="s">
        <v>637</v>
      </c>
      <c r="G17" s="216">
        <f>IF($AW$17=$K$3,G12*G13,0)</f>
        <v>0</v>
      </c>
      <c r="H17" s="216">
        <f t="shared" ref="H17:AU17" si="6">IF($AW$17=$K$3,H12*H13,0)</f>
        <v>0</v>
      </c>
      <c r="I17" s="216">
        <f t="shared" si="6"/>
        <v>0</v>
      </c>
      <c r="J17" s="216">
        <f t="shared" si="6"/>
        <v>0</v>
      </c>
      <c r="K17" s="216">
        <f t="shared" si="6"/>
        <v>0</v>
      </c>
      <c r="L17" s="216">
        <f t="shared" si="6"/>
        <v>0</v>
      </c>
      <c r="M17" s="216">
        <f t="shared" si="6"/>
        <v>0</v>
      </c>
      <c r="N17" s="216">
        <f t="shared" si="6"/>
        <v>0</v>
      </c>
      <c r="O17" s="216">
        <f t="shared" si="6"/>
        <v>0</v>
      </c>
      <c r="P17" s="216">
        <f t="shared" si="6"/>
        <v>0</v>
      </c>
      <c r="Q17" s="216">
        <f t="shared" si="6"/>
        <v>0</v>
      </c>
      <c r="R17" s="216">
        <f t="shared" si="6"/>
        <v>0</v>
      </c>
      <c r="S17" s="216">
        <f t="shared" si="6"/>
        <v>0</v>
      </c>
      <c r="T17" s="216">
        <f t="shared" si="6"/>
        <v>0</v>
      </c>
      <c r="U17" s="216">
        <f t="shared" si="6"/>
        <v>0</v>
      </c>
      <c r="V17" s="216">
        <f t="shared" si="6"/>
        <v>0</v>
      </c>
      <c r="W17" s="216">
        <f t="shared" si="6"/>
        <v>0</v>
      </c>
      <c r="X17" s="216">
        <f t="shared" si="6"/>
        <v>0</v>
      </c>
      <c r="Y17" s="216">
        <f t="shared" si="6"/>
        <v>0</v>
      </c>
      <c r="Z17" s="216">
        <f t="shared" si="6"/>
        <v>0</v>
      </c>
      <c r="AA17" s="216">
        <f t="shared" si="6"/>
        <v>0</v>
      </c>
      <c r="AB17" s="216">
        <f t="shared" si="6"/>
        <v>0</v>
      </c>
      <c r="AC17" s="216">
        <f t="shared" si="6"/>
        <v>0</v>
      </c>
      <c r="AD17" s="216">
        <f t="shared" si="6"/>
        <v>0</v>
      </c>
      <c r="AE17" s="216">
        <f t="shared" si="6"/>
        <v>0</v>
      </c>
      <c r="AF17" s="216">
        <f t="shared" si="6"/>
        <v>0</v>
      </c>
      <c r="AG17" s="216">
        <f t="shared" si="6"/>
        <v>0</v>
      </c>
      <c r="AH17" s="216">
        <f t="shared" si="6"/>
        <v>0</v>
      </c>
      <c r="AI17" s="216">
        <f t="shared" si="6"/>
        <v>0</v>
      </c>
      <c r="AJ17" s="216">
        <f t="shared" si="6"/>
        <v>0</v>
      </c>
      <c r="AK17" s="216">
        <f t="shared" si="6"/>
        <v>0</v>
      </c>
      <c r="AL17" s="216">
        <f t="shared" si="6"/>
        <v>0</v>
      </c>
      <c r="AM17" s="216">
        <f t="shared" si="6"/>
        <v>0</v>
      </c>
      <c r="AN17" s="216">
        <f t="shared" si="6"/>
        <v>0</v>
      </c>
      <c r="AO17" s="216">
        <f t="shared" si="6"/>
        <v>0</v>
      </c>
      <c r="AP17" s="216">
        <f t="shared" si="6"/>
        <v>0</v>
      </c>
      <c r="AQ17" s="216">
        <f t="shared" si="6"/>
        <v>0</v>
      </c>
      <c r="AR17" s="216">
        <f t="shared" si="6"/>
        <v>0</v>
      </c>
      <c r="AS17" s="216">
        <f t="shared" si="6"/>
        <v>0</v>
      </c>
      <c r="AT17" s="216">
        <f t="shared" si="6"/>
        <v>0</v>
      </c>
      <c r="AU17" s="216">
        <f t="shared" si="6"/>
        <v>0</v>
      </c>
      <c r="AV17" s="103"/>
      <c r="AW17" s="322" t="s">
        <v>66</v>
      </c>
      <c r="AY17" s="216">
        <f>IF($AW$17=$K$3,AY12*AY13,0)</f>
        <v>0</v>
      </c>
      <c r="BD17" s="317"/>
      <c r="BE17" s="317"/>
      <c r="BF17" s="317"/>
      <c r="BG17" s="317"/>
      <c r="BH17" s="317"/>
      <c r="BI17" s="317"/>
    </row>
    <row r="18" spans="4:61" x14ac:dyDescent="0.35">
      <c r="E18" s="318"/>
      <c r="F18" s="319"/>
      <c r="G18" s="103"/>
      <c r="H18" s="103"/>
      <c r="I18" s="103"/>
      <c r="J18" s="103"/>
      <c r="K18" s="103"/>
      <c r="L18" s="103"/>
      <c r="M18" s="103"/>
      <c r="N18" s="103"/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  <c r="AM18" s="103"/>
      <c r="AN18" s="103"/>
      <c r="AO18" s="103"/>
      <c r="AP18" s="103"/>
      <c r="AQ18" s="103"/>
      <c r="AR18" s="103"/>
      <c r="AS18" s="103"/>
      <c r="AT18" s="103"/>
      <c r="AU18" s="103"/>
      <c r="AV18" s="103"/>
      <c r="AW18" s="103"/>
      <c r="AY18" s="103"/>
      <c r="BD18" s="317"/>
      <c r="BE18" s="317"/>
      <c r="BF18" s="317"/>
      <c r="BG18" s="317"/>
      <c r="BH18" s="317"/>
      <c r="BI18" s="317"/>
    </row>
    <row r="61" spans="5:49" ht="18.5" x14ac:dyDescent="0.45">
      <c r="E61" s="277" t="s">
        <v>634</v>
      </c>
      <c r="F61" s="277" t="s">
        <v>319</v>
      </c>
      <c r="G61" s="216">
        <f t="shared" ref="G61:AU61" si="7">IF(ABS(TAN(G11))&gt;10,0,TAN(G11))</f>
        <v>0</v>
      </c>
      <c r="H61" s="216">
        <f t="shared" si="7"/>
        <v>0.17632698070846498</v>
      </c>
      <c r="I61" s="216">
        <f t="shared" si="7"/>
        <v>0.36397023426620234</v>
      </c>
      <c r="J61" s="216">
        <f t="shared" si="7"/>
        <v>0.57735026918962573</v>
      </c>
      <c r="K61" s="216">
        <f t="shared" si="7"/>
        <v>0.83909963117727993</v>
      </c>
      <c r="L61" s="216">
        <f t="shared" si="7"/>
        <v>1.19175359259421</v>
      </c>
      <c r="M61" s="216">
        <f t="shared" si="7"/>
        <v>1.7320508075688767</v>
      </c>
      <c r="N61" s="216">
        <f t="shared" si="7"/>
        <v>2.7474774194546216</v>
      </c>
      <c r="O61" s="216">
        <f t="shared" si="7"/>
        <v>5.6712818196177066</v>
      </c>
      <c r="P61" s="216">
        <f t="shared" si="7"/>
        <v>0</v>
      </c>
      <c r="Q61" s="216">
        <f t="shared" si="7"/>
        <v>-5.6712818196177111</v>
      </c>
      <c r="R61" s="216">
        <f t="shared" si="7"/>
        <v>-2.7474774194546225</v>
      </c>
      <c r="S61" s="216">
        <f t="shared" si="7"/>
        <v>-1.7320508075688783</v>
      </c>
      <c r="T61" s="216">
        <f t="shared" si="7"/>
        <v>-1.19175359259421</v>
      </c>
      <c r="U61" s="216">
        <f t="shared" si="7"/>
        <v>-0.83909963117728037</v>
      </c>
      <c r="V61" s="216">
        <f t="shared" si="7"/>
        <v>-0.57735026918962573</v>
      </c>
      <c r="W61" s="216">
        <f t="shared" si="7"/>
        <v>-0.36397023426620256</v>
      </c>
      <c r="X61" s="216">
        <f t="shared" si="7"/>
        <v>-0.17632698070846489</v>
      </c>
      <c r="Y61" s="216">
        <f t="shared" si="7"/>
        <v>-1.22514845490862E-16</v>
      </c>
      <c r="Z61" s="216">
        <f t="shared" si="7"/>
        <v>0.17632698070846509</v>
      </c>
      <c r="AA61" s="216">
        <f t="shared" si="7"/>
        <v>0.36397023426620229</v>
      </c>
      <c r="AB61" s="216">
        <f t="shared" si="7"/>
        <v>0.57735026918962595</v>
      </c>
      <c r="AC61" s="216">
        <f t="shared" si="7"/>
        <v>0.83909963117727993</v>
      </c>
      <c r="AD61" s="216">
        <f t="shared" si="7"/>
        <v>1.1917535925942093</v>
      </c>
      <c r="AE61" s="216">
        <f t="shared" si="7"/>
        <v>1.7320508075688754</v>
      </c>
      <c r="AF61" s="216">
        <f t="shared" si="7"/>
        <v>2.7474774194546168</v>
      </c>
      <c r="AG61" s="216">
        <f t="shared" si="7"/>
        <v>5.6712818196177102</v>
      </c>
      <c r="AH61" s="216">
        <f t="shared" si="7"/>
        <v>0</v>
      </c>
      <c r="AI61" s="216">
        <f t="shared" si="7"/>
        <v>-5.6712818196177226</v>
      </c>
      <c r="AJ61" s="216">
        <f t="shared" si="7"/>
        <v>-2.7474774194546274</v>
      </c>
      <c r="AK61" s="216">
        <f t="shared" si="7"/>
        <v>-1.732050807568877</v>
      </c>
      <c r="AL61" s="216">
        <f t="shared" si="7"/>
        <v>-1.1917535925942102</v>
      </c>
      <c r="AM61" s="216">
        <f t="shared" si="7"/>
        <v>-0.83909963117728059</v>
      </c>
      <c r="AN61" s="216">
        <f t="shared" si="7"/>
        <v>-0.57735026918962651</v>
      </c>
      <c r="AO61" s="216">
        <f t="shared" si="7"/>
        <v>-0.36397023426620218</v>
      </c>
      <c r="AP61" s="216">
        <f t="shared" si="7"/>
        <v>-0.17632698070846592</v>
      </c>
      <c r="AQ61" s="216">
        <f t="shared" si="7"/>
        <v>-2.45029690981724E-16</v>
      </c>
      <c r="AR61" s="216">
        <f t="shared" si="7"/>
        <v>0.1763269807084645</v>
      </c>
      <c r="AS61" s="216">
        <f t="shared" si="7"/>
        <v>0.36397023426620262</v>
      </c>
      <c r="AT61" s="216">
        <f t="shared" si="7"/>
        <v>0.57735026918962462</v>
      </c>
      <c r="AU61" s="216">
        <f t="shared" si="7"/>
        <v>0.8390996311772797</v>
      </c>
      <c r="AV61" s="316"/>
      <c r="AW61" s="316"/>
    </row>
    <row r="62" spans="5:49" ht="18.5" x14ac:dyDescent="0.45">
      <c r="E62" s="283" t="s">
        <v>635</v>
      </c>
      <c r="F62" s="283" t="s">
        <v>631</v>
      </c>
      <c r="G62" s="216">
        <f t="shared" ref="G62:AU62" si="8">SIN(G11)</f>
        <v>0</v>
      </c>
      <c r="H62" s="216">
        <f t="shared" si="8"/>
        <v>0.17364817766693033</v>
      </c>
      <c r="I62" s="216">
        <f t="shared" si="8"/>
        <v>0.34202014332566871</v>
      </c>
      <c r="J62" s="216">
        <f t="shared" si="8"/>
        <v>0.49999999999999994</v>
      </c>
      <c r="K62" s="216">
        <f t="shared" si="8"/>
        <v>0.64278760968653925</v>
      </c>
      <c r="L62" s="216">
        <f t="shared" si="8"/>
        <v>0.76604444311897801</v>
      </c>
      <c r="M62" s="216">
        <f t="shared" si="8"/>
        <v>0.8660254037844386</v>
      </c>
      <c r="N62" s="216">
        <f t="shared" si="8"/>
        <v>0.93969262078590832</v>
      </c>
      <c r="O62" s="216">
        <f t="shared" si="8"/>
        <v>0.98480775301220802</v>
      </c>
      <c r="P62" s="216">
        <f t="shared" si="8"/>
        <v>1</v>
      </c>
      <c r="Q62" s="216">
        <f t="shared" si="8"/>
        <v>0.98480775301220802</v>
      </c>
      <c r="R62" s="216">
        <f t="shared" si="8"/>
        <v>0.93969262078590843</v>
      </c>
      <c r="S62" s="216">
        <f t="shared" si="8"/>
        <v>0.86602540378443871</v>
      </c>
      <c r="T62" s="216">
        <f t="shared" si="8"/>
        <v>0.76604444311897801</v>
      </c>
      <c r="U62" s="216">
        <f t="shared" si="8"/>
        <v>0.64278760968653947</v>
      </c>
      <c r="V62" s="216">
        <f t="shared" si="8"/>
        <v>0.49999999999999994</v>
      </c>
      <c r="W62" s="216">
        <f t="shared" si="8"/>
        <v>0.34202014332566888</v>
      </c>
      <c r="X62" s="216">
        <f t="shared" si="8"/>
        <v>0.17364817766693028</v>
      </c>
      <c r="Y62" s="216">
        <f t="shared" si="8"/>
        <v>1.22514845490862E-16</v>
      </c>
      <c r="Z62" s="216">
        <f t="shared" si="8"/>
        <v>-0.17364817766693047</v>
      </c>
      <c r="AA62" s="216">
        <f t="shared" si="8"/>
        <v>-0.34202014332566866</v>
      </c>
      <c r="AB62" s="216">
        <f t="shared" si="8"/>
        <v>-0.50000000000000011</v>
      </c>
      <c r="AC62" s="216">
        <f t="shared" si="8"/>
        <v>-0.64278760968653925</v>
      </c>
      <c r="AD62" s="216">
        <f t="shared" si="8"/>
        <v>-0.7660444431189779</v>
      </c>
      <c r="AE62" s="216">
        <f t="shared" si="8"/>
        <v>-0.86602540378443837</v>
      </c>
      <c r="AF62" s="216">
        <f t="shared" si="8"/>
        <v>-0.93969262078590821</v>
      </c>
      <c r="AG62" s="216">
        <f t="shared" si="8"/>
        <v>-0.98480775301220802</v>
      </c>
      <c r="AH62" s="216">
        <f t="shared" si="8"/>
        <v>-1</v>
      </c>
      <c r="AI62" s="216">
        <f t="shared" si="8"/>
        <v>-0.98480775301220813</v>
      </c>
      <c r="AJ62" s="216">
        <f t="shared" si="8"/>
        <v>-0.93969262078590854</v>
      </c>
      <c r="AK62" s="216">
        <f t="shared" si="8"/>
        <v>-0.8660254037844386</v>
      </c>
      <c r="AL62" s="216">
        <f t="shared" si="8"/>
        <v>-0.76604444311897812</v>
      </c>
      <c r="AM62" s="216">
        <f t="shared" si="8"/>
        <v>-0.64278760968653958</v>
      </c>
      <c r="AN62" s="216">
        <f t="shared" si="8"/>
        <v>-0.50000000000000044</v>
      </c>
      <c r="AO62" s="216">
        <f t="shared" si="8"/>
        <v>-0.3420201433256686</v>
      </c>
      <c r="AP62" s="216">
        <f t="shared" si="8"/>
        <v>-0.17364817766693127</v>
      </c>
      <c r="AQ62" s="216">
        <f t="shared" si="8"/>
        <v>-2.45029690981724E-16</v>
      </c>
      <c r="AR62" s="216">
        <f t="shared" si="8"/>
        <v>0.17364817766692991</v>
      </c>
      <c r="AS62" s="216">
        <f t="shared" si="8"/>
        <v>0.34202014332566893</v>
      </c>
      <c r="AT62" s="216">
        <f t="shared" si="8"/>
        <v>0.49999999999999928</v>
      </c>
      <c r="AU62" s="216">
        <f t="shared" si="8"/>
        <v>0.64278760968653914</v>
      </c>
      <c r="AV62" s="316"/>
      <c r="AW62" s="316"/>
    </row>
    <row r="91" spans="5:18" ht="15" thickBot="1" x14ac:dyDescent="0.4"/>
    <row r="92" spans="5:18" ht="27" customHeight="1" thickBot="1" x14ac:dyDescent="0.4">
      <c r="E92" s="390" t="s">
        <v>654</v>
      </c>
      <c r="F92" s="354" t="s">
        <v>653</v>
      </c>
      <c r="G92" s="354" t="s">
        <v>659</v>
      </c>
      <c r="H92" s="354" t="s">
        <v>655</v>
      </c>
      <c r="I92" s="354" t="s">
        <v>656</v>
      </c>
      <c r="J92" s="354" t="s">
        <v>657</v>
      </c>
      <c r="K92" s="354" t="s">
        <v>664</v>
      </c>
      <c r="L92" s="420" t="s">
        <v>660</v>
      </c>
      <c r="M92" s="420"/>
      <c r="N92" s="420"/>
      <c r="O92" s="421"/>
      <c r="P92" s="422" t="s">
        <v>66</v>
      </c>
      <c r="Q92" s="423"/>
      <c r="R92" s="424"/>
    </row>
    <row r="93" spans="5:18" s="65" customFormat="1" ht="34" customHeight="1" x14ac:dyDescent="0.35">
      <c r="E93" s="351">
        <v>45</v>
      </c>
      <c r="F93" s="391" t="s">
        <v>299</v>
      </c>
      <c r="G93" s="392" t="str">
        <f>IF($P$92=$K$3,IF(F93=$L$3,RADIANS(E93),E93),"")</f>
        <v/>
      </c>
      <c r="H93" s="352" t="str">
        <f>IF($P$92=$K$3,SIN(G93),"")</f>
        <v/>
      </c>
      <c r="I93" s="352" t="str">
        <f>IF($P$92=$K$3,COS(G93),"")</f>
        <v/>
      </c>
      <c r="J93" s="352" t="str">
        <f>IF($P$92=$K$3,TAN(G93),"")</f>
        <v/>
      </c>
      <c r="K93" s="393" t="str">
        <f>IF($P$92=$K$3,IF(F93=$L$4,DEGREES(E93),E93),"")</f>
        <v/>
      </c>
    </row>
    <row r="94" spans="5:18" s="65" customFormat="1" ht="34" customHeight="1" x14ac:dyDescent="0.35">
      <c r="E94" s="351" t="s">
        <v>658</v>
      </c>
      <c r="F94" s="391" t="s">
        <v>301</v>
      </c>
      <c r="G94" s="392" t="str">
        <f>IF($P$92=$K$3,2*PI(),"")</f>
        <v/>
      </c>
      <c r="H94" s="352" t="str">
        <f t="shared" ref="H94:H96" si="9">IF($P$92=$K$3,SIN(G94),"")</f>
        <v/>
      </c>
      <c r="I94" s="352" t="str">
        <f t="shared" ref="I94:I96" si="10">IF($P$92=$K$3,COS(G94),"")</f>
        <v/>
      </c>
      <c r="J94" s="352" t="str">
        <f t="shared" ref="J94:J96" si="11">IF($P$92=$K$3,TAN(G94),"")</f>
        <v/>
      </c>
      <c r="K94" s="393" t="str">
        <f>IF($P$92=$K$3,IF(F94=$L$4,DEGREES(2*PI()),2*PI()),"")</f>
        <v/>
      </c>
    </row>
    <row r="95" spans="5:18" s="65" customFormat="1" ht="34" customHeight="1" x14ac:dyDescent="0.35">
      <c r="E95" s="351">
        <v>-3.14</v>
      </c>
      <c r="F95" s="391" t="s">
        <v>301</v>
      </c>
      <c r="G95" s="392" t="str">
        <f>IF($P$92=$K$3,IF(F95=$L$3,RADIANS(E95),E95),"")</f>
        <v/>
      </c>
      <c r="H95" s="352" t="str">
        <f t="shared" si="9"/>
        <v/>
      </c>
      <c r="I95" s="352" t="str">
        <f t="shared" si="10"/>
        <v/>
      </c>
      <c r="J95" s="352" t="str">
        <f t="shared" si="11"/>
        <v/>
      </c>
      <c r="K95" s="393" t="str">
        <f t="shared" ref="K95:K96" si="12">IF($P$92=$K$3,IF(F95=$L$4,DEGREES(E95),E95),"")</f>
        <v/>
      </c>
    </row>
    <row r="96" spans="5:18" s="65" customFormat="1" ht="34" customHeight="1" x14ac:dyDescent="0.35">
      <c r="E96" s="351">
        <v>-30</v>
      </c>
      <c r="F96" s="391" t="s">
        <v>299</v>
      </c>
      <c r="G96" s="392" t="str">
        <f>IF($P$92=$K$3,IF(F96=$L$3,RADIANS(E96),E96),"")</f>
        <v/>
      </c>
      <c r="H96" s="352" t="str">
        <f t="shared" si="9"/>
        <v/>
      </c>
      <c r="I96" s="352" t="str">
        <f t="shared" si="10"/>
        <v/>
      </c>
      <c r="J96" s="352" t="str">
        <f t="shared" si="11"/>
        <v/>
      </c>
      <c r="K96" s="393" t="str">
        <f t="shared" si="12"/>
        <v/>
      </c>
    </row>
    <row r="100" spans="5:11" ht="30" customHeight="1" x14ac:dyDescent="0.35">
      <c r="E100" s="96"/>
      <c r="F100" s="96"/>
      <c r="G100" s="353" t="s">
        <v>664</v>
      </c>
      <c r="H100" s="353" t="s">
        <v>659</v>
      </c>
    </row>
    <row r="101" spans="5:11" ht="32.5" customHeight="1" x14ac:dyDescent="0.35">
      <c r="E101" s="354" t="s">
        <v>661</v>
      </c>
      <c r="F101" s="351">
        <v>0.25</v>
      </c>
      <c r="G101" s="356" t="str">
        <f>IF($P$92=$K$3,DEGREES(ASIN(F101)),"")</f>
        <v/>
      </c>
      <c r="H101" s="355" t="str">
        <f>IF($P$92=$K$3,ASIN(F101),"")</f>
        <v/>
      </c>
    </row>
    <row r="102" spans="5:11" ht="32.5" customHeight="1" x14ac:dyDescent="0.35">
      <c r="E102" s="354" t="s">
        <v>661</v>
      </c>
      <c r="F102" s="351">
        <v>-0.5</v>
      </c>
      <c r="G102" s="356" t="str">
        <f>IF($P$92=$K$3,DEGREES(ASIN(F102)),"")</f>
        <v/>
      </c>
      <c r="H102" s="355" t="str">
        <f>IF($P$92=$K$3,ASIN(F102),"")</f>
        <v/>
      </c>
    </row>
    <row r="103" spans="5:11" ht="32.5" customHeight="1" x14ac:dyDescent="0.35">
      <c r="E103" s="354" t="s">
        <v>662</v>
      </c>
      <c r="F103" s="351">
        <v>-0.5</v>
      </c>
      <c r="G103" s="356" t="str">
        <f>IF($P$92=$K$3,DEGREES(ACOS(F103)),"")</f>
        <v/>
      </c>
      <c r="H103" s="355" t="str">
        <f>IF($P$92=$K$3,ACOS(F103),"")</f>
        <v/>
      </c>
    </row>
    <row r="104" spans="5:11" ht="32.5" customHeight="1" x14ac:dyDescent="0.35">
      <c r="E104" s="354" t="s">
        <v>662</v>
      </c>
      <c r="F104" s="351">
        <f>1/SQRT(2)</f>
        <v>0.70710678118654746</v>
      </c>
      <c r="G104" s="356" t="str">
        <f>IF($P$92=$K$3,DEGREES(ACOS(F104)),"")</f>
        <v/>
      </c>
      <c r="H104" s="355" t="str">
        <f>IF($P$92=$K$3,ACOS(F104),"")</f>
        <v/>
      </c>
    </row>
    <row r="105" spans="5:11" ht="32.5" customHeight="1" x14ac:dyDescent="0.35">
      <c r="E105" s="354" t="s">
        <v>663</v>
      </c>
      <c r="F105" s="351">
        <v>50</v>
      </c>
      <c r="G105" s="356" t="str">
        <f>IF($P$92=$K$3,DEGREES(ATAN(F105)),"")</f>
        <v/>
      </c>
      <c r="H105" s="355" t="str">
        <f>IF($P$92=$K$3,ATAN(F105),"")</f>
        <v/>
      </c>
    </row>
    <row r="106" spans="5:11" ht="32.5" customHeight="1" x14ac:dyDescent="0.35">
      <c r="E106" s="354" t="s">
        <v>663</v>
      </c>
      <c r="F106" s="351">
        <v>0.25</v>
      </c>
      <c r="G106" s="356" t="str">
        <f>IF($P$92=$K$3,DEGREES(ATAN(F106)),"")</f>
        <v/>
      </c>
      <c r="H106" s="355" t="str">
        <f>IF($P$92=$K$3,ATAN(F106),"")</f>
        <v/>
      </c>
    </row>
    <row r="110" spans="5:11" ht="26.5" thickBot="1" x14ac:dyDescent="0.65">
      <c r="E110" s="357" t="s">
        <v>665</v>
      </c>
      <c r="F110" s="357"/>
      <c r="H110" s="358" t="s">
        <v>822</v>
      </c>
    </row>
    <row r="111" spans="5:11" x14ac:dyDescent="0.35">
      <c r="E111" s="370" t="s">
        <v>666</v>
      </c>
      <c r="F111" s="12">
        <v>5</v>
      </c>
      <c r="G111" s="12" t="s">
        <v>714</v>
      </c>
      <c r="H111" s="12" t="s">
        <v>717</v>
      </c>
      <c r="I111" s="371">
        <f>F111*VLOOKUP(G111, CHOOSE({1,2,3,4}, Einheitenvorsätze!A:A, Einheitenvorsätze!B:B, Einheitenvorsätze!C:C, Einheitenvorsätze!D:D), 3, FALSE)</f>
        <v>0.05</v>
      </c>
      <c r="J111" s="371" t="str">
        <f>H111</f>
        <v>m</v>
      </c>
      <c r="K111" s="372" t="str">
        <f>_xlfn.CONCAT(F111," * ",VLOOKUP(G111, CHOOSE({1,2,3,4}, Einheitenvorsätze!A:A, Einheitenvorsätze!B:B, Einheitenvorsätze!C:C, Einheitenvorsätze!D:D), 4, FALSE),H111)</f>
        <v>5 * 10⁻²m</v>
      </c>
    </row>
    <row r="112" spans="5:11" x14ac:dyDescent="0.35">
      <c r="E112" s="268" t="s">
        <v>667</v>
      </c>
      <c r="F112" s="4">
        <v>0.6</v>
      </c>
      <c r="G112" s="4" t="s">
        <v>708</v>
      </c>
      <c r="H112" s="4" t="s">
        <v>749</v>
      </c>
      <c r="I112" s="81">
        <f>F112*VLOOKUP(G112, CHOOSE({1,2,3,4}, Einheitenvorsätze!A:A, Einheitenvorsätze!B:B, Einheitenvorsätze!C:C, Einheitenvorsätze!D:D), 3, FALSE)</f>
        <v>0.6</v>
      </c>
      <c r="J112" s="81" t="str">
        <f t="shared" ref="J112:J113" si="13">H112</f>
        <v>Hz</v>
      </c>
      <c r="K112" s="272" t="str">
        <f>_xlfn.CONCAT(F112," * ",VLOOKUP(G112, CHOOSE({1,2,3,4}, Einheitenvorsätze!A:A, Einheitenvorsätze!B:B, Einheitenvorsätze!C:C, Einheitenvorsätze!D:D), 4, FALSE),H112)</f>
        <v>0.6 * 10⁰Hz</v>
      </c>
    </row>
    <row r="113" spans="4:11" ht="15" thickBot="1" x14ac:dyDescent="0.4">
      <c r="E113" s="373" t="s">
        <v>668</v>
      </c>
      <c r="F113" s="14">
        <v>6.2</v>
      </c>
      <c r="G113" s="14" t="s">
        <v>708</v>
      </c>
      <c r="H113" s="14" t="s">
        <v>746</v>
      </c>
      <c r="I113" s="374">
        <f>F113*VLOOKUP(G113, CHOOSE({1,2,3,4}, Einheitenvorsätze!A:A, Einheitenvorsätze!B:B, Einheitenvorsätze!C:C, Einheitenvorsätze!D:D), 3, FALSE)</f>
        <v>6.2</v>
      </c>
      <c r="J113" s="374" t="str">
        <f t="shared" si="13"/>
        <v>s</v>
      </c>
      <c r="K113" s="375" t="str">
        <f>_xlfn.CONCAT(F113," * ",VLOOKUP(G113, CHOOSE({1,2,3,4}, Einheitenvorsätze!A:A, Einheitenvorsätze!B:B, Einheitenvorsätze!C:C, Einheitenvorsätze!D:D), 4, FALSE),H113)</f>
        <v>6.2 * 10⁰s</v>
      </c>
    </row>
    <row r="116" spans="4:11" ht="18.5" x14ac:dyDescent="0.45">
      <c r="D116" s="172"/>
      <c r="E116" s="377" t="str">
        <f>_xlfn.CONCAT("y(",$K$113,") = ")</f>
        <v xml:space="preserve">y(6.2 * 10⁰s) = </v>
      </c>
      <c r="F116" s="378" t="str">
        <f>_xlfn.CONCAT(K111, " * sin(2",Einheitenvorsätze!$C$53," * ",K112," * ",K113,")")</f>
        <v>5 * 10⁻²m * sin(2π * 0.6 * 10⁰Hz * 6.2 * 10⁰s)</v>
      </c>
      <c r="G116" s="378"/>
      <c r="H116" s="172"/>
      <c r="I116" s="172"/>
    </row>
    <row r="117" spans="4:11" ht="18.5" x14ac:dyDescent="0.45">
      <c r="D117" s="172"/>
      <c r="E117" s="377" t="str">
        <f t="shared" ref="E117:E118" si="14">_xlfn.CONCAT("y(",$K$113,") = ")</f>
        <v xml:space="preserve">y(6.2 * 10⁰s) = </v>
      </c>
      <c r="F117" s="378" t="str">
        <f>_xlfn.CONCAT(I111, " * sin(2",Einheitenvorsätze!$C$53," * ",I112," * ",I113,")",H111)</f>
        <v>0.05 * sin(2π * 0.6 * 6.2)m</v>
      </c>
      <c r="G117" s="172"/>
      <c r="H117" s="172"/>
      <c r="I117" s="172"/>
    </row>
    <row r="118" spans="4:11" ht="23.5" x14ac:dyDescent="0.55000000000000004">
      <c r="D118" s="379"/>
      <c r="E118" s="380" t="str">
        <f t="shared" si="14"/>
        <v xml:space="preserve">y(6.2 * 10⁰s) = </v>
      </c>
      <c r="F118" s="381">
        <f>I111*SIN(MOD(2*PI()*I112*I113,2*PI()))</f>
        <v>-4.9114362536434426E-2</v>
      </c>
      <c r="G118" s="379" t="str">
        <f>H111</f>
        <v>m</v>
      </c>
      <c r="H118" s="379"/>
      <c r="I118" s="172"/>
      <c r="J118" s="70"/>
    </row>
    <row r="123" spans="4:11" ht="15" thickBot="1" x14ac:dyDescent="0.4"/>
    <row r="124" spans="4:11" x14ac:dyDescent="0.35">
      <c r="D124" s="265"/>
      <c r="E124" s="266" t="s">
        <v>829</v>
      </c>
      <c r="F124" s="386">
        <v>230</v>
      </c>
      <c r="G124" s="387" t="s">
        <v>321</v>
      </c>
    </row>
    <row r="125" spans="4:11" x14ac:dyDescent="0.35">
      <c r="D125" s="382"/>
      <c r="E125" s="8" t="s">
        <v>830</v>
      </c>
      <c r="F125" s="79">
        <v>50</v>
      </c>
      <c r="G125" s="388" t="s">
        <v>749</v>
      </c>
    </row>
    <row r="126" spans="4:11" x14ac:dyDescent="0.35">
      <c r="D126" s="382"/>
      <c r="E126" s="8" t="s">
        <v>831</v>
      </c>
      <c r="F126" s="216">
        <f>F124*SQRT(2)</f>
        <v>325.26911934581187</v>
      </c>
      <c r="G126" s="272" t="str">
        <f>G124</f>
        <v>V</v>
      </c>
    </row>
    <row r="127" spans="4:11" x14ac:dyDescent="0.35">
      <c r="D127" s="382"/>
      <c r="E127" s="8" t="s">
        <v>832</v>
      </c>
      <c r="F127" s="216">
        <f>F124</f>
        <v>230</v>
      </c>
      <c r="G127" s="272" t="str">
        <f>G124</f>
        <v>V</v>
      </c>
    </row>
    <row r="128" spans="4:11" x14ac:dyDescent="0.35">
      <c r="D128" s="382"/>
      <c r="E128" s="8" t="s">
        <v>833</v>
      </c>
      <c r="F128" s="216">
        <f>F125</f>
        <v>50</v>
      </c>
      <c r="G128" s="388" t="str">
        <f>G125</f>
        <v>Hz</v>
      </c>
    </row>
    <row r="129" spans="4:19" x14ac:dyDescent="0.35">
      <c r="D129" s="382"/>
      <c r="E129" s="8" t="s">
        <v>825</v>
      </c>
      <c r="F129" s="216">
        <f>1/F128</f>
        <v>0.02</v>
      </c>
      <c r="G129" s="388" t="s">
        <v>746</v>
      </c>
    </row>
    <row r="130" spans="4:19" x14ac:dyDescent="0.35">
      <c r="D130" s="382"/>
      <c r="E130" s="8" t="s">
        <v>826</v>
      </c>
      <c r="F130" s="216">
        <f>2*PI()*F125</f>
        <v>314.15926535897933</v>
      </c>
      <c r="G130" s="388" t="s">
        <v>834</v>
      </c>
    </row>
    <row r="131" spans="4:19" x14ac:dyDescent="0.35">
      <c r="D131" s="382"/>
      <c r="E131" s="8" t="s">
        <v>827</v>
      </c>
      <c r="F131" s="216">
        <f>I131*F129</f>
        <v>6000000</v>
      </c>
      <c r="G131" s="388" t="s">
        <v>717</v>
      </c>
      <c r="I131" s="425">
        <f>3*10^8</f>
        <v>300000000</v>
      </c>
      <c r="J131" s="426"/>
      <c r="K131" s="385" t="s">
        <v>835</v>
      </c>
      <c r="L131" s="5"/>
      <c r="M131" s="5"/>
      <c r="N131" s="5"/>
      <c r="O131" s="5"/>
      <c r="P131" s="5"/>
      <c r="Q131" s="5"/>
      <c r="R131" s="5"/>
      <c r="S131" s="5"/>
    </row>
    <row r="132" spans="4:19" ht="15" thickBot="1" x14ac:dyDescent="0.4">
      <c r="D132" s="383"/>
      <c r="E132" s="384" t="s">
        <v>828</v>
      </c>
      <c r="F132" s="389">
        <f>F126*SIN(2*PI()*F125*I132)</f>
        <v>-7.9700591799201791E-14</v>
      </c>
      <c r="G132" s="375" t="str">
        <f>G124</f>
        <v>V</v>
      </c>
      <c r="I132" s="425">
        <v>0.02</v>
      </c>
      <c r="J132" s="426"/>
      <c r="K132" s="385" t="s">
        <v>836</v>
      </c>
      <c r="L132" s="5"/>
      <c r="M132" s="5"/>
      <c r="N132" s="5"/>
      <c r="O132" s="5"/>
      <c r="P132" s="5"/>
      <c r="Q132" s="5"/>
      <c r="R132" s="5"/>
      <c r="S132" s="5"/>
    </row>
  </sheetData>
  <mergeCells count="4">
    <mergeCell ref="L92:O92"/>
    <mergeCell ref="P92:R92"/>
    <mergeCell ref="I131:J131"/>
    <mergeCell ref="I132:J132"/>
  </mergeCells>
  <dataValidations count="3">
    <dataValidation type="list" allowBlank="1" showInputMessage="1" showErrorMessage="1" sqref="F10 AZ10 F93:F96" xr:uid="{0301A70D-6277-4BB2-81B6-2BB5B814650B}">
      <formula1>$L$3:$L$4</formula1>
    </dataValidation>
    <dataValidation type="list" allowBlank="1" showInputMessage="1" showErrorMessage="1" sqref="AY10" xr:uid="{0C1E6814-736D-4D2F-9025-618FBD23A267}">
      <formula1>$G$10:$AU$10</formula1>
    </dataValidation>
    <dataValidation type="list" allowBlank="1" showInputMessage="1" showErrorMessage="1" sqref="D16:D17 AW12:AW13 AW16:AW17 P92:R92" xr:uid="{8FB8006F-A5AB-41B5-B544-F9B479F8D761}">
      <formula1>$K$3:$K$4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G111:G113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zoomScale="70" zoomScaleNormal="70" workbookViewId="0">
      <selection activeCell="H16" sqref="H16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33" t="s">
        <v>332</v>
      </c>
      <c r="D2" s="33"/>
      <c r="L2" s="30"/>
      <c r="M2" s="95"/>
      <c r="R2" s="77" t="s">
        <v>235</v>
      </c>
      <c r="S2" s="77" t="s">
        <v>204</v>
      </c>
      <c r="T2" s="77" t="s">
        <v>212</v>
      </c>
      <c r="V2" s="77" t="s">
        <v>232</v>
      </c>
      <c r="W2" s="77"/>
      <c r="Y2" s="77" t="s">
        <v>231</v>
      </c>
      <c r="Z2" s="77"/>
      <c r="AA2" s="77"/>
      <c r="AB2" s="77"/>
      <c r="AC2" s="77"/>
    </row>
    <row r="3" spans="3:29" x14ac:dyDescent="0.35">
      <c r="R3" s="113" t="s">
        <v>236</v>
      </c>
      <c r="S3" s="5" t="s">
        <v>202</v>
      </c>
      <c r="T3" s="5" t="s">
        <v>213</v>
      </c>
      <c r="V3" s="78">
        <f>MIN(K14:L20)</f>
        <v>-20</v>
      </c>
      <c r="W3" s="78">
        <f>MAX(K14:L20)</f>
        <v>19.696155060244159</v>
      </c>
      <c r="Y3" s="5" t="s">
        <v>233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13" t="s">
        <v>237</v>
      </c>
      <c r="S4" s="5" t="s">
        <v>203</v>
      </c>
      <c r="T4" s="5" t="s">
        <v>214</v>
      </c>
      <c r="V4" s="5">
        <f>ABS(V3)</f>
        <v>20</v>
      </c>
      <c r="W4" s="5">
        <f>ABS(W3)</f>
        <v>19.696155060244159</v>
      </c>
      <c r="Y4" s="5" t="s">
        <v>234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13" t="s">
        <v>238</v>
      </c>
      <c r="S5" s="5" t="s">
        <v>206</v>
      </c>
      <c r="T5" s="5" t="s">
        <v>215</v>
      </c>
      <c r="V5" s="5">
        <f>MAX(V4:W4)</f>
        <v>20</v>
      </c>
      <c r="W5" s="5">
        <f>V5*1.1</f>
        <v>22</v>
      </c>
    </row>
    <row r="6" spans="3:29" x14ac:dyDescent="0.35">
      <c r="R6" s="5" t="s">
        <v>261</v>
      </c>
      <c r="S6" s="5"/>
      <c r="T6" s="5" t="s">
        <v>216</v>
      </c>
    </row>
    <row r="7" spans="3:29" x14ac:dyDescent="0.35">
      <c r="R7" s="5" t="s">
        <v>64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28" t="s">
        <v>217</v>
      </c>
      <c r="D12" s="428"/>
      <c r="E12" s="428"/>
      <c r="F12" s="428"/>
      <c r="G12" s="428"/>
      <c r="H12" s="60"/>
      <c r="I12" s="428" t="s">
        <v>218</v>
      </c>
      <c r="J12" s="428"/>
      <c r="K12" s="428" t="s">
        <v>213</v>
      </c>
      <c r="L12" s="428"/>
      <c r="M12" s="428" t="s">
        <v>219</v>
      </c>
      <c r="N12" s="428"/>
      <c r="O12" s="428"/>
      <c r="P12" s="427" t="s">
        <v>230</v>
      </c>
      <c r="Q12" s="427"/>
      <c r="R12" s="427"/>
      <c r="S12" s="427"/>
      <c r="T12" s="427" t="s">
        <v>262</v>
      </c>
      <c r="U12" s="427"/>
      <c r="V12" s="427"/>
      <c r="W12" s="427"/>
    </row>
    <row r="13" spans="3:29" x14ac:dyDescent="0.35">
      <c r="C13" s="104" t="s">
        <v>197</v>
      </c>
      <c r="D13" s="104" t="s">
        <v>199</v>
      </c>
      <c r="E13" s="104" t="s">
        <v>198</v>
      </c>
      <c r="F13" s="104" t="s">
        <v>200</v>
      </c>
      <c r="G13" s="104" t="s">
        <v>201</v>
      </c>
      <c r="H13" s="104" t="s">
        <v>235</v>
      </c>
      <c r="I13" s="104" t="s">
        <v>212</v>
      </c>
      <c r="J13" s="104" t="s">
        <v>209</v>
      </c>
      <c r="K13" s="104" t="s">
        <v>210</v>
      </c>
      <c r="L13" s="104" t="s">
        <v>211</v>
      </c>
      <c r="M13" s="104" t="s">
        <v>207</v>
      </c>
      <c r="N13" s="104" t="s">
        <v>208</v>
      </c>
      <c r="O13" s="104" t="s">
        <v>209</v>
      </c>
      <c r="P13" s="104" t="s">
        <v>226</v>
      </c>
      <c r="Q13" s="104" t="s">
        <v>227</v>
      </c>
      <c r="R13" s="104" t="s">
        <v>228</v>
      </c>
      <c r="S13" s="104" t="s">
        <v>229</v>
      </c>
      <c r="T13" s="104" t="s">
        <v>226</v>
      </c>
      <c r="U13" s="104" t="s">
        <v>227</v>
      </c>
      <c r="V13" s="104" t="s">
        <v>228</v>
      </c>
      <c r="W13" s="104" t="s">
        <v>229</v>
      </c>
    </row>
    <row r="14" spans="3:29" x14ac:dyDescent="0.35">
      <c r="C14" s="4" t="s">
        <v>205</v>
      </c>
      <c r="D14" s="4">
        <v>10</v>
      </c>
      <c r="E14" s="96" t="s">
        <v>206</v>
      </c>
      <c r="F14" s="4">
        <v>5</v>
      </c>
      <c r="G14" s="4" t="s">
        <v>206</v>
      </c>
      <c r="H14" s="107"/>
      <c r="I14" s="5" t="str">
        <f>IF(AND(E14=$S$5,G14=$S$5),$T$3,IF(AND(E14=$S$5,G14=$S$4),$T$4,IF(AND(E14=$S$5,G14=$S$3),$T$5,$T$6)))</f>
        <v>Kartesisch</v>
      </c>
      <c r="J14" s="78" t="str">
        <f>IF(I14=$T$5,F14*PI()/180,IF(I14=$T$4,F14,""))</f>
        <v/>
      </c>
      <c r="K14" s="105">
        <f>IF(I14=$T$3,D14,D14*COS(J14))</f>
        <v>10</v>
      </c>
      <c r="L14" s="105">
        <f>IF(I14=$T$3,F14,D14*SIN(J14))</f>
        <v>5</v>
      </c>
      <c r="M14" s="106">
        <f>SQRT(K14^2 + L14^2)</f>
        <v>11.180339887498949</v>
      </c>
      <c r="N14" s="106">
        <f>DEGREES(ATAN2(K14,L14))</f>
        <v>26.56505117707799</v>
      </c>
      <c r="O14" s="106">
        <f>ATAN2(K14,L14)</f>
        <v>0.46364760900080609</v>
      </c>
      <c r="P14" s="78">
        <v>0</v>
      </c>
      <c r="Q14" s="78">
        <f>K14</f>
        <v>10</v>
      </c>
      <c r="R14" s="78">
        <v>0</v>
      </c>
      <c r="S14" s="78">
        <f>L14</f>
        <v>5</v>
      </c>
      <c r="T14" s="114"/>
      <c r="U14" s="114"/>
      <c r="V14" s="114"/>
      <c r="W14" s="114"/>
    </row>
    <row r="15" spans="3:29" x14ac:dyDescent="0.35">
      <c r="C15" s="4" t="s">
        <v>220</v>
      </c>
      <c r="D15" s="4">
        <v>10</v>
      </c>
      <c r="E15" s="96" t="s">
        <v>206</v>
      </c>
      <c r="F15" s="4">
        <v>-12</v>
      </c>
      <c r="G15" s="4" t="s">
        <v>206</v>
      </c>
      <c r="H15" s="108" t="s">
        <v>236</v>
      </c>
      <c r="I15" s="5" t="str">
        <f t="shared" ref="I15:I20" si="0">IF(AND(E15=$S$5,G15=$S$5),$T$3,IF(AND(E15=$S$5,G15=$S$4),$T$4,IF(AND(E15=$S$5,G15=$S$3),$T$5,$T$6)))</f>
        <v>Kartesisch</v>
      </c>
      <c r="J15" s="78" t="str">
        <f t="shared" ref="J15:J20" si="1">IF(I15=$T$5,F15*PI()/180,IF(I15=$T$4,F15,""))</f>
        <v/>
      </c>
      <c r="K15" s="105">
        <f t="shared" ref="K15:K20" si="2">IF(I15=$T$3,D15,D15*COS(J15))</f>
        <v>10</v>
      </c>
      <c r="L15" s="105">
        <f t="shared" ref="L15:L20" si="3">IF(I15=$T$3,F15,D15*SIN(J15))</f>
        <v>-12</v>
      </c>
      <c r="M15" s="106">
        <f t="shared" ref="M15:M20" si="4">SQRT(K15^2 + L15^2)</f>
        <v>15.620499351813308</v>
      </c>
      <c r="N15" s="106">
        <f t="shared" ref="N15:N20" si="5">DEGREES(ATAN2(K15,L15))</f>
        <v>-50.19442890773481</v>
      </c>
      <c r="O15" s="106">
        <f t="shared" ref="O15:O20" si="6">ATAN2(K15,L15)</f>
        <v>-0.87605805059819342</v>
      </c>
      <c r="P15" s="78">
        <f t="shared" ref="P15:P20" si="7">IF(H15=$R$6,0,IF(H15=$R$3,Q14,0))</f>
        <v>10</v>
      </c>
      <c r="Q15" s="78">
        <f t="shared" ref="Q15:Q20" si="8">IF(H15=$R$6,0,IF(H15=$R$3,K15+Q14,K15))</f>
        <v>20</v>
      </c>
      <c r="R15" s="78">
        <f t="shared" ref="R15:R20" si="9">IF(H15=$R$6,0,IF(H15=$R$3,S14,0))</f>
        <v>5</v>
      </c>
      <c r="S15" s="78">
        <f t="shared" ref="S15:S20" si="10">IF(H15=$R$6,0,IF(H15=$R$3,S14+L15,L15))</f>
        <v>-7</v>
      </c>
      <c r="T15" s="78">
        <v>0</v>
      </c>
      <c r="U15" s="78">
        <v>0</v>
      </c>
      <c r="V15" s="78">
        <f t="shared" ref="V15:V20" si="11">IF(P15&lt;&gt;0,Q15,0)</f>
        <v>20</v>
      </c>
      <c r="W15" s="78">
        <f t="shared" ref="W15:W20" si="12">IF(R15&lt;&gt;0,S15,0)</f>
        <v>-7</v>
      </c>
    </row>
    <row r="16" spans="3:29" x14ac:dyDescent="0.35">
      <c r="C16" s="4" t="s">
        <v>221</v>
      </c>
      <c r="D16" s="4">
        <v>-8</v>
      </c>
      <c r="E16" s="96" t="s">
        <v>206</v>
      </c>
      <c r="F16" s="4">
        <v>15</v>
      </c>
      <c r="G16" s="4" t="s">
        <v>206</v>
      </c>
      <c r="H16" s="108" t="s">
        <v>236</v>
      </c>
      <c r="I16" s="5" t="str">
        <f t="shared" si="0"/>
        <v>Kartesisch</v>
      </c>
      <c r="J16" s="78" t="str">
        <f t="shared" si="1"/>
        <v/>
      </c>
      <c r="K16" s="105">
        <f t="shared" si="2"/>
        <v>-8</v>
      </c>
      <c r="L16" s="105">
        <f t="shared" si="3"/>
        <v>15</v>
      </c>
      <c r="M16" s="106">
        <f t="shared" si="4"/>
        <v>17</v>
      </c>
      <c r="N16" s="106">
        <f t="shared" si="5"/>
        <v>118.07248693585296</v>
      </c>
      <c r="O16" s="106">
        <f t="shared" si="6"/>
        <v>2.060753653048625</v>
      </c>
      <c r="P16" s="78">
        <f t="shared" si="7"/>
        <v>20</v>
      </c>
      <c r="Q16" s="78">
        <f t="shared" si="8"/>
        <v>12</v>
      </c>
      <c r="R16" s="78">
        <f t="shared" si="9"/>
        <v>-7</v>
      </c>
      <c r="S16" s="78">
        <f t="shared" si="10"/>
        <v>8</v>
      </c>
      <c r="T16" s="78">
        <v>0</v>
      </c>
      <c r="U16" s="78">
        <v>0</v>
      </c>
      <c r="V16" s="78">
        <f t="shared" si="11"/>
        <v>12</v>
      </c>
      <c r="W16" s="78">
        <f t="shared" si="12"/>
        <v>8</v>
      </c>
    </row>
    <row r="17" spans="3:23" x14ac:dyDescent="0.35">
      <c r="C17" s="4" t="s">
        <v>222</v>
      </c>
      <c r="D17" s="4">
        <v>-10</v>
      </c>
      <c r="E17" s="96" t="s">
        <v>206</v>
      </c>
      <c r="F17" s="4">
        <v>-20</v>
      </c>
      <c r="G17" s="4" t="s">
        <v>206</v>
      </c>
      <c r="H17" s="108" t="s">
        <v>261</v>
      </c>
      <c r="I17" s="5" t="str">
        <f t="shared" si="0"/>
        <v>Kartesisch</v>
      </c>
      <c r="J17" s="78" t="str">
        <f t="shared" si="1"/>
        <v/>
      </c>
      <c r="K17" s="105">
        <f t="shared" si="2"/>
        <v>-10</v>
      </c>
      <c r="L17" s="105">
        <f t="shared" si="3"/>
        <v>-20</v>
      </c>
      <c r="M17" s="106">
        <f t="shared" si="4"/>
        <v>22.360679774997898</v>
      </c>
      <c r="N17" s="106">
        <f t="shared" si="5"/>
        <v>-116.56505117707799</v>
      </c>
      <c r="O17" s="106">
        <f t="shared" si="6"/>
        <v>-2.0344439357957027</v>
      </c>
      <c r="P17" s="78">
        <f t="shared" si="7"/>
        <v>0</v>
      </c>
      <c r="Q17" s="78">
        <f t="shared" si="8"/>
        <v>0</v>
      </c>
      <c r="R17" s="78">
        <f t="shared" si="9"/>
        <v>0</v>
      </c>
      <c r="S17" s="78">
        <f t="shared" si="10"/>
        <v>0</v>
      </c>
      <c r="T17" s="78">
        <v>0</v>
      </c>
      <c r="U17" s="78">
        <v>0</v>
      </c>
      <c r="V17" s="78">
        <f t="shared" si="11"/>
        <v>0</v>
      </c>
      <c r="W17" s="78">
        <f t="shared" si="12"/>
        <v>0</v>
      </c>
    </row>
    <row r="18" spans="3:23" x14ac:dyDescent="0.35">
      <c r="C18" s="4" t="s">
        <v>223</v>
      </c>
      <c r="D18" s="4">
        <v>20</v>
      </c>
      <c r="E18" s="96" t="s">
        <v>206</v>
      </c>
      <c r="F18" s="4">
        <v>100</v>
      </c>
      <c r="G18" s="4" t="s">
        <v>202</v>
      </c>
      <c r="H18" s="108" t="s">
        <v>261</v>
      </c>
      <c r="I18" s="5" t="str">
        <f t="shared" si="0"/>
        <v>Polar [°]</v>
      </c>
      <c r="J18" s="78">
        <f t="shared" si="1"/>
        <v>1.7453292519943295</v>
      </c>
      <c r="K18" s="105">
        <f t="shared" si="2"/>
        <v>-3.4729635533386061</v>
      </c>
      <c r="L18" s="105">
        <f t="shared" si="3"/>
        <v>19.696155060244159</v>
      </c>
      <c r="M18" s="106">
        <f t="shared" si="4"/>
        <v>19.999999999999996</v>
      </c>
      <c r="N18" s="106">
        <f t="shared" si="5"/>
        <v>100</v>
      </c>
      <c r="O18" s="106">
        <f t="shared" si="6"/>
        <v>1.7453292519943295</v>
      </c>
      <c r="P18" s="78">
        <f t="shared" si="7"/>
        <v>0</v>
      </c>
      <c r="Q18" s="78">
        <f t="shared" si="8"/>
        <v>0</v>
      </c>
      <c r="R18" s="78">
        <f t="shared" si="9"/>
        <v>0</v>
      </c>
      <c r="S18" s="78">
        <f t="shared" si="10"/>
        <v>0</v>
      </c>
      <c r="T18" s="78">
        <v>0</v>
      </c>
      <c r="U18" s="78">
        <v>0</v>
      </c>
      <c r="V18" s="78">
        <f t="shared" si="11"/>
        <v>0</v>
      </c>
      <c r="W18" s="78">
        <f t="shared" si="12"/>
        <v>0</v>
      </c>
    </row>
    <row r="19" spans="3:23" x14ac:dyDescent="0.35">
      <c r="C19" s="4" t="s">
        <v>224</v>
      </c>
      <c r="D19" s="4">
        <v>20</v>
      </c>
      <c r="E19" s="96" t="s">
        <v>206</v>
      </c>
      <c r="F19" s="4">
        <v>180</v>
      </c>
      <c r="G19" s="4" t="s">
        <v>202</v>
      </c>
      <c r="H19" s="108" t="s">
        <v>261</v>
      </c>
      <c r="I19" s="5" t="str">
        <f t="shared" si="0"/>
        <v>Polar [°]</v>
      </c>
      <c r="J19" s="78">
        <f t="shared" si="1"/>
        <v>3.1415926535897931</v>
      </c>
      <c r="K19" s="105">
        <f t="shared" si="2"/>
        <v>-20</v>
      </c>
      <c r="L19" s="105">
        <f t="shared" si="3"/>
        <v>2.45029690981724E-15</v>
      </c>
      <c r="M19" s="106">
        <f t="shared" si="4"/>
        <v>20</v>
      </c>
      <c r="N19" s="106">
        <f t="shared" si="5"/>
        <v>180</v>
      </c>
      <c r="O19" s="106">
        <f t="shared" si="6"/>
        <v>3.1415926535897931</v>
      </c>
      <c r="P19" s="78">
        <f t="shared" si="7"/>
        <v>0</v>
      </c>
      <c r="Q19" s="78">
        <f t="shared" si="8"/>
        <v>0</v>
      </c>
      <c r="R19" s="78">
        <f t="shared" si="9"/>
        <v>0</v>
      </c>
      <c r="S19" s="78">
        <f t="shared" si="10"/>
        <v>0</v>
      </c>
      <c r="T19" s="78">
        <v>0</v>
      </c>
      <c r="U19" s="78">
        <v>0</v>
      </c>
      <c r="V19" s="78">
        <f t="shared" si="11"/>
        <v>0</v>
      </c>
      <c r="W19" s="78">
        <f t="shared" si="12"/>
        <v>0</v>
      </c>
    </row>
    <row r="20" spans="3:23" x14ac:dyDescent="0.35">
      <c r="C20" s="4" t="s">
        <v>225</v>
      </c>
      <c r="D20" s="4">
        <v>20</v>
      </c>
      <c r="E20" s="96" t="s">
        <v>206</v>
      </c>
      <c r="F20" s="4">
        <v>6.5</v>
      </c>
      <c r="G20" s="4" t="s">
        <v>203</v>
      </c>
      <c r="H20" s="108" t="s">
        <v>261</v>
      </c>
      <c r="I20" s="5" t="str">
        <f t="shared" si="0"/>
        <v>Polar [rad]</v>
      </c>
      <c r="J20" s="78">
        <f t="shared" si="1"/>
        <v>6.5</v>
      </c>
      <c r="K20" s="105">
        <f t="shared" si="2"/>
        <v>19.53175251456047</v>
      </c>
      <c r="L20" s="105">
        <f t="shared" si="3"/>
        <v>4.3023997617563108</v>
      </c>
      <c r="M20" s="106">
        <f t="shared" si="4"/>
        <v>20</v>
      </c>
      <c r="N20" s="106">
        <f t="shared" si="5"/>
        <v>12.422566835035086</v>
      </c>
      <c r="O20" s="106">
        <f t="shared" si="6"/>
        <v>0.21681469282041352</v>
      </c>
      <c r="P20" s="78">
        <f t="shared" si="7"/>
        <v>0</v>
      </c>
      <c r="Q20" s="78">
        <f t="shared" si="8"/>
        <v>0</v>
      </c>
      <c r="R20" s="78">
        <f t="shared" si="9"/>
        <v>0</v>
      </c>
      <c r="S20" s="78">
        <f t="shared" si="10"/>
        <v>0</v>
      </c>
      <c r="T20" s="78">
        <v>0</v>
      </c>
      <c r="U20" s="78">
        <v>0</v>
      </c>
      <c r="V20" s="78">
        <f t="shared" si="11"/>
        <v>0</v>
      </c>
      <c r="W20" s="78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Normal="100" workbookViewId="0">
      <selection activeCell="I4" sqref="I4"/>
    </sheetView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22" customWidth="1"/>
    <col min="16" max="16" width="3.54296875" style="222" customWidth="1"/>
    <col min="17" max="21" width="5.54296875" style="222" customWidth="1"/>
  </cols>
  <sheetData>
    <row r="1" spans="2:21" ht="40" customHeight="1" x14ac:dyDescent="0.35"/>
    <row r="2" spans="2:21" ht="23.5" x14ac:dyDescent="0.55000000000000004">
      <c r="C2" s="11" t="s">
        <v>852</v>
      </c>
      <c r="M2" s="221"/>
    </row>
    <row r="3" spans="2:21" ht="12" customHeight="1" x14ac:dyDescent="0.55000000000000004">
      <c r="B3" s="11"/>
      <c r="M3" s="221"/>
    </row>
    <row r="4" spans="2:21" ht="12" customHeight="1" x14ac:dyDescent="0.55000000000000004">
      <c r="B4" s="11"/>
      <c r="M4" s="221"/>
    </row>
    <row r="5" spans="2:21" x14ac:dyDescent="0.35">
      <c r="C5" s="214" t="s">
        <v>414</v>
      </c>
      <c r="D5" s="213"/>
      <c r="E5" s="213"/>
      <c r="F5" s="213"/>
      <c r="G5" s="213"/>
      <c r="M5" s="213" t="s">
        <v>255</v>
      </c>
    </row>
    <row r="6" spans="2:21" x14ac:dyDescent="0.35">
      <c r="C6" s="210">
        <v>180</v>
      </c>
      <c r="D6" s="5" t="str">
        <f>M6</f>
        <v>°</v>
      </c>
      <c r="E6" s="211" t="s">
        <v>331</v>
      </c>
      <c r="F6" s="216">
        <f>PI()*C6/180</f>
        <v>3.1415926535897931</v>
      </c>
      <c r="G6" s="5" t="str">
        <f>M7</f>
        <v>rad</v>
      </c>
      <c r="M6" s="212" t="s">
        <v>202</v>
      </c>
    </row>
    <row r="7" spans="2:21" x14ac:dyDescent="0.35">
      <c r="C7" s="79">
        <v>3.1415000000000002</v>
      </c>
      <c r="D7" s="5" t="str">
        <f>M7</f>
        <v>rad</v>
      </c>
      <c r="E7" s="211" t="s">
        <v>331</v>
      </c>
      <c r="F7" s="216">
        <f>180*C7/PI()</f>
        <v>179.99469134034814</v>
      </c>
      <c r="G7" s="5" t="str">
        <f>M6</f>
        <v>°</v>
      </c>
      <c r="M7" s="212" t="s">
        <v>203</v>
      </c>
    </row>
    <row r="8" spans="2:21" x14ac:dyDescent="0.35">
      <c r="C8" s="79">
        <v>180</v>
      </c>
      <c r="D8" s="4" t="s">
        <v>202</v>
      </c>
      <c r="E8" s="211" t="s">
        <v>331</v>
      </c>
      <c r="F8" s="216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29" t="s">
        <v>418</v>
      </c>
      <c r="C13" s="426"/>
      <c r="D13" s="426"/>
      <c r="E13" s="426"/>
      <c r="F13" s="426"/>
      <c r="G13" s="426"/>
      <c r="H13" s="426"/>
      <c r="I13" s="426"/>
      <c r="L13" s="429" t="s">
        <v>419</v>
      </c>
      <c r="M13" s="430"/>
      <c r="N13" s="430"/>
      <c r="O13" s="430"/>
      <c r="Q13" s="429" t="s">
        <v>231</v>
      </c>
      <c r="R13" s="430"/>
      <c r="S13" s="430"/>
      <c r="T13" s="430"/>
      <c r="U13" s="430"/>
    </row>
    <row r="14" spans="2:21" x14ac:dyDescent="0.35">
      <c r="B14" s="218" t="s">
        <v>197</v>
      </c>
      <c r="C14" s="217" t="s">
        <v>207</v>
      </c>
      <c r="D14" s="217" t="s">
        <v>92</v>
      </c>
      <c r="E14" s="217" t="s">
        <v>415</v>
      </c>
      <c r="F14" s="217" t="s">
        <v>92</v>
      </c>
      <c r="G14" s="217" t="s">
        <v>415</v>
      </c>
      <c r="H14" s="217" t="s">
        <v>416</v>
      </c>
      <c r="I14" s="217" t="s">
        <v>417</v>
      </c>
      <c r="L14" s="223" t="s">
        <v>423</v>
      </c>
      <c r="M14" s="223" t="s">
        <v>424</v>
      </c>
      <c r="N14" s="223" t="s">
        <v>425</v>
      </c>
      <c r="O14" s="223" t="s">
        <v>426</v>
      </c>
      <c r="P14" s="221"/>
      <c r="Q14" s="227" t="s">
        <v>420</v>
      </c>
      <c r="R14" s="223"/>
      <c r="S14" s="223"/>
      <c r="T14" s="223"/>
      <c r="U14" s="223"/>
    </row>
    <row r="15" spans="2:21" x14ac:dyDescent="0.35">
      <c r="B15" s="219" t="s">
        <v>421</v>
      </c>
      <c r="C15" s="215">
        <v>10</v>
      </c>
      <c r="D15" s="79">
        <v>180</v>
      </c>
      <c r="E15" s="79" t="s">
        <v>202</v>
      </c>
      <c r="F15" s="216">
        <f>IF(E15=M7,D15,IF(D8=M6,D15*PI()/180,"Unknown"))</f>
        <v>3.1415926535897931</v>
      </c>
      <c r="G15" s="78" t="str">
        <f>M7</f>
        <v>rad</v>
      </c>
      <c r="H15" s="216">
        <f>C15*COS(F15)</f>
        <v>-10</v>
      </c>
      <c r="I15" s="216">
        <f>C15*SIN(F15)</f>
        <v>1.22514845490862E-15</v>
      </c>
      <c r="L15" s="224">
        <v>0</v>
      </c>
      <c r="M15" s="224">
        <f>H15</f>
        <v>-10</v>
      </c>
      <c r="N15" s="224">
        <v>0</v>
      </c>
      <c r="O15" s="224">
        <f>I15</f>
        <v>1.22514845490862E-15</v>
      </c>
      <c r="P15" s="225"/>
      <c r="Q15" s="226">
        <f>MAX(ABS(O15),ABS(M16),ABS(O16),ABS(M15),ABS(M17),ABS(O17))</f>
        <v>14</v>
      </c>
      <c r="R15" s="224">
        <f>Q16</f>
        <v>15.400000000000002</v>
      </c>
      <c r="S15" s="224">
        <v>0</v>
      </c>
      <c r="T15" s="224">
        <f>-R15</f>
        <v>-15.400000000000002</v>
      </c>
      <c r="U15" s="224">
        <v>0</v>
      </c>
    </row>
    <row r="16" spans="2:21" x14ac:dyDescent="0.35">
      <c r="B16" s="220" t="s">
        <v>422</v>
      </c>
      <c r="C16" s="216">
        <f>SQRT(H16^2+I16^2)</f>
        <v>6.4031242374328485</v>
      </c>
      <c r="D16" s="216">
        <f>F16*180/PI()</f>
        <v>128.65980825409008</v>
      </c>
      <c r="E16" s="78" t="str">
        <f>M6</f>
        <v>°</v>
      </c>
      <c r="F16" s="216">
        <f>ATAN2(H16,I16)</f>
        <v>2.245537269018449</v>
      </c>
      <c r="G16" s="78" t="str">
        <f>M7</f>
        <v>rad</v>
      </c>
      <c r="H16" s="79">
        <v>-4</v>
      </c>
      <c r="I16" s="79">
        <v>5</v>
      </c>
      <c r="L16" s="224">
        <v>0</v>
      </c>
      <c r="M16" s="224">
        <f>H16</f>
        <v>-4</v>
      </c>
      <c r="N16" s="224">
        <v>0</v>
      </c>
      <c r="O16" s="224">
        <f>I16</f>
        <v>5</v>
      </c>
      <c r="P16" s="225"/>
      <c r="Q16" s="226">
        <f>Q15*1.1</f>
        <v>15.400000000000002</v>
      </c>
      <c r="R16" s="224">
        <v>0</v>
      </c>
      <c r="S16" s="224">
        <f>R15</f>
        <v>15.400000000000002</v>
      </c>
      <c r="T16" s="224">
        <v>0</v>
      </c>
      <c r="U16" s="224">
        <f>T15</f>
        <v>-15.400000000000002</v>
      </c>
    </row>
    <row r="17" spans="2:54" ht="16.5" x14ac:dyDescent="0.45">
      <c r="B17" s="228" t="s">
        <v>433</v>
      </c>
      <c r="C17" s="216">
        <f>SQRT(H17^2+I17^2)</f>
        <v>14.866068747318506</v>
      </c>
      <c r="D17" s="216">
        <f>F17*180/PI()</f>
        <v>160.34617594194668</v>
      </c>
      <c r="E17" s="78" t="str">
        <f>E16</f>
        <v>°</v>
      </c>
      <c r="F17" s="216">
        <f>ATAN2(H17,I17)</f>
        <v>2.7985687131690895</v>
      </c>
      <c r="G17" s="78" t="str">
        <f>G16</f>
        <v>rad</v>
      </c>
      <c r="H17" s="216">
        <f>H16+H15</f>
        <v>-14</v>
      </c>
      <c r="I17" s="216">
        <f>I16+I15</f>
        <v>5.0000000000000009</v>
      </c>
      <c r="L17" s="224">
        <v>0</v>
      </c>
      <c r="M17" s="224">
        <f>H17</f>
        <v>-14</v>
      </c>
      <c r="N17" s="224">
        <v>0</v>
      </c>
      <c r="O17" s="224">
        <f>I17</f>
        <v>5.0000000000000009</v>
      </c>
    </row>
    <row r="18" spans="2:54" ht="16.5" x14ac:dyDescent="0.45">
      <c r="B18" s="8" t="s">
        <v>434</v>
      </c>
      <c r="C18" s="81">
        <f>C16*C15</f>
        <v>64.031242374328485</v>
      </c>
      <c r="D18" s="216">
        <f>D16+D15</f>
        <v>308.65980825409008</v>
      </c>
      <c r="E18" s="78" t="str">
        <f>E17</f>
        <v>°</v>
      </c>
      <c r="F18" s="216">
        <f>F15+F16</f>
        <v>5.3871299226082421</v>
      </c>
      <c r="G18" s="78" t="str">
        <f>G17</f>
        <v>rad</v>
      </c>
      <c r="H18" s="216">
        <f>C18*COS(F18)</f>
        <v>39.999999999999979</v>
      </c>
      <c r="I18" s="216">
        <f>C18*SIN(F18)</f>
        <v>-50.000000000000014</v>
      </c>
    </row>
    <row r="21" spans="2:54" x14ac:dyDescent="0.35">
      <c r="L21" s="222" t="s">
        <v>208</v>
      </c>
      <c r="M21" s="222">
        <v>0</v>
      </c>
      <c r="N21" s="222">
        <f>M21+10</f>
        <v>10</v>
      </c>
      <c r="O21" s="222">
        <f t="shared" ref="O21:AW21" si="0">N21+10</f>
        <v>20</v>
      </c>
      <c r="P21" s="222">
        <f t="shared" si="0"/>
        <v>30</v>
      </c>
      <c r="Q21" s="222">
        <f t="shared" si="0"/>
        <v>40</v>
      </c>
      <c r="R21" s="222">
        <f t="shared" si="0"/>
        <v>50</v>
      </c>
      <c r="S21" s="222">
        <f t="shared" si="0"/>
        <v>60</v>
      </c>
      <c r="T21" s="222">
        <f t="shared" si="0"/>
        <v>70</v>
      </c>
      <c r="U21" s="222">
        <f t="shared" si="0"/>
        <v>80</v>
      </c>
      <c r="V21" s="222">
        <f t="shared" si="0"/>
        <v>90</v>
      </c>
      <c r="W21" s="222">
        <f t="shared" si="0"/>
        <v>100</v>
      </c>
      <c r="X21" s="222">
        <f t="shared" si="0"/>
        <v>110</v>
      </c>
      <c r="Y21" s="222">
        <f t="shared" si="0"/>
        <v>120</v>
      </c>
      <c r="Z21" s="222">
        <f t="shared" si="0"/>
        <v>130</v>
      </c>
      <c r="AA21" s="222">
        <f t="shared" si="0"/>
        <v>140</v>
      </c>
      <c r="AB21" s="222">
        <f t="shared" si="0"/>
        <v>150</v>
      </c>
      <c r="AC21" s="222">
        <f t="shared" si="0"/>
        <v>160</v>
      </c>
      <c r="AD21" s="222">
        <f t="shared" si="0"/>
        <v>170</v>
      </c>
      <c r="AE21" s="222">
        <f t="shared" si="0"/>
        <v>180</v>
      </c>
      <c r="AF21" s="222">
        <f t="shared" si="0"/>
        <v>190</v>
      </c>
      <c r="AG21" s="222">
        <f t="shared" si="0"/>
        <v>200</v>
      </c>
      <c r="AH21" s="222">
        <f t="shared" si="0"/>
        <v>210</v>
      </c>
      <c r="AI21" s="222">
        <f t="shared" si="0"/>
        <v>220</v>
      </c>
      <c r="AJ21" s="222">
        <f t="shared" si="0"/>
        <v>230</v>
      </c>
      <c r="AK21" s="222">
        <f t="shared" si="0"/>
        <v>240</v>
      </c>
      <c r="AL21" s="222">
        <f t="shared" si="0"/>
        <v>250</v>
      </c>
      <c r="AM21" s="222">
        <f t="shared" si="0"/>
        <v>260</v>
      </c>
      <c r="AN21" s="222">
        <f t="shared" si="0"/>
        <v>270</v>
      </c>
      <c r="AO21" s="222">
        <f t="shared" si="0"/>
        <v>280</v>
      </c>
      <c r="AP21" s="222">
        <f t="shared" si="0"/>
        <v>290</v>
      </c>
      <c r="AQ21" s="222">
        <f t="shared" si="0"/>
        <v>300</v>
      </c>
      <c r="AR21" s="222">
        <f t="shared" si="0"/>
        <v>310</v>
      </c>
      <c r="AS21" s="222">
        <f t="shared" si="0"/>
        <v>320</v>
      </c>
      <c r="AT21" s="222">
        <f t="shared" si="0"/>
        <v>330</v>
      </c>
      <c r="AU21" s="222">
        <f t="shared" si="0"/>
        <v>340</v>
      </c>
      <c r="AV21" s="222">
        <f t="shared" si="0"/>
        <v>350</v>
      </c>
      <c r="AW21" s="222">
        <f t="shared" si="0"/>
        <v>360</v>
      </c>
      <c r="AX21" s="222"/>
      <c r="AY21" s="222"/>
      <c r="AZ21" s="222"/>
      <c r="BA21" s="222"/>
      <c r="BB21" s="222"/>
    </row>
    <row r="22" spans="2:54" x14ac:dyDescent="0.35">
      <c r="L22" s="222" t="s">
        <v>209</v>
      </c>
      <c r="M22" s="222">
        <f>M21*PI()/180</f>
        <v>0</v>
      </c>
      <c r="N22" s="222">
        <f t="shared" ref="N22:AW22" si="1">N21*PI()/180</f>
        <v>0.17453292519943295</v>
      </c>
      <c r="O22" s="222">
        <f t="shared" si="1"/>
        <v>0.3490658503988659</v>
      </c>
      <c r="P22" s="222">
        <f t="shared" si="1"/>
        <v>0.52359877559829882</v>
      </c>
      <c r="Q22" s="222">
        <f t="shared" si="1"/>
        <v>0.69813170079773179</v>
      </c>
      <c r="R22" s="222">
        <f t="shared" si="1"/>
        <v>0.87266462599716477</v>
      </c>
      <c r="S22" s="222">
        <f t="shared" si="1"/>
        <v>1.0471975511965976</v>
      </c>
      <c r="T22" s="222">
        <f t="shared" si="1"/>
        <v>1.2217304763960306</v>
      </c>
      <c r="U22" s="222">
        <f t="shared" si="1"/>
        <v>1.3962634015954636</v>
      </c>
      <c r="V22" s="222">
        <f t="shared" si="1"/>
        <v>1.5707963267948966</v>
      </c>
      <c r="W22" s="222">
        <f t="shared" si="1"/>
        <v>1.7453292519943295</v>
      </c>
      <c r="X22" s="222">
        <f t="shared" si="1"/>
        <v>1.9198621771937625</v>
      </c>
      <c r="Y22" s="222">
        <f t="shared" si="1"/>
        <v>2.0943951023931953</v>
      </c>
      <c r="Z22" s="222">
        <f t="shared" si="1"/>
        <v>2.2689280275926285</v>
      </c>
      <c r="AA22" s="222">
        <f t="shared" si="1"/>
        <v>2.4434609527920612</v>
      </c>
      <c r="AB22" s="222">
        <f t="shared" si="1"/>
        <v>2.6179938779914944</v>
      </c>
      <c r="AC22" s="222">
        <f t="shared" si="1"/>
        <v>2.7925268031909272</v>
      </c>
      <c r="AD22" s="222">
        <f t="shared" si="1"/>
        <v>2.9670597283903604</v>
      </c>
      <c r="AE22" s="222">
        <f t="shared" si="1"/>
        <v>3.1415926535897931</v>
      </c>
      <c r="AF22" s="222">
        <f t="shared" si="1"/>
        <v>3.3161255787892263</v>
      </c>
      <c r="AG22" s="222">
        <f t="shared" si="1"/>
        <v>3.4906585039886591</v>
      </c>
      <c r="AH22" s="222">
        <f t="shared" si="1"/>
        <v>3.6651914291880923</v>
      </c>
      <c r="AI22" s="222">
        <f t="shared" si="1"/>
        <v>3.839724354387525</v>
      </c>
      <c r="AJ22" s="222">
        <f t="shared" si="1"/>
        <v>4.0142572795869578</v>
      </c>
      <c r="AK22" s="222">
        <f t="shared" si="1"/>
        <v>4.1887902047863905</v>
      </c>
      <c r="AL22" s="222">
        <f t="shared" si="1"/>
        <v>4.3633231299858233</v>
      </c>
      <c r="AM22" s="222">
        <f t="shared" si="1"/>
        <v>4.5378560551852569</v>
      </c>
      <c r="AN22" s="222">
        <f t="shared" si="1"/>
        <v>4.7123889803846897</v>
      </c>
      <c r="AO22" s="222">
        <f t="shared" si="1"/>
        <v>4.8869219055841224</v>
      </c>
      <c r="AP22" s="222">
        <f t="shared" si="1"/>
        <v>5.0614548307835552</v>
      </c>
      <c r="AQ22" s="222">
        <f t="shared" si="1"/>
        <v>5.2359877559829888</v>
      </c>
      <c r="AR22" s="222">
        <f t="shared" si="1"/>
        <v>5.4105206811824216</v>
      </c>
      <c r="AS22" s="222">
        <f t="shared" si="1"/>
        <v>5.5850536063818543</v>
      </c>
      <c r="AT22" s="222">
        <f t="shared" si="1"/>
        <v>5.7595865315812871</v>
      </c>
      <c r="AU22" s="222">
        <f t="shared" si="1"/>
        <v>5.9341194567807207</v>
      </c>
      <c r="AV22" s="222">
        <f t="shared" si="1"/>
        <v>6.1086523819801526</v>
      </c>
      <c r="AW22" s="222">
        <f t="shared" si="1"/>
        <v>6.2831853071795862</v>
      </c>
    </row>
    <row r="23" spans="2:54" x14ac:dyDescent="0.35">
      <c r="L23" s="219" t="s">
        <v>421</v>
      </c>
      <c r="M23" s="222">
        <f>$C$15*SIN(M22+$F$15)</f>
        <v>1.22514845490862E-15</v>
      </c>
      <c r="N23" s="222">
        <f t="shared" ref="N23:AW23" si="2">$C$15*SIN(N22+$F$15)</f>
        <v>-1.7364817766693004</v>
      </c>
      <c r="O23" s="222">
        <f t="shared" si="2"/>
        <v>-3.4202014332566866</v>
      </c>
      <c r="P23" s="222">
        <f t="shared" si="2"/>
        <v>-4.9999999999999973</v>
      </c>
      <c r="Q23" s="222">
        <f t="shared" si="2"/>
        <v>-6.4278760968653925</v>
      </c>
      <c r="R23" s="222">
        <f t="shared" si="2"/>
        <v>-7.660444431189779</v>
      </c>
      <c r="S23" s="222">
        <f t="shared" si="2"/>
        <v>-8.6602540378443837</v>
      </c>
      <c r="T23" s="222">
        <f t="shared" si="2"/>
        <v>-9.3969262078590852</v>
      </c>
      <c r="U23" s="222">
        <f t="shared" si="2"/>
        <v>-9.8480775301220795</v>
      </c>
      <c r="V23" s="222">
        <f t="shared" si="2"/>
        <v>-10</v>
      </c>
      <c r="W23" s="222">
        <f t="shared" si="2"/>
        <v>-9.8480775301220813</v>
      </c>
      <c r="X23" s="222">
        <f t="shared" si="2"/>
        <v>-9.3969262078590852</v>
      </c>
      <c r="Y23" s="222">
        <f t="shared" si="2"/>
        <v>-8.6602540378443909</v>
      </c>
      <c r="Z23" s="222">
        <f t="shared" si="2"/>
        <v>-7.6604444311897808</v>
      </c>
      <c r="AA23" s="222">
        <f t="shared" si="2"/>
        <v>-6.4278760968653961</v>
      </c>
      <c r="AB23" s="222">
        <f t="shared" si="2"/>
        <v>-4.9999999999999964</v>
      </c>
      <c r="AC23" s="222">
        <f t="shared" si="2"/>
        <v>-3.4202014332566861</v>
      </c>
      <c r="AD23" s="222">
        <f t="shared" si="2"/>
        <v>-1.7364817766693039</v>
      </c>
      <c r="AE23" s="222">
        <f t="shared" si="2"/>
        <v>-2.45029690981724E-15</v>
      </c>
      <c r="AF23" s="222">
        <f t="shared" si="2"/>
        <v>1.736481776669299</v>
      </c>
      <c r="AG23" s="222">
        <f t="shared" si="2"/>
        <v>3.4202014332566808</v>
      </c>
      <c r="AH23" s="222">
        <f t="shared" si="2"/>
        <v>5</v>
      </c>
      <c r="AI23" s="222">
        <f t="shared" si="2"/>
        <v>6.4278760968653916</v>
      </c>
      <c r="AJ23" s="222">
        <f t="shared" si="2"/>
        <v>7.6604444311897781</v>
      </c>
      <c r="AK23" s="222">
        <f t="shared" si="2"/>
        <v>8.6602540378443837</v>
      </c>
      <c r="AL23" s="222">
        <f t="shared" si="2"/>
        <v>9.3969262078590816</v>
      </c>
      <c r="AM23" s="222">
        <f t="shared" si="2"/>
        <v>9.8480775301220795</v>
      </c>
      <c r="AN23" s="222">
        <f t="shared" si="2"/>
        <v>10</v>
      </c>
      <c r="AO23" s="222">
        <f t="shared" si="2"/>
        <v>9.8480775301220813</v>
      </c>
      <c r="AP23" s="222">
        <f t="shared" si="2"/>
        <v>9.3969262078590869</v>
      </c>
      <c r="AQ23" s="222">
        <f t="shared" si="2"/>
        <v>8.660254037844382</v>
      </c>
      <c r="AR23" s="222">
        <f t="shared" si="2"/>
        <v>7.6604444311897755</v>
      </c>
      <c r="AS23" s="222">
        <f t="shared" si="2"/>
        <v>6.4278760968653899</v>
      </c>
      <c r="AT23" s="222">
        <f t="shared" si="2"/>
        <v>4.9999999999999982</v>
      </c>
      <c r="AU23" s="222">
        <f t="shared" si="2"/>
        <v>3.420201433256687</v>
      </c>
      <c r="AV23" s="222">
        <f t="shared" si="2"/>
        <v>1.736481776669305</v>
      </c>
      <c r="AW23" s="222">
        <f t="shared" si="2"/>
        <v>3.67544536472586E-15</v>
      </c>
    </row>
    <row r="24" spans="2:54" ht="16" customHeight="1" x14ac:dyDescent="0.35">
      <c r="L24" s="220" t="s">
        <v>422</v>
      </c>
      <c r="M24" s="222">
        <f>$C$16*SIN(M22+$F$16)</f>
        <v>5.0000000000000009</v>
      </c>
      <c r="N24" s="222">
        <f t="shared" ref="N24:AW24" si="3">$C$16*SIN(N22+$F$16)</f>
        <v>4.2294460543933212</v>
      </c>
      <c r="O24" s="222">
        <f t="shared" si="3"/>
        <v>3.330382530626868</v>
      </c>
      <c r="P24" s="222">
        <f t="shared" si="3"/>
        <v>2.3301270189221959</v>
      </c>
      <c r="Q24" s="222">
        <f t="shared" si="3"/>
        <v>1.2590717768487343</v>
      </c>
      <c r="R24" s="222">
        <f t="shared" si="3"/>
        <v>0.14976027595678734</v>
      </c>
      <c r="S24" s="222">
        <f t="shared" si="3"/>
        <v>-0.9641016151377505</v>
      </c>
      <c r="T24" s="222">
        <f t="shared" si="3"/>
        <v>-2.0486697665152875</v>
      </c>
      <c r="U24" s="222">
        <f t="shared" si="3"/>
        <v>-3.0709901237141795</v>
      </c>
      <c r="V24" s="222">
        <f t="shared" si="3"/>
        <v>-3.9999999999999978</v>
      </c>
      <c r="W24" s="222">
        <f t="shared" si="3"/>
        <v>-4.807471900383482</v>
      </c>
      <c r="X24" s="222">
        <f t="shared" si="3"/>
        <v>-5.4688711997719741</v>
      </c>
      <c r="Y24" s="222">
        <f t="shared" si="3"/>
        <v>-5.9641016151377517</v>
      </c>
      <c r="Z24" s="222">
        <f t="shared" si="3"/>
        <v>-6.2781158209086083</v>
      </c>
      <c r="AA24" s="222">
        <f t="shared" si="3"/>
        <v>-6.4013726543410474</v>
      </c>
      <c r="AB24" s="222">
        <f t="shared" si="3"/>
        <v>-6.3301270189221928</v>
      </c>
      <c r="AC24" s="222">
        <f t="shared" si="3"/>
        <v>-6.0665436772322172</v>
      </c>
      <c r="AD24" s="222">
        <f t="shared" si="3"/>
        <v>-5.6186314757287628</v>
      </c>
      <c r="AE24" s="222">
        <f t="shared" si="3"/>
        <v>-5.0000000000000018</v>
      </c>
      <c r="AF24" s="222">
        <f t="shared" si="3"/>
        <v>-4.2294460543933221</v>
      </c>
      <c r="AG24" s="222">
        <f t="shared" si="3"/>
        <v>-3.3303825306268715</v>
      </c>
      <c r="AH24" s="222">
        <f t="shared" si="3"/>
        <v>-2.3301270189221941</v>
      </c>
      <c r="AI24" s="222">
        <f t="shared" si="3"/>
        <v>-1.2590717768487352</v>
      </c>
      <c r="AJ24" s="222">
        <f t="shared" si="3"/>
        <v>-0.14976027595678815</v>
      </c>
      <c r="AK24" s="222">
        <f t="shared" si="3"/>
        <v>0.96410161513774961</v>
      </c>
      <c r="AL24" s="222">
        <f t="shared" si="3"/>
        <v>2.048669766515284</v>
      </c>
      <c r="AM24" s="222">
        <f t="shared" si="3"/>
        <v>3.070990123714179</v>
      </c>
      <c r="AN24" s="222">
        <f t="shared" si="3"/>
        <v>3.9999999999999973</v>
      </c>
      <c r="AO24" s="222">
        <f t="shared" si="3"/>
        <v>4.8074719003834812</v>
      </c>
      <c r="AP24" s="222">
        <f t="shared" si="3"/>
        <v>5.4688711997719741</v>
      </c>
      <c r="AQ24" s="222">
        <f t="shared" si="3"/>
        <v>5.9641016151377544</v>
      </c>
      <c r="AR24" s="222">
        <f t="shared" si="3"/>
        <v>6.2781158209086083</v>
      </c>
      <c r="AS24" s="222">
        <f t="shared" si="3"/>
        <v>6.4013726543410474</v>
      </c>
      <c r="AT24" s="222">
        <f t="shared" si="3"/>
        <v>6.3301270189221928</v>
      </c>
      <c r="AU24" s="222">
        <f t="shared" si="3"/>
        <v>6.0665436772322172</v>
      </c>
      <c r="AV24" s="222">
        <f t="shared" si="3"/>
        <v>5.6186314757287628</v>
      </c>
      <c r="AW24" s="222">
        <f t="shared" si="3"/>
        <v>5.0000000000000027</v>
      </c>
    </row>
    <row r="25" spans="2:54" ht="16" customHeight="1" x14ac:dyDescent="0.45">
      <c r="L25" s="228" t="s">
        <v>433</v>
      </c>
      <c r="M25" s="222">
        <f>M23+M24</f>
        <v>5.0000000000000018</v>
      </c>
      <c r="N25" s="222">
        <f t="shared" ref="N25:AW25" si="4">N23+N24</f>
        <v>2.4929642777240208</v>
      </c>
      <c r="O25" s="222">
        <f t="shared" si="4"/>
        <v>-8.981890262981862E-2</v>
      </c>
      <c r="P25" s="222">
        <f t="shared" si="4"/>
        <v>-2.6698729810778015</v>
      </c>
      <c r="Q25" s="222">
        <f t="shared" si="4"/>
        <v>-5.1688043200166582</v>
      </c>
      <c r="R25" s="222">
        <f t="shared" si="4"/>
        <v>-7.5106841552329913</v>
      </c>
      <c r="S25" s="222">
        <f t="shared" si="4"/>
        <v>-9.6243556529821337</v>
      </c>
      <c r="T25" s="222">
        <f t="shared" si="4"/>
        <v>-11.445595974374372</v>
      </c>
      <c r="U25" s="222">
        <f t="shared" si="4"/>
        <v>-12.919067653836258</v>
      </c>
      <c r="V25" s="222">
        <f t="shared" si="4"/>
        <v>-13.999999999999998</v>
      </c>
      <c r="W25" s="222">
        <f t="shared" si="4"/>
        <v>-14.655549430505562</v>
      </c>
      <c r="X25" s="222">
        <f t="shared" si="4"/>
        <v>-14.86579740763106</v>
      </c>
      <c r="Y25" s="222">
        <f t="shared" si="4"/>
        <v>-14.624355652982143</v>
      </c>
      <c r="Z25" s="222">
        <f t="shared" si="4"/>
        <v>-13.938560252098389</v>
      </c>
      <c r="AA25" s="222">
        <f t="shared" si="4"/>
        <v>-12.829248751206443</v>
      </c>
      <c r="AB25" s="222">
        <f t="shared" si="4"/>
        <v>-11.330127018922189</v>
      </c>
      <c r="AC25" s="222">
        <f t="shared" si="4"/>
        <v>-9.4867451104889042</v>
      </c>
      <c r="AD25" s="222">
        <f t="shared" si="4"/>
        <v>-7.3551132523980662</v>
      </c>
      <c r="AE25" s="222">
        <f t="shared" si="4"/>
        <v>-5.0000000000000044</v>
      </c>
      <c r="AF25" s="222">
        <f t="shared" si="4"/>
        <v>-2.4929642777240231</v>
      </c>
      <c r="AG25" s="222">
        <f t="shared" si="4"/>
        <v>8.9818902629809294E-2</v>
      </c>
      <c r="AH25" s="222">
        <f t="shared" si="4"/>
        <v>2.6698729810778059</v>
      </c>
      <c r="AI25" s="222">
        <f t="shared" si="4"/>
        <v>5.1688043200166565</v>
      </c>
      <c r="AJ25" s="222">
        <f t="shared" si="4"/>
        <v>7.5106841552329904</v>
      </c>
      <c r="AK25" s="222">
        <f t="shared" si="4"/>
        <v>9.6243556529821337</v>
      </c>
      <c r="AL25" s="222">
        <f t="shared" si="4"/>
        <v>11.445595974374365</v>
      </c>
      <c r="AM25" s="222">
        <f t="shared" si="4"/>
        <v>12.919067653836258</v>
      </c>
      <c r="AN25" s="222">
        <f t="shared" si="4"/>
        <v>13.999999999999996</v>
      </c>
      <c r="AO25" s="222">
        <f t="shared" si="4"/>
        <v>14.655549430505562</v>
      </c>
      <c r="AP25" s="222">
        <f t="shared" si="4"/>
        <v>14.86579740763106</v>
      </c>
      <c r="AQ25" s="222">
        <f t="shared" si="4"/>
        <v>14.624355652982135</v>
      </c>
      <c r="AR25" s="222">
        <f t="shared" si="4"/>
        <v>13.938560252098384</v>
      </c>
      <c r="AS25" s="222">
        <f t="shared" si="4"/>
        <v>12.829248751206437</v>
      </c>
      <c r="AT25" s="222">
        <f t="shared" si="4"/>
        <v>11.330127018922191</v>
      </c>
      <c r="AU25" s="222">
        <f t="shared" si="4"/>
        <v>9.4867451104889042</v>
      </c>
      <c r="AV25" s="222">
        <f t="shared" si="4"/>
        <v>7.355113252398068</v>
      </c>
      <c r="AW25" s="222">
        <f t="shared" si="4"/>
        <v>5.0000000000000062</v>
      </c>
    </row>
    <row r="26" spans="2:54" ht="16" customHeight="1" x14ac:dyDescent="0.35"/>
    <row r="44" spans="2:4" x14ac:dyDescent="0.35">
      <c r="B44" s="2" t="s">
        <v>427</v>
      </c>
      <c r="C44" s="2"/>
      <c r="D44" t="s">
        <v>428</v>
      </c>
    </row>
    <row r="45" spans="2:4" x14ac:dyDescent="0.35">
      <c r="B45" s="3" t="s">
        <v>429</v>
      </c>
      <c r="C45" s="3"/>
      <c r="D45" t="s">
        <v>432</v>
      </c>
    </row>
    <row r="46" spans="2:4" x14ac:dyDescent="0.35">
      <c r="B46" t="s">
        <v>430</v>
      </c>
      <c r="D46" t="s">
        <v>431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33" t="str">
        <f ca="1">_xlfn.CONCAT("Geburtstagsliste für ",YEAR(J2))</f>
        <v>Geburtstagsliste für 2025</v>
      </c>
      <c r="D2" s="33"/>
      <c r="I2" s="30" t="s">
        <v>191</v>
      </c>
      <c r="J2" s="95">
        <f ca="1">NOW()</f>
        <v>46009.718091550923</v>
      </c>
    </row>
    <row r="3" spans="1:11" ht="26" x14ac:dyDescent="0.6">
      <c r="C3" s="33"/>
      <c r="D3" s="33"/>
      <c r="I3" s="30"/>
      <c r="J3" s="95"/>
    </row>
    <row r="4" spans="1:11" ht="28.5" customHeight="1" x14ac:dyDescent="0.35">
      <c r="A4" s="96" t="s">
        <v>192</v>
      </c>
      <c r="B4" s="96" t="s">
        <v>186</v>
      </c>
      <c r="C4" s="96" t="str">
        <f ca="1">_xlfn.CONCAT("Geburtstag im ",YEAR(J2))</f>
        <v>Geburtstag im 2025</v>
      </c>
      <c r="D4" s="96" t="s">
        <v>195</v>
      </c>
      <c r="E4" s="102" t="s">
        <v>193</v>
      </c>
      <c r="F4" s="102" t="s">
        <v>194</v>
      </c>
      <c r="G4" s="96" t="s">
        <v>186</v>
      </c>
      <c r="H4" s="96" t="s">
        <v>187</v>
      </c>
      <c r="I4" s="96" t="s">
        <v>188</v>
      </c>
      <c r="J4" s="96" t="s">
        <v>189</v>
      </c>
      <c r="K4" s="96" t="s">
        <v>190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7" t="str">
        <f t="shared" ref="B5:B34" si="1">_xlfn.CONCAT(TEXT(DAY(G5),"00"),".",TEXT(G5,"MMMM"))</f>
        <v>01.Januar</v>
      </c>
      <c r="C5" s="101">
        <f t="shared" ref="C5:C34" ca="1" si="2">DATE(YEAR($J$2),MONTH(G5),DAY(G5))</f>
        <v>45658</v>
      </c>
      <c r="D5" s="101">
        <f t="shared" ref="D5:D34" ca="1" si="3">IF(C5&lt;$J$2,DATE(YEAR($J$2)+1,MONTH(G5),DAY(G5)),DATE(YEAR($J$2),MONTH(G5),DAY(G5)))</f>
        <v>46023</v>
      </c>
      <c r="E5" s="98">
        <f t="shared" ref="E5:E34" ca="1" si="4">YEAR($J$2) - YEAR(G5) - IF(C5&gt;$J$2,1,0)</f>
        <v>62</v>
      </c>
      <c r="F5" s="99">
        <f t="shared" ref="F5:F34" ca="1" si="5">YEAR($J$2) - YEAR(G5)</f>
        <v>62</v>
      </c>
      <c r="G5" s="100">
        <v>23012</v>
      </c>
      <c r="H5" s="5" t="s">
        <v>128</v>
      </c>
      <c r="I5" s="5" t="s">
        <v>129</v>
      </c>
      <c r="J5" s="5" t="s">
        <v>168</v>
      </c>
      <c r="K5" s="81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7" t="str">
        <f t="shared" si="1"/>
        <v>02.Januar</v>
      </c>
      <c r="C6" s="101">
        <f t="shared" ca="1" si="2"/>
        <v>45659</v>
      </c>
      <c r="D6" s="101">
        <f t="shared" ca="1" si="3"/>
        <v>46024</v>
      </c>
      <c r="E6" s="98">
        <f t="shared" ca="1" si="4"/>
        <v>38</v>
      </c>
      <c r="F6" s="99">
        <f t="shared" ca="1" si="5"/>
        <v>38</v>
      </c>
      <c r="G6" s="100" t="s">
        <v>133</v>
      </c>
      <c r="H6" s="5" t="s">
        <v>130</v>
      </c>
      <c r="I6" s="5" t="s">
        <v>134</v>
      </c>
      <c r="J6" s="5" t="s">
        <v>135</v>
      </c>
      <c r="K6" s="81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7" t="str">
        <f t="shared" si="1"/>
        <v>02.Januar</v>
      </c>
      <c r="C7" s="101">
        <f t="shared" ca="1" si="2"/>
        <v>45659</v>
      </c>
      <c r="D7" s="101">
        <f t="shared" ca="1" si="3"/>
        <v>46024</v>
      </c>
      <c r="E7" s="98">
        <f t="shared" ca="1" si="4"/>
        <v>33</v>
      </c>
      <c r="F7" s="99">
        <f t="shared" ca="1" si="5"/>
        <v>33</v>
      </c>
      <c r="G7" s="100" t="s">
        <v>138</v>
      </c>
      <c r="H7" s="5" t="s">
        <v>130</v>
      </c>
      <c r="I7" s="5" t="s">
        <v>139</v>
      </c>
      <c r="J7" s="5" t="s">
        <v>132</v>
      </c>
      <c r="K7" s="81" t="str">
        <f t="shared" ca="1" si="6"/>
        <v>Schon Geburtstag gehabt</v>
      </c>
    </row>
    <row r="8" spans="1:11" x14ac:dyDescent="0.35">
      <c r="A8" s="5" t="str">
        <f t="shared" si="0"/>
        <v>01_06</v>
      </c>
      <c r="B8" s="97" t="str">
        <f t="shared" si="1"/>
        <v>06.Januar</v>
      </c>
      <c r="C8" s="101">
        <f t="shared" ca="1" si="2"/>
        <v>45663</v>
      </c>
      <c r="D8" s="101">
        <f t="shared" ca="1" si="3"/>
        <v>46028</v>
      </c>
      <c r="E8" s="98">
        <f t="shared" ca="1" si="4"/>
        <v>37</v>
      </c>
      <c r="F8" s="99">
        <f t="shared" ca="1" si="5"/>
        <v>37</v>
      </c>
      <c r="G8" s="100" t="s">
        <v>140</v>
      </c>
      <c r="H8" s="5" t="s">
        <v>130</v>
      </c>
      <c r="I8" s="5" t="s">
        <v>141</v>
      </c>
      <c r="J8" s="5" t="s">
        <v>173</v>
      </c>
      <c r="K8" s="81" t="str">
        <f t="shared" ca="1" si="6"/>
        <v>Schon Geburtstag gehabt</v>
      </c>
    </row>
    <row r="9" spans="1:11" x14ac:dyDescent="0.35">
      <c r="A9" s="5" t="str">
        <f t="shared" si="0"/>
        <v>01_07</v>
      </c>
      <c r="B9" s="97" t="str">
        <f t="shared" si="1"/>
        <v>07.Januar</v>
      </c>
      <c r="C9" s="101">
        <f t="shared" ca="1" si="2"/>
        <v>45664</v>
      </c>
      <c r="D9" s="101">
        <f t="shared" ca="1" si="3"/>
        <v>46029</v>
      </c>
      <c r="E9" s="98">
        <f t="shared" ca="1" si="4"/>
        <v>49</v>
      </c>
      <c r="F9" s="99">
        <f t="shared" ca="1" si="5"/>
        <v>49</v>
      </c>
      <c r="G9" s="100" t="s">
        <v>143</v>
      </c>
      <c r="H9" s="5" t="s">
        <v>128</v>
      </c>
      <c r="I9" s="5" t="s">
        <v>144</v>
      </c>
      <c r="J9" s="5" t="s">
        <v>142</v>
      </c>
      <c r="K9" s="81" t="str">
        <f t="shared" ca="1" si="6"/>
        <v>Schon Geburtstag gehabt</v>
      </c>
    </row>
    <row r="10" spans="1:11" x14ac:dyDescent="0.35">
      <c r="A10" s="5" t="str">
        <f t="shared" si="0"/>
        <v>01_09</v>
      </c>
      <c r="B10" s="97" t="str">
        <f t="shared" si="1"/>
        <v>09.Januar</v>
      </c>
      <c r="C10" s="101">
        <f t="shared" ca="1" si="2"/>
        <v>45666</v>
      </c>
      <c r="D10" s="101">
        <f t="shared" ca="1" si="3"/>
        <v>46031</v>
      </c>
      <c r="E10" s="98">
        <f t="shared" ca="1" si="4"/>
        <v>60</v>
      </c>
      <c r="F10" s="99">
        <f t="shared" ca="1" si="5"/>
        <v>60</v>
      </c>
      <c r="G10" s="100" t="s">
        <v>145</v>
      </c>
      <c r="H10" s="5" t="s">
        <v>128</v>
      </c>
      <c r="I10" s="5" t="s">
        <v>146</v>
      </c>
      <c r="J10" s="5" t="s">
        <v>174</v>
      </c>
      <c r="K10" s="81" t="str">
        <f t="shared" ca="1" si="6"/>
        <v>Schon Geburtstag gehabt</v>
      </c>
    </row>
    <row r="11" spans="1:11" x14ac:dyDescent="0.35">
      <c r="A11" s="5" t="str">
        <f t="shared" si="0"/>
        <v>01_09</v>
      </c>
      <c r="B11" s="97" t="str">
        <f t="shared" si="1"/>
        <v>09.Januar</v>
      </c>
      <c r="C11" s="101">
        <f t="shared" ca="1" si="2"/>
        <v>45666</v>
      </c>
      <c r="D11" s="101">
        <f t="shared" ca="1" si="3"/>
        <v>46031</v>
      </c>
      <c r="E11" s="98">
        <f t="shared" ca="1" si="4"/>
        <v>67</v>
      </c>
      <c r="F11" s="99">
        <f t="shared" ca="1" si="5"/>
        <v>67</v>
      </c>
      <c r="G11" s="100" t="s">
        <v>148</v>
      </c>
      <c r="H11" s="5" t="s">
        <v>130</v>
      </c>
      <c r="I11" s="5" t="s">
        <v>149</v>
      </c>
      <c r="J11" s="5" t="s">
        <v>142</v>
      </c>
      <c r="K11" s="81" t="str">
        <f t="shared" ca="1" si="6"/>
        <v>Schon Geburtstag gehabt</v>
      </c>
    </row>
    <row r="12" spans="1:11" x14ac:dyDescent="0.35">
      <c r="A12" s="5" t="str">
        <f t="shared" si="0"/>
        <v>01_10</v>
      </c>
      <c r="B12" s="97" t="str">
        <f t="shared" si="1"/>
        <v>10.Januar</v>
      </c>
      <c r="C12" s="101">
        <f t="shared" ca="1" si="2"/>
        <v>45667</v>
      </c>
      <c r="D12" s="101">
        <f t="shared" ca="1" si="3"/>
        <v>46032</v>
      </c>
      <c r="E12" s="98">
        <f t="shared" ca="1" si="4"/>
        <v>28</v>
      </c>
      <c r="F12" s="99">
        <f t="shared" ca="1" si="5"/>
        <v>28</v>
      </c>
      <c r="G12" s="100" t="s">
        <v>150</v>
      </c>
      <c r="H12" s="5" t="s">
        <v>130</v>
      </c>
      <c r="I12" s="5" t="s">
        <v>141</v>
      </c>
      <c r="J12" s="5" t="s">
        <v>176</v>
      </c>
      <c r="K12" s="81" t="str">
        <f t="shared" ca="1" si="6"/>
        <v>Schon Geburtstag gehabt</v>
      </c>
    </row>
    <row r="13" spans="1:11" x14ac:dyDescent="0.35">
      <c r="A13" s="5" t="str">
        <f t="shared" si="0"/>
        <v>01_11</v>
      </c>
      <c r="B13" s="97" t="str">
        <f t="shared" si="1"/>
        <v>11.Januar</v>
      </c>
      <c r="C13" s="101">
        <f t="shared" ca="1" si="2"/>
        <v>45668</v>
      </c>
      <c r="D13" s="101">
        <f t="shared" ca="1" si="3"/>
        <v>46033</v>
      </c>
      <c r="E13" s="98">
        <f t="shared" ca="1" si="4"/>
        <v>61</v>
      </c>
      <c r="F13" s="99">
        <f t="shared" ca="1" si="5"/>
        <v>61</v>
      </c>
      <c r="G13" s="100" t="s">
        <v>154</v>
      </c>
      <c r="H13" s="5" t="s">
        <v>128</v>
      </c>
      <c r="I13" s="5" t="s">
        <v>155</v>
      </c>
      <c r="J13" s="5" t="s">
        <v>179</v>
      </c>
      <c r="K13" s="81" t="str">
        <f t="shared" ca="1" si="6"/>
        <v>Schon Geburtstag gehabt</v>
      </c>
    </row>
    <row r="14" spans="1:11" x14ac:dyDescent="0.35">
      <c r="A14" s="5" t="str">
        <f t="shared" si="0"/>
        <v>01_11</v>
      </c>
      <c r="B14" s="97" t="str">
        <f t="shared" si="1"/>
        <v>11.Januar</v>
      </c>
      <c r="C14" s="101">
        <f t="shared" ca="1" si="2"/>
        <v>45668</v>
      </c>
      <c r="D14" s="101">
        <f t="shared" ca="1" si="3"/>
        <v>46033</v>
      </c>
      <c r="E14" s="98">
        <f t="shared" ca="1" si="4"/>
        <v>42</v>
      </c>
      <c r="F14" s="99">
        <f t="shared" ca="1" si="5"/>
        <v>42</v>
      </c>
      <c r="G14" s="100" t="s">
        <v>157</v>
      </c>
      <c r="H14" s="5" t="s">
        <v>130</v>
      </c>
      <c r="I14" s="5" t="s">
        <v>158</v>
      </c>
      <c r="J14" s="5" t="s">
        <v>181</v>
      </c>
      <c r="K14" s="81" t="str">
        <f t="shared" ca="1" si="6"/>
        <v>Schon Geburtstag gehabt</v>
      </c>
    </row>
    <row r="15" spans="1:11" x14ac:dyDescent="0.35">
      <c r="A15" s="5" t="str">
        <f t="shared" si="0"/>
        <v>01_14</v>
      </c>
      <c r="B15" s="97" t="str">
        <f t="shared" si="1"/>
        <v>14.Januar</v>
      </c>
      <c r="C15" s="101">
        <f t="shared" ca="1" si="2"/>
        <v>45671</v>
      </c>
      <c r="D15" s="101">
        <f t="shared" ca="1" si="3"/>
        <v>46036</v>
      </c>
      <c r="E15" s="98">
        <f t="shared" ca="1" si="4"/>
        <v>65</v>
      </c>
      <c r="F15" s="99">
        <f t="shared" ca="1" si="5"/>
        <v>65</v>
      </c>
      <c r="G15" s="100" t="s">
        <v>163</v>
      </c>
      <c r="H15" s="5" t="s">
        <v>130</v>
      </c>
      <c r="I15" s="5" t="s">
        <v>164</v>
      </c>
      <c r="J15" s="5" t="s">
        <v>184</v>
      </c>
      <c r="K15" s="81" t="str">
        <f t="shared" ca="1" si="6"/>
        <v>Schon Geburtstag gehabt</v>
      </c>
    </row>
    <row r="16" spans="1:11" x14ac:dyDescent="0.35">
      <c r="A16" s="5" t="str">
        <f t="shared" si="0"/>
        <v>01_15</v>
      </c>
      <c r="B16" s="97" t="str">
        <f t="shared" si="1"/>
        <v>15.Januar</v>
      </c>
      <c r="C16" s="101">
        <f t="shared" ca="1" si="2"/>
        <v>45672</v>
      </c>
      <c r="D16" s="101">
        <f t="shared" ca="1" si="3"/>
        <v>46037</v>
      </c>
      <c r="E16" s="98">
        <f t="shared" ca="1" si="4"/>
        <v>45</v>
      </c>
      <c r="F16" s="99">
        <f t="shared" ca="1" si="5"/>
        <v>45</v>
      </c>
      <c r="G16" s="100" t="s">
        <v>166</v>
      </c>
      <c r="H16" s="5" t="s">
        <v>130</v>
      </c>
      <c r="I16" s="5" t="s">
        <v>167</v>
      </c>
      <c r="J16" s="5" t="s">
        <v>142</v>
      </c>
      <c r="K16" s="81" t="str">
        <f t="shared" ca="1" si="6"/>
        <v>Schon Geburtstag gehabt</v>
      </c>
    </row>
    <row r="17" spans="1:11" x14ac:dyDescent="0.35">
      <c r="A17" s="5" t="str">
        <f t="shared" si="0"/>
        <v>02_09</v>
      </c>
      <c r="B17" s="97" t="str">
        <f t="shared" si="1"/>
        <v>09.Februar</v>
      </c>
      <c r="C17" s="101">
        <f t="shared" ca="1" si="2"/>
        <v>45697</v>
      </c>
      <c r="D17" s="101">
        <f t="shared" ca="1" si="3"/>
        <v>46062</v>
      </c>
      <c r="E17" s="98">
        <f t="shared" ca="1" si="4"/>
        <v>80</v>
      </c>
      <c r="F17" s="99">
        <f t="shared" ca="1" si="5"/>
        <v>80</v>
      </c>
      <c r="G17" s="100">
        <v>16477</v>
      </c>
      <c r="H17" s="5" t="s">
        <v>128</v>
      </c>
      <c r="I17" s="5" t="s">
        <v>147</v>
      </c>
      <c r="J17" s="5" t="s">
        <v>175</v>
      </c>
      <c r="K17" s="81" t="str">
        <f t="shared" ca="1" si="6"/>
        <v>Schon Geburtstag gehabt</v>
      </c>
    </row>
    <row r="18" spans="1:11" x14ac:dyDescent="0.35">
      <c r="A18" s="5" t="str">
        <f t="shared" si="0"/>
        <v>02_14</v>
      </c>
      <c r="B18" s="97" t="str">
        <f t="shared" si="1"/>
        <v>14.Februar</v>
      </c>
      <c r="C18" s="101">
        <f t="shared" ca="1" si="2"/>
        <v>45702</v>
      </c>
      <c r="D18" s="101">
        <f t="shared" ca="1" si="3"/>
        <v>46067</v>
      </c>
      <c r="E18" s="98">
        <f t="shared" ca="1" si="4"/>
        <v>52</v>
      </c>
      <c r="F18" s="99">
        <f t="shared" ca="1" si="5"/>
        <v>52</v>
      </c>
      <c r="G18" s="100">
        <v>26709</v>
      </c>
      <c r="H18" s="5" t="s">
        <v>130</v>
      </c>
      <c r="I18" s="5" t="s">
        <v>162</v>
      </c>
      <c r="J18" s="5" t="s">
        <v>183</v>
      </c>
      <c r="K18" s="81" t="str">
        <f t="shared" ca="1" si="6"/>
        <v>Schon Geburtstag gehabt</v>
      </c>
    </row>
    <row r="19" spans="1:11" x14ac:dyDescent="0.35">
      <c r="A19" s="5" t="str">
        <f t="shared" si="0"/>
        <v>03_02</v>
      </c>
      <c r="B19" s="97" t="str">
        <f t="shared" si="1"/>
        <v>02.März</v>
      </c>
      <c r="C19" s="101">
        <f t="shared" ca="1" si="2"/>
        <v>45718</v>
      </c>
      <c r="D19" s="101">
        <f t="shared" ca="1" si="3"/>
        <v>46083</v>
      </c>
      <c r="E19" s="98">
        <f t="shared" ca="1" si="4"/>
        <v>66</v>
      </c>
      <c r="F19" s="99">
        <f t="shared" ca="1" si="5"/>
        <v>66</v>
      </c>
      <c r="G19" s="100">
        <v>21611</v>
      </c>
      <c r="H19" s="5" t="s">
        <v>130</v>
      </c>
      <c r="I19" s="5" t="s">
        <v>136</v>
      </c>
      <c r="J19" s="5" t="s">
        <v>132</v>
      </c>
      <c r="K19" s="81" t="str">
        <f t="shared" ca="1" si="6"/>
        <v>Schon Geburtstag gehabt</v>
      </c>
    </row>
    <row r="20" spans="1:11" x14ac:dyDescent="0.35">
      <c r="A20" s="5" t="str">
        <f t="shared" si="0"/>
        <v>03_02</v>
      </c>
      <c r="B20" s="97" t="str">
        <f t="shared" si="1"/>
        <v>02.März</v>
      </c>
      <c r="C20" s="101">
        <f t="shared" ca="1" si="2"/>
        <v>45718</v>
      </c>
      <c r="D20" s="101">
        <f t="shared" ca="1" si="3"/>
        <v>46083</v>
      </c>
      <c r="E20" s="98">
        <f t="shared" ca="1" si="4"/>
        <v>31</v>
      </c>
      <c r="F20" s="99">
        <f t="shared" ca="1" si="5"/>
        <v>31</v>
      </c>
      <c r="G20" s="100">
        <v>34395</v>
      </c>
      <c r="H20" s="5" t="s">
        <v>128</v>
      </c>
      <c r="I20" s="5" t="s">
        <v>137</v>
      </c>
      <c r="J20" s="5" t="s">
        <v>132</v>
      </c>
      <c r="K20" s="81" t="str">
        <f t="shared" ca="1" si="6"/>
        <v>Schon Geburtstag gehabt</v>
      </c>
    </row>
    <row r="21" spans="1:11" x14ac:dyDescent="0.35">
      <c r="A21" s="5" t="str">
        <f t="shared" si="0"/>
        <v>04_10</v>
      </c>
      <c r="B21" s="97" t="str">
        <f t="shared" si="1"/>
        <v>10.April</v>
      </c>
      <c r="C21" s="101">
        <f t="shared" ca="1" si="2"/>
        <v>45757</v>
      </c>
      <c r="D21" s="101">
        <f t="shared" ca="1" si="3"/>
        <v>46122</v>
      </c>
      <c r="E21" s="98">
        <f t="shared" ca="1" si="4"/>
        <v>25</v>
      </c>
      <c r="F21" s="99">
        <f t="shared" ca="1" si="5"/>
        <v>25</v>
      </c>
      <c r="G21" s="100">
        <v>36626</v>
      </c>
      <c r="H21" s="5" t="s">
        <v>130</v>
      </c>
      <c r="I21" s="5" t="s">
        <v>131</v>
      </c>
      <c r="J21" s="5" t="s">
        <v>172</v>
      </c>
      <c r="K21" s="81" t="str">
        <f t="shared" ca="1" si="6"/>
        <v>Schon Geburtstag gehabt</v>
      </c>
    </row>
    <row r="22" spans="1:11" x14ac:dyDescent="0.35">
      <c r="A22" s="5" t="str">
        <f t="shared" si="0"/>
        <v>07_12</v>
      </c>
      <c r="B22" s="97" t="str">
        <f t="shared" si="1"/>
        <v>12.Juli</v>
      </c>
      <c r="C22" s="101">
        <f t="shared" ca="1" si="2"/>
        <v>45850</v>
      </c>
      <c r="D22" s="101">
        <f t="shared" ca="1" si="3"/>
        <v>46215</v>
      </c>
      <c r="E22" s="98">
        <f t="shared" ca="1" si="4"/>
        <v>51</v>
      </c>
      <c r="F22" s="99">
        <f t="shared" ca="1" si="5"/>
        <v>51</v>
      </c>
      <c r="G22" s="100">
        <v>27222</v>
      </c>
      <c r="H22" s="5" t="s">
        <v>130</v>
      </c>
      <c r="I22" s="5" t="s">
        <v>141</v>
      </c>
      <c r="J22" s="5" t="s">
        <v>182</v>
      </c>
      <c r="K22" s="81" t="str">
        <f t="shared" ca="1" si="6"/>
        <v>Schon Geburtstag gehabt</v>
      </c>
    </row>
    <row r="23" spans="1:11" x14ac:dyDescent="0.35">
      <c r="A23" s="5" t="str">
        <f t="shared" si="0"/>
        <v>08_05</v>
      </c>
      <c r="B23" s="97" t="str">
        <f t="shared" si="1"/>
        <v>05.August</v>
      </c>
      <c r="C23" s="101">
        <f t="shared" ca="1" si="2"/>
        <v>45874</v>
      </c>
      <c r="D23" s="101">
        <f t="shared" ca="1" si="3"/>
        <v>46239</v>
      </c>
      <c r="E23" s="98">
        <f t="shared" ca="1" si="4"/>
        <v>65</v>
      </c>
      <c r="F23" s="99">
        <f t="shared" ca="1" si="5"/>
        <v>65</v>
      </c>
      <c r="G23" s="100">
        <v>22133</v>
      </c>
      <c r="H23" s="5" t="s">
        <v>128</v>
      </c>
      <c r="I23" s="5" t="s">
        <v>156</v>
      </c>
      <c r="J23" s="5" t="s">
        <v>180</v>
      </c>
      <c r="K23" s="81" t="str">
        <f t="shared" ca="1" si="6"/>
        <v>Schon Geburtstag gehabt</v>
      </c>
    </row>
    <row r="24" spans="1:11" x14ac:dyDescent="0.35">
      <c r="A24" s="5" t="str">
        <f t="shared" si="0"/>
        <v>08_12</v>
      </c>
      <c r="B24" s="97" t="str">
        <f t="shared" si="1"/>
        <v>12.August</v>
      </c>
      <c r="C24" s="101">
        <f t="shared" ca="1" si="2"/>
        <v>45881</v>
      </c>
      <c r="D24" s="101">
        <f t="shared" ca="1" si="3"/>
        <v>46246</v>
      </c>
      <c r="E24" s="98">
        <f t="shared" ca="1" si="4"/>
        <v>56</v>
      </c>
      <c r="F24" s="99">
        <f t="shared" ca="1" si="5"/>
        <v>56</v>
      </c>
      <c r="G24" s="100">
        <v>25427</v>
      </c>
      <c r="H24" s="5" t="s">
        <v>130</v>
      </c>
      <c r="I24" s="5" t="s">
        <v>160</v>
      </c>
      <c r="J24" s="5" t="s">
        <v>135</v>
      </c>
      <c r="K24" s="81" t="str">
        <f t="shared" ca="1" si="6"/>
        <v>Schon Geburtstag gehabt</v>
      </c>
    </row>
    <row r="25" spans="1:11" x14ac:dyDescent="0.35">
      <c r="A25" s="5" t="str">
        <f t="shared" si="0"/>
        <v>08_13</v>
      </c>
      <c r="B25" s="97" t="str">
        <f t="shared" si="1"/>
        <v>13.August</v>
      </c>
      <c r="C25" s="101">
        <f t="shared" ca="1" si="2"/>
        <v>45882</v>
      </c>
      <c r="D25" s="101">
        <f t="shared" ca="1" si="3"/>
        <v>46247</v>
      </c>
      <c r="E25" s="98">
        <f t="shared" ca="1" si="4"/>
        <v>83</v>
      </c>
      <c r="F25" s="99">
        <f t="shared" ca="1" si="5"/>
        <v>83</v>
      </c>
      <c r="G25" s="100">
        <v>15566</v>
      </c>
      <c r="H25" s="5" t="s">
        <v>130</v>
      </c>
      <c r="I25" s="5" t="s">
        <v>161</v>
      </c>
      <c r="J25" s="5" t="s">
        <v>168</v>
      </c>
      <c r="K25" s="81" t="str">
        <f t="shared" ca="1" si="6"/>
        <v>Schon Geburtstag gehabt</v>
      </c>
    </row>
    <row r="26" spans="1:11" x14ac:dyDescent="0.35">
      <c r="A26" s="5" t="str">
        <f t="shared" si="0"/>
        <v>09_12</v>
      </c>
      <c r="B26" s="97" t="str">
        <f t="shared" si="1"/>
        <v>12.September</v>
      </c>
      <c r="C26" s="101">
        <f t="shared" ca="1" si="2"/>
        <v>45912</v>
      </c>
      <c r="D26" s="101">
        <f t="shared" ca="1" si="3"/>
        <v>46277</v>
      </c>
      <c r="E26" s="98">
        <f t="shared" ca="1" si="4"/>
        <v>56</v>
      </c>
      <c r="F26" s="99">
        <f t="shared" ca="1" si="5"/>
        <v>56</v>
      </c>
      <c r="G26" s="100">
        <v>25458</v>
      </c>
      <c r="H26" s="5" t="s">
        <v>128</v>
      </c>
      <c r="I26" s="5" t="s">
        <v>159</v>
      </c>
      <c r="J26" s="5" t="s">
        <v>135</v>
      </c>
      <c r="K26" s="81" t="str">
        <f t="shared" ca="1" si="6"/>
        <v>Schon Geburtstag gehabt</v>
      </c>
    </row>
    <row r="27" spans="1:11" x14ac:dyDescent="0.35">
      <c r="A27" s="5" t="str">
        <f t="shared" si="0"/>
        <v>09_16</v>
      </c>
      <c r="B27" s="97" t="str">
        <f t="shared" si="1"/>
        <v>16.September</v>
      </c>
      <c r="C27" s="101">
        <f t="shared" ca="1" si="2"/>
        <v>45916</v>
      </c>
      <c r="D27" s="101">
        <f t="shared" ca="1" si="3"/>
        <v>46281</v>
      </c>
      <c r="E27" s="98">
        <f t="shared" ca="1" si="4"/>
        <v>64</v>
      </c>
      <c r="F27" s="99">
        <f t="shared" ca="1" si="5"/>
        <v>64</v>
      </c>
      <c r="G27" s="100">
        <v>22540</v>
      </c>
      <c r="H27" s="5" t="s">
        <v>128</v>
      </c>
      <c r="I27" s="5" t="s">
        <v>170</v>
      </c>
      <c r="J27" s="5" t="s">
        <v>135</v>
      </c>
      <c r="K27" s="81" t="str">
        <f t="shared" ca="1" si="6"/>
        <v>Schon Geburtstag gehabt</v>
      </c>
    </row>
    <row r="28" spans="1:11" x14ac:dyDescent="0.35">
      <c r="A28" s="5" t="str">
        <f t="shared" si="0"/>
        <v>10_10</v>
      </c>
      <c r="B28" s="97" t="str">
        <f t="shared" si="1"/>
        <v>10.Oktober</v>
      </c>
      <c r="C28" s="101">
        <f t="shared" ca="1" si="2"/>
        <v>45940</v>
      </c>
      <c r="D28" s="101">
        <f t="shared" ca="1" si="3"/>
        <v>46305</v>
      </c>
      <c r="E28" s="98">
        <f t="shared" ca="1" si="4"/>
        <v>85</v>
      </c>
      <c r="F28" s="99">
        <f t="shared" ca="1" si="5"/>
        <v>85</v>
      </c>
      <c r="G28" s="100">
        <v>14894</v>
      </c>
      <c r="H28" s="5" t="s">
        <v>130</v>
      </c>
      <c r="I28" s="5" t="s">
        <v>151</v>
      </c>
      <c r="J28" s="5" t="s">
        <v>177</v>
      </c>
      <c r="K28" s="81" t="str">
        <f t="shared" ca="1" si="6"/>
        <v>Schon Geburtstag gehabt</v>
      </c>
    </row>
    <row r="29" spans="1:11" x14ac:dyDescent="0.35">
      <c r="A29" s="5" t="str">
        <f t="shared" si="0"/>
        <v>10_12</v>
      </c>
      <c r="B29" s="97" t="str">
        <f t="shared" si="1"/>
        <v>12.Oktober</v>
      </c>
      <c r="C29" s="101">
        <f t="shared" ca="1" si="2"/>
        <v>45942</v>
      </c>
      <c r="D29" s="101">
        <f t="shared" ca="1" si="3"/>
        <v>46307</v>
      </c>
      <c r="E29" s="98">
        <f t="shared" ca="1" si="4"/>
        <v>83</v>
      </c>
      <c r="F29" s="99">
        <f t="shared" ca="1" si="5"/>
        <v>83</v>
      </c>
      <c r="G29" s="100">
        <v>15626</v>
      </c>
      <c r="H29" s="5" t="s">
        <v>130</v>
      </c>
      <c r="I29" s="5" t="s">
        <v>152</v>
      </c>
      <c r="J29" s="5" t="s">
        <v>168</v>
      </c>
      <c r="K29" s="81" t="str">
        <f t="shared" ca="1" si="6"/>
        <v>Schon Geburtstag gehabt</v>
      </c>
    </row>
    <row r="30" spans="1:11" x14ac:dyDescent="0.35">
      <c r="A30" s="5" t="str">
        <f t="shared" si="0"/>
        <v>10_14</v>
      </c>
      <c r="B30" s="97" t="str">
        <f t="shared" si="1"/>
        <v>14.Oktober</v>
      </c>
      <c r="C30" s="101">
        <f t="shared" ca="1" si="2"/>
        <v>45944</v>
      </c>
      <c r="D30" s="101">
        <f t="shared" ca="1" si="3"/>
        <v>46309</v>
      </c>
      <c r="E30" s="98">
        <f t="shared" ca="1" si="4"/>
        <v>41</v>
      </c>
      <c r="F30" s="99">
        <f t="shared" ca="1" si="5"/>
        <v>41</v>
      </c>
      <c r="G30" s="100">
        <v>30969</v>
      </c>
      <c r="H30" s="5" t="s">
        <v>128</v>
      </c>
      <c r="I30" s="5" t="s">
        <v>165</v>
      </c>
      <c r="J30" s="5" t="s">
        <v>135</v>
      </c>
      <c r="K30" s="81" t="str">
        <f t="shared" ca="1" si="6"/>
        <v>Schon Geburtstag gehabt</v>
      </c>
    </row>
    <row r="31" spans="1:11" x14ac:dyDescent="0.35">
      <c r="A31" s="5" t="str">
        <f t="shared" si="0"/>
        <v>10_15</v>
      </c>
      <c r="B31" s="97" t="str">
        <f t="shared" si="1"/>
        <v>15.Oktober</v>
      </c>
      <c r="C31" s="101">
        <f t="shared" ca="1" si="2"/>
        <v>45945</v>
      </c>
      <c r="D31" s="101">
        <f t="shared" ca="1" si="3"/>
        <v>46310</v>
      </c>
      <c r="E31" s="98">
        <f t="shared" ca="1" si="4"/>
        <v>64</v>
      </c>
      <c r="F31" s="99">
        <f t="shared" ca="1" si="5"/>
        <v>64</v>
      </c>
      <c r="G31" s="100">
        <v>22569</v>
      </c>
      <c r="H31" s="5" t="s">
        <v>130</v>
      </c>
      <c r="I31" s="5" t="s">
        <v>169</v>
      </c>
      <c r="J31" s="5" t="s">
        <v>185</v>
      </c>
      <c r="K31" s="81" t="str">
        <f t="shared" ca="1" si="6"/>
        <v>Schon Geburtstag gehabt</v>
      </c>
    </row>
    <row r="32" spans="1:11" x14ac:dyDescent="0.35">
      <c r="A32" s="5" t="str">
        <f t="shared" si="0"/>
        <v>11_10</v>
      </c>
      <c r="B32" s="97" t="str">
        <f t="shared" si="1"/>
        <v>10.November</v>
      </c>
      <c r="C32" s="101">
        <f t="shared" ca="1" si="2"/>
        <v>45971</v>
      </c>
      <c r="D32" s="101">
        <f t="shared" ca="1" si="3"/>
        <v>46336</v>
      </c>
      <c r="E32" s="98">
        <f t="shared" ca="1" si="4"/>
        <v>84</v>
      </c>
      <c r="F32" s="99">
        <f t="shared" ca="1" si="5"/>
        <v>84</v>
      </c>
      <c r="G32" s="100">
        <v>15290</v>
      </c>
      <c r="H32" s="5" t="s">
        <v>130</v>
      </c>
      <c r="I32" s="5" t="s">
        <v>152</v>
      </c>
      <c r="J32" s="5" t="s">
        <v>178</v>
      </c>
      <c r="K32" s="81" t="str">
        <f t="shared" ca="1" si="6"/>
        <v>Schon Geburtstag gehabt</v>
      </c>
    </row>
    <row r="33" spans="1:11" x14ac:dyDescent="0.35">
      <c r="A33" s="5" t="str">
        <f t="shared" si="0"/>
        <v>12_10</v>
      </c>
      <c r="B33" s="97" t="str">
        <f t="shared" si="1"/>
        <v>10.Dezember</v>
      </c>
      <c r="C33" s="101">
        <f t="shared" ca="1" si="2"/>
        <v>46001</v>
      </c>
      <c r="D33" s="101">
        <f t="shared" ca="1" si="3"/>
        <v>46366</v>
      </c>
      <c r="E33" s="98">
        <f t="shared" ca="1" si="4"/>
        <v>57</v>
      </c>
      <c r="F33" s="99">
        <f t="shared" ca="1" si="5"/>
        <v>57</v>
      </c>
      <c r="G33" s="100">
        <v>25182</v>
      </c>
      <c r="H33" s="5" t="s">
        <v>130</v>
      </c>
      <c r="I33" s="5" t="s">
        <v>153</v>
      </c>
      <c r="J33" s="5" t="s">
        <v>132</v>
      </c>
      <c r="K33" s="81" t="str">
        <f t="shared" ca="1" si="6"/>
        <v>Schon Geburtstag gehabt</v>
      </c>
    </row>
    <row r="34" spans="1:11" x14ac:dyDescent="0.35">
      <c r="A34" s="5" t="str">
        <f t="shared" si="0"/>
        <v>12_16</v>
      </c>
      <c r="B34" s="97" t="str">
        <f t="shared" si="1"/>
        <v>16.Dezember</v>
      </c>
      <c r="C34" s="101">
        <f t="shared" ca="1" si="2"/>
        <v>46007</v>
      </c>
      <c r="D34" s="101">
        <f t="shared" ca="1" si="3"/>
        <v>46372</v>
      </c>
      <c r="E34" s="98">
        <f t="shared" ca="1" si="4"/>
        <v>31</v>
      </c>
      <c r="F34" s="99">
        <f t="shared" ca="1" si="5"/>
        <v>31</v>
      </c>
      <c r="G34" s="100">
        <v>34684</v>
      </c>
      <c r="H34" s="5" t="s">
        <v>130</v>
      </c>
      <c r="I34" s="5" t="s">
        <v>171</v>
      </c>
      <c r="J34" s="5" t="s">
        <v>132</v>
      </c>
      <c r="K34" s="81" t="str">
        <f t="shared" ca="1" si="6"/>
        <v>Schon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33" t="s">
        <v>126</v>
      </c>
      <c r="C2" s="33"/>
    </row>
    <row r="5" spans="2:3" x14ac:dyDescent="0.35">
      <c r="B5" s="94" t="s">
        <v>127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33" t="s">
        <v>102</v>
      </c>
    </row>
    <row r="5" spans="2:11" ht="18.5" x14ac:dyDescent="0.45">
      <c r="B5" s="76" t="s">
        <v>103</v>
      </c>
      <c r="C5" s="76"/>
      <c r="G5" s="76" t="s">
        <v>104</v>
      </c>
      <c r="H5" s="76"/>
      <c r="I5" s="76"/>
    </row>
    <row r="6" spans="2:11" ht="16.5" x14ac:dyDescent="0.35">
      <c r="B6" s="77" t="s">
        <v>105</v>
      </c>
      <c r="C6" s="77" t="s">
        <v>106</v>
      </c>
      <c r="D6" s="77" t="s">
        <v>107</v>
      </c>
      <c r="E6" s="77" t="s">
        <v>108</v>
      </c>
      <c r="G6" s="77" t="s">
        <v>109</v>
      </c>
      <c r="H6" s="77" t="s">
        <v>110</v>
      </c>
      <c r="I6" s="77" t="s">
        <v>106</v>
      </c>
      <c r="J6" s="77" t="s">
        <v>107</v>
      </c>
      <c r="K6" s="77" t="s">
        <v>108</v>
      </c>
    </row>
    <row r="7" spans="2:11" x14ac:dyDescent="0.35">
      <c r="B7" s="79">
        <v>10</v>
      </c>
      <c r="C7" s="88">
        <f>SQRT(2) * B7</f>
        <v>14.142135623730951</v>
      </c>
      <c r="D7" s="78">
        <f>B7^2</f>
        <v>100</v>
      </c>
      <c r="E7" s="78">
        <f>4*B7</f>
        <v>40</v>
      </c>
      <c r="G7" s="79">
        <v>2</v>
      </c>
      <c r="H7" s="79">
        <v>3</v>
      </c>
      <c r="I7" s="80">
        <f>SQRT(G7^2 + H7^2)</f>
        <v>3.6055512754639891</v>
      </c>
      <c r="J7" s="78">
        <f>G7*H7</f>
        <v>6</v>
      </c>
      <c r="K7" s="78">
        <f>2*(G7+H7)</f>
        <v>10</v>
      </c>
    </row>
    <row r="8" spans="2:11" x14ac:dyDescent="0.35">
      <c r="B8" s="78">
        <f>C8/SQRT(2)</f>
        <v>10.000000000190246</v>
      </c>
      <c r="C8" s="79">
        <v>14.142135624</v>
      </c>
      <c r="D8" s="78">
        <f>C8^2 / 2</f>
        <v>100.00000000380493</v>
      </c>
      <c r="E8" s="78">
        <f>4*B8</f>
        <v>40.000000000760984</v>
      </c>
      <c r="G8" s="79">
        <v>2</v>
      </c>
      <c r="H8" s="78">
        <f>SQRT(I8^2-G8^2)</f>
        <v>3.0000000054516063</v>
      </c>
      <c r="I8" s="79">
        <v>3.6055512799999998</v>
      </c>
      <c r="J8" s="78">
        <f>G8*H8</f>
        <v>6.0000000109032126</v>
      </c>
      <c r="K8" s="78">
        <f>2*(G8+H8)</f>
        <v>10.000000010903213</v>
      </c>
    </row>
    <row r="9" spans="2:11" x14ac:dyDescent="0.35">
      <c r="B9" s="78">
        <f>SQRT(D9)</f>
        <v>10</v>
      </c>
      <c r="C9" s="78">
        <f>SQRT(2) * B9</f>
        <v>14.142135623730951</v>
      </c>
      <c r="D9" s="79">
        <v>100</v>
      </c>
      <c r="E9" s="78">
        <f>4*B9</f>
        <v>40</v>
      </c>
      <c r="G9" s="79">
        <v>2</v>
      </c>
      <c r="H9" s="78">
        <f>J9/G9</f>
        <v>3</v>
      </c>
      <c r="I9" s="78">
        <f>SQRT(G9^2 + H9^2)</f>
        <v>3.6055512754639891</v>
      </c>
      <c r="J9" s="79">
        <v>6</v>
      </c>
      <c r="K9" s="78">
        <f>2*(G9+H9)</f>
        <v>10</v>
      </c>
    </row>
    <row r="10" spans="2:11" x14ac:dyDescent="0.35">
      <c r="B10" s="78">
        <f>E10/4</f>
        <v>10</v>
      </c>
      <c r="C10" s="78">
        <f>SQRT(2) * B10</f>
        <v>14.142135623730951</v>
      </c>
      <c r="D10" s="78">
        <f>B10^2</f>
        <v>100</v>
      </c>
      <c r="E10" s="79">
        <v>40</v>
      </c>
      <c r="G10" s="79">
        <v>2</v>
      </c>
      <c r="H10" s="78">
        <f>(K10/2)-G10</f>
        <v>3</v>
      </c>
      <c r="I10" s="78">
        <f>SQRT(G10^2 + H10^2)</f>
        <v>3.6055512754639891</v>
      </c>
      <c r="J10" s="78">
        <f>G10*H10</f>
        <v>6</v>
      </c>
      <c r="K10" s="79">
        <v>10</v>
      </c>
    </row>
    <row r="11" spans="2:11" x14ac:dyDescent="0.35">
      <c r="G11" s="78">
        <f>SQRT((I11^2 - SQRT(I11^4 - 4*J11^2))/2)</f>
        <v>1.9936428724026451</v>
      </c>
      <c r="H11" s="78">
        <f>J11/G11</f>
        <v>3.0095660978483476</v>
      </c>
      <c r="I11" s="79">
        <v>3.61</v>
      </c>
      <c r="J11" s="79">
        <v>6</v>
      </c>
      <c r="K11" s="78">
        <f>2*(G11+H11)</f>
        <v>10.006417940501986</v>
      </c>
    </row>
    <row r="12" spans="2:11" x14ac:dyDescent="0.35">
      <c r="G12" s="78">
        <f>SQRT(I12^2 - H12^2)</f>
        <v>1.9841996510276481</v>
      </c>
      <c r="H12" s="78">
        <f>(K12+SQRT(8*I12^2 - K12^2))/4</f>
        <v>3.0158003489723519</v>
      </c>
      <c r="I12" s="79">
        <v>3.61</v>
      </c>
      <c r="J12" s="78">
        <f>G12*H12</f>
        <v>5.9839500000000001</v>
      </c>
      <c r="K12" s="79">
        <v>10</v>
      </c>
    </row>
    <row r="16" spans="2:11" ht="18.5" x14ac:dyDescent="0.45">
      <c r="B16" s="76" t="s">
        <v>111</v>
      </c>
    </row>
    <row r="17" spans="2:8" ht="16.5" x14ac:dyDescent="0.45">
      <c r="B17" s="77" t="s">
        <v>112</v>
      </c>
      <c r="C17" s="77" t="s">
        <v>113</v>
      </c>
      <c r="D17" s="77" t="s">
        <v>114</v>
      </c>
      <c r="E17" s="77" t="s">
        <v>116</v>
      </c>
      <c r="F17" s="77" t="s">
        <v>117</v>
      </c>
      <c r="G17" s="77" t="s">
        <v>118</v>
      </c>
      <c r="H17" s="77" t="s">
        <v>115</v>
      </c>
    </row>
    <row r="18" spans="2:8" x14ac:dyDescent="0.35">
      <c r="B18" s="79">
        <v>10</v>
      </c>
      <c r="C18" s="79">
        <v>180</v>
      </c>
      <c r="D18" s="78">
        <f>2*B18</f>
        <v>20</v>
      </c>
      <c r="E18" s="81">
        <f>B18^2*PI()</f>
        <v>314.15926535897933</v>
      </c>
      <c r="F18" s="81">
        <f>2*B18*PI()</f>
        <v>62.831853071795862</v>
      </c>
      <c r="G18" s="81">
        <f t="shared" ref="G18:G23" si="0">E18*C18/360</f>
        <v>157.07963267948966</v>
      </c>
      <c r="H18" s="81">
        <f>F18*C18/360</f>
        <v>31.415926535897931</v>
      </c>
    </row>
    <row r="19" spans="2:8" x14ac:dyDescent="0.35">
      <c r="B19" s="78">
        <f>D19/2</f>
        <v>10</v>
      </c>
      <c r="C19" s="79">
        <v>180</v>
      </c>
      <c r="D19" s="79">
        <v>20</v>
      </c>
      <c r="E19" s="78">
        <f>B19^2*PI()</f>
        <v>314.15926535897933</v>
      </c>
      <c r="F19" s="78">
        <f>2*B19*PI()</f>
        <v>62.831853071795862</v>
      </c>
      <c r="G19" s="78">
        <f t="shared" si="0"/>
        <v>157.07963267948966</v>
      </c>
      <c r="H19" s="78">
        <f>F19*C19/360</f>
        <v>31.415926535897931</v>
      </c>
    </row>
    <row r="20" spans="2:8" x14ac:dyDescent="0.35">
      <c r="B20" s="78">
        <f>SQRT(E20/PI())</f>
        <v>10.000000000652864</v>
      </c>
      <c r="C20" s="79">
        <v>180</v>
      </c>
      <c r="D20" s="78">
        <f>2*B20</f>
        <v>20.000000001305729</v>
      </c>
      <c r="E20" s="79">
        <v>314.15926539999998</v>
      </c>
      <c r="F20" s="78">
        <f>2*B20*PI()</f>
        <v>62.831853075897932</v>
      </c>
      <c r="G20" s="78">
        <f t="shared" si="0"/>
        <v>157.07963269999999</v>
      </c>
      <c r="H20" s="78">
        <f>F20*C20/360</f>
        <v>31.415926537948966</v>
      </c>
    </row>
    <row r="21" spans="2:8" x14ac:dyDescent="0.35">
      <c r="B21" s="78">
        <f>D21/2</f>
        <v>9.9999999997141806</v>
      </c>
      <c r="C21" s="79">
        <v>180</v>
      </c>
      <c r="D21" s="78">
        <f>F21/PI()</f>
        <v>19.999999999428361</v>
      </c>
      <c r="E21" s="78">
        <f>B21^2*PI()</f>
        <v>314.15926534102073</v>
      </c>
      <c r="F21" s="79">
        <v>62.831853070000001</v>
      </c>
      <c r="G21" s="78">
        <f t="shared" si="0"/>
        <v>157.07963267051036</v>
      </c>
      <c r="H21" s="78">
        <f>F21*C21/360</f>
        <v>31.415926535000001</v>
      </c>
    </row>
    <row r="22" spans="2:8" x14ac:dyDescent="0.35">
      <c r="B22" s="79">
        <v>10</v>
      </c>
      <c r="C22" s="78">
        <f>360/(F22/H22)</f>
        <v>179.99999999485524</v>
      </c>
      <c r="D22" s="78">
        <f>2*B22</f>
        <v>20</v>
      </c>
      <c r="E22" s="78">
        <f>B22^2*PI()</f>
        <v>314.15926535897933</v>
      </c>
      <c r="F22" s="78">
        <f>2*B22*PI()</f>
        <v>62.831853071795862</v>
      </c>
      <c r="G22" s="78">
        <f t="shared" si="0"/>
        <v>157.07963267500003</v>
      </c>
      <c r="H22" s="79">
        <v>31.415926535000001</v>
      </c>
    </row>
    <row r="23" spans="2:8" x14ac:dyDescent="0.35">
      <c r="B23" s="78">
        <f>D23/2</f>
        <v>10</v>
      </c>
      <c r="C23" s="78">
        <f>360/(F23/H23)</f>
        <v>179.99999999485524</v>
      </c>
      <c r="D23" s="79">
        <v>20</v>
      </c>
      <c r="E23" s="78">
        <f>B23^2*PI()</f>
        <v>314.15926535897933</v>
      </c>
      <c r="F23" s="78">
        <f>2*B23*PI()</f>
        <v>62.831853071795862</v>
      </c>
      <c r="G23" s="78">
        <f t="shared" si="0"/>
        <v>157.07963267500003</v>
      </c>
      <c r="H23" s="79">
        <v>31.415926535000001</v>
      </c>
    </row>
    <row r="24" spans="2:8" x14ac:dyDescent="0.35">
      <c r="B24" s="79">
        <v>10</v>
      </c>
      <c r="C24" s="78">
        <f>360/(E24/G24)</f>
        <v>179.99999999485527</v>
      </c>
      <c r="D24" s="78">
        <f>2*B24</f>
        <v>20</v>
      </c>
      <c r="E24" s="78">
        <f>B24^2*PI()</f>
        <v>314.15926535897933</v>
      </c>
      <c r="F24" s="78">
        <f>2*B24*PI()</f>
        <v>62.831853071795862</v>
      </c>
      <c r="G24" s="79">
        <v>157.07963267500003</v>
      </c>
      <c r="H24" s="78">
        <f>F24*C24/360</f>
        <v>31.415926535000008</v>
      </c>
    </row>
    <row r="25" spans="2:8" x14ac:dyDescent="0.35">
      <c r="B25" s="78">
        <f>D25/2</f>
        <v>10</v>
      </c>
      <c r="C25" s="78">
        <f>360/(E25/G25)</f>
        <v>179.99999999485527</v>
      </c>
      <c r="D25" s="79">
        <v>20</v>
      </c>
      <c r="E25" s="78">
        <f>B25^2*PI()</f>
        <v>314.15926535897933</v>
      </c>
      <c r="F25" s="78">
        <f>2*B25*PI()</f>
        <v>62.831853071795862</v>
      </c>
      <c r="G25" s="79">
        <v>157.07963267500003</v>
      </c>
      <c r="H25" s="78">
        <f>F25*C25/360</f>
        <v>31.415926535000008</v>
      </c>
    </row>
    <row r="29" spans="2:8" ht="18.5" x14ac:dyDescent="0.45">
      <c r="B29" s="76" t="s">
        <v>119</v>
      </c>
    </row>
    <row r="30" spans="2:8" x14ac:dyDescent="0.35">
      <c r="B30" s="77" t="s">
        <v>124</v>
      </c>
      <c r="C30" s="77" t="s">
        <v>123</v>
      </c>
      <c r="D30" s="77" t="s">
        <v>120</v>
      </c>
      <c r="E30" s="89" t="s">
        <v>121</v>
      </c>
      <c r="F30" s="90" t="s">
        <v>122</v>
      </c>
      <c r="G30" s="89" t="s">
        <v>125</v>
      </c>
    </row>
    <row r="31" spans="2:8" x14ac:dyDescent="0.35">
      <c r="B31" s="79"/>
      <c r="C31" s="79"/>
      <c r="D31" s="91"/>
      <c r="E31" s="91"/>
      <c r="F31" s="91"/>
      <c r="G31" s="91"/>
    </row>
    <row r="32" spans="2:8" x14ac:dyDescent="0.35">
      <c r="B32" s="79"/>
      <c r="C32" s="78"/>
      <c r="D32" s="79"/>
      <c r="E32" s="78"/>
      <c r="F32" s="78"/>
      <c r="G32" s="78"/>
    </row>
    <row r="33" spans="2:21" x14ac:dyDescent="0.35">
      <c r="B33" s="79"/>
      <c r="C33" s="78"/>
      <c r="D33" s="78"/>
      <c r="E33" s="79"/>
      <c r="F33" s="78"/>
      <c r="G33" s="78"/>
    </row>
    <row r="34" spans="2:21" x14ac:dyDescent="0.35">
      <c r="B34" s="79"/>
      <c r="C34" s="78"/>
      <c r="D34" s="78"/>
      <c r="E34" s="78"/>
      <c r="F34" s="79"/>
      <c r="G34" s="78"/>
    </row>
    <row r="35" spans="2:21" x14ac:dyDescent="0.35">
      <c r="B35" s="79"/>
      <c r="C35" s="78"/>
      <c r="D35" s="78"/>
      <c r="E35" s="78"/>
      <c r="F35" s="78"/>
      <c r="G35" s="79"/>
    </row>
    <row r="36" spans="2:21" x14ac:dyDescent="0.35">
      <c r="B36" s="78"/>
      <c r="C36" s="79"/>
      <c r="D36" s="79"/>
      <c r="E36" s="78"/>
      <c r="F36" s="78"/>
      <c r="G36" s="78"/>
    </row>
    <row r="37" spans="2:21" x14ac:dyDescent="0.35">
      <c r="B37" s="78"/>
      <c r="C37" s="79"/>
      <c r="D37" s="78"/>
      <c r="E37" s="79"/>
      <c r="F37" s="78"/>
      <c r="G37" s="78"/>
    </row>
    <row r="38" spans="2:21" x14ac:dyDescent="0.35">
      <c r="B38" s="78"/>
      <c r="C38" s="79"/>
      <c r="D38" s="78"/>
      <c r="E38" s="78"/>
      <c r="F38" s="79"/>
      <c r="G38" s="78"/>
    </row>
    <row r="39" spans="2:21" x14ac:dyDescent="0.35">
      <c r="B39" s="78"/>
      <c r="C39" s="79"/>
      <c r="D39" s="78"/>
      <c r="E39" s="78"/>
      <c r="F39" s="78"/>
      <c r="G39" s="79"/>
    </row>
    <row r="40" spans="2:21" x14ac:dyDescent="0.35">
      <c r="B40" s="78"/>
      <c r="C40" s="78"/>
      <c r="D40" s="79"/>
      <c r="E40" s="79"/>
      <c r="F40" s="78"/>
      <c r="G40" s="78"/>
    </row>
    <row r="41" spans="2:21" x14ac:dyDescent="0.35">
      <c r="B41" s="78"/>
      <c r="C41" s="78"/>
      <c r="D41" s="79"/>
      <c r="E41" s="78"/>
      <c r="F41" s="79"/>
      <c r="G41" s="78"/>
      <c r="U41" s="122"/>
    </row>
    <row r="42" spans="2:21" x14ac:dyDescent="0.35">
      <c r="B42" s="78"/>
      <c r="C42" s="78"/>
      <c r="D42" s="79"/>
      <c r="E42" s="78"/>
      <c r="F42" s="78"/>
      <c r="G42" s="79"/>
    </row>
    <row r="43" spans="2:21" x14ac:dyDescent="0.35">
      <c r="B43" s="92"/>
      <c r="C43" s="92"/>
      <c r="D43" s="92"/>
      <c r="E43" s="79"/>
      <c r="F43" s="79"/>
      <c r="G43" s="92"/>
    </row>
    <row r="44" spans="2:21" x14ac:dyDescent="0.35">
      <c r="B44" s="78"/>
      <c r="C44" s="78"/>
      <c r="D44" s="78"/>
      <c r="E44" s="79"/>
      <c r="F44" s="78"/>
      <c r="G44" s="79"/>
    </row>
    <row r="45" spans="2:21" x14ac:dyDescent="0.35">
      <c r="B45" s="78"/>
      <c r="C45" s="78"/>
      <c r="D45" s="78"/>
      <c r="E45" s="78"/>
      <c r="F45" s="79"/>
      <c r="G45" s="79"/>
    </row>
  </sheetData>
  <pageMargins left="0.7" right="0.7" top="0.78740157499999996" bottom="0.78740157499999996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8" t="s">
        <v>847</v>
      </c>
    </row>
    <row r="3" spans="2:14" x14ac:dyDescent="0.35">
      <c r="B3" s="348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81">
        <f>C5/C4</f>
        <v>10</v>
      </c>
      <c r="D7" s="81">
        <f>D5/D4</f>
        <v>9.9499999999999993</v>
      </c>
      <c r="E7" s="81">
        <f>E5/E4</f>
        <v>10.016666666666667</v>
      </c>
      <c r="F7" s="81">
        <f>F5/F4</f>
        <v>10.125</v>
      </c>
      <c r="H7" s="5" t="s">
        <v>3</v>
      </c>
      <c r="I7" s="81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7"/>
      <c r="J11" s="328" t="s">
        <v>9</v>
      </c>
      <c r="K11" s="329"/>
      <c r="L11" s="329"/>
      <c r="M11" s="330" t="s">
        <v>12</v>
      </c>
      <c r="N11" s="331"/>
    </row>
    <row r="12" spans="2:14" x14ac:dyDescent="0.35">
      <c r="I12" s="332"/>
      <c r="J12" s="273"/>
      <c r="K12" s="273"/>
      <c r="L12" s="273"/>
      <c r="M12" s="273"/>
      <c r="N12" s="333"/>
    </row>
    <row r="13" spans="2:14" x14ac:dyDescent="0.35">
      <c r="I13" s="332"/>
      <c r="J13" s="334" t="s">
        <v>10</v>
      </c>
      <c r="K13" s="334" t="s">
        <v>13</v>
      </c>
      <c r="L13" s="2">
        <v>5</v>
      </c>
      <c r="M13" s="273"/>
      <c r="N13" s="333"/>
    </row>
    <row r="14" spans="2:14" ht="15" thickBot="1" x14ac:dyDescent="0.4">
      <c r="I14" s="335"/>
      <c r="J14" s="336" t="s">
        <v>11</v>
      </c>
      <c r="K14" s="336" t="s">
        <v>14</v>
      </c>
      <c r="L14" s="7">
        <v>10</v>
      </c>
      <c r="M14" s="337"/>
      <c r="N14" s="338"/>
    </row>
    <row r="16" spans="2:14" x14ac:dyDescent="0.35">
      <c r="I16" s="349" t="s">
        <v>16</v>
      </c>
      <c r="J16" s="350">
        <v>0.5</v>
      </c>
    </row>
    <row r="17" spans="2:41" x14ac:dyDescent="0.35">
      <c r="I17" s="8" t="s">
        <v>0</v>
      </c>
      <c r="J17" s="4">
        <v>0</v>
      </c>
      <c r="K17" s="81">
        <f>$J$16+J17</f>
        <v>0.5</v>
      </c>
      <c r="L17" s="81">
        <f t="shared" ref="L17:AO17" si="0">$J$16+K17</f>
        <v>1</v>
      </c>
      <c r="M17" s="81">
        <f t="shared" si="0"/>
        <v>1.5</v>
      </c>
      <c r="N17" s="81">
        <f t="shared" si="0"/>
        <v>2</v>
      </c>
      <c r="O17" s="81">
        <f t="shared" si="0"/>
        <v>2.5</v>
      </c>
      <c r="P17" s="81">
        <f t="shared" si="0"/>
        <v>3</v>
      </c>
      <c r="Q17" s="81">
        <f t="shared" si="0"/>
        <v>3.5</v>
      </c>
      <c r="R17" s="81">
        <f t="shared" si="0"/>
        <v>4</v>
      </c>
      <c r="S17" s="81">
        <f t="shared" si="0"/>
        <v>4.5</v>
      </c>
      <c r="T17" s="81">
        <f t="shared" si="0"/>
        <v>5</v>
      </c>
      <c r="U17" s="81">
        <f t="shared" si="0"/>
        <v>5.5</v>
      </c>
      <c r="V17" s="81">
        <f t="shared" si="0"/>
        <v>6</v>
      </c>
      <c r="W17" s="81">
        <f t="shared" si="0"/>
        <v>6.5</v>
      </c>
      <c r="X17" s="81">
        <f t="shared" si="0"/>
        <v>7</v>
      </c>
      <c r="Y17" s="81">
        <f t="shared" si="0"/>
        <v>7.5</v>
      </c>
      <c r="Z17" s="81">
        <f t="shared" si="0"/>
        <v>8</v>
      </c>
      <c r="AA17" s="81">
        <f t="shared" si="0"/>
        <v>8.5</v>
      </c>
      <c r="AB17" s="81">
        <f t="shared" si="0"/>
        <v>9</v>
      </c>
      <c r="AC17" s="81">
        <f t="shared" si="0"/>
        <v>9.5</v>
      </c>
      <c r="AD17" s="81">
        <f t="shared" si="0"/>
        <v>10</v>
      </c>
      <c r="AE17" s="81">
        <f t="shared" si="0"/>
        <v>10.5</v>
      </c>
      <c r="AF17" s="81">
        <f t="shared" si="0"/>
        <v>11</v>
      </c>
      <c r="AG17" s="81">
        <f t="shared" si="0"/>
        <v>11.5</v>
      </c>
      <c r="AH17" s="81">
        <f t="shared" si="0"/>
        <v>12</v>
      </c>
      <c r="AI17" s="81">
        <f t="shared" si="0"/>
        <v>12.5</v>
      </c>
      <c r="AJ17" s="81">
        <f t="shared" si="0"/>
        <v>13</v>
      </c>
      <c r="AK17" s="81">
        <f t="shared" si="0"/>
        <v>13.5</v>
      </c>
      <c r="AL17" s="81">
        <f t="shared" si="0"/>
        <v>14</v>
      </c>
      <c r="AM17" s="81">
        <f t="shared" si="0"/>
        <v>14.5</v>
      </c>
      <c r="AN17" s="81">
        <f t="shared" si="0"/>
        <v>15</v>
      </c>
      <c r="AO17" s="81">
        <f t="shared" si="0"/>
        <v>15.5</v>
      </c>
    </row>
    <row r="18" spans="2:41" ht="18.5" x14ac:dyDescent="0.45">
      <c r="I18" s="339" t="s">
        <v>15</v>
      </c>
      <c r="J18" s="81">
        <f>$L$13*J17+$L$14</f>
        <v>10</v>
      </c>
      <c r="K18" s="81">
        <f t="shared" ref="K18:AO18" si="1">$L$13*K17+$L$14</f>
        <v>12.5</v>
      </c>
      <c r="L18" s="81">
        <f t="shared" si="1"/>
        <v>15</v>
      </c>
      <c r="M18" s="81">
        <f t="shared" si="1"/>
        <v>17.5</v>
      </c>
      <c r="N18" s="81">
        <f t="shared" si="1"/>
        <v>20</v>
      </c>
      <c r="O18" s="81">
        <f t="shared" si="1"/>
        <v>22.5</v>
      </c>
      <c r="P18" s="81">
        <f t="shared" si="1"/>
        <v>25</v>
      </c>
      <c r="Q18" s="81">
        <f t="shared" si="1"/>
        <v>27.5</v>
      </c>
      <c r="R18" s="81">
        <f t="shared" si="1"/>
        <v>30</v>
      </c>
      <c r="S18" s="81">
        <f t="shared" si="1"/>
        <v>32.5</v>
      </c>
      <c r="T18" s="81">
        <f t="shared" si="1"/>
        <v>35</v>
      </c>
      <c r="U18" s="81">
        <f t="shared" si="1"/>
        <v>37.5</v>
      </c>
      <c r="V18" s="81">
        <f t="shared" si="1"/>
        <v>40</v>
      </c>
      <c r="W18" s="81">
        <f t="shared" si="1"/>
        <v>42.5</v>
      </c>
      <c r="X18" s="81">
        <f t="shared" si="1"/>
        <v>45</v>
      </c>
      <c r="Y18" s="81">
        <f t="shared" si="1"/>
        <v>47.5</v>
      </c>
      <c r="Z18" s="81">
        <f t="shared" si="1"/>
        <v>50</v>
      </c>
      <c r="AA18" s="81">
        <f t="shared" si="1"/>
        <v>52.5</v>
      </c>
      <c r="AB18" s="81">
        <f t="shared" si="1"/>
        <v>55</v>
      </c>
      <c r="AC18" s="81">
        <f t="shared" si="1"/>
        <v>57.5</v>
      </c>
      <c r="AD18" s="81">
        <f t="shared" si="1"/>
        <v>60</v>
      </c>
      <c r="AE18" s="81">
        <f t="shared" si="1"/>
        <v>62.5</v>
      </c>
      <c r="AF18" s="81">
        <f t="shared" si="1"/>
        <v>65</v>
      </c>
      <c r="AG18" s="81">
        <f t="shared" si="1"/>
        <v>67.5</v>
      </c>
      <c r="AH18" s="81">
        <f t="shared" si="1"/>
        <v>70</v>
      </c>
      <c r="AI18" s="81">
        <f t="shared" si="1"/>
        <v>72.5</v>
      </c>
      <c r="AJ18" s="81">
        <f t="shared" si="1"/>
        <v>75</v>
      </c>
      <c r="AK18" s="81">
        <f t="shared" si="1"/>
        <v>77.5</v>
      </c>
      <c r="AL18" s="81">
        <f t="shared" si="1"/>
        <v>80</v>
      </c>
      <c r="AM18" s="81">
        <f t="shared" si="1"/>
        <v>82.5</v>
      </c>
      <c r="AN18" s="81">
        <f t="shared" si="1"/>
        <v>85</v>
      </c>
      <c r="AO18" s="81">
        <f t="shared" si="1"/>
        <v>87.5</v>
      </c>
    </row>
    <row r="24" spans="2:41" ht="23.5" x14ac:dyDescent="0.55000000000000004">
      <c r="H24" s="5"/>
      <c r="I24" s="394" t="s">
        <v>844</v>
      </c>
      <c r="J24" s="395" t="str">
        <f>IF($I$24=$R$24,"s [km]","s [m]")</f>
        <v>s [km]</v>
      </c>
      <c r="K24" s="395" t="str">
        <f>IF($I$24=$R$24,"v [km/h]","v [m/s]")</f>
        <v>v [km/h]</v>
      </c>
      <c r="L24" s="395" t="str">
        <f>IF($I$24=$R$24,"t [h]","t [s]")</f>
        <v>t [h]</v>
      </c>
      <c r="M24" s="395" t="str">
        <f>IF($I$24=$R$24,"s0 [km]","s0 [m]")</f>
        <v>s0 [km]</v>
      </c>
      <c r="R24" t="s">
        <v>844</v>
      </c>
    </row>
    <row r="25" spans="2:41" ht="21" x14ac:dyDescent="0.5">
      <c r="B25" s="249"/>
      <c r="H25" s="397" t="s">
        <v>841</v>
      </c>
      <c r="I25" s="396" t="s">
        <v>837</v>
      </c>
      <c r="J25" s="81">
        <f>K25*L25+M25</f>
        <v>250</v>
      </c>
      <c r="K25" s="4">
        <v>100</v>
      </c>
      <c r="L25" s="4">
        <v>2</v>
      </c>
      <c r="M25" s="4">
        <v>50</v>
      </c>
      <c r="R25" t="s">
        <v>845</v>
      </c>
    </row>
    <row r="26" spans="2:41" ht="21" x14ac:dyDescent="0.5">
      <c r="B26" s="249"/>
      <c r="H26" s="397" t="s">
        <v>842</v>
      </c>
      <c r="I26" s="396" t="s">
        <v>838</v>
      </c>
      <c r="J26" s="4">
        <v>250</v>
      </c>
      <c r="K26" s="81">
        <f>(J26-M26)/L26</f>
        <v>100</v>
      </c>
      <c r="L26" s="4">
        <v>2</v>
      </c>
      <c r="M26" s="4">
        <v>50</v>
      </c>
    </row>
    <row r="27" spans="2:41" ht="21" x14ac:dyDescent="0.5">
      <c r="B27" s="249"/>
      <c r="H27" s="397" t="s">
        <v>843</v>
      </c>
      <c r="I27" s="396" t="s">
        <v>839</v>
      </c>
      <c r="J27" s="4">
        <v>250</v>
      </c>
      <c r="K27" s="4">
        <v>100</v>
      </c>
      <c r="L27" s="81">
        <f>(J27-M27)/K27</f>
        <v>2</v>
      </c>
      <c r="M27" s="4">
        <v>50</v>
      </c>
    </row>
    <row r="28" spans="2:41" ht="21" x14ac:dyDescent="0.5">
      <c r="B28" s="249"/>
      <c r="H28" s="397" t="s">
        <v>846</v>
      </c>
      <c r="I28" s="396" t="s">
        <v>840</v>
      </c>
      <c r="J28" s="4">
        <v>250</v>
      </c>
      <c r="K28" s="4">
        <v>100</v>
      </c>
      <c r="L28" s="4">
        <v>2</v>
      </c>
      <c r="M28" s="81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2" zoomScale="115" zoomScaleNormal="11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8" t="s">
        <v>854</v>
      </c>
      <c r="D2" s="398"/>
    </row>
    <row r="4" spans="2:26" x14ac:dyDescent="0.35">
      <c r="J4" t="s">
        <v>646</v>
      </c>
    </row>
    <row r="5" spans="2:26" x14ac:dyDescent="0.35">
      <c r="J5" t="s">
        <v>884</v>
      </c>
    </row>
    <row r="10" spans="2:26" x14ac:dyDescent="0.35">
      <c r="B10" s="5"/>
      <c r="C10" s="5"/>
      <c r="D10" s="5"/>
      <c r="E10" s="5"/>
      <c r="F10" s="4">
        <v>1</v>
      </c>
      <c r="G10" s="340"/>
      <c r="H10" s="340"/>
      <c r="I10" s="340"/>
      <c r="J10" s="340"/>
      <c r="K10" s="340"/>
      <c r="L10" s="340"/>
      <c r="M10" s="340"/>
      <c r="N10" s="340"/>
      <c r="O10" s="340"/>
      <c r="P10" s="340"/>
      <c r="Q10" s="340"/>
      <c r="R10" s="340"/>
      <c r="S10" s="340"/>
      <c r="T10" s="340"/>
      <c r="U10" s="340"/>
      <c r="V10" s="340"/>
      <c r="W10" s="340"/>
      <c r="X10" s="340"/>
      <c r="Y10" s="340"/>
      <c r="Z10" s="340"/>
    </row>
    <row r="11" spans="2:26" x14ac:dyDescent="0.35">
      <c r="B11" s="5"/>
      <c r="C11" s="5" t="s">
        <v>257</v>
      </c>
      <c r="D11" s="5" t="s">
        <v>884</v>
      </c>
      <c r="E11" s="5"/>
      <c r="F11" s="4">
        <v>0</v>
      </c>
      <c r="G11" s="81">
        <f>F11+$F$10</f>
        <v>1</v>
      </c>
      <c r="H11" s="81">
        <f t="shared" ref="H11:Z11" si="0">G11+$F$10</f>
        <v>2</v>
      </c>
      <c r="I11" s="81">
        <f t="shared" si="0"/>
        <v>3</v>
      </c>
      <c r="J11" s="81">
        <f t="shared" si="0"/>
        <v>4</v>
      </c>
      <c r="K11" s="81">
        <f t="shared" si="0"/>
        <v>5</v>
      </c>
      <c r="L11" s="81">
        <f t="shared" si="0"/>
        <v>6</v>
      </c>
      <c r="M11" s="81">
        <f t="shared" si="0"/>
        <v>7</v>
      </c>
      <c r="N11" s="81">
        <f t="shared" si="0"/>
        <v>8</v>
      </c>
      <c r="O11" s="81">
        <f t="shared" si="0"/>
        <v>9</v>
      </c>
      <c r="P11" s="81">
        <f t="shared" si="0"/>
        <v>10</v>
      </c>
      <c r="Q11" s="81">
        <f t="shared" si="0"/>
        <v>11</v>
      </c>
      <c r="R11" s="81">
        <f t="shared" si="0"/>
        <v>12</v>
      </c>
      <c r="S11" s="81">
        <f t="shared" si="0"/>
        <v>13</v>
      </c>
      <c r="T11" s="81">
        <f t="shared" si="0"/>
        <v>14</v>
      </c>
      <c r="U11" s="81">
        <f t="shared" si="0"/>
        <v>15</v>
      </c>
      <c r="V11" s="81">
        <f t="shared" si="0"/>
        <v>16</v>
      </c>
      <c r="W11" s="81">
        <f t="shared" si="0"/>
        <v>17</v>
      </c>
      <c r="X11" s="81">
        <f t="shared" si="0"/>
        <v>18</v>
      </c>
      <c r="Y11" s="81">
        <f t="shared" si="0"/>
        <v>19</v>
      </c>
      <c r="Z11" s="81">
        <f t="shared" si="0"/>
        <v>20</v>
      </c>
    </row>
    <row r="12" spans="2:26" ht="20.5" x14ac:dyDescent="0.55000000000000004">
      <c r="B12" s="339" t="s">
        <v>644</v>
      </c>
      <c r="C12" s="341" t="s">
        <v>885</v>
      </c>
      <c r="D12" s="341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41"/>
      <c r="C13" s="341" t="s">
        <v>886</v>
      </c>
      <c r="D13" s="341" t="str">
        <f>IF($D$11=$J$4,"[km]","[m]")</f>
        <v>[m]</v>
      </c>
      <c r="E13" s="4">
        <v>0</v>
      </c>
      <c r="F13" s="340"/>
      <c r="G13" s="340"/>
      <c r="H13" s="340"/>
      <c r="I13" s="340"/>
      <c r="J13" s="340"/>
      <c r="K13" s="340"/>
      <c r="L13" s="340"/>
      <c r="M13" s="340"/>
      <c r="N13" s="340"/>
      <c r="O13" s="340"/>
      <c r="P13" s="340"/>
      <c r="Q13" s="340"/>
      <c r="R13" s="340"/>
      <c r="S13" s="340"/>
      <c r="T13" s="340"/>
      <c r="U13" s="340"/>
      <c r="V13" s="340"/>
      <c r="W13" s="340"/>
      <c r="X13" s="340"/>
      <c r="Y13" s="340"/>
      <c r="Z13" s="340"/>
    </row>
    <row r="14" spans="2:26" ht="20.5" x14ac:dyDescent="0.55000000000000004">
      <c r="B14" s="342" t="s">
        <v>643</v>
      </c>
      <c r="C14" s="341" t="s">
        <v>887</v>
      </c>
      <c r="D14" s="341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41"/>
      <c r="C15" s="341" t="s">
        <v>888</v>
      </c>
      <c r="D15" s="341" t="str">
        <f>IF($D$11=$J$4,"[km]","[m]")</f>
        <v>[m]</v>
      </c>
      <c r="E15" s="4">
        <v>25.641024999999999</v>
      </c>
      <c r="F15" s="340"/>
      <c r="G15" s="340"/>
      <c r="H15" s="340"/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0"/>
      <c r="T15" s="340"/>
      <c r="U15" s="340"/>
      <c r="V15" s="340"/>
      <c r="W15" s="340"/>
      <c r="X15" s="340"/>
      <c r="Y15" s="340"/>
      <c r="Z15" s="340"/>
    </row>
    <row r="17" spans="3:4" ht="18.5" x14ac:dyDescent="0.45">
      <c r="C17" s="343" t="str">
        <f>IF(E14*E12&lt;0,"Auf einander zufahren","Einander nachfahren")</f>
        <v>Einander nachfahren</v>
      </c>
      <c r="D17" s="343"/>
    </row>
    <row r="38" spans="2:9" ht="21" x14ac:dyDescent="0.5">
      <c r="B38" s="347" t="s">
        <v>649</v>
      </c>
      <c r="C38" s="96"/>
      <c r="D38" s="96"/>
      <c r="E38" s="96"/>
      <c r="G38" t="s">
        <v>650</v>
      </c>
    </row>
    <row r="39" spans="2:9" ht="16.5" x14ac:dyDescent="0.45">
      <c r="B39" s="8" t="s">
        <v>645</v>
      </c>
      <c r="C39" s="5">
        <f>(E15-E13)/(E12-E14)</f>
        <v>13.837633945532412</v>
      </c>
      <c r="D39" s="5"/>
      <c r="E39" s="5" t="s">
        <v>646</v>
      </c>
      <c r="F39" s="344"/>
      <c r="G39" t="s">
        <v>651</v>
      </c>
      <c r="H39">
        <v>0</v>
      </c>
      <c r="I39">
        <f>C39</f>
        <v>13.837633945532412</v>
      </c>
    </row>
    <row r="40" spans="2:9" x14ac:dyDescent="0.35">
      <c r="B40" s="8"/>
      <c r="C40" s="345">
        <f>C39/24</f>
        <v>0.57656808106385049</v>
      </c>
      <c r="D40" s="345"/>
      <c r="E40" s="5"/>
      <c r="H40">
        <f>C42</f>
        <v>143.91139303353708</v>
      </c>
      <c r="I40">
        <f>H40</f>
        <v>143.91139303353708</v>
      </c>
    </row>
    <row r="41" spans="2:9" x14ac:dyDescent="0.35">
      <c r="B41" s="346"/>
      <c r="C41" s="340"/>
      <c r="D41" s="340"/>
      <c r="E41" s="340"/>
    </row>
    <row r="42" spans="2:9" ht="16.5" x14ac:dyDescent="0.45">
      <c r="B42" s="8" t="s">
        <v>647</v>
      </c>
      <c r="C42" s="5">
        <f>E12*C39+E13</f>
        <v>143.91139303353708</v>
      </c>
      <c r="D42" s="5"/>
      <c r="E42" s="5" t="s">
        <v>648</v>
      </c>
      <c r="G42" t="s">
        <v>652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647</v>
      </c>
      <c r="C43" s="5">
        <f>E14*C39+E15</f>
        <v>143.91139303353708</v>
      </c>
      <c r="D43" s="5"/>
      <c r="E43" s="5" t="s">
        <v>648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A11"/>
  <sheetViews>
    <sheetView showGridLines="0" zoomScale="85" zoomScaleNormal="85" workbookViewId="0">
      <selection activeCell="E5" sqref="E5"/>
    </sheetView>
  </sheetViews>
  <sheetFormatPr baseColWidth="10" defaultRowHeight="14.5" x14ac:dyDescent="0.35"/>
  <cols>
    <col min="4" max="4" width="17.54296875" customWidth="1"/>
    <col min="7" max="7" width="14" customWidth="1"/>
  </cols>
  <sheetData>
    <row r="2" spans="2:27" ht="24" thickBot="1" x14ac:dyDescent="0.6">
      <c r="B2" s="11" t="s">
        <v>31</v>
      </c>
      <c r="M2" s="5" t="s">
        <v>27</v>
      </c>
      <c r="N2" s="5"/>
      <c r="P2" s="5" t="s">
        <v>25</v>
      </c>
      <c r="Q2" s="5"/>
      <c r="S2" s="5" t="s">
        <v>26</v>
      </c>
      <c r="T2" s="5"/>
      <c r="W2" s="5" t="s">
        <v>28</v>
      </c>
      <c r="X2" s="5"/>
      <c r="Z2" s="5" t="s">
        <v>29</v>
      </c>
      <c r="AA2" s="5"/>
    </row>
    <row r="3" spans="2:27" ht="20.149999999999999" customHeight="1" thickBot="1" x14ac:dyDescent="0.6">
      <c r="B3" s="11"/>
      <c r="J3" s="9" t="s">
        <v>30</v>
      </c>
      <c r="K3" s="10">
        <v>7</v>
      </c>
      <c r="M3" s="5">
        <f>K3</f>
        <v>7</v>
      </c>
      <c r="N3" s="5">
        <f>M3</f>
        <v>7</v>
      </c>
      <c r="P3" s="5">
        <v>0</v>
      </c>
      <c r="Q3" s="5">
        <f>K3</f>
        <v>7</v>
      </c>
      <c r="S3" s="5">
        <v>0</v>
      </c>
      <c r="T3" s="5">
        <f>N3</f>
        <v>7</v>
      </c>
      <c r="W3" s="5">
        <f>Q3</f>
        <v>7</v>
      </c>
      <c r="X3" s="5">
        <f>W3</f>
        <v>7</v>
      </c>
      <c r="Z3" s="5">
        <v>0</v>
      </c>
      <c r="AA3" s="5">
        <f>X3</f>
        <v>7</v>
      </c>
    </row>
    <row r="4" spans="2:27" ht="20" customHeight="1" x14ac:dyDescent="0.55000000000000004">
      <c r="B4" s="11"/>
      <c r="C4" s="435" t="s">
        <v>21</v>
      </c>
      <c r="D4" s="436"/>
      <c r="E4" s="12">
        <v>1</v>
      </c>
      <c r="F4" s="13" t="s">
        <v>20</v>
      </c>
      <c r="M4" s="5">
        <v>0</v>
      </c>
      <c r="N4" s="5">
        <f>E4*K3+E5</f>
        <v>17</v>
      </c>
      <c r="P4" s="5">
        <f>E5</f>
        <v>10</v>
      </c>
      <c r="Q4" s="5">
        <f>E5</f>
        <v>10</v>
      </c>
      <c r="S4" s="5">
        <f>N4</f>
        <v>17</v>
      </c>
      <c r="T4" s="5">
        <f>S4</f>
        <v>17</v>
      </c>
      <c r="W4" s="5">
        <v>0</v>
      </c>
      <c r="X4" s="5">
        <f>$E$4/2 * $K$3^2 + $E$5*$K$3 + $E$6</f>
        <v>144.5</v>
      </c>
      <c r="Z4" s="5">
        <f>X4</f>
        <v>144.5</v>
      </c>
      <c r="AA4" s="5">
        <f>Z4</f>
        <v>144.5</v>
      </c>
    </row>
    <row r="5" spans="2:27" ht="15.65" customHeight="1" thickBot="1" x14ac:dyDescent="0.6">
      <c r="B5" s="11"/>
      <c r="C5" s="437" t="s">
        <v>22</v>
      </c>
      <c r="D5" s="438"/>
      <c r="E5" s="14">
        <v>10</v>
      </c>
      <c r="F5" s="15" t="s">
        <v>23</v>
      </c>
    </row>
    <row r="6" spans="2:27" ht="15.65" customHeight="1" thickBot="1" x14ac:dyDescent="0.4">
      <c r="C6" s="437" t="s">
        <v>889</v>
      </c>
      <c r="D6" s="438"/>
      <c r="E6" s="14">
        <v>50</v>
      </c>
      <c r="F6" s="15" t="s">
        <v>863</v>
      </c>
    </row>
    <row r="7" spans="2:27" ht="15.65" customHeight="1" x14ac:dyDescent="0.35"/>
    <row r="8" spans="2:27" ht="15.65" customHeight="1" x14ac:dyDescent="0.35">
      <c r="C8" s="433" t="s">
        <v>1</v>
      </c>
      <c r="D8" s="434"/>
      <c r="E8" s="4">
        <v>1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2:27" x14ac:dyDescent="0.35">
      <c r="C9" s="431" t="s">
        <v>19</v>
      </c>
      <c r="D9" s="431"/>
      <c r="E9" s="4">
        <v>0</v>
      </c>
      <c r="F9" s="16">
        <f>E9+$E$8</f>
        <v>1</v>
      </c>
      <c r="G9" s="16">
        <f t="shared" ref="G9:Y9" si="0">F9+$E$8</f>
        <v>2</v>
      </c>
      <c r="H9" s="16">
        <f t="shared" si="0"/>
        <v>3</v>
      </c>
      <c r="I9" s="16">
        <f t="shared" si="0"/>
        <v>4</v>
      </c>
      <c r="J9" s="16">
        <f t="shared" si="0"/>
        <v>5</v>
      </c>
      <c r="K9" s="16">
        <f t="shared" si="0"/>
        <v>6</v>
      </c>
      <c r="L9" s="16">
        <f t="shared" si="0"/>
        <v>7</v>
      </c>
      <c r="M9" s="16">
        <f t="shared" si="0"/>
        <v>8</v>
      </c>
      <c r="N9" s="16">
        <f t="shared" si="0"/>
        <v>9</v>
      </c>
      <c r="O9" s="16">
        <f t="shared" si="0"/>
        <v>10</v>
      </c>
      <c r="P9" s="16">
        <f t="shared" si="0"/>
        <v>11</v>
      </c>
      <c r="Q9" s="16">
        <f t="shared" si="0"/>
        <v>12</v>
      </c>
      <c r="R9" s="16">
        <f t="shared" si="0"/>
        <v>13</v>
      </c>
      <c r="S9" s="16">
        <f t="shared" si="0"/>
        <v>14</v>
      </c>
      <c r="T9" s="16">
        <f t="shared" si="0"/>
        <v>15</v>
      </c>
      <c r="U9" s="16">
        <f t="shared" si="0"/>
        <v>16</v>
      </c>
      <c r="V9" s="16">
        <f t="shared" si="0"/>
        <v>17</v>
      </c>
      <c r="W9" s="16">
        <f t="shared" si="0"/>
        <v>18</v>
      </c>
      <c r="X9" s="16">
        <f>W9+$E$8</f>
        <v>19</v>
      </c>
      <c r="Y9" s="16">
        <f t="shared" si="0"/>
        <v>20</v>
      </c>
      <c r="Z9" s="16">
        <f>Y9+$E$8</f>
        <v>21</v>
      </c>
      <c r="AA9" s="16">
        <f>Z9+$E$8</f>
        <v>22</v>
      </c>
    </row>
    <row r="10" spans="2:27" x14ac:dyDescent="0.35">
      <c r="C10" s="432" t="s">
        <v>24</v>
      </c>
      <c r="D10" s="432"/>
      <c r="E10" s="5">
        <f t="shared" ref="E10:Y10" si="1">$E$4*E9+$E$5</f>
        <v>10</v>
      </c>
      <c r="F10" s="5">
        <f t="shared" si="1"/>
        <v>11</v>
      </c>
      <c r="G10" s="5">
        <f t="shared" si="1"/>
        <v>12</v>
      </c>
      <c r="H10" s="5">
        <f t="shared" si="1"/>
        <v>13</v>
      </c>
      <c r="I10" s="5">
        <f t="shared" si="1"/>
        <v>14</v>
      </c>
      <c r="J10" s="5">
        <f t="shared" si="1"/>
        <v>15</v>
      </c>
      <c r="K10" s="5">
        <f t="shared" si="1"/>
        <v>16</v>
      </c>
      <c r="L10" s="5">
        <f t="shared" si="1"/>
        <v>17</v>
      </c>
      <c r="M10" s="5">
        <f t="shared" si="1"/>
        <v>18</v>
      </c>
      <c r="N10" s="5">
        <f t="shared" si="1"/>
        <v>19</v>
      </c>
      <c r="O10" s="5">
        <f t="shared" si="1"/>
        <v>20</v>
      </c>
      <c r="P10" s="5">
        <f t="shared" si="1"/>
        <v>21</v>
      </c>
      <c r="Q10" s="5">
        <f t="shared" si="1"/>
        <v>22</v>
      </c>
      <c r="R10" s="5">
        <f t="shared" si="1"/>
        <v>23</v>
      </c>
      <c r="S10" s="5">
        <f t="shared" si="1"/>
        <v>24</v>
      </c>
      <c r="T10" s="5">
        <f t="shared" si="1"/>
        <v>25</v>
      </c>
      <c r="U10" s="5">
        <f t="shared" si="1"/>
        <v>26</v>
      </c>
      <c r="V10" s="5">
        <f t="shared" si="1"/>
        <v>27</v>
      </c>
      <c r="W10" s="5">
        <f t="shared" si="1"/>
        <v>28</v>
      </c>
      <c r="X10" s="5">
        <f t="shared" si="1"/>
        <v>29</v>
      </c>
      <c r="Y10" s="5">
        <f t="shared" si="1"/>
        <v>30</v>
      </c>
      <c r="Z10" s="5">
        <f>$E$4*Z9+$E$5</f>
        <v>31</v>
      </c>
      <c r="AA10" s="5">
        <f>$E$4*AA9+$E$5</f>
        <v>32</v>
      </c>
    </row>
    <row r="11" spans="2:27" ht="16.5" x14ac:dyDescent="0.35">
      <c r="C11" s="432" t="s">
        <v>890</v>
      </c>
      <c r="D11" s="432"/>
      <c r="E11" s="5">
        <f>$E$4/2 * E9^2 + $E$5*E9 +$E$6</f>
        <v>50</v>
      </c>
      <c r="F11" s="5">
        <f t="shared" ref="F11:AA11" si="2">$E$4/2 * F9^2 + $E$5*F9 +$E$6</f>
        <v>60.5</v>
      </c>
      <c r="G11" s="5">
        <f t="shared" si="2"/>
        <v>72</v>
      </c>
      <c r="H11" s="5">
        <f t="shared" si="2"/>
        <v>84.5</v>
      </c>
      <c r="I11" s="5">
        <f t="shared" si="2"/>
        <v>98</v>
      </c>
      <c r="J11" s="5">
        <f t="shared" si="2"/>
        <v>112.5</v>
      </c>
      <c r="K11" s="5">
        <f t="shared" si="2"/>
        <v>128</v>
      </c>
      <c r="L11" s="5">
        <f t="shared" si="2"/>
        <v>144.5</v>
      </c>
      <c r="M11" s="5">
        <f t="shared" si="2"/>
        <v>162</v>
      </c>
      <c r="N11" s="5">
        <f t="shared" si="2"/>
        <v>180.5</v>
      </c>
      <c r="O11" s="5">
        <f t="shared" si="2"/>
        <v>200</v>
      </c>
      <c r="P11" s="5">
        <f t="shared" si="2"/>
        <v>220.5</v>
      </c>
      <c r="Q11" s="5">
        <f t="shared" si="2"/>
        <v>242</v>
      </c>
      <c r="R11" s="5">
        <f t="shared" si="2"/>
        <v>264.5</v>
      </c>
      <c r="S11" s="5">
        <f t="shared" si="2"/>
        <v>288</v>
      </c>
      <c r="T11" s="5">
        <f t="shared" si="2"/>
        <v>312.5</v>
      </c>
      <c r="U11" s="5">
        <f t="shared" si="2"/>
        <v>338</v>
      </c>
      <c r="V11" s="5">
        <f t="shared" si="2"/>
        <v>364.5</v>
      </c>
      <c r="W11" s="5">
        <f t="shared" si="2"/>
        <v>392</v>
      </c>
      <c r="X11" s="5">
        <f t="shared" si="2"/>
        <v>420.5</v>
      </c>
      <c r="Y11" s="5">
        <f t="shared" si="2"/>
        <v>450</v>
      </c>
      <c r="Z11" s="5">
        <f t="shared" si="2"/>
        <v>480.5</v>
      </c>
      <c r="AA11" s="5">
        <f t="shared" si="2"/>
        <v>512</v>
      </c>
    </row>
  </sheetData>
  <mergeCells count="7">
    <mergeCell ref="C9:D9"/>
    <mergeCell ref="C10:D10"/>
    <mergeCell ref="C11:D11"/>
    <mergeCell ref="C8:D8"/>
    <mergeCell ref="C4:D4"/>
    <mergeCell ref="C5:D5"/>
    <mergeCell ref="C6:D6"/>
  </mergeCells>
  <pageMargins left="0.7" right="0.7" top="0.78740157499999996" bottom="0.78740157499999996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zoomScale="115" zoomScaleNormal="115" workbookViewId="0"/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11" t="s">
        <v>18</v>
      </c>
    </row>
    <row r="3" spans="1:19" x14ac:dyDescent="0.35">
      <c r="Q3" t="s">
        <v>97</v>
      </c>
    </row>
    <row r="4" spans="1:19" x14ac:dyDescent="0.35">
      <c r="J4" t="s">
        <v>50</v>
      </c>
      <c r="K4" t="s">
        <v>49</v>
      </c>
      <c r="Q4" s="70" t="s">
        <v>98</v>
      </c>
    </row>
    <row r="5" spans="1:19" ht="15" thickBot="1" x14ac:dyDescent="0.4"/>
    <row r="6" spans="1:19" ht="29.15" customHeight="1" thickBot="1" x14ac:dyDescent="0.4">
      <c r="C6" s="450" t="str">
        <f>$O$8</f>
        <v>Anfangs-Geschwindigkeit</v>
      </c>
      <c r="D6" s="451"/>
      <c r="E6" s="454" t="str">
        <f>$O$9</f>
        <v>Geschwindigkeit</v>
      </c>
      <c r="F6" s="451"/>
      <c r="G6" s="454" t="str">
        <f>$O$10</f>
        <v>Strecke</v>
      </c>
      <c r="H6" s="451"/>
      <c r="I6" s="454" t="str">
        <f>$O$11</f>
        <v>Zeit</v>
      </c>
      <c r="J6" s="451"/>
      <c r="K6" s="454" t="str">
        <f>$O$12</f>
        <v>Beschleunigung</v>
      </c>
      <c r="L6" s="455"/>
    </row>
    <row r="7" spans="1:19" ht="15" thickBot="1" x14ac:dyDescent="0.4">
      <c r="B7" s="17" t="s">
        <v>38</v>
      </c>
      <c r="C7" s="452" t="str">
        <f>$P$8</f>
        <v>v0 [m/s]</v>
      </c>
      <c r="D7" s="453"/>
      <c r="E7" s="456" t="str">
        <f>$P$9</f>
        <v>v [m/s]</v>
      </c>
      <c r="F7" s="453"/>
      <c r="G7" s="456" t="str">
        <f>$P$10</f>
        <v>s [m]</v>
      </c>
      <c r="H7" s="453"/>
      <c r="I7" s="456" t="str">
        <f>$P$11</f>
        <v>t [s]</v>
      </c>
      <c r="J7" s="453"/>
      <c r="K7" s="456" t="str">
        <f>$P$12</f>
        <v>a [m/s2]</v>
      </c>
      <c r="L7" s="457"/>
      <c r="O7" s="65"/>
      <c r="S7" s="49"/>
    </row>
    <row r="8" spans="1:19" s="23" customFormat="1" ht="38.15" customHeight="1" x14ac:dyDescent="0.35">
      <c r="A8" s="23">
        <v>28</v>
      </c>
      <c r="B8" s="25" t="s">
        <v>39</v>
      </c>
      <c r="C8" s="24" t="s">
        <v>58</v>
      </c>
      <c r="D8" s="18">
        <f>(G8-(K8/2)*I8^2)/I8</f>
        <v>10</v>
      </c>
      <c r="E8" s="18" t="s">
        <v>75</v>
      </c>
      <c r="F8" s="18">
        <f xml:space="preserve"> G8/I8 + K8*I8/2</f>
        <v>24</v>
      </c>
      <c r="G8" s="444">
        <v>119</v>
      </c>
      <c r="H8" s="445"/>
      <c r="I8" s="444">
        <v>7</v>
      </c>
      <c r="J8" s="445"/>
      <c r="K8" s="444">
        <v>2</v>
      </c>
      <c r="L8" s="449"/>
      <c r="N8" s="71" t="s">
        <v>97</v>
      </c>
      <c r="O8" s="65" t="s">
        <v>87</v>
      </c>
      <c r="P8" s="65" t="s">
        <v>88</v>
      </c>
      <c r="Q8" s="41">
        <f>IF(N8=$Q$3,1,0)</f>
        <v>1</v>
      </c>
      <c r="R8" s="41"/>
      <c r="S8" s="41"/>
    </row>
    <row r="9" spans="1:19" ht="38.15" customHeight="1" x14ac:dyDescent="0.35">
      <c r="A9">
        <v>26</v>
      </c>
      <c r="B9" s="19" t="s">
        <v>40</v>
      </c>
      <c r="C9" s="61" t="s">
        <v>51</v>
      </c>
      <c r="D9" s="20">
        <f>E9-K9*I9</f>
        <v>10</v>
      </c>
      <c r="E9" s="441">
        <v>24</v>
      </c>
      <c r="F9" s="442"/>
      <c r="G9" s="20" t="s">
        <v>76</v>
      </c>
      <c r="H9" s="20">
        <f>E9*I9 - K9*I9^2/2</f>
        <v>119</v>
      </c>
      <c r="I9" s="441">
        <v>7</v>
      </c>
      <c r="J9" s="442"/>
      <c r="K9" s="441">
        <v>2</v>
      </c>
      <c r="L9" s="447"/>
      <c r="N9" s="71" t="s">
        <v>97</v>
      </c>
      <c r="O9" s="65" t="s">
        <v>32</v>
      </c>
      <c r="P9" s="65" t="s">
        <v>36</v>
      </c>
      <c r="Q9" s="41">
        <f>IF(N9=$Q$3,2,0)</f>
        <v>2</v>
      </c>
      <c r="R9" s="41"/>
      <c r="S9" s="59"/>
    </row>
    <row r="10" spans="1:19" ht="38.15" customHeight="1" x14ac:dyDescent="0.35">
      <c r="A10">
        <v>22</v>
      </c>
      <c r="B10" s="19" t="s">
        <v>41</v>
      </c>
      <c r="C10" s="62" t="s">
        <v>79</v>
      </c>
      <c r="D10" s="20">
        <f>SQRT(E10^2 - 2*K10*G10)</f>
        <v>10</v>
      </c>
      <c r="E10" s="441">
        <v>24</v>
      </c>
      <c r="F10" s="442"/>
      <c r="G10" s="441">
        <v>119</v>
      </c>
      <c r="H10" s="442"/>
      <c r="I10" s="20" t="s">
        <v>77</v>
      </c>
      <c r="J10" s="20">
        <f>(E10 - SQRT(E10^2 - 2*K10*G10))/K10</f>
        <v>7</v>
      </c>
      <c r="K10" s="441">
        <v>2</v>
      </c>
      <c r="L10" s="447"/>
      <c r="N10" s="71" t="s">
        <v>97</v>
      </c>
      <c r="O10" s="65" t="s">
        <v>33</v>
      </c>
      <c r="P10" s="65" t="s">
        <v>37</v>
      </c>
      <c r="Q10" s="41">
        <f>IF(N10=$Q$3,4,0)</f>
        <v>4</v>
      </c>
      <c r="R10" s="59"/>
      <c r="S10" s="59"/>
    </row>
    <row r="11" spans="1:19" ht="38.15" customHeight="1" x14ac:dyDescent="0.35">
      <c r="A11">
        <v>14</v>
      </c>
      <c r="B11" s="19" t="s">
        <v>42</v>
      </c>
      <c r="C11" s="62" t="s">
        <v>80</v>
      </c>
      <c r="D11" s="20">
        <f>2*G11/I11 - E11</f>
        <v>10</v>
      </c>
      <c r="E11" s="441">
        <v>24</v>
      </c>
      <c r="F11" s="442"/>
      <c r="G11" s="441">
        <v>119</v>
      </c>
      <c r="H11" s="442"/>
      <c r="I11" s="441">
        <v>7</v>
      </c>
      <c r="J11" s="442"/>
      <c r="K11" s="20" t="s">
        <v>78</v>
      </c>
      <c r="L11" s="34">
        <f xml:space="preserve"> 2/I11 * (E11 - G11/I11)</f>
        <v>2</v>
      </c>
      <c r="N11" s="71" t="s">
        <v>98</v>
      </c>
      <c r="O11" s="65" t="s">
        <v>34</v>
      </c>
      <c r="P11" s="65" t="s">
        <v>19</v>
      </c>
      <c r="Q11" s="41">
        <f>IF(N11=$Q$3,8,0)</f>
        <v>0</v>
      </c>
      <c r="R11" s="59"/>
      <c r="S11" s="59"/>
    </row>
    <row r="12" spans="1:19" s="23" customFormat="1" ht="38.15" customHeight="1" x14ac:dyDescent="0.35">
      <c r="A12" s="23">
        <v>25</v>
      </c>
      <c r="B12" s="19" t="s">
        <v>43</v>
      </c>
      <c r="C12" s="446">
        <v>10</v>
      </c>
      <c r="D12" s="442"/>
      <c r="E12" s="21" t="s">
        <v>54</v>
      </c>
      <c r="F12" s="20">
        <f>K12*I12+C12</f>
        <v>24</v>
      </c>
      <c r="G12" s="22" t="s">
        <v>57</v>
      </c>
      <c r="H12" s="20">
        <f>K12/2 * I12^2 + C12*I12</f>
        <v>119</v>
      </c>
      <c r="I12" s="441">
        <v>7</v>
      </c>
      <c r="J12" s="442"/>
      <c r="K12" s="441">
        <v>2</v>
      </c>
      <c r="L12" s="447"/>
      <c r="N12" s="71" t="s">
        <v>98</v>
      </c>
      <c r="O12" s="65" t="s">
        <v>35</v>
      </c>
      <c r="P12" s="65" t="s">
        <v>59</v>
      </c>
      <c r="Q12" s="41">
        <f>IF(N12=$Q$3,16,0)</f>
        <v>0</v>
      </c>
      <c r="R12" s="59"/>
      <c r="S12" s="41">
        <f>SUM(Q8:Q12)</f>
        <v>7</v>
      </c>
    </row>
    <row r="13" spans="1:19" ht="38.15" customHeight="1" x14ac:dyDescent="0.35">
      <c r="A13">
        <v>21</v>
      </c>
      <c r="B13" s="19" t="s">
        <v>45</v>
      </c>
      <c r="C13" s="446">
        <v>10</v>
      </c>
      <c r="D13" s="442"/>
      <c r="E13" s="20" t="s">
        <v>81</v>
      </c>
      <c r="F13" s="20">
        <f>SQRT(C13^2 + 2*K13*G13)</f>
        <v>24</v>
      </c>
      <c r="G13" s="441">
        <v>119</v>
      </c>
      <c r="H13" s="442"/>
      <c r="I13" s="26" t="s">
        <v>56</v>
      </c>
      <c r="J13" s="20">
        <f xml:space="preserve"> (-C13 + SQRT(C13^2 + 2*K13*G13))/K13</f>
        <v>7</v>
      </c>
      <c r="K13" s="439">
        <v>2</v>
      </c>
      <c r="L13" s="447"/>
      <c r="O13" s="65" t="s">
        <v>90</v>
      </c>
      <c r="P13" s="66" t="s">
        <v>96</v>
      </c>
    </row>
    <row r="14" spans="1:19" ht="38.15" customHeight="1" x14ac:dyDescent="0.35">
      <c r="A14">
        <v>13</v>
      </c>
      <c r="B14" s="19" t="s">
        <v>44</v>
      </c>
      <c r="C14" s="446">
        <v>10</v>
      </c>
      <c r="D14" s="442"/>
      <c r="E14" s="20" t="s">
        <v>82</v>
      </c>
      <c r="F14" s="20">
        <f>2*G14/I14 - C14</f>
        <v>24</v>
      </c>
      <c r="G14" s="441">
        <v>119</v>
      </c>
      <c r="H14" s="442"/>
      <c r="I14" s="441">
        <v>7</v>
      </c>
      <c r="J14" s="448"/>
      <c r="K14" s="72" t="s">
        <v>55</v>
      </c>
      <c r="L14" s="34">
        <f>2*((G14-C14*I14)/I14^2)</f>
        <v>2</v>
      </c>
      <c r="O14" s="65" t="s">
        <v>91</v>
      </c>
      <c r="P14" s="66" t="s">
        <v>95</v>
      </c>
    </row>
    <row r="15" spans="1:19" ht="38.15" customHeight="1" x14ac:dyDescent="0.35">
      <c r="A15">
        <v>19</v>
      </c>
      <c r="B15" s="19" t="s">
        <v>46</v>
      </c>
      <c r="C15" s="446">
        <v>10</v>
      </c>
      <c r="D15" s="442"/>
      <c r="E15" s="441">
        <v>24</v>
      </c>
      <c r="F15" s="442"/>
      <c r="G15" s="20" t="s">
        <v>83</v>
      </c>
      <c r="H15" s="20">
        <f>(E15^2 - C15^2)/(2*K15)</f>
        <v>119</v>
      </c>
      <c r="I15" s="63" t="s">
        <v>53</v>
      </c>
      <c r="J15" s="20">
        <f>(E15-C15)/K15</f>
        <v>7</v>
      </c>
      <c r="K15" s="441">
        <v>2</v>
      </c>
      <c r="L15" s="447"/>
      <c r="O15" s="65" t="s">
        <v>92</v>
      </c>
      <c r="P15" s="66" t="s">
        <v>93</v>
      </c>
    </row>
    <row r="16" spans="1:19" ht="38.15" customHeight="1" x14ac:dyDescent="0.35">
      <c r="A16">
        <v>11</v>
      </c>
      <c r="B16" s="19" t="s">
        <v>47</v>
      </c>
      <c r="C16" s="446">
        <v>10</v>
      </c>
      <c r="D16" s="442"/>
      <c r="E16" s="441">
        <v>24</v>
      </c>
      <c r="F16" s="442"/>
      <c r="G16" s="20" t="s">
        <v>84</v>
      </c>
      <c r="H16" s="20">
        <f>(C16+E16)*I16/2</f>
        <v>119</v>
      </c>
      <c r="I16" s="441">
        <v>7</v>
      </c>
      <c r="J16" s="442"/>
      <c r="K16" s="63" t="s">
        <v>52</v>
      </c>
      <c r="L16" s="34">
        <f>(E16-C16)/I16</f>
        <v>2</v>
      </c>
      <c r="O16" s="65" t="s">
        <v>34</v>
      </c>
      <c r="P16" s="66" t="s">
        <v>19</v>
      </c>
    </row>
    <row r="17" spans="1:16" ht="38.15" customHeight="1" thickBot="1" x14ac:dyDescent="0.4">
      <c r="A17">
        <v>7</v>
      </c>
      <c r="B17" s="64" t="s">
        <v>48</v>
      </c>
      <c r="C17" s="443">
        <v>10</v>
      </c>
      <c r="D17" s="440"/>
      <c r="E17" s="439">
        <v>24</v>
      </c>
      <c r="F17" s="440"/>
      <c r="G17" s="439">
        <v>119</v>
      </c>
      <c r="H17" s="440"/>
      <c r="I17" s="68" t="s">
        <v>85</v>
      </c>
      <c r="J17" s="68">
        <f>2*G17/(C17+E17)</f>
        <v>7</v>
      </c>
      <c r="K17" s="68" t="s">
        <v>86</v>
      </c>
      <c r="L17" s="69">
        <f>(E17^2 - C17^2)/(2*G17)</f>
        <v>2</v>
      </c>
      <c r="O17" s="65" t="s">
        <v>89</v>
      </c>
      <c r="P17" s="66" t="s">
        <v>94</v>
      </c>
    </row>
    <row r="18" spans="1:16" ht="15" thickBot="1" x14ac:dyDescent="0.4">
      <c r="B18" s="67" t="s">
        <v>38</v>
      </c>
      <c r="C18" s="458" t="str">
        <f>P13</f>
        <v>ω0 [rad/s]</v>
      </c>
      <c r="D18" s="459"/>
      <c r="E18" s="460" t="str">
        <f>P14</f>
        <v>ω [rad/s]</v>
      </c>
      <c r="F18" s="459"/>
      <c r="G18" s="460" t="str">
        <f>P15</f>
        <v>φ [rad]</v>
      </c>
      <c r="H18" s="459"/>
      <c r="I18" s="460" t="str">
        <f>P16</f>
        <v>t [s]</v>
      </c>
      <c r="J18" s="459"/>
      <c r="K18" s="460" t="str">
        <f>P17</f>
        <v>α [rad/s2]</v>
      </c>
      <c r="L18" s="461"/>
    </row>
    <row r="19" spans="1:16" ht="29.15" customHeight="1" thickBot="1" x14ac:dyDescent="0.4">
      <c r="C19" s="462" t="str">
        <f>O13</f>
        <v>Anfangs-Winkelgeschwindigkeit</v>
      </c>
      <c r="D19" s="463"/>
      <c r="E19" s="464" t="str">
        <f>O14</f>
        <v>Winkelgeschwindigkeit</v>
      </c>
      <c r="F19" s="463"/>
      <c r="G19" s="464" t="str">
        <f>O15</f>
        <v>Winkel</v>
      </c>
      <c r="H19" s="463"/>
      <c r="I19" s="464" t="str">
        <f>O16</f>
        <v>Zeit</v>
      </c>
      <c r="J19" s="463"/>
      <c r="K19" s="464" t="str">
        <f>O17</f>
        <v>Winkelbeschleunigung</v>
      </c>
      <c r="L19" s="465"/>
    </row>
  </sheetData>
  <mergeCells count="50"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K8:L8"/>
    <mergeCell ref="K9:L9"/>
    <mergeCell ref="K10:L10"/>
    <mergeCell ref="K12:L12"/>
    <mergeCell ref="K13:L13"/>
    <mergeCell ref="I8:J8"/>
    <mergeCell ref="I9:J9"/>
    <mergeCell ref="I11:J11"/>
    <mergeCell ref="I12:J12"/>
    <mergeCell ref="I14:J14"/>
    <mergeCell ref="E9:F9"/>
    <mergeCell ref="E10:F10"/>
    <mergeCell ref="E11:F11"/>
    <mergeCell ref="E15:F15"/>
    <mergeCell ref="K15:L15"/>
    <mergeCell ref="C12:D12"/>
    <mergeCell ref="C13:D13"/>
    <mergeCell ref="C14:D14"/>
    <mergeCell ref="C15:D15"/>
    <mergeCell ref="C16:D16"/>
    <mergeCell ref="G8:H8"/>
    <mergeCell ref="G10:H10"/>
    <mergeCell ref="G11:H11"/>
    <mergeCell ref="G13:H13"/>
    <mergeCell ref="G14:H14"/>
    <mergeCell ref="G17:H17"/>
    <mergeCell ref="E16:F16"/>
    <mergeCell ref="E17:F17"/>
    <mergeCell ref="C17:D17"/>
    <mergeCell ref="I16:J16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3" zoomScale="115" zoomScaleNormal="115" workbookViewId="0"/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8" t="s">
        <v>855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99"/>
      <c r="I10" s="399"/>
      <c r="J10" s="399"/>
      <c r="K10" s="399"/>
      <c r="L10" s="399"/>
      <c r="M10" s="399"/>
      <c r="N10" s="399"/>
      <c r="O10" s="399"/>
      <c r="P10" s="399"/>
      <c r="Q10" s="399"/>
      <c r="R10" s="399"/>
      <c r="S10" s="399"/>
      <c r="T10" s="399"/>
      <c r="U10" s="399"/>
      <c r="V10" s="399"/>
      <c r="W10" s="399"/>
      <c r="X10" s="399"/>
      <c r="Y10" s="399"/>
      <c r="Z10" s="399"/>
      <c r="AA10" s="399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81">
        <f>G11+$G$10</f>
        <v>0.5</v>
      </c>
      <c r="I11" s="81">
        <f t="shared" ref="I11:AA11" si="0">H11+$G$10</f>
        <v>1</v>
      </c>
      <c r="J11" s="81">
        <f t="shared" si="0"/>
        <v>1.5</v>
      </c>
      <c r="K11" s="81">
        <f t="shared" si="0"/>
        <v>2</v>
      </c>
      <c r="L11" s="81">
        <f t="shared" si="0"/>
        <v>2.5</v>
      </c>
      <c r="M11" s="81">
        <f t="shared" si="0"/>
        <v>3</v>
      </c>
      <c r="N11" s="81">
        <f t="shared" si="0"/>
        <v>3.5</v>
      </c>
      <c r="O11" s="81">
        <f t="shared" si="0"/>
        <v>4</v>
      </c>
      <c r="P11" s="81">
        <f t="shared" si="0"/>
        <v>4.5</v>
      </c>
      <c r="Q11" s="81">
        <f t="shared" si="0"/>
        <v>5</v>
      </c>
      <c r="R11" s="81">
        <f t="shared" si="0"/>
        <v>5.5</v>
      </c>
      <c r="S11" s="81">
        <f t="shared" si="0"/>
        <v>6</v>
      </c>
      <c r="T11" s="81">
        <f t="shared" si="0"/>
        <v>6.5</v>
      </c>
      <c r="U11" s="81">
        <f t="shared" si="0"/>
        <v>7</v>
      </c>
      <c r="V11" s="81">
        <f t="shared" si="0"/>
        <v>7.5</v>
      </c>
      <c r="W11" s="81">
        <f t="shared" si="0"/>
        <v>8</v>
      </c>
      <c r="X11" s="81">
        <f t="shared" si="0"/>
        <v>8.5</v>
      </c>
      <c r="Y11" s="81">
        <f t="shared" si="0"/>
        <v>9</v>
      </c>
      <c r="Z11" s="81">
        <f t="shared" si="0"/>
        <v>9.5</v>
      </c>
      <c r="AA11" s="81">
        <f t="shared" si="0"/>
        <v>10</v>
      </c>
    </row>
    <row r="12" spans="2:27" ht="32" x14ac:dyDescent="0.8">
      <c r="B12" s="401" t="s">
        <v>864</v>
      </c>
      <c r="C12" s="5"/>
      <c r="D12" s="341" t="s">
        <v>861</v>
      </c>
      <c r="E12" s="341"/>
      <c r="F12" s="341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401" t="s">
        <v>865</v>
      </c>
      <c r="C13" s="5"/>
      <c r="D13" s="341" t="s">
        <v>862</v>
      </c>
      <c r="E13" s="341"/>
      <c r="F13" s="341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41"/>
      <c r="C14" s="341" t="s">
        <v>640</v>
      </c>
      <c r="D14" s="4">
        <v>36.6</v>
      </c>
      <c r="E14" s="81">
        <f>D14*1000</f>
        <v>36600</v>
      </c>
      <c r="F14" s="81" t="s">
        <v>863</v>
      </c>
      <c r="G14" s="399"/>
      <c r="H14" s="399"/>
      <c r="I14" s="399"/>
      <c r="J14" s="399"/>
      <c r="K14" s="399"/>
      <c r="L14" s="399"/>
      <c r="M14" s="399"/>
      <c r="N14" s="399"/>
      <c r="O14" s="399"/>
      <c r="P14" s="399"/>
      <c r="Q14" s="399"/>
      <c r="R14" s="399"/>
      <c r="S14" s="399"/>
      <c r="T14" s="399"/>
      <c r="U14" s="399"/>
      <c r="V14" s="399"/>
      <c r="W14" s="399"/>
      <c r="X14" s="399"/>
      <c r="Y14" s="399"/>
      <c r="Z14" s="399"/>
      <c r="AA14" s="399"/>
    </row>
    <row r="15" spans="2:27" ht="20.5" x14ac:dyDescent="0.55000000000000004">
      <c r="B15" s="341"/>
      <c r="C15" s="341" t="s">
        <v>857</v>
      </c>
      <c r="D15" s="4">
        <v>30</v>
      </c>
      <c r="E15" s="81">
        <f>D15/3.6</f>
        <v>8.3333333333333339</v>
      </c>
      <c r="F15" s="81" t="s">
        <v>23</v>
      </c>
      <c r="G15" s="399"/>
      <c r="H15" s="399"/>
      <c r="I15" s="399"/>
      <c r="J15" s="399"/>
      <c r="K15" s="399"/>
      <c r="L15" s="399"/>
      <c r="M15" s="399"/>
      <c r="N15" s="399"/>
      <c r="O15" s="399"/>
      <c r="P15" s="399"/>
      <c r="Q15" s="399"/>
      <c r="R15" s="399"/>
      <c r="S15" s="399"/>
      <c r="T15" s="399"/>
      <c r="U15" s="399"/>
      <c r="V15" s="399"/>
      <c r="W15" s="399"/>
      <c r="X15" s="399"/>
      <c r="Y15" s="399"/>
      <c r="Z15" s="399"/>
      <c r="AA15" s="399"/>
    </row>
    <row r="16" spans="2:27" ht="22" x14ac:dyDescent="0.55000000000000004">
      <c r="B16" s="341"/>
      <c r="C16" s="341" t="s">
        <v>856</v>
      </c>
      <c r="D16" s="4">
        <v>2</v>
      </c>
      <c r="E16" s="81">
        <f>D16</f>
        <v>2</v>
      </c>
      <c r="F16" s="81" t="s">
        <v>20</v>
      </c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  <c r="Z16" s="399"/>
      <c r="AA16" s="399"/>
    </row>
    <row r="17" spans="2:27" ht="18.5" x14ac:dyDescent="0.45">
      <c r="B17" s="402"/>
      <c r="C17" s="402"/>
      <c r="D17" s="399"/>
      <c r="E17" s="399"/>
      <c r="F17" s="399"/>
      <c r="G17" s="399"/>
      <c r="H17" s="399"/>
      <c r="I17" s="399"/>
      <c r="J17" s="399"/>
      <c r="K17" s="399"/>
      <c r="L17" s="399"/>
      <c r="M17" s="399"/>
      <c r="N17" s="399"/>
      <c r="O17" s="399"/>
      <c r="P17" s="399"/>
      <c r="Q17" s="399"/>
      <c r="R17" s="399"/>
      <c r="S17" s="399"/>
      <c r="T17" s="399"/>
      <c r="U17" s="399"/>
      <c r="V17" s="399"/>
      <c r="W17" s="399"/>
      <c r="X17" s="399"/>
      <c r="Y17" s="399"/>
      <c r="Z17" s="399"/>
      <c r="AA17" s="399"/>
    </row>
    <row r="18" spans="2:27" ht="30" x14ac:dyDescent="0.8">
      <c r="B18" s="400" t="s">
        <v>858</v>
      </c>
      <c r="C18" s="341" t="s">
        <v>641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42"/>
      <c r="C19" s="341" t="s">
        <v>642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41"/>
      <c r="C20" s="341" t="s">
        <v>859</v>
      </c>
      <c r="D20" s="4"/>
      <c r="E20" s="4"/>
      <c r="F20" s="4"/>
      <c r="G20" s="399"/>
      <c r="H20" s="399"/>
      <c r="I20" s="399"/>
      <c r="J20" s="399"/>
      <c r="K20" s="399"/>
      <c r="L20" s="399"/>
      <c r="M20" s="399"/>
      <c r="N20" s="399"/>
      <c r="O20" s="399"/>
      <c r="P20" s="399"/>
      <c r="Q20" s="399"/>
      <c r="R20" s="399"/>
      <c r="S20" s="399"/>
      <c r="T20" s="399"/>
      <c r="U20" s="399"/>
      <c r="V20" s="399"/>
      <c r="W20" s="399"/>
      <c r="X20" s="399"/>
      <c r="Y20" s="399"/>
      <c r="Z20" s="399"/>
      <c r="AA20" s="399"/>
    </row>
    <row r="21" spans="2:27" ht="20.5" x14ac:dyDescent="0.55000000000000004">
      <c r="B21" s="341"/>
      <c r="C21" s="341" t="s">
        <v>860</v>
      </c>
      <c r="D21" s="4"/>
      <c r="E21" s="4"/>
      <c r="F21" s="4"/>
      <c r="G21" s="399"/>
      <c r="H21" s="399"/>
      <c r="I21" s="399"/>
      <c r="J21" s="399"/>
      <c r="K21" s="399"/>
      <c r="L21" s="399"/>
      <c r="M21" s="399"/>
      <c r="N21" s="399"/>
      <c r="O21" s="399"/>
      <c r="P21" s="399"/>
      <c r="Q21" s="399"/>
      <c r="R21" s="399"/>
      <c r="S21" s="399"/>
      <c r="T21" s="399"/>
      <c r="U21" s="399"/>
      <c r="V21" s="399"/>
      <c r="W21" s="399"/>
      <c r="X21" s="399"/>
      <c r="Y21" s="399"/>
      <c r="Z21" s="399"/>
      <c r="AA21" s="399"/>
    </row>
    <row r="23" spans="2:27" ht="18.5" x14ac:dyDescent="0.45">
      <c r="C23" s="343" t="e">
        <f>IF(D18*#REF!&lt;0,"Auf einander zufahren","Einander nachfahren")</f>
        <v>#REF!</v>
      </c>
    </row>
    <row r="44" spans="2:10" ht="21" x14ac:dyDescent="0.5">
      <c r="B44" s="347" t="s">
        <v>649</v>
      </c>
      <c r="C44" s="96"/>
      <c r="D44" s="96"/>
      <c r="E44" s="403"/>
      <c r="F44" s="403"/>
      <c r="H44" t="s">
        <v>650</v>
      </c>
    </row>
    <row r="45" spans="2:10" ht="16.5" x14ac:dyDescent="0.45">
      <c r="B45" s="8" t="s">
        <v>645</v>
      </c>
      <c r="C45" s="5" t="e">
        <f>(D21-D14)/(#REF!-D18)</f>
        <v>#REF!</v>
      </c>
      <c r="D45" s="5" t="s">
        <v>646</v>
      </c>
      <c r="G45" s="344"/>
      <c r="H45" t="s">
        <v>651</v>
      </c>
      <c r="I45">
        <v>0</v>
      </c>
      <c r="J45" t="e">
        <f>C45</f>
        <v>#REF!</v>
      </c>
    </row>
    <row r="46" spans="2:10" x14ac:dyDescent="0.35">
      <c r="B46" s="8"/>
      <c r="C46" s="345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6"/>
      <c r="C47" s="340"/>
      <c r="D47" s="340"/>
      <c r="E47" s="404"/>
      <c r="F47" s="404"/>
    </row>
    <row r="48" spans="2:10" ht="16.5" x14ac:dyDescent="0.45">
      <c r="B48" s="8" t="s">
        <v>647</v>
      </c>
      <c r="C48" s="5" t="e">
        <f>#REF!*C45+D14</f>
        <v>#REF!</v>
      </c>
      <c r="D48" s="5" t="s">
        <v>648</v>
      </c>
      <c r="H48" t="s">
        <v>652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647</v>
      </c>
      <c r="C49" s="5" t="e">
        <f>D18*C45+D21</f>
        <v>#REF!</v>
      </c>
      <c r="D49" s="5" t="s">
        <v>648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33" t="s">
        <v>61</v>
      </c>
    </row>
    <row r="4" spans="3:54" x14ac:dyDescent="0.35">
      <c r="U4" s="5"/>
      <c r="V4" s="5" t="s">
        <v>69</v>
      </c>
      <c r="W4" s="5"/>
      <c r="X4" s="5"/>
      <c r="Y4" s="5"/>
      <c r="Z4" s="5"/>
      <c r="AA4" s="5"/>
    </row>
    <row r="5" spans="3:54" x14ac:dyDescent="0.35">
      <c r="U5" s="5"/>
      <c r="V5" s="8" t="s">
        <v>73</v>
      </c>
      <c r="W5" s="247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72</v>
      </c>
      <c r="W6" s="247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308</v>
      </c>
      <c r="N7" t="s">
        <v>310</v>
      </c>
      <c r="U7" s="432" t="s">
        <v>74</v>
      </c>
      <c r="V7" s="432"/>
      <c r="W7" s="247">
        <f>IF(ABS(W5)&gt;ABS(W6),W5,W6)</f>
        <v>0.76604444311897812</v>
      </c>
      <c r="X7" s="5"/>
      <c r="Y7" s="5"/>
      <c r="Z7" s="5"/>
      <c r="AA7" s="5"/>
      <c r="AL7" s="5" t="s">
        <v>65</v>
      </c>
    </row>
    <row r="8" spans="3:54" ht="16" customHeight="1" x14ac:dyDescent="0.35">
      <c r="M8" s="122" t="s">
        <v>308</v>
      </c>
      <c r="N8" t="s">
        <v>309</v>
      </c>
      <c r="U8" s="1"/>
      <c r="V8" s="28"/>
      <c r="AL8" s="5" t="s">
        <v>66</v>
      </c>
    </row>
    <row r="9" spans="3:54" x14ac:dyDescent="0.35">
      <c r="M9" s="122" t="s">
        <v>312</v>
      </c>
      <c r="N9" t="s">
        <v>311</v>
      </c>
    </row>
    <row r="11" spans="3:54" ht="21" x14ac:dyDescent="0.35">
      <c r="C11" s="466"/>
      <c r="D11" s="466"/>
      <c r="E11" s="466"/>
      <c r="F11" s="466"/>
      <c r="G11" s="466"/>
      <c r="H11" s="466"/>
      <c r="I11" s="466"/>
      <c r="J11" s="36"/>
      <c r="K11" s="36"/>
      <c r="O11" s="32" t="s">
        <v>8</v>
      </c>
      <c r="P11" s="35">
        <v>10</v>
      </c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9"/>
      <c r="AW11" s="59"/>
      <c r="AX11" s="59"/>
      <c r="AY11" s="59"/>
      <c r="AZ11" s="59"/>
      <c r="BA11" s="59"/>
      <c r="BB11" s="59"/>
    </row>
    <row r="12" spans="3:54" s="23" customFormat="1" ht="21" x14ac:dyDescent="0.35">
      <c r="C12" s="467" t="s">
        <v>442</v>
      </c>
      <c r="D12" s="467"/>
      <c r="E12" s="467"/>
      <c r="F12" s="467"/>
      <c r="G12" s="467"/>
      <c r="H12" s="467"/>
      <c r="I12" s="467"/>
      <c r="J12" s="36"/>
      <c r="K12" s="36"/>
      <c r="M12" s="46" t="s">
        <v>436</v>
      </c>
      <c r="N12" s="27">
        <v>50</v>
      </c>
      <c r="O12" s="468" t="s">
        <v>64</v>
      </c>
      <c r="P12" s="27">
        <v>0</v>
      </c>
      <c r="Q12" s="60">
        <f>P12+$P$11</f>
        <v>10</v>
      </c>
      <c r="R12" s="60">
        <f t="shared" ref="R12:BB12" si="0">Q12+$P$11</f>
        <v>20</v>
      </c>
      <c r="S12" s="60">
        <f t="shared" si="0"/>
        <v>30</v>
      </c>
      <c r="T12" s="60">
        <f t="shared" si="0"/>
        <v>40</v>
      </c>
      <c r="U12" s="60">
        <f t="shared" si="0"/>
        <v>50</v>
      </c>
      <c r="V12" s="60">
        <f t="shared" si="0"/>
        <v>60</v>
      </c>
      <c r="W12" s="60">
        <f t="shared" si="0"/>
        <v>70</v>
      </c>
      <c r="X12" s="60">
        <f t="shared" si="0"/>
        <v>80</v>
      </c>
      <c r="Y12" s="60">
        <f t="shared" si="0"/>
        <v>90</v>
      </c>
      <c r="Z12" s="60">
        <f t="shared" si="0"/>
        <v>100</v>
      </c>
      <c r="AA12" s="60">
        <f t="shared" si="0"/>
        <v>110</v>
      </c>
      <c r="AB12" s="60">
        <f t="shared" si="0"/>
        <v>120</v>
      </c>
      <c r="AC12" s="60">
        <f t="shared" si="0"/>
        <v>130</v>
      </c>
      <c r="AD12" s="60">
        <f t="shared" si="0"/>
        <v>140</v>
      </c>
      <c r="AE12" s="60">
        <f t="shared" si="0"/>
        <v>150</v>
      </c>
      <c r="AF12" s="60">
        <f t="shared" si="0"/>
        <v>160</v>
      </c>
      <c r="AG12" s="60">
        <f t="shared" si="0"/>
        <v>170</v>
      </c>
      <c r="AH12" s="60">
        <f t="shared" si="0"/>
        <v>180</v>
      </c>
      <c r="AI12" s="60">
        <f t="shared" si="0"/>
        <v>190</v>
      </c>
      <c r="AJ12" s="60">
        <f t="shared" si="0"/>
        <v>200</v>
      </c>
      <c r="AK12" s="60">
        <f t="shared" si="0"/>
        <v>210</v>
      </c>
      <c r="AL12" s="60">
        <f t="shared" si="0"/>
        <v>220</v>
      </c>
      <c r="AM12" s="60">
        <f t="shared" si="0"/>
        <v>230</v>
      </c>
      <c r="AN12" s="60">
        <f t="shared" si="0"/>
        <v>240</v>
      </c>
      <c r="AO12" s="60">
        <f t="shared" si="0"/>
        <v>250</v>
      </c>
      <c r="AP12" s="60">
        <f t="shared" si="0"/>
        <v>260</v>
      </c>
      <c r="AQ12" s="60">
        <f t="shared" si="0"/>
        <v>270</v>
      </c>
      <c r="AR12" s="60">
        <f t="shared" si="0"/>
        <v>280</v>
      </c>
      <c r="AS12" s="60">
        <f t="shared" si="0"/>
        <v>290</v>
      </c>
      <c r="AT12" s="60">
        <f t="shared" si="0"/>
        <v>300</v>
      </c>
      <c r="AU12" s="60">
        <f t="shared" si="0"/>
        <v>310</v>
      </c>
      <c r="AV12" s="60">
        <f t="shared" si="0"/>
        <v>320</v>
      </c>
      <c r="AW12" s="60">
        <f t="shared" si="0"/>
        <v>330</v>
      </c>
      <c r="AX12" s="60">
        <f t="shared" si="0"/>
        <v>340</v>
      </c>
      <c r="AY12" s="60">
        <f t="shared" si="0"/>
        <v>350</v>
      </c>
      <c r="AZ12" s="60">
        <f t="shared" si="0"/>
        <v>360</v>
      </c>
      <c r="BA12" s="60">
        <f t="shared" si="0"/>
        <v>370</v>
      </c>
      <c r="BB12" s="60">
        <f t="shared" si="0"/>
        <v>380</v>
      </c>
    </row>
    <row r="13" spans="3:54" s="23" customFormat="1" ht="43.5" x14ac:dyDescent="0.35">
      <c r="C13" s="48" t="s">
        <v>67</v>
      </c>
      <c r="D13" s="48" t="s">
        <v>313</v>
      </c>
      <c r="E13" s="48" t="s">
        <v>440</v>
      </c>
      <c r="F13" s="48" t="s">
        <v>435</v>
      </c>
      <c r="G13" s="48" t="s">
        <v>438</v>
      </c>
      <c r="H13" s="48" t="s">
        <v>314</v>
      </c>
      <c r="I13" s="48" t="s">
        <v>315</v>
      </c>
      <c r="J13" s="49"/>
      <c r="K13" s="49"/>
      <c r="M13" s="57" t="s">
        <v>437</v>
      </c>
      <c r="N13" s="51">
        <f>PI()*N12/180</f>
        <v>0.87266462599716477</v>
      </c>
      <c r="O13" s="469"/>
      <c r="P13" s="50">
        <f>PI()*P12/180</f>
        <v>0</v>
      </c>
      <c r="Q13" s="50">
        <f t="shared" ref="Q13:BB13" si="1">PI()*Q12/180</f>
        <v>0.17453292519943295</v>
      </c>
      <c r="R13" s="50">
        <f t="shared" si="1"/>
        <v>0.3490658503988659</v>
      </c>
      <c r="S13" s="50">
        <f t="shared" si="1"/>
        <v>0.52359877559829882</v>
      </c>
      <c r="T13" s="50">
        <f t="shared" si="1"/>
        <v>0.69813170079773179</v>
      </c>
      <c r="U13" s="50">
        <f t="shared" si="1"/>
        <v>0.87266462599716477</v>
      </c>
      <c r="V13" s="50">
        <f t="shared" si="1"/>
        <v>1.0471975511965976</v>
      </c>
      <c r="W13" s="50">
        <f t="shared" si="1"/>
        <v>1.2217304763960306</v>
      </c>
      <c r="X13" s="50">
        <f t="shared" si="1"/>
        <v>1.3962634015954636</v>
      </c>
      <c r="Y13" s="50">
        <f t="shared" si="1"/>
        <v>1.5707963267948966</v>
      </c>
      <c r="Z13" s="50">
        <f t="shared" si="1"/>
        <v>1.7453292519943295</v>
      </c>
      <c r="AA13" s="50">
        <f t="shared" si="1"/>
        <v>1.9198621771937625</v>
      </c>
      <c r="AB13" s="50">
        <f t="shared" si="1"/>
        <v>2.0943951023931953</v>
      </c>
      <c r="AC13" s="50">
        <f t="shared" si="1"/>
        <v>2.2689280275926285</v>
      </c>
      <c r="AD13" s="50">
        <f t="shared" si="1"/>
        <v>2.4434609527920612</v>
      </c>
      <c r="AE13" s="50">
        <f t="shared" si="1"/>
        <v>2.6179938779914944</v>
      </c>
      <c r="AF13" s="50">
        <f t="shared" si="1"/>
        <v>2.7925268031909272</v>
      </c>
      <c r="AG13" s="50">
        <f t="shared" si="1"/>
        <v>2.9670597283903604</v>
      </c>
      <c r="AH13" s="50">
        <f t="shared" si="1"/>
        <v>3.1415926535897931</v>
      </c>
      <c r="AI13" s="50">
        <f t="shared" si="1"/>
        <v>3.3161255787892263</v>
      </c>
      <c r="AJ13" s="50">
        <f t="shared" si="1"/>
        <v>3.4906585039886591</v>
      </c>
      <c r="AK13" s="50">
        <f t="shared" si="1"/>
        <v>3.6651914291880923</v>
      </c>
      <c r="AL13" s="50">
        <f t="shared" si="1"/>
        <v>3.839724354387525</v>
      </c>
      <c r="AM13" s="50">
        <f t="shared" si="1"/>
        <v>4.0142572795869578</v>
      </c>
      <c r="AN13" s="50">
        <f t="shared" si="1"/>
        <v>4.1887902047863905</v>
      </c>
      <c r="AO13" s="50">
        <f t="shared" si="1"/>
        <v>4.3633231299858233</v>
      </c>
      <c r="AP13" s="50">
        <f t="shared" si="1"/>
        <v>4.5378560551852569</v>
      </c>
      <c r="AQ13" s="50">
        <f t="shared" si="1"/>
        <v>4.7123889803846897</v>
      </c>
      <c r="AR13" s="50">
        <f t="shared" si="1"/>
        <v>4.8869219055841224</v>
      </c>
      <c r="AS13" s="50">
        <f t="shared" si="1"/>
        <v>5.0614548307835552</v>
      </c>
      <c r="AT13" s="50">
        <f t="shared" si="1"/>
        <v>5.2359877559829888</v>
      </c>
      <c r="AU13" s="50">
        <f t="shared" si="1"/>
        <v>5.4105206811824216</v>
      </c>
      <c r="AV13" s="50">
        <f t="shared" si="1"/>
        <v>5.5850536063818543</v>
      </c>
      <c r="AW13" s="50">
        <f t="shared" si="1"/>
        <v>5.7595865315812871</v>
      </c>
      <c r="AX13" s="50">
        <f t="shared" si="1"/>
        <v>5.9341194567807207</v>
      </c>
      <c r="AY13" s="50">
        <f t="shared" si="1"/>
        <v>6.1086523819801526</v>
      </c>
      <c r="AZ13" s="50">
        <f t="shared" si="1"/>
        <v>6.2831853071795862</v>
      </c>
      <c r="BA13" s="50">
        <f t="shared" si="1"/>
        <v>6.457718232379019</v>
      </c>
      <c r="BB13" s="50">
        <f t="shared" si="1"/>
        <v>6.6322511575784526</v>
      </c>
    </row>
    <row r="14" spans="3:54" s="23" customFormat="1" x14ac:dyDescent="0.35">
      <c r="C14" s="48"/>
      <c r="D14" s="48"/>
      <c r="E14" s="48"/>
      <c r="F14" s="48"/>
      <c r="G14" s="48"/>
      <c r="H14" s="48"/>
      <c r="I14" s="48"/>
      <c r="J14" s="49"/>
      <c r="K14" s="49"/>
      <c r="M14" s="57" t="s">
        <v>441</v>
      </c>
      <c r="N14" s="236">
        <f>$F$19 * N12 / 360</f>
        <v>2.7777777777777779E-3</v>
      </c>
      <c r="O14" s="470"/>
      <c r="P14" s="235">
        <f>$F$19 * P12 / 360</f>
        <v>0</v>
      </c>
      <c r="Q14" s="235">
        <f t="shared" ref="Q14:BB14" si="2">$F$19 * Q12 / 360</f>
        <v>5.5555555555555556E-4</v>
      </c>
      <c r="R14" s="235">
        <f t="shared" si="2"/>
        <v>1.1111111111111111E-3</v>
      </c>
      <c r="S14" s="235">
        <f t="shared" si="2"/>
        <v>1.6666666666666666E-3</v>
      </c>
      <c r="T14" s="235">
        <f t="shared" si="2"/>
        <v>2.2222222222222222E-3</v>
      </c>
      <c r="U14" s="235">
        <f t="shared" si="2"/>
        <v>2.7777777777777779E-3</v>
      </c>
      <c r="V14" s="235">
        <f t="shared" si="2"/>
        <v>3.3333333333333331E-3</v>
      </c>
      <c r="W14" s="235">
        <f t="shared" si="2"/>
        <v>3.8888888888888892E-3</v>
      </c>
      <c r="X14" s="235">
        <f t="shared" si="2"/>
        <v>4.4444444444444444E-3</v>
      </c>
      <c r="Y14" s="235">
        <f t="shared" si="2"/>
        <v>5.0000000000000001E-3</v>
      </c>
      <c r="Z14" s="235">
        <f t="shared" si="2"/>
        <v>5.5555555555555558E-3</v>
      </c>
      <c r="AA14" s="235">
        <f t="shared" si="2"/>
        <v>6.1111111111111114E-3</v>
      </c>
      <c r="AB14" s="235">
        <f t="shared" si="2"/>
        <v>6.6666666666666662E-3</v>
      </c>
      <c r="AC14" s="235">
        <f t="shared" si="2"/>
        <v>7.2222222222222228E-3</v>
      </c>
      <c r="AD14" s="235">
        <f t="shared" si="2"/>
        <v>7.7777777777777784E-3</v>
      </c>
      <c r="AE14" s="235">
        <f t="shared" si="2"/>
        <v>8.3333333333333332E-3</v>
      </c>
      <c r="AF14" s="235">
        <f t="shared" si="2"/>
        <v>8.8888888888888889E-3</v>
      </c>
      <c r="AG14" s="235">
        <f t="shared" si="2"/>
        <v>9.4444444444444445E-3</v>
      </c>
      <c r="AH14" s="235">
        <f t="shared" si="2"/>
        <v>0.01</v>
      </c>
      <c r="AI14" s="235">
        <f t="shared" si="2"/>
        <v>1.0555555555555556E-2</v>
      </c>
      <c r="AJ14" s="235">
        <f t="shared" si="2"/>
        <v>1.1111111111111112E-2</v>
      </c>
      <c r="AK14" s="235">
        <f t="shared" si="2"/>
        <v>1.1666666666666667E-2</v>
      </c>
      <c r="AL14" s="235">
        <f t="shared" si="2"/>
        <v>1.2222222222222223E-2</v>
      </c>
      <c r="AM14" s="235">
        <f t="shared" si="2"/>
        <v>1.2777777777777779E-2</v>
      </c>
      <c r="AN14" s="235">
        <f t="shared" si="2"/>
        <v>1.3333333333333332E-2</v>
      </c>
      <c r="AO14" s="235">
        <f t="shared" si="2"/>
        <v>1.3888888888888888E-2</v>
      </c>
      <c r="AP14" s="235">
        <f t="shared" si="2"/>
        <v>1.4444444444444446E-2</v>
      </c>
      <c r="AQ14" s="235">
        <f t="shared" si="2"/>
        <v>1.5000000000000001E-2</v>
      </c>
      <c r="AR14" s="235">
        <f t="shared" si="2"/>
        <v>1.5555555555555557E-2</v>
      </c>
      <c r="AS14" s="235">
        <f t="shared" si="2"/>
        <v>1.6111111111111111E-2</v>
      </c>
      <c r="AT14" s="235">
        <f t="shared" si="2"/>
        <v>1.6666666666666666E-2</v>
      </c>
      <c r="AU14" s="235">
        <f t="shared" si="2"/>
        <v>1.7222222222222222E-2</v>
      </c>
      <c r="AV14" s="235">
        <f t="shared" si="2"/>
        <v>1.7777777777777778E-2</v>
      </c>
      <c r="AW14" s="235">
        <f t="shared" si="2"/>
        <v>1.8333333333333333E-2</v>
      </c>
      <c r="AX14" s="235">
        <f t="shared" si="2"/>
        <v>1.8888888888888889E-2</v>
      </c>
      <c r="AY14" s="235">
        <f t="shared" si="2"/>
        <v>1.9444444444444445E-2</v>
      </c>
      <c r="AZ14" s="235">
        <f t="shared" si="2"/>
        <v>0.02</v>
      </c>
      <c r="BA14" s="235">
        <f t="shared" si="2"/>
        <v>2.0555555555555556E-2</v>
      </c>
      <c r="BB14" s="235">
        <f t="shared" si="2"/>
        <v>2.1111111111111112E-2</v>
      </c>
    </row>
    <row r="15" spans="3:54" x14ac:dyDescent="0.35">
      <c r="C15" s="31">
        <v>1</v>
      </c>
      <c r="D15" s="31">
        <v>50</v>
      </c>
      <c r="E15" s="237">
        <f>D15/$D$19</f>
        <v>1</v>
      </c>
      <c r="F15" s="237">
        <f>1/D15</f>
        <v>0.02</v>
      </c>
      <c r="G15" s="237">
        <f>2*PI()*D15</f>
        <v>314.15926535897933</v>
      </c>
      <c r="H15" s="31">
        <v>0</v>
      </c>
      <c r="I15" s="240">
        <f>PI()*H15/180</f>
        <v>0</v>
      </c>
      <c r="J15" s="45"/>
      <c r="K15" s="45"/>
      <c r="M15" s="52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42">
        <f>IF($O$15=$AL$7,$C$15*SIN($G$15*N14 + $E$15*$I$15),"")</f>
        <v>0.76604444311897812</v>
      </c>
      <c r="O15" s="37" t="s">
        <v>65</v>
      </c>
      <c r="P15" s="43">
        <f>IF($O$15=$AL$7,$C$15*SIN($G$15*P14 + $E$15*$I$15),"")</f>
        <v>0</v>
      </c>
      <c r="Q15" s="43">
        <f t="shared" ref="Q15:BB15" si="3">IF($O$15=$AL$7,$C$15*SIN($G$15*Q14 + $E$15*$I$15),"")</f>
        <v>0.17364817766693033</v>
      </c>
      <c r="R15" s="43">
        <f t="shared" si="3"/>
        <v>0.34202014332566871</v>
      </c>
      <c r="S15" s="43">
        <f t="shared" si="3"/>
        <v>0.49999999999999994</v>
      </c>
      <c r="T15" s="43">
        <f t="shared" si="3"/>
        <v>0.64278760968653925</v>
      </c>
      <c r="U15" s="43">
        <f t="shared" si="3"/>
        <v>0.76604444311897812</v>
      </c>
      <c r="V15" s="43">
        <f t="shared" si="3"/>
        <v>0.8660254037844386</v>
      </c>
      <c r="W15" s="43">
        <f t="shared" si="3"/>
        <v>0.93969262078590843</v>
      </c>
      <c r="X15" s="43">
        <f t="shared" si="3"/>
        <v>0.98480775301220802</v>
      </c>
      <c r="Y15" s="43">
        <f t="shared" si="3"/>
        <v>1</v>
      </c>
      <c r="Z15" s="43">
        <f t="shared" si="3"/>
        <v>0.98480775301220802</v>
      </c>
      <c r="AA15" s="43">
        <f t="shared" si="3"/>
        <v>0.93969262078590832</v>
      </c>
      <c r="AB15" s="43">
        <f t="shared" si="3"/>
        <v>0.86602540378443871</v>
      </c>
      <c r="AC15" s="43">
        <f t="shared" si="3"/>
        <v>0.76604444311897801</v>
      </c>
      <c r="AD15" s="43">
        <f t="shared" si="3"/>
        <v>0.64278760968653914</v>
      </c>
      <c r="AE15" s="43">
        <f t="shared" si="3"/>
        <v>0.49999999999999994</v>
      </c>
      <c r="AF15" s="43">
        <f t="shared" si="3"/>
        <v>0.34202014332566888</v>
      </c>
      <c r="AG15" s="43">
        <f t="shared" si="3"/>
        <v>0.17364817766693028</v>
      </c>
      <c r="AH15" s="43">
        <f t="shared" si="3"/>
        <v>1.22514845490862E-16</v>
      </c>
      <c r="AI15" s="43">
        <f t="shared" si="3"/>
        <v>-0.17364817766693047</v>
      </c>
      <c r="AJ15" s="43">
        <f t="shared" si="3"/>
        <v>-0.34202014332566905</v>
      </c>
      <c r="AK15" s="43">
        <f t="shared" si="3"/>
        <v>-0.50000000000000011</v>
      </c>
      <c r="AL15" s="43">
        <f t="shared" si="3"/>
        <v>-0.64278760968653958</v>
      </c>
      <c r="AM15" s="43">
        <f t="shared" si="3"/>
        <v>-0.76604444311897846</v>
      </c>
      <c r="AN15" s="43">
        <f t="shared" si="3"/>
        <v>-0.86602540378443837</v>
      </c>
      <c r="AO15" s="43">
        <f t="shared" si="3"/>
        <v>-0.93969262078590843</v>
      </c>
      <c r="AP15" s="43">
        <f t="shared" si="3"/>
        <v>-0.98480775301220802</v>
      </c>
      <c r="AQ15" s="43">
        <f t="shared" si="3"/>
        <v>-1</v>
      </c>
      <c r="AR15" s="43">
        <f t="shared" si="3"/>
        <v>-0.98480775301220802</v>
      </c>
      <c r="AS15" s="43">
        <f t="shared" si="3"/>
        <v>-0.93969262078590832</v>
      </c>
      <c r="AT15" s="43">
        <f t="shared" si="3"/>
        <v>-0.8660254037844386</v>
      </c>
      <c r="AU15" s="43">
        <f t="shared" si="3"/>
        <v>-0.76604444311897812</v>
      </c>
      <c r="AV15" s="43">
        <f t="shared" si="3"/>
        <v>-0.64278760968653958</v>
      </c>
      <c r="AW15" s="43">
        <f t="shared" si="3"/>
        <v>-0.49999999999999967</v>
      </c>
      <c r="AX15" s="43">
        <f t="shared" si="3"/>
        <v>-0.3420201433256686</v>
      </c>
      <c r="AY15" s="43">
        <f t="shared" si="3"/>
        <v>-0.17364817766693039</v>
      </c>
      <c r="AZ15" s="43">
        <f t="shared" si="3"/>
        <v>-2.45029690981724E-16</v>
      </c>
      <c r="BA15" s="43">
        <f t="shared" si="3"/>
        <v>0.17364817766693078</v>
      </c>
      <c r="BB15" s="43">
        <f t="shared" si="3"/>
        <v>0.34202014332566893</v>
      </c>
    </row>
    <row r="16" spans="3:54" x14ac:dyDescent="0.35">
      <c r="C16" s="31">
        <f>1/3</f>
        <v>0.33333333333333331</v>
      </c>
      <c r="D16" s="31">
        <f>3*D15</f>
        <v>150</v>
      </c>
      <c r="E16" s="237">
        <f>D16/$D$19</f>
        <v>3</v>
      </c>
      <c r="F16" s="237">
        <f>1/D16</f>
        <v>6.6666666666666671E-3</v>
      </c>
      <c r="G16" s="237">
        <f>2*PI()*D16</f>
        <v>942.47779607693792</v>
      </c>
      <c r="H16" s="31">
        <v>0</v>
      </c>
      <c r="I16" s="240">
        <f>PI()*H16/180</f>
        <v>0</v>
      </c>
      <c r="J16" s="45"/>
      <c r="K16" s="45"/>
      <c r="M16" s="53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43">
        <f>IF($O$16=$AL$7,$C$16*SIN($G$16*N14 + $E$16*$I$16),"")</f>
        <v>0.16666666666666663</v>
      </c>
      <c r="O16" s="38" t="s">
        <v>65</v>
      </c>
      <c r="P16" s="43">
        <f>IF($O$16=$AL$7,$C$16*SIN($G$16*P14 + $E$16*$I$16),"")</f>
        <v>0</v>
      </c>
      <c r="Q16" s="43">
        <f t="shared" ref="Q16:BB16" si="4">IF($O$16=$AL$7,$C$16*SIN($G$16*Q14 + $E$16*$I$16),"")</f>
        <v>0.16666666666666663</v>
      </c>
      <c r="R16" s="43">
        <f t="shared" si="4"/>
        <v>0.28867513459481287</v>
      </c>
      <c r="S16" s="43">
        <f t="shared" si="4"/>
        <v>0.33333333333333331</v>
      </c>
      <c r="T16" s="43">
        <f t="shared" si="4"/>
        <v>0.28867513459481287</v>
      </c>
      <c r="U16" s="43">
        <f t="shared" si="4"/>
        <v>0.16666666666666663</v>
      </c>
      <c r="V16" s="43">
        <f t="shared" si="4"/>
        <v>1.8886801844697487E-16</v>
      </c>
      <c r="W16" s="43">
        <f t="shared" si="4"/>
        <v>-0.16666666666666669</v>
      </c>
      <c r="X16" s="43">
        <f t="shared" si="4"/>
        <v>-0.28867513459481275</v>
      </c>
      <c r="Y16" s="43">
        <f t="shared" si="4"/>
        <v>-0.33333333333333331</v>
      </c>
      <c r="Z16" s="43">
        <f t="shared" si="4"/>
        <v>-0.28867513459481287</v>
      </c>
      <c r="AA16" s="43">
        <f t="shared" si="4"/>
        <v>-0.16666666666666655</v>
      </c>
      <c r="AB16" s="43">
        <f t="shared" si="4"/>
        <v>-3.7773603689394974E-16</v>
      </c>
      <c r="AC16" s="43">
        <f t="shared" si="4"/>
        <v>0.16666666666666666</v>
      </c>
      <c r="AD16" s="43">
        <f t="shared" si="4"/>
        <v>0.28867513459481292</v>
      </c>
      <c r="AE16" s="43">
        <f t="shared" si="4"/>
        <v>0.33333333333333331</v>
      </c>
      <c r="AF16" s="43">
        <f t="shared" si="4"/>
        <v>0.28867513459481303</v>
      </c>
      <c r="AG16" s="43">
        <f t="shared" si="4"/>
        <v>0.16666666666666657</v>
      </c>
      <c r="AH16" s="43">
        <f t="shared" si="4"/>
        <v>1.22514845490862E-16</v>
      </c>
      <c r="AI16" s="43">
        <f t="shared" si="4"/>
        <v>-0.16666666666666638</v>
      </c>
      <c r="AJ16" s="43">
        <f t="shared" si="4"/>
        <v>-0.28867513459481287</v>
      </c>
      <c r="AK16" s="43">
        <f t="shared" si="4"/>
        <v>-0.33333333333333331</v>
      </c>
      <c r="AL16" s="43">
        <f t="shared" si="4"/>
        <v>-0.28867513459481275</v>
      </c>
      <c r="AM16" s="43">
        <f t="shared" si="4"/>
        <v>-0.16666666666666663</v>
      </c>
      <c r="AN16" s="43">
        <f t="shared" si="4"/>
        <v>-7.5547207378789949E-16</v>
      </c>
      <c r="AO16" s="43">
        <f t="shared" si="4"/>
        <v>0.16666666666666635</v>
      </c>
      <c r="AP16" s="43">
        <f t="shared" si="4"/>
        <v>0.28867513459481287</v>
      </c>
      <c r="AQ16" s="43">
        <f t="shared" si="4"/>
        <v>0.33333333333333331</v>
      </c>
      <c r="AR16" s="43">
        <f t="shared" si="4"/>
        <v>0.28867513459481275</v>
      </c>
      <c r="AS16" s="43">
        <f t="shared" si="4"/>
        <v>0.16666666666666718</v>
      </c>
      <c r="AT16" s="43">
        <f t="shared" si="4"/>
        <v>2.0419140915143666E-16</v>
      </c>
      <c r="AU16" s="43">
        <f t="shared" si="4"/>
        <v>-0.1666666666666663</v>
      </c>
      <c r="AV16" s="43">
        <f t="shared" si="4"/>
        <v>-0.28867513459481253</v>
      </c>
      <c r="AW16" s="43">
        <f t="shared" si="4"/>
        <v>-0.33333333333333331</v>
      </c>
      <c r="AX16" s="43">
        <f t="shared" si="4"/>
        <v>-0.28867513459481275</v>
      </c>
      <c r="AY16" s="43">
        <f t="shared" si="4"/>
        <v>-0.16666666666666669</v>
      </c>
      <c r="AZ16" s="43">
        <f t="shared" si="4"/>
        <v>-2.45029690981724E-16</v>
      </c>
      <c r="BA16" s="43">
        <f t="shared" si="4"/>
        <v>0.16666666666666627</v>
      </c>
      <c r="BB16" s="43">
        <f t="shared" si="4"/>
        <v>0.28867513459481253</v>
      </c>
    </row>
    <row r="17" spans="3:54" x14ac:dyDescent="0.35">
      <c r="C17" s="31">
        <f>1/5</f>
        <v>0.2</v>
      </c>
      <c r="D17" s="31">
        <f>5*D15</f>
        <v>250</v>
      </c>
      <c r="E17" s="237">
        <f>D17/$D$19</f>
        <v>5</v>
      </c>
      <c r="F17" s="237">
        <f>1/D17</f>
        <v>4.0000000000000001E-3</v>
      </c>
      <c r="G17" s="237">
        <f>2*PI()*D17</f>
        <v>1570.7963267948965</v>
      </c>
      <c r="H17" s="31">
        <v>0</v>
      </c>
      <c r="I17" s="240">
        <f>PI()*H17/180</f>
        <v>0</v>
      </c>
      <c r="J17" s="45"/>
      <c r="K17" s="45"/>
      <c r="M17" s="54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4">
        <f>IF($O$17=$AL$7,$C$17*SIN($G$17*N14 + $E$17*$I$17),"")</f>
        <v>-0.18793852415718165</v>
      </c>
      <c r="O17" s="39" t="s">
        <v>65</v>
      </c>
      <c r="P17" s="43">
        <f>IF($O$17=$AL$7,$C$17*SIN($G$17*P14 + $E$17*$I$17),"")</f>
        <v>0</v>
      </c>
      <c r="Q17" s="43">
        <f>IF($O$17=$AL$7,$C$17*SIN($G$17*Q14 + $E$17*$I$17),"")</f>
        <v>0.15320888862379559</v>
      </c>
      <c r="R17" s="43">
        <f t="shared" ref="R17:BB17" si="5">IF($O$17=$AL$7,$C$17*SIN($G$17*R14 + $E$17*$I$17),"")</f>
        <v>0.19696155060244164</v>
      </c>
      <c r="S17" s="43">
        <f t="shared" si="5"/>
        <v>0.10000000000000007</v>
      </c>
      <c r="T17" s="43">
        <f t="shared" si="5"/>
        <v>-6.8404028665133648E-2</v>
      </c>
      <c r="U17" s="43">
        <f t="shared" si="5"/>
        <v>-0.18793852415718165</v>
      </c>
      <c r="V17" s="43">
        <f t="shared" si="5"/>
        <v>-0.17320508075688781</v>
      </c>
      <c r="W17" s="43">
        <f t="shared" si="5"/>
        <v>-3.472963553338608E-2</v>
      </c>
      <c r="X17" s="43">
        <f t="shared" si="5"/>
        <v>0.12855752193730771</v>
      </c>
      <c r="Y17" s="43">
        <f t="shared" si="5"/>
        <v>0.2</v>
      </c>
      <c r="Z17" s="43">
        <f t="shared" si="5"/>
        <v>0.12855752193730807</v>
      </c>
      <c r="AA17" s="43">
        <f t="shared" si="5"/>
        <v>-3.4729635533385955E-2</v>
      </c>
      <c r="AB17" s="43">
        <f t="shared" si="5"/>
        <v>-0.17320508075688756</v>
      </c>
      <c r="AC17" s="43">
        <f t="shared" si="5"/>
        <v>-0.18793852415718174</v>
      </c>
      <c r="AD17" s="43">
        <f t="shared" si="5"/>
        <v>-6.8404028665133773E-2</v>
      </c>
      <c r="AE17" s="43">
        <f t="shared" si="5"/>
        <v>9.9999999999999811E-2</v>
      </c>
      <c r="AF17" s="43">
        <f t="shared" si="5"/>
        <v>0.19696155060244155</v>
      </c>
      <c r="AG17" s="43">
        <f t="shared" si="5"/>
        <v>0.15320888862379578</v>
      </c>
      <c r="AH17" s="43">
        <f t="shared" si="5"/>
        <v>1.22514845490862E-16</v>
      </c>
      <c r="AI17" s="43">
        <f t="shared" si="5"/>
        <v>-0.15320888862379542</v>
      </c>
      <c r="AJ17" s="43">
        <f t="shared" si="5"/>
        <v>-0.19696155060244172</v>
      </c>
      <c r="AK17" s="43">
        <f t="shared" si="5"/>
        <v>-0.10000000000000003</v>
      </c>
      <c r="AL17" s="43">
        <f t="shared" si="5"/>
        <v>6.8404028665133537E-2</v>
      </c>
      <c r="AM17" s="43">
        <f t="shared" si="5"/>
        <v>0.18793852415718154</v>
      </c>
      <c r="AN17" s="43">
        <f t="shared" si="5"/>
        <v>0.17320508075688806</v>
      </c>
      <c r="AO17" s="43">
        <f t="shared" si="5"/>
        <v>3.4729635533386899E-2</v>
      </c>
      <c r="AP17" s="43">
        <f t="shared" si="5"/>
        <v>-0.1285575219373076</v>
      </c>
      <c r="AQ17" s="43">
        <f t="shared" si="5"/>
        <v>-0.2</v>
      </c>
      <c r="AR17" s="43">
        <f t="shared" si="5"/>
        <v>-0.12855752193730791</v>
      </c>
      <c r="AS17" s="43">
        <f t="shared" si="5"/>
        <v>3.4729635533385143E-2</v>
      </c>
      <c r="AT17" s="43">
        <f t="shared" si="5"/>
        <v>0.17320508075688754</v>
      </c>
      <c r="AU17" s="43">
        <f t="shared" si="5"/>
        <v>0.18793852415718193</v>
      </c>
      <c r="AV17" s="43">
        <f t="shared" si="5"/>
        <v>6.840402866513455E-2</v>
      </c>
      <c r="AW17" s="43">
        <f t="shared" si="5"/>
        <v>-9.99999999999997E-2</v>
      </c>
      <c r="AX17" s="43">
        <f t="shared" si="5"/>
        <v>-0.19696155060244153</v>
      </c>
      <c r="AY17" s="43">
        <f t="shared" si="5"/>
        <v>-0.15320888862379611</v>
      </c>
      <c r="AZ17" s="43">
        <f t="shared" si="5"/>
        <v>-2.45029690981724E-16</v>
      </c>
      <c r="BA17" s="43">
        <f t="shared" si="5"/>
        <v>0.15320888862379489</v>
      </c>
      <c r="BB17" s="43">
        <f t="shared" si="5"/>
        <v>0.19696155060244172</v>
      </c>
    </row>
    <row r="18" spans="3:54" ht="15" thickBot="1" x14ac:dyDescent="0.4">
      <c r="C18" s="230">
        <f>1/7</f>
        <v>0.14285714285714285</v>
      </c>
      <c r="D18" s="230">
        <f>7*D15</f>
        <v>350</v>
      </c>
      <c r="E18" s="238">
        <f>D18/$D$19</f>
        <v>7</v>
      </c>
      <c r="F18" s="238">
        <f>1/D18</f>
        <v>2.8571428571428571E-3</v>
      </c>
      <c r="G18" s="238">
        <f>2*PI()*D18</f>
        <v>2199.114857512855</v>
      </c>
      <c r="H18" s="230">
        <v>0</v>
      </c>
      <c r="I18" s="241">
        <f>PI()*H18/180</f>
        <v>0</v>
      </c>
      <c r="J18" s="45"/>
      <c r="K18" s="45"/>
      <c r="M18" s="55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5">
        <f>IF($O$18=$AL$7,$C$18*SIN($G$18*N14 + $E$18*$I$18),"")</f>
        <v>-2.4806882523847322E-2</v>
      </c>
      <c r="O18" s="40" t="s">
        <v>65</v>
      </c>
      <c r="P18" s="43">
        <f>IF($O$18=$AL$7,$C$18*SIN($G$18*P14 + $E$18*$I$18),"")</f>
        <v>0</v>
      </c>
      <c r="Q18" s="43">
        <f t="shared" ref="Q18:BB18" si="6">IF($O$18=$AL$7,$C$18*SIN($G$18*Q14 + $E$18*$I$18),"")</f>
        <v>0.13424180296941546</v>
      </c>
      <c r="R18" s="43">
        <f t="shared" si="6"/>
        <v>9.1826801383791345E-2</v>
      </c>
      <c r="S18" s="43">
        <f t="shared" si="6"/>
        <v>-7.1428571428571341E-2</v>
      </c>
      <c r="T18" s="43">
        <f t="shared" si="6"/>
        <v>-0.14068682185888687</v>
      </c>
      <c r="U18" s="43">
        <f t="shared" si="6"/>
        <v>-2.4806882523847322E-2</v>
      </c>
      <c r="V18" s="43">
        <f t="shared" si="6"/>
        <v>0.12371791482634827</v>
      </c>
      <c r="W18" s="43">
        <f t="shared" si="6"/>
        <v>0.10943492044556839</v>
      </c>
      <c r="X18" s="43">
        <f t="shared" si="6"/>
        <v>-4.8860020475095425E-2</v>
      </c>
      <c r="Y18" s="43">
        <f t="shared" si="6"/>
        <v>-0.14285714285714285</v>
      </c>
      <c r="Z18" s="43">
        <f t="shared" si="6"/>
        <v>-4.8860020475095779E-2</v>
      </c>
      <c r="AA18" s="43">
        <f t="shared" si="6"/>
        <v>0.10943492044556814</v>
      </c>
      <c r="AB18" s="43">
        <f t="shared" si="6"/>
        <v>0.12371791482634859</v>
      </c>
      <c r="AC18" s="43">
        <f t="shared" si="6"/>
        <v>-2.4806882523847079E-2</v>
      </c>
      <c r="AD18" s="43">
        <f t="shared" si="6"/>
        <v>-0.14068682185888681</v>
      </c>
      <c r="AE18" s="43">
        <f t="shared" si="6"/>
        <v>-7.1428571428571883E-2</v>
      </c>
      <c r="AF18" s="43">
        <f t="shared" si="6"/>
        <v>9.1826801383791151E-2</v>
      </c>
      <c r="AG18" s="43">
        <f t="shared" si="6"/>
        <v>0.13424180296941562</v>
      </c>
      <c r="AH18" s="43">
        <f t="shared" si="6"/>
        <v>1.22514845490862E-16</v>
      </c>
      <c r="AI18" s="43">
        <f t="shared" si="6"/>
        <v>-0.13424180296941537</v>
      </c>
      <c r="AJ18" s="43">
        <f t="shared" si="6"/>
        <v>-9.1826801383791734E-2</v>
      </c>
      <c r="AK18" s="43">
        <f t="shared" si="6"/>
        <v>7.142857142857123E-2</v>
      </c>
      <c r="AL18" s="43">
        <f t="shared" si="6"/>
        <v>0.14068682185888692</v>
      </c>
      <c r="AM18" s="43">
        <f t="shared" si="6"/>
        <v>2.4806882523847319E-2</v>
      </c>
      <c r="AN18" s="43">
        <f t="shared" si="6"/>
        <v>-0.12371791482634795</v>
      </c>
      <c r="AO18" s="43">
        <f t="shared" si="6"/>
        <v>-0.10943492044556863</v>
      </c>
      <c r="AP18" s="43">
        <f t="shared" si="6"/>
        <v>4.8860020475095314E-2</v>
      </c>
      <c r="AQ18" s="43">
        <f t="shared" si="6"/>
        <v>0.14285714285714285</v>
      </c>
      <c r="AR18" s="43">
        <f t="shared" si="6"/>
        <v>4.8860020475096133E-2</v>
      </c>
      <c r="AS18" s="43">
        <f t="shared" si="6"/>
        <v>-0.10943492044556806</v>
      </c>
      <c r="AT18" s="43">
        <f t="shared" si="6"/>
        <v>-0.1237179148263489</v>
      </c>
      <c r="AU18" s="43">
        <f t="shared" si="6"/>
        <v>2.4806882523846455E-2</v>
      </c>
      <c r="AV18" s="43">
        <f t="shared" si="6"/>
        <v>0.14068682185888678</v>
      </c>
      <c r="AW18" s="43">
        <f t="shared" si="6"/>
        <v>7.1428571428572424E-2</v>
      </c>
      <c r="AX18" s="43">
        <f t="shared" si="6"/>
        <v>-9.1826801383790679E-2</v>
      </c>
      <c r="AY18" s="43">
        <f t="shared" si="6"/>
        <v>-0.13424180296941565</v>
      </c>
      <c r="AZ18" s="43">
        <f t="shared" si="6"/>
        <v>-2.45029690981724E-16</v>
      </c>
      <c r="BA18" s="43">
        <f t="shared" si="6"/>
        <v>0.13424180296941515</v>
      </c>
      <c r="BB18" s="43">
        <f t="shared" si="6"/>
        <v>9.1826801383791817E-2</v>
      </c>
    </row>
    <row r="19" spans="3:54" ht="16" customHeight="1" thickBot="1" x14ac:dyDescent="0.4">
      <c r="C19" s="231" t="s">
        <v>439</v>
      </c>
      <c r="D19" s="232">
        <f>MIN(D15:D18)</f>
        <v>50</v>
      </c>
      <c r="E19" s="232"/>
      <c r="F19" s="239">
        <f>1/D19</f>
        <v>0.02</v>
      </c>
      <c r="G19" s="239">
        <f>2*PI()*D19</f>
        <v>314.15926535897933</v>
      </c>
      <c r="H19" s="233"/>
      <c r="I19" s="234"/>
      <c r="M19" s="29" t="s">
        <v>60</v>
      </c>
      <c r="N19" s="246">
        <f>IF($O$19=$AL$7,SUM(N15:N18),"")</f>
        <v>0.71996570310461572</v>
      </c>
      <c r="O19" s="42" t="s">
        <v>65</v>
      </c>
      <c r="P19" s="44">
        <f t="shared" ref="P19:BB19" si="7">IF($O$19=$AL$7,SUM(P15:P18),"")</f>
        <v>0</v>
      </c>
      <c r="Q19" s="44">
        <f t="shared" si="7"/>
        <v>0.62776553592680795</v>
      </c>
      <c r="R19" s="44">
        <f t="shared" si="7"/>
        <v>0.91948362990671439</v>
      </c>
      <c r="S19" s="44">
        <f t="shared" si="7"/>
        <v>0.86190476190476195</v>
      </c>
      <c r="T19" s="44">
        <f t="shared" si="7"/>
        <v>0.72237189375733157</v>
      </c>
      <c r="U19" s="44">
        <f t="shared" si="7"/>
        <v>0.71996570310461572</v>
      </c>
      <c r="V19" s="44">
        <f t="shared" si="7"/>
        <v>0.81653823785389934</v>
      </c>
      <c r="W19" s="44">
        <f t="shared" si="7"/>
        <v>0.847731239031424</v>
      </c>
      <c r="X19" s="44">
        <f t="shared" si="7"/>
        <v>0.77583011987960759</v>
      </c>
      <c r="Y19" s="44">
        <f t="shared" si="7"/>
        <v>0.7238095238095239</v>
      </c>
      <c r="Z19" s="44">
        <f t="shared" si="7"/>
        <v>0.77583011987960748</v>
      </c>
      <c r="AA19" s="44">
        <f t="shared" si="7"/>
        <v>0.847731239031424</v>
      </c>
      <c r="AB19" s="44">
        <f t="shared" si="7"/>
        <v>0.81653823785389945</v>
      </c>
      <c r="AC19" s="44">
        <f t="shared" si="7"/>
        <v>0.71996570310461583</v>
      </c>
      <c r="AD19" s="44">
        <f t="shared" si="7"/>
        <v>0.72237189375733157</v>
      </c>
      <c r="AE19" s="44">
        <f t="shared" si="7"/>
        <v>0.86190476190476129</v>
      </c>
      <c r="AF19" s="44">
        <f t="shared" si="7"/>
        <v>0.91948362990671473</v>
      </c>
      <c r="AG19" s="44">
        <f t="shared" si="7"/>
        <v>0.62776553592680817</v>
      </c>
      <c r="AH19" s="44">
        <f t="shared" si="7"/>
        <v>4.90059381963448E-16</v>
      </c>
      <c r="AI19" s="44">
        <f t="shared" si="7"/>
        <v>-0.62776553592680762</v>
      </c>
      <c r="AJ19" s="44">
        <f t="shared" si="7"/>
        <v>-0.91948362990671539</v>
      </c>
      <c r="AK19" s="44">
        <f t="shared" si="7"/>
        <v>-0.8619047619047624</v>
      </c>
      <c r="AL19" s="44">
        <f t="shared" si="7"/>
        <v>-0.72237189375733191</v>
      </c>
      <c r="AM19" s="44">
        <f t="shared" si="7"/>
        <v>-0.71996570310461616</v>
      </c>
      <c r="AN19" s="44">
        <f t="shared" si="7"/>
        <v>-0.81653823785389912</v>
      </c>
      <c r="AO19" s="44">
        <f t="shared" si="7"/>
        <v>-0.84773123903142378</v>
      </c>
      <c r="AP19" s="44">
        <f t="shared" si="7"/>
        <v>-0.77583011987960748</v>
      </c>
      <c r="AQ19" s="44">
        <f t="shared" si="7"/>
        <v>-0.7238095238095239</v>
      </c>
      <c r="AR19" s="44">
        <f t="shared" si="7"/>
        <v>-0.77583011987960693</v>
      </c>
      <c r="AS19" s="44">
        <f t="shared" si="7"/>
        <v>-0.847731239031424</v>
      </c>
      <c r="AT19" s="44">
        <f t="shared" si="7"/>
        <v>-0.81653823785389967</v>
      </c>
      <c r="AU19" s="44">
        <f t="shared" si="7"/>
        <v>-0.71996570310461605</v>
      </c>
      <c r="AV19" s="44">
        <f t="shared" si="7"/>
        <v>-0.7223718937573308</v>
      </c>
      <c r="AW19" s="44">
        <f t="shared" si="7"/>
        <v>-0.86190476190476029</v>
      </c>
      <c r="AX19" s="44">
        <f t="shared" si="7"/>
        <v>-0.91948362990671351</v>
      </c>
      <c r="AY19" s="44">
        <f t="shared" si="7"/>
        <v>-0.62776553592680884</v>
      </c>
      <c r="AZ19" s="44">
        <f t="shared" si="7"/>
        <v>-9.8011876392689601E-16</v>
      </c>
      <c r="BA19" s="44">
        <f t="shared" si="7"/>
        <v>0.62776553592680706</v>
      </c>
      <c r="BB19" s="44">
        <f t="shared" si="7"/>
        <v>0.91948362990671506</v>
      </c>
    </row>
    <row r="20" spans="3:54" ht="8.5" customHeight="1" x14ac:dyDescent="0.35">
      <c r="M20" s="28"/>
      <c r="N20" s="28"/>
      <c r="O20" s="28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33" t="s">
        <v>468</v>
      </c>
    </row>
    <row r="4" spans="2:51" x14ac:dyDescent="0.35">
      <c r="R4" s="5"/>
      <c r="S4" s="5" t="s">
        <v>69</v>
      </c>
      <c r="T4" s="5"/>
      <c r="U4" s="5"/>
      <c r="V4" s="5"/>
      <c r="W4" s="5"/>
      <c r="X4" s="5"/>
      <c r="Z4" s="5" t="s">
        <v>475</v>
      </c>
      <c r="AA4" s="5"/>
      <c r="AC4" s="5" t="s">
        <v>476</v>
      </c>
      <c r="AD4" s="5"/>
    </row>
    <row r="5" spans="2:51" x14ac:dyDescent="0.35">
      <c r="R5" s="5"/>
      <c r="S5" s="8" t="s">
        <v>73</v>
      </c>
      <c r="T5" s="44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465</v>
      </c>
      <c r="R6" s="5"/>
      <c r="S6" s="8" t="s">
        <v>72</v>
      </c>
      <c r="T6" s="44">
        <f>MIN(K14:K23)</f>
        <v>-0.43301270189221958</v>
      </c>
      <c r="U6" s="5"/>
      <c r="V6" s="5"/>
      <c r="W6" s="44">
        <f>IF(T6&gt;0,0,T6)</f>
        <v>-0.43301270189221958</v>
      </c>
      <c r="X6" s="44">
        <f>IF(T5&lt;0,0,T5)</f>
        <v>0.8660254037844386</v>
      </c>
      <c r="Z6" s="5">
        <v>0</v>
      </c>
      <c r="AA6" s="5">
        <v>0</v>
      </c>
      <c r="AC6" s="44">
        <f>MIN(M14:AY23)</f>
        <v>-1</v>
      </c>
      <c r="AD6" s="44">
        <f>MAX(M14:AY23)</f>
        <v>1</v>
      </c>
    </row>
    <row r="7" spans="2:51" ht="15" thickBot="1" x14ac:dyDescent="0.4">
      <c r="E7" t="s">
        <v>466</v>
      </c>
      <c r="R7" s="432" t="s">
        <v>74</v>
      </c>
      <c r="S7" s="432"/>
      <c r="T7" s="5">
        <f>IF(ABS(T5)&gt;ABS(T6),T5,T6)</f>
        <v>0.8660254037844386</v>
      </c>
      <c r="U7" s="5"/>
      <c r="V7" s="5"/>
      <c r="W7" s="5"/>
      <c r="X7" s="5"/>
      <c r="AI7" s="5" t="s">
        <v>65</v>
      </c>
    </row>
    <row r="8" spans="2:51" ht="16" customHeight="1" thickBot="1" x14ac:dyDescent="0.5">
      <c r="E8" s="251" t="str">
        <f>IF(E15&gt;0,"Kapazitiv (Strom voreilend)",IF(E15&lt;0,"Induktiv (Strom nacheilend)","Ohmsch (Gleichphasig)"))</f>
        <v>Induktiv (Strom nacheilend)</v>
      </c>
      <c r="F8" s="252"/>
      <c r="G8" s="252"/>
      <c r="H8" s="253"/>
      <c r="R8" s="1"/>
      <c r="S8" s="28"/>
      <c r="AI8" s="5" t="s">
        <v>66</v>
      </c>
    </row>
    <row r="11" spans="2:51" ht="21" x14ac:dyDescent="0.35">
      <c r="C11" s="466"/>
      <c r="D11" s="466"/>
      <c r="E11" s="466"/>
      <c r="F11" s="466"/>
      <c r="G11" s="36"/>
      <c r="H11" s="36"/>
      <c r="L11" s="32" t="s">
        <v>8</v>
      </c>
      <c r="M11" s="35">
        <v>15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9"/>
      <c r="AW11" s="59"/>
      <c r="AX11" s="59"/>
      <c r="AY11" s="59"/>
    </row>
    <row r="12" spans="2:51" s="23" customFormat="1" ht="21" x14ac:dyDescent="0.35">
      <c r="C12" s="467" t="s">
        <v>477</v>
      </c>
      <c r="D12" s="467"/>
      <c r="E12" s="467"/>
      <c r="F12" s="467"/>
      <c r="G12" s="36"/>
      <c r="H12" s="36"/>
      <c r="J12" s="46" t="s">
        <v>63</v>
      </c>
      <c r="K12" s="27">
        <v>60</v>
      </c>
      <c r="L12" s="468" t="s">
        <v>64</v>
      </c>
      <c r="M12" s="27">
        <v>0</v>
      </c>
      <c r="N12" s="60">
        <f>M12+$M$11</f>
        <v>15</v>
      </c>
      <c r="O12" s="60">
        <f t="shared" ref="O12:AY12" si="0">N12+$M$11</f>
        <v>30</v>
      </c>
      <c r="P12" s="60">
        <f t="shared" si="0"/>
        <v>45</v>
      </c>
      <c r="Q12" s="60">
        <f t="shared" si="0"/>
        <v>60</v>
      </c>
      <c r="R12" s="60">
        <f t="shared" si="0"/>
        <v>75</v>
      </c>
      <c r="S12" s="60">
        <f t="shared" si="0"/>
        <v>90</v>
      </c>
      <c r="T12" s="60">
        <f t="shared" si="0"/>
        <v>105</v>
      </c>
      <c r="U12" s="60">
        <f t="shared" si="0"/>
        <v>120</v>
      </c>
      <c r="V12" s="60">
        <f t="shared" si="0"/>
        <v>135</v>
      </c>
      <c r="W12" s="60">
        <f t="shared" si="0"/>
        <v>150</v>
      </c>
      <c r="X12" s="60">
        <f t="shared" si="0"/>
        <v>165</v>
      </c>
      <c r="Y12" s="60">
        <f t="shared" si="0"/>
        <v>180</v>
      </c>
      <c r="Z12" s="60">
        <f t="shared" si="0"/>
        <v>195</v>
      </c>
      <c r="AA12" s="60">
        <f t="shared" si="0"/>
        <v>210</v>
      </c>
      <c r="AB12" s="60">
        <f t="shared" si="0"/>
        <v>225</v>
      </c>
      <c r="AC12" s="60">
        <f t="shared" si="0"/>
        <v>240</v>
      </c>
      <c r="AD12" s="60">
        <f t="shared" si="0"/>
        <v>255</v>
      </c>
      <c r="AE12" s="60">
        <f t="shared" si="0"/>
        <v>270</v>
      </c>
      <c r="AF12" s="60">
        <f t="shared" si="0"/>
        <v>285</v>
      </c>
      <c r="AG12" s="60">
        <f t="shared" si="0"/>
        <v>300</v>
      </c>
      <c r="AH12" s="60">
        <f t="shared" si="0"/>
        <v>315</v>
      </c>
      <c r="AI12" s="60">
        <f t="shared" si="0"/>
        <v>330</v>
      </c>
      <c r="AJ12" s="60">
        <f t="shared" si="0"/>
        <v>345</v>
      </c>
      <c r="AK12" s="60">
        <f t="shared" si="0"/>
        <v>360</v>
      </c>
      <c r="AL12" s="60">
        <f t="shared" si="0"/>
        <v>375</v>
      </c>
      <c r="AM12" s="60">
        <f t="shared" si="0"/>
        <v>390</v>
      </c>
      <c r="AN12" s="60">
        <f t="shared" si="0"/>
        <v>405</v>
      </c>
      <c r="AO12" s="60">
        <f t="shared" si="0"/>
        <v>420</v>
      </c>
      <c r="AP12" s="60">
        <f t="shared" si="0"/>
        <v>435</v>
      </c>
      <c r="AQ12" s="60">
        <f t="shared" si="0"/>
        <v>450</v>
      </c>
      <c r="AR12" s="60">
        <f t="shared" si="0"/>
        <v>465</v>
      </c>
      <c r="AS12" s="60">
        <f t="shared" si="0"/>
        <v>480</v>
      </c>
      <c r="AT12" s="60">
        <f t="shared" si="0"/>
        <v>495</v>
      </c>
      <c r="AU12" s="60">
        <f t="shared" si="0"/>
        <v>510</v>
      </c>
      <c r="AV12" s="60">
        <f t="shared" si="0"/>
        <v>525</v>
      </c>
      <c r="AW12" s="60">
        <f t="shared" si="0"/>
        <v>540</v>
      </c>
      <c r="AX12" s="60">
        <f t="shared" si="0"/>
        <v>555</v>
      </c>
      <c r="AY12" s="60">
        <f t="shared" si="0"/>
        <v>570</v>
      </c>
    </row>
    <row r="13" spans="2:51" s="23" customFormat="1" ht="43.5" x14ac:dyDescent="0.35">
      <c r="B13" s="48" t="s">
        <v>206</v>
      </c>
      <c r="C13" s="48" t="s">
        <v>67</v>
      </c>
      <c r="D13" s="48" t="s">
        <v>68</v>
      </c>
      <c r="E13" s="48" t="s">
        <v>71</v>
      </c>
      <c r="F13" s="48" t="s">
        <v>70</v>
      </c>
      <c r="G13" s="49"/>
      <c r="H13" s="49"/>
      <c r="J13" s="57" t="s">
        <v>62</v>
      </c>
      <c r="K13" s="51">
        <f>PI()*K12/180</f>
        <v>1.0471975511965976</v>
      </c>
      <c r="L13" s="470"/>
      <c r="M13" s="50">
        <f>PI()*M12/180</f>
        <v>0</v>
      </c>
      <c r="N13" s="50">
        <f>PI()*N12/180</f>
        <v>0.26179938779914941</v>
      </c>
      <c r="O13" s="50">
        <f t="shared" ref="O13:AY13" si="1">PI()*O12/180</f>
        <v>0.52359877559829882</v>
      </c>
      <c r="P13" s="50">
        <f t="shared" si="1"/>
        <v>0.78539816339744828</v>
      </c>
      <c r="Q13" s="50">
        <f t="shared" si="1"/>
        <v>1.0471975511965976</v>
      </c>
      <c r="R13" s="50">
        <f t="shared" si="1"/>
        <v>1.3089969389957472</v>
      </c>
      <c r="S13" s="50">
        <f t="shared" si="1"/>
        <v>1.5707963267948966</v>
      </c>
      <c r="T13" s="50">
        <f t="shared" si="1"/>
        <v>1.8325957145940461</v>
      </c>
      <c r="U13" s="50">
        <f t="shared" si="1"/>
        <v>2.0943951023931953</v>
      </c>
      <c r="V13" s="50">
        <f t="shared" si="1"/>
        <v>2.3561944901923448</v>
      </c>
      <c r="W13" s="50">
        <f t="shared" si="1"/>
        <v>2.6179938779914944</v>
      </c>
      <c r="X13" s="50">
        <f t="shared" si="1"/>
        <v>2.8797932657906435</v>
      </c>
      <c r="Y13" s="50">
        <f t="shared" si="1"/>
        <v>3.1415926535897931</v>
      </c>
      <c r="Z13" s="50">
        <f t="shared" si="1"/>
        <v>3.4033920413889422</v>
      </c>
      <c r="AA13" s="50">
        <f t="shared" si="1"/>
        <v>3.6651914291880923</v>
      </c>
      <c r="AB13" s="50">
        <f t="shared" si="1"/>
        <v>3.9269908169872414</v>
      </c>
      <c r="AC13" s="50">
        <f t="shared" si="1"/>
        <v>4.1887902047863905</v>
      </c>
      <c r="AD13" s="50">
        <f t="shared" si="1"/>
        <v>4.4505895925855405</v>
      </c>
      <c r="AE13" s="50">
        <f t="shared" si="1"/>
        <v>4.7123889803846897</v>
      </c>
      <c r="AF13" s="50">
        <f t="shared" si="1"/>
        <v>4.9741883681838397</v>
      </c>
      <c r="AG13" s="50">
        <f t="shared" si="1"/>
        <v>5.2359877559829888</v>
      </c>
      <c r="AH13" s="50">
        <f t="shared" si="1"/>
        <v>5.497787143782138</v>
      </c>
      <c r="AI13" s="50">
        <f t="shared" si="1"/>
        <v>5.7595865315812871</v>
      </c>
      <c r="AJ13" s="50">
        <f t="shared" si="1"/>
        <v>6.0213859193804371</v>
      </c>
      <c r="AK13" s="50">
        <f t="shared" si="1"/>
        <v>6.2831853071795862</v>
      </c>
      <c r="AL13" s="50">
        <f t="shared" si="1"/>
        <v>6.5449846949787354</v>
      </c>
      <c r="AM13" s="50">
        <f t="shared" si="1"/>
        <v>6.8067840827778845</v>
      </c>
      <c r="AN13" s="50">
        <f t="shared" si="1"/>
        <v>7.0685834705770336</v>
      </c>
      <c r="AO13" s="50">
        <f t="shared" si="1"/>
        <v>7.3303828583761845</v>
      </c>
      <c r="AP13" s="50">
        <f t="shared" si="1"/>
        <v>7.5921822461753337</v>
      </c>
      <c r="AQ13" s="50">
        <f t="shared" si="1"/>
        <v>7.8539816339744828</v>
      </c>
      <c r="AR13" s="50">
        <f t="shared" si="1"/>
        <v>8.1157810217736319</v>
      </c>
      <c r="AS13" s="50">
        <f t="shared" si="1"/>
        <v>8.3775804095727811</v>
      </c>
      <c r="AT13" s="50">
        <f t="shared" si="1"/>
        <v>8.639379797371932</v>
      </c>
      <c r="AU13" s="50">
        <f t="shared" si="1"/>
        <v>8.9011791851710811</v>
      </c>
      <c r="AV13" s="50">
        <f t="shared" si="1"/>
        <v>9.1629785729702302</v>
      </c>
      <c r="AW13" s="50">
        <f t="shared" si="1"/>
        <v>9.4247779607693793</v>
      </c>
      <c r="AX13" s="50">
        <f t="shared" si="1"/>
        <v>9.6865773485685303</v>
      </c>
      <c r="AY13" s="50">
        <f t="shared" si="1"/>
        <v>9.9483767363676794</v>
      </c>
    </row>
    <row r="14" spans="2:51" ht="17.5" customHeight="1" x14ac:dyDescent="0.35">
      <c r="B14" s="48" t="s">
        <v>467</v>
      </c>
      <c r="C14" s="31">
        <v>1</v>
      </c>
      <c r="D14" s="31">
        <v>50</v>
      </c>
      <c r="E14" s="58">
        <v>0</v>
      </c>
      <c r="F14" s="250">
        <f>PI()*E14/180</f>
        <v>0</v>
      </c>
      <c r="G14" s="45"/>
      <c r="H14" s="45"/>
      <c r="J14" s="47" t="str">
        <f>_xlfn.CONCAT(B14," = ",IF(C14&lt;&gt;1,_xlfn.CONCAT(ROUND(C14,2)," *"),"")," sin(","x ",IF(F14&lt;&gt;0,_xlfn.CONCAT(" + ",ROUND(F14,2),"°"),""),") = ")</f>
        <v xml:space="preserve">U =  sin(x ) = </v>
      </c>
      <c r="K14" s="52">
        <f>IF($L$14=$AI$7,$C$14*SIN(K13 + $F$14),0)</f>
        <v>0.8660254037844386</v>
      </c>
      <c r="L14" s="37" t="s">
        <v>65</v>
      </c>
      <c r="M14" s="43">
        <f>IF($L$14=$AI$7,$C$14*SIN(M13 + $F$14),0)</f>
        <v>0</v>
      </c>
      <c r="N14" s="43">
        <f t="shared" ref="N14:AY14" si="2">IF($L$14=$AI$7,$C$14*SIN(N13 + $F$14),0)</f>
        <v>0.25881904510252074</v>
      </c>
      <c r="O14" s="43">
        <f t="shared" si="2"/>
        <v>0.49999999999999994</v>
      </c>
      <c r="P14" s="43">
        <f t="shared" si="2"/>
        <v>0.70710678118654746</v>
      </c>
      <c r="Q14" s="43">
        <f t="shared" si="2"/>
        <v>0.8660254037844386</v>
      </c>
      <c r="R14" s="43">
        <f t="shared" si="2"/>
        <v>0.96592582628906831</v>
      </c>
      <c r="S14" s="43">
        <f t="shared" si="2"/>
        <v>1</v>
      </c>
      <c r="T14" s="43">
        <f t="shared" si="2"/>
        <v>0.96592582628906831</v>
      </c>
      <c r="U14" s="43">
        <f t="shared" si="2"/>
        <v>0.86602540378443871</v>
      </c>
      <c r="V14" s="43">
        <f t="shared" si="2"/>
        <v>0.70710678118654757</v>
      </c>
      <c r="W14" s="43">
        <f t="shared" si="2"/>
        <v>0.49999999999999994</v>
      </c>
      <c r="X14" s="43">
        <f t="shared" si="2"/>
        <v>0.25881904510252102</v>
      </c>
      <c r="Y14" s="43">
        <f t="shared" si="2"/>
        <v>1.22514845490862E-16</v>
      </c>
      <c r="Z14" s="43">
        <f t="shared" si="2"/>
        <v>-0.25881904510252035</v>
      </c>
      <c r="AA14" s="43">
        <f t="shared" si="2"/>
        <v>-0.50000000000000011</v>
      </c>
      <c r="AB14" s="43">
        <f t="shared" si="2"/>
        <v>-0.70710678118654746</v>
      </c>
      <c r="AC14" s="43">
        <f t="shared" si="2"/>
        <v>-0.86602540378443837</v>
      </c>
      <c r="AD14" s="43">
        <f t="shared" si="2"/>
        <v>-0.96592582628906831</v>
      </c>
      <c r="AE14" s="43">
        <f t="shared" si="2"/>
        <v>-1</v>
      </c>
      <c r="AF14" s="43">
        <f t="shared" si="2"/>
        <v>-0.9659258262890682</v>
      </c>
      <c r="AG14" s="43">
        <f t="shared" si="2"/>
        <v>-0.8660254037844386</v>
      </c>
      <c r="AH14" s="43">
        <f t="shared" si="2"/>
        <v>-0.70710678118654768</v>
      </c>
      <c r="AI14" s="43">
        <f t="shared" si="2"/>
        <v>-0.50000000000000044</v>
      </c>
      <c r="AJ14" s="43">
        <f t="shared" si="2"/>
        <v>-0.25881904510252068</v>
      </c>
      <c r="AK14" s="43">
        <f t="shared" si="2"/>
        <v>-2.45029690981724E-16</v>
      </c>
      <c r="AL14" s="43">
        <f t="shared" si="2"/>
        <v>0.25881904510252024</v>
      </c>
      <c r="AM14" s="43">
        <f t="shared" si="2"/>
        <v>0.49999999999999928</v>
      </c>
      <c r="AN14" s="43">
        <f t="shared" si="2"/>
        <v>0.70710678118654668</v>
      </c>
      <c r="AO14" s="43">
        <f t="shared" si="2"/>
        <v>0.86602540378443882</v>
      </c>
      <c r="AP14" s="43">
        <f t="shared" si="2"/>
        <v>0.96592582628906831</v>
      </c>
      <c r="AQ14" s="43">
        <f t="shared" si="2"/>
        <v>1</v>
      </c>
      <c r="AR14" s="43">
        <f t="shared" si="2"/>
        <v>0.96592582628906842</v>
      </c>
      <c r="AS14" s="43">
        <f t="shared" si="2"/>
        <v>0.86602540378443915</v>
      </c>
      <c r="AT14" s="43">
        <f t="shared" si="2"/>
        <v>0.70710678118654713</v>
      </c>
      <c r="AU14" s="43">
        <f t="shared" si="2"/>
        <v>0.49999999999999978</v>
      </c>
      <c r="AV14" s="43">
        <f t="shared" si="2"/>
        <v>0.25881904510252079</v>
      </c>
      <c r="AW14" s="43">
        <f t="shared" si="2"/>
        <v>3.67544536472586E-16</v>
      </c>
      <c r="AX14" s="43">
        <f t="shared" si="2"/>
        <v>-0.25881904510252185</v>
      </c>
      <c r="AY14" s="43">
        <f t="shared" si="2"/>
        <v>-0.50000000000000067</v>
      </c>
    </row>
    <row r="15" spans="2:51" ht="17.5" customHeight="1" x14ac:dyDescent="0.35">
      <c r="B15" s="48" t="s">
        <v>47</v>
      </c>
      <c r="C15" s="31">
        <v>1</v>
      </c>
      <c r="D15" s="250">
        <f>D14</f>
        <v>50</v>
      </c>
      <c r="E15" s="31">
        <v>-60</v>
      </c>
      <c r="F15" s="250">
        <f>PI()*E15/180</f>
        <v>-1.0471975511965976</v>
      </c>
      <c r="G15" s="45"/>
      <c r="H15" s="45"/>
      <c r="J15" s="82" t="str">
        <f>_xlfn.CONCAT(B15," = ",IF(C15&lt;&gt;1,_xlfn.CONCAT(ROUND(C15,2)," *"),"")," sin(x ",IF(E15&lt;&gt;0,_xlfn.CONCAT(" + ",ROUND(E15,2),"°"),""),") = ")</f>
        <v xml:space="preserve">I =  sin(x  + -60°) = </v>
      </c>
      <c r="K15" s="83">
        <f>IF($L$15=$AI$7,$C$15*SIN(K13 + $F$15),"")</f>
        <v>0</v>
      </c>
      <c r="L15" s="84" t="s">
        <v>65</v>
      </c>
      <c r="M15" s="44">
        <f>IF($L$15=$AI$7,$C$15*SIN(M13 + $F$15),0)</f>
        <v>-0.8660254037844386</v>
      </c>
      <c r="N15" s="44">
        <f t="shared" ref="N15:AY15" si="3">IF($L$15=$AI$7,$C$15*SIN(N13 + $F$15),0)</f>
        <v>-0.70710678118654746</v>
      </c>
      <c r="O15" s="44">
        <f t="shared" si="3"/>
        <v>-0.49999999999999994</v>
      </c>
      <c r="P15" s="44">
        <f t="shared" si="3"/>
        <v>-0.25881904510252068</v>
      </c>
      <c r="Q15" s="44">
        <f t="shared" si="3"/>
        <v>0</v>
      </c>
      <c r="R15" s="44">
        <f t="shared" si="3"/>
        <v>0.25881904510252091</v>
      </c>
      <c r="S15" s="44">
        <f t="shared" si="3"/>
        <v>0.5</v>
      </c>
      <c r="T15" s="44">
        <f t="shared" si="3"/>
        <v>0.70710678118654768</v>
      </c>
      <c r="U15" s="44">
        <f t="shared" si="3"/>
        <v>0.8660254037844386</v>
      </c>
      <c r="V15" s="44">
        <f t="shared" si="3"/>
        <v>0.96592582628906831</v>
      </c>
      <c r="W15" s="44">
        <f t="shared" si="3"/>
        <v>1</v>
      </c>
      <c r="X15" s="44">
        <f t="shared" si="3"/>
        <v>0.96592582628906831</v>
      </c>
      <c r="Y15" s="44">
        <f t="shared" si="3"/>
        <v>0.86602540378443849</v>
      </c>
      <c r="Z15" s="44">
        <f t="shared" si="3"/>
        <v>0.70710678118654757</v>
      </c>
      <c r="AA15" s="44">
        <f t="shared" si="3"/>
        <v>0.49999999999999956</v>
      </c>
      <c r="AB15" s="44">
        <f t="shared" si="3"/>
        <v>0.25881904510252057</v>
      </c>
      <c r="AC15" s="44">
        <f t="shared" si="3"/>
        <v>1.22514845490862E-16</v>
      </c>
      <c r="AD15" s="44">
        <f t="shared" si="3"/>
        <v>-0.25881904510252118</v>
      </c>
      <c r="AE15" s="44">
        <f t="shared" si="3"/>
        <v>-0.50000000000000011</v>
      </c>
      <c r="AF15" s="44">
        <f t="shared" si="3"/>
        <v>-0.70710678118654802</v>
      </c>
      <c r="AG15" s="44">
        <f t="shared" si="3"/>
        <v>-0.86602540378443882</v>
      </c>
      <c r="AH15" s="44">
        <f t="shared" si="3"/>
        <v>-0.96592582628906831</v>
      </c>
      <c r="AI15" s="44">
        <f t="shared" si="3"/>
        <v>-1</v>
      </c>
      <c r="AJ15" s="44">
        <f t="shared" si="3"/>
        <v>-0.9659258262890682</v>
      </c>
      <c r="AK15" s="44">
        <f t="shared" si="3"/>
        <v>-0.8660254037844386</v>
      </c>
      <c r="AL15" s="44">
        <f t="shared" si="3"/>
        <v>-0.70710678118654768</v>
      </c>
      <c r="AM15" s="44">
        <f t="shared" si="3"/>
        <v>-0.50000000000000044</v>
      </c>
      <c r="AN15" s="44">
        <f t="shared" si="3"/>
        <v>-0.25881904510252157</v>
      </c>
      <c r="AO15" s="44">
        <f t="shared" si="3"/>
        <v>6.4314872871840123E-16</v>
      </c>
      <c r="AP15" s="44">
        <f t="shared" si="3"/>
        <v>0.25881904510252107</v>
      </c>
      <c r="AQ15" s="44">
        <f t="shared" si="3"/>
        <v>0.5</v>
      </c>
      <c r="AR15" s="44">
        <f t="shared" si="3"/>
        <v>0.70710678118654735</v>
      </c>
      <c r="AS15" s="44">
        <f t="shared" si="3"/>
        <v>0.86602540378443837</v>
      </c>
      <c r="AT15" s="44">
        <f t="shared" si="3"/>
        <v>0.96592582628906853</v>
      </c>
      <c r="AU15" s="44">
        <f t="shared" si="3"/>
        <v>1</v>
      </c>
      <c r="AV15" s="44">
        <f t="shared" si="3"/>
        <v>0.96592582628906842</v>
      </c>
      <c r="AW15" s="44">
        <f t="shared" si="3"/>
        <v>0.86602540378443915</v>
      </c>
      <c r="AX15" s="44">
        <f t="shared" si="3"/>
        <v>0.70710678118654713</v>
      </c>
      <c r="AY15" s="44">
        <f t="shared" si="3"/>
        <v>0.49999999999999978</v>
      </c>
    </row>
    <row r="16" spans="2:51" ht="17.5" customHeight="1" x14ac:dyDescent="0.35">
      <c r="B16" s="48" t="s">
        <v>469</v>
      </c>
      <c r="C16" s="250">
        <f>C15*COS(F15)</f>
        <v>0.50000000000000011</v>
      </c>
      <c r="D16" s="250">
        <f>D15</f>
        <v>50</v>
      </c>
      <c r="E16" s="250">
        <f>E14</f>
        <v>0</v>
      </c>
      <c r="F16" s="250">
        <f>F14</f>
        <v>0</v>
      </c>
      <c r="J16" s="254" t="str">
        <f>_xlfn.CONCAT("IP = ",IF(C16&lt;&gt;1,_xlfn.CONCAT(ROUND(C16,2)," *"),"")," sin(x ",IF(E16&lt;&gt;0,_xlfn.CONCAT(" + ",ROUND(E16,2),"°"),""),") = ")</f>
        <v xml:space="preserve">IP = 0.5 * sin(x ) = </v>
      </c>
      <c r="K16" s="255">
        <f>IF($L$16=$AI$7,$C$16*SIN(K14 + $F$16),"")</f>
        <v>0.38087999070814471</v>
      </c>
      <c r="L16" s="256" t="s">
        <v>65</v>
      </c>
      <c r="M16" s="44">
        <f>IF($L$16=$AI$7,$C$16*SIN(M13 + $F$16),0)</f>
        <v>0</v>
      </c>
      <c r="N16" s="44">
        <f t="shared" ref="N16:AY16" si="4">IF($L$16=$AI$7,$C$16*SIN(N13 + $F$16),0)</f>
        <v>0.1294095225512604</v>
      </c>
      <c r="O16" s="44">
        <f t="shared" si="4"/>
        <v>0.25</v>
      </c>
      <c r="P16" s="44">
        <f t="shared" si="4"/>
        <v>0.35355339059327379</v>
      </c>
      <c r="Q16" s="44">
        <f t="shared" si="4"/>
        <v>0.43301270189221941</v>
      </c>
      <c r="R16" s="44">
        <f t="shared" si="4"/>
        <v>0.48296291314453427</v>
      </c>
      <c r="S16" s="44">
        <f t="shared" si="4"/>
        <v>0.50000000000000011</v>
      </c>
      <c r="T16" s="44">
        <f t="shared" si="4"/>
        <v>0.48296291314453427</v>
      </c>
      <c r="U16" s="44">
        <f t="shared" si="4"/>
        <v>0.43301270189221946</v>
      </c>
      <c r="V16" s="44">
        <f t="shared" si="4"/>
        <v>0.35355339059327384</v>
      </c>
      <c r="W16" s="44">
        <f t="shared" si="4"/>
        <v>0.25</v>
      </c>
      <c r="X16" s="44">
        <f t="shared" si="4"/>
        <v>0.12940952255126054</v>
      </c>
      <c r="Y16" s="44">
        <f t="shared" si="4"/>
        <v>6.1257422745431013E-17</v>
      </c>
      <c r="Z16" s="44">
        <f t="shared" si="4"/>
        <v>-0.1294095225512602</v>
      </c>
      <c r="AA16" s="44">
        <f t="shared" si="4"/>
        <v>-0.25000000000000011</v>
      </c>
      <c r="AB16" s="44">
        <f t="shared" si="4"/>
        <v>-0.35355339059327379</v>
      </c>
      <c r="AC16" s="44">
        <f t="shared" si="4"/>
        <v>-0.4330127018922193</v>
      </c>
      <c r="AD16" s="44">
        <f t="shared" si="4"/>
        <v>-0.48296291314453427</v>
      </c>
      <c r="AE16" s="44">
        <f t="shared" si="4"/>
        <v>-0.50000000000000011</v>
      </c>
      <c r="AF16" s="44">
        <f t="shared" si="4"/>
        <v>-0.48296291314453421</v>
      </c>
      <c r="AG16" s="44">
        <f t="shared" si="4"/>
        <v>-0.43301270189221941</v>
      </c>
      <c r="AH16" s="44">
        <f t="shared" si="4"/>
        <v>-0.3535533905932739</v>
      </c>
      <c r="AI16" s="44">
        <f t="shared" si="4"/>
        <v>-0.25000000000000028</v>
      </c>
      <c r="AJ16" s="44">
        <f t="shared" si="4"/>
        <v>-0.12940952255126037</v>
      </c>
      <c r="AK16" s="44">
        <f t="shared" si="4"/>
        <v>-1.2251484549086203E-16</v>
      </c>
      <c r="AL16" s="44">
        <f t="shared" si="4"/>
        <v>0.12940952255126015</v>
      </c>
      <c r="AM16" s="44">
        <f t="shared" si="4"/>
        <v>0.24999999999999969</v>
      </c>
      <c r="AN16" s="44">
        <f t="shared" si="4"/>
        <v>0.3535533905932734</v>
      </c>
      <c r="AO16" s="44">
        <f t="shared" si="4"/>
        <v>0.43301270189221952</v>
      </c>
      <c r="AP16" s="44">
        <f t="shared" si="4"/>
        <v>0.48296291314453427</v>
      </c>
      <c r="AQ16" s="44">
        <f t="shared" si="4"/>
        <v>0.50000000000000011</v>
      </c>
      <c r="AR16" s="44">
        <f t="shared" si="4"/>
        <v>0.48296291314453432</v>
      </c>
      <c r="AS16" s="44">
        <f t="shared" si="4"/>
        <v>0.43301270189221969</v>
      </c>
      <c r="AT16" s="44">
        <f t="shared" si="4"/>
        <v>0.35355339059327362</v>
      </c>
      <c r="AU16" s="44">
        <f t="shared" si="4"/>
        <v>0.24999999999999994</v>
      </c>
      <c r="AV16" s="44">
        <f t="shared" si="4"/>
        <v>0.12940952255126043</v>
      </c>
      <c r="AW16" s="44">
        <f t="shared" si="4"/>
        <v>1.8377226823629305E-16</v>
      </c>
      <c r="AX16" s="44">
        <f t="shared" si="4"/>
        <v>-0.12940952255126095</v>
      </c>
      <c r="AY16" s="44">
        <f t="shared" si="4"/>
        <v>-0.25000000000000039</v>
      </c>
    </row>
    <row r="17" spans="2:51" ht="17.5" customHeight="1" x14ac:dyDescent="0.35">
      <c r="B17" s="48" t="s">
        <v>470</v>
      </c>
      <c r="C17" s="250">
        <f>C15*SIN(F15)</f>
        <v>-0.8660254037844386</v>
      </c>
      <c r="D17" s="250">
        <f>D16</f>
        <v>50</v>
      </c>
      <c r="E17" s="250">
        <v>90</v>
      </c>
      <c r="F17" s="250">
        <f>PI()*E17/180</f>
        <v>1.5707963267948966</v>
      </c>
      <c r="J17" s="254" t="str">
        <f>_xlfn.CONCAT("IQ = ",IF(C17&lt;&gt;1,_xlfn.CONCAT(ROUND(C17,2)," *"),"")," sin(x ",IF(E17&lt;&gt;0,_xlfn.CONCAT(" + ",ROUND(E17,2),"°"),""),") = ")</f>
        <v xml:space="preserve">IQ = -0.87 * sin(x  + 90°) = </v>
      </c>
      <c r="K17" s="255">
        <f>IF($L$17=$AI$7,$C$17*SIN(K13 + $F$17),"")</f>
        <v>-0.43301270189221958</v>
      </c>
      <c r="L17" s="256" t="s">
        <v>65</v>
      </c>
      <c r="M17" s="44">
        <f>IF($L$17=$AI$7,$C$17*SIN(M13 + $F$17),0)</f>
        <v>-0.8660254037844386</v>
      </c>
      <c r="N17" s="44">
        <f t="shared" ref="N17:AY17" si="5">IF($L$17=$AI$7,$C$17*SIN(N13 + $F$17),0)</f>
        <v>-0.83651630373780783</v>
      </c>
      <c r="O17" s="44">
        <f t="shared" si="5"/>
        <v>-0.75</v>
      </c>
      <c r="P17" s="44">
        <f t="shared" si="5"/>
        <v>-0.61237243569579458</v>
      </c>
      <c r="Q17" s="44">
        <f t="shared" si="5"/>
        <v>-0.43301270189221958</v>
      </c>
      <c r="R17" s="44">
        <f t="shared" si="5"/>
        <v>-0.22414386804201319</v>
      </c>
      <c r="S17" s="44">
        <f t="shared" si="5"/>
        <v>-1.0610096853581188E-16</v>
      </c>
      <c r="T17" s="44">
        <f t="shared" si="5"/>
        <v>0.22414386804201339</v>
      </c>
      <c r="U17" s="44">
        <f t="shared" si="5"/>
        <v>0.43301270189221908</v>
      </c>
      <c r="V17" s="44">
        <f t="shared" si="5"/>
        <v>0.61237243569579447</v>
      </c>
      <c r="W17" s="44">
        <f t="shared" si="5"/>
        <v>0.75000000000000011</v>
      </c>
      <c r="X17" s="44">
        <f t="shared" si="5"/>
        <v>0.83651630373780783</v>
      </c>
      <c r="Y17" s="44">
        <f t="shared" si="5"/>
        <v>0.8660254037844386</v>
      </c>
      <c r="Z17" s="44">
        <f t="shared" si="5"/>
        <v>0.83651630373780794</v>
      </c>
      <c r="AA17" s="44">
        <f t="shared" si="5"/>
        <v>0.74999999999999989</v>
      </c>
      <c r="AB17" s="44">
        <f t="shared" si="5"/>
        <v>0.61237243569579458</v>
      </c>
      <c r="AC17" s="44">
        <f t="shared" si="5"/>
        <v>0.43301270189221969</v>
      </c>
      <c r="AD17" s="44">
        <f t="shared" si="5"/>
        <v>0.22414386804201331</v>
      </c>
      <c r="AE17" s="44">
        <f t="shared" si="5"/>
        <v>2.1220193707162375E-16</v>
      </c>
      <c r="AF17" s="44">
        <f t="shared" si="5"/>
        <v>-0.22414386804201364</v>
      </c>
      <c r="AG17" s="44">
        <f t="shared" si="5"/>
        <v>-0.4330127018922193</v>
      </c>
      <c r="AH17" s="44">
        <f t="shared" si="5"/>
        <v>-0.61237243569579436</v>
      </c>
      <c r="AI17" s="44">
        <f t="shared" si="5"/>
        <v>-0.74999999999999967</v>
      </c>
      <c r="AJ17" s="44">
        <f t="shared" si="5"/>
        <v>-0.83651630373780783</v>
      </c>
      <c r="AK17" s="44">
        <f t="shared" si="5"/>
        <v>-0.8660254037844386</v>
      </c>
      <c r="AL17" s="44">
        <f t="shared" si="5"/>
        <v>-0.83651630373780794</v>
      </c>
      <c r="AM17" s="44">
        <f t="shared" si="5"/>
        <v>-0.75000000000000044</v>
      </c>
      <c r="AN17" s="44">
        <f t="shared" si="5"/>
        <v>-0.61237243569579525</v>
      </c>
      <c r="AO17" s="44">
        <f t="shared" si="5"/>
        <v>-0.43301270189221913</v>
      </c>
      <c r="AP17" s="44">
        <f t="shared" si="5"/>
        <v>-0.22414386804201339</v>
      </c>
      <c r="AQ17" s="44">
        <f t="shared" si="5"/>
        <v>-3.183029056074356E-16</v>
      </c>
      <c r="AR17" s="44">
        <f t="shared" si="5"/>
        <v>0.22414386804201281</v>
      </c>
      <c r="AS17" s="44">
        <f t="shared" si="5"/>
        <v>0.43301270189221858</v>
      </c>
      <c r="AT17" s="44">
        <f t="shared" si="5"/>
        <v>0.6123724356957948</v>
      </c>
      <c r="AU17" s="44">
        <f t="shared" si="5"/>
        <v>0.75</v>
      </c>
      <c r="AV17" s="44">
        <f t="shared" si="5"/>
        <v>0.83651630373780783</v>
      </c>
      <c r="AW17" s="44">
        <f t="shared" si="5"/>
        <v>0.8660254037844386</v>
      </c>
      <c r="AX17" s="44">
        <f t="shared" si="5"/>
        <v>0.83651630373780761</v>
      </c>
      <c r="AY17" s="44">
        <f t="shared" si="5"/>
        <v>0.74999999999999967</v>
      </c>
    </row>
    <row r="18" spans="2:51" ht="17.5" customHeight="1" x14ac:dyDescent="0.35">
      <c r="B18" s="99" t="str">
        <f>IF(AND(C15=C18,E15=E18,F15=F18),"Kontrolle ok","Fehler")</f>
        <v>Kontrolle ok</v>
      </c>
      <c r="C18" s="250">
        <f>SQRT(C16^2+C17^2)</f>
        <v>1</v>
      </c>
      <c r="D18" s="5"/>
      <c r="E18" s="250">
        <f>DEGREES(F18)</f>
        <v>-59.999999999999993</v>
      </c>
      <c r="F18" s="250">
        <f>ATAN2(C16,C17)</f>
        <v>-1.0471975511965976</v>
      </c>
      <c r="J18" s="257" t="s">
        <v>471</v>
      </c>
      <c r="K18" s="258" t="str">
        <f>IF($L$18=$AI$7,K16+K17,"")</f>
        <v/>
      </c>
      <c r="L18" s="259" t="s">
        <v>66</v>
      </c>
      <c r="M18" s="44">
        <f>IF($L$18=$AI$7,M16+M17,0)</f>
        <v>0</v>
      </c>
      <c r="N18" s="44">
        <f t="shared" ref="N18:AY18" si="6">IF($L$18=$AI$7,N16+N17,0)</f>
        <v>0</v>
      </c>
      <c r="O18" s="44">
        <f t="shared" si="6"/>
        <v>0</v>
      </c>
      <c r="P18" s="44">
        <f t="shared" si="6"/>
        <v>0</v>
      </c>
      <c r="Q18" s="44">
        <f t="shared" si="6"/>
        <v>0</v>
      </c>
      <c r="R18" s="44">
        <f t="shared" si="6"/>
        <v>0</v>
      </c>
      <c r="S18" s="44">
        <f t="shared" si="6"/>
        <v>0</v>
      </c>
      <c r="T18" s="44">
        <f t="shared" si="6"/>
        <v>0</v>
      </c>
      <c r="U18" s="44">
        <f t="shared" si="6"/>
        <v>0</v>
      </c>
      <c r="V18" s="44">
        <f t="shared" si="6"/>
        <v>0</v>
      </c>
      <c r="W18" s="44">
        <f t="shared" si="6"/>
        <v>0</v>
      </c>
      <c r="X18" s="44">
        <f t="shared" si="6"/>
        <v>0</v>
      </c>
      <c r="Y18" s="44">
        <f t="shared" si="6"/>
        <v>0</v>
      </c>
      <c r="Z18" s="44">
        <f t="shared" si="6"/>
        <v>0</v>
      </c>
      <c r="AA18" s="44">
        <f t="shared" si="6"/>
        <v>0</v>
      </c>
      <c r="AB18" s="44">
        <f t="shared" si="6"/>
        <v>0</v>
      </c>
      <c r="AC18" s="44">
        <f t="shared" si="6"/>
        <v>0</v>
      </c>
      <c r="AD18" s="44">
        <f t="shared" si="6"/>
        <v>0</v>
      </c>
      <c r="AE18" s="44">
        <f t="shared" si="6"/>
        <v>0</v>
      </c>
      <c r="AF18" s="44">
        <f t="shared" si="6"/>
        <v>0</v>
      </c>
      <c r="AG18" s="44">
        <f t="shared" si="6"/>
        <v>0</v>
      </c>
      <c r="AH18" s="44">
        <f t="shared" si="6"/>
        <v>0</v>
      </c>
      <c r="AI18" s="44">
        <f t="shared" si="6"/>
        <v>0</v>
      </c>
      <c r="AJ18" s="44">
        <f t="shared" si="6"/>
        <v>0</v>
      </c>
      <c r="AK18" s="44">
        <f t="shared" si="6"/>
        <v>0</v>
      </c>
      <c r="AL18" s="44">
        <f t="shared" si="6"/>
        <v>0</v>
      </c>
      <c r="AM18" s="44">
        <f t="shared" si="6"/>
        <v>0</v>
      </c>
      <c r="AN18" s="44">
        <f t="shared" si="6"/>
        <v>0</v>
      </c>
      <c r="AO18" s="44">
        <f t="shared" si="6"/>
        <v>0</v>
      </c>
      <c r="AP18" s="44">
        <f t="shared" si="6"/>
        <v>0</v>
      </c>
      <c r="AQ18" s="44">
        <f t="shared" si="6"/>
        <v>0</v>
      </c>
      <c r="AR18" s="44">
        <f t="shared" si="6"/>
        <v>0</v>
      </c>
      <c r="AS18" s="44">
        <f t="shared" si="6"/>
        <v>0</v>
      </c>
      <c r="AT18" s="44">
        <f t="shared" si="6"/>
        <v>0</v>
      </c>
      <c r="AU18" s="44">
        <f t="shared" si="6"/>
        <v>0</v>
      </c>
      <c r="AV18" s="44">
        <f t="shared" si="6"/>
        <v>0</v>
      </c>
      <c r="AW18" s="44">
        <f t="shared" si="6"/>
        <v>0</v>
      </c>
      <c r="AX18" s="44">
        <f t="shared" si="6"/>
        <v>0</v>
      </c>
      <c r="AY18" s="44">
        <f t="shared" si="6"/>
        <v>0</v>
      </c>
    </row>
    <row r="19" spans="2:51" ht="8.5" customHeight="1" x14ac:dyDescent="0.35">
      <c r="J19" s="30"/>
      <c r="K19" s="56"/>
      <c r="L19" s="41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</row>
    <row r="20" spans="2:51" ht="8.5" customHeight="1" x14ac:dyDescent="0.35">
      <c r="J20" s="30"/>
      <c r="K20" s="56"/>
      <c r="L20" s="41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</row>
    <row r="21" spans="2:51" x14ac:dyDescent="0.35">
      <c r="J21" s="85" t="s">
        <v>472</v>
      </c>
      <c r="K21" s="86">
        <f>IF($L$21=$AI$7,K14*K15,"")</f>
        <v>0</v>
      </c>
      <c r="L21" s="87" t="s">
        <v>65</v>
      </c>
      <c r="M21" s="44">
        <f>IF($L$21=$AI$7,M14*M15,0)</f>
        <v>0</v>
      </c>
      <c r="N21" s="44">
        <f t="shared" ref="N21:AY21" si="7">IF($L$21=$AI$7,N14*N15,0)</f>
        <v>-0.1830127018922193</v>
      </c>
      <c r="O21" s="44">
        <f t="shared" si="7"/>
        <v>-0.24999999999999994</v>
      </c>
      <c r="P21" s="44">
        <f t="shared" si="7"/>
        <v>-0.18301270189221924</v>
      </c>
      <c r="Q21" s="44">
        <f t="shared" si="7"/>
        <v>0</v>
      </c>
      <c r="R21" s="44">
        <f t="shared" si="7"/>
        <v>0.25000000000000017</v>
      </c>
      <c r="S21" s="44">
        <f t="shared" si="7"/>
        <v>0.5</v>
      </c>
      <c r="T21" s="44">
        <f t="shared" si="7"/>
        <v>0.68301270189221952</v>
      </c>
      <c r="U21" s="44">
        <f t="shared" si="7"/>
        <v>0.75</v>
      </c>
      <c r="V21" s="44">
        <f t="shared" si="7"/>
        <v>0.68301270189221941</v>
      </c>
      <c r="W21" s="44">
        <f t="shared" si="7"/>
        <v>0.49999999999999994</v>
      </c>
      <c r="X21" s="44">
        <f t="shared" si="7"/>
        <v>0.25000000000000028</v>
      </c>
      <c r="Y21" s="44">
        <f t="shared" si="7"/>
        <v>1.0610096853581185E-16</v>
      </c>
      <c r="Z21" s="44">
        <f t="shared" si="7"/>
        <v>-0.18301270189221905</v>
      </c>
      <c r="AA21" s="44">
        <f t="shared" si="7"/>
        <v>-0.24999999999999983</v>
      </c>
      <c r="AB21" s="44">
        <f t="shared" si="7"/>
        <v>-0.18301270189221916</v>
      </c>
      <c r="AC21" s="44">
        <f t="shared" si="7"/>
        <v>-1.0610096853581184E-16</v>
      </c>
      <c r="AD21" s="44">
        <f t="shared" si="7"/>
        <v>0.25000000000000039</v>
      </c>
      <c r="AE21" s="44">
        <f t="shared" si="7"/>
        <v>0.50000000000000011</v>
      </c>
      <c r="AF21" s="44">
        <f t="shared" si="7"/>
        <v>0.68301270189221974</v>
      </c>
      <c r="AG21" s="44">
        <f t="shared" si="7"/>
        <v>0.75000000000000011</v>
      </c>
      <c r="AH21" s="44">
        <f t="shared" si="7"/>
        <v>0.68301270189221952</v>
      </c>
      <c r="AI21" s="44">
        <f t="shared" si="7"/>
        <v>0.50000000000000044</v>
      </c>
      <c r="AJ21" s="44">
        <f t="shared" si="7"/>
        <v>0.24999999999999989</v>
      </c>
      <c r="AK21" s="44">
        <f t="shared" si="7"/>
        <v>2.1220193707162375E-16</v>
      </c>
      <c r="AL21" s="44">
        <f t="shared" si="7"/>
        <v>-0.18301270189221899</v>
      </c>
      <c r="AM21" s="44">
        <f t="shared" si="7"/>
        <v>-0.24999999999999986</v>
      </c>
      <c r="AN21" s="44">
        <f t="shared" si="7"/>
        <v>-0.18301270189221969</v>
      </c>
      <c r="AO21" s="44">
        <f t="shared" si="7"/>
        <v>5.5698313748180192E-16</v>
      </c>
      <c r="AP21" s="44">
        <f t="shared" si="7"/>
        <v>0.25000000000000033</v>
      </c>
      <c r="AQ21" s="44">
        <f t="shared" si="7"/>
        <v>0.5</v>
      </c>
      <c r="AR21" s="44">
        <f t="shared" si="7"/>
        <v>0.6830127018922193</v>
      </c>
      <c r="AS21" s="44">
        <f t="shared" si="7"/>
        <v>0.75000000000000022</v>
      </c>
      <c r="AT21" s="44">
        <f t="shared" si="7"/>
        <v>0.68301270189221908</v>
      </c>
      <c r="AU21" s="44">
        <f t="shared" si="7"/>
        <v>0.49999999999999978</v>
      </c>
      <c r="AV21" s="44">
        <f t="shared" si="7"/>
        <v>0.25000000000000006</v>
      </c>
      <c r="AW21" s="44">
        <f t="shared" si="7"/>
        <v>3.183029056074358E-16</v>
      </c>
      <c r="AX21" s="44">
        <f t="shared" si="7"/>
        <v>-0.18301270189221999</v>
      </c>
      <c r="AY21" s="44">
        <f t="shared" si="7"/>
        <v>-0.25000000000000022</v>
      </c>
    </row>
    <row r="22" spans="2:51" ht="16.5" x14ac:dyDescent="0.35">
      <c r="J22" s="85" t="s">
        <v>474</v>
      </c>
      <c r="K22" s="86">
        <f>IF($L$21=$AI$7,K15*K16,"")</f>
        <v>0</v>
      </c>
      <c r="L22" s="87" t="s">
        <v>65</v>
      </c>
      <c r="M22" s="44">
        <f>IF($L$22=$AI$7,M14*M16,0)</f>
        <v>0</v>
      </c>
      <c r="N22" s="44">
        <f t="shared" ref="N22:AY22" si="8">IF($L$22=$AI$7,N14*N16,0)</f>
        <v>3.3493649053890337E-2</v>
      </c>
      <c r="O22" s="44">
        <f t="shared" si="8"/>
        <v>0.12499999999999999</v>
      </c>
      <c r="P22" s="44">
        <f t="shared" si="8"/>
        <v>0.25</v>
      </c>
      <c r="Q22" s="44">
        <f t="shared" si="8"/>
        <v>0.37500000000000006</v>
      </c>
      <c r="R22" s="44">
        <f t="shared" si="8"/>
        <v>0.46650635094610982</v>
      </c>
      <c r="S22" s="44">
        <f t="shared" si="8"/>
        <v>0.50000000000000011</v>
      </c>
      <c r="T22" s="44">
        <f t="shared" si="8"/>
        <v>0.46650635094610982</v>
      </c>
      <c r="U22" s="44">
        <f t="shared" si="8"/>
        <v>0.37500000000000017</v>
      </c>
      <c r="V22" s="44">
        <f t="shared" si="8"/>
        <v>0.25000000000000006</v>
      </c>
      <c r="W22" s="44">
        <f t="shared" si="8"/>
        <v>0.12499999999999999</v>
      </c>
      <c r="X22" s="44">
        <f t="shared" si="8"/>
        <v>3.3493649053890413E-2</v>
      </c>
      <c r="Y22" s="44">
        <f t="shared" si="8"/>
        <v>7.504943682824896E-33</v>
      </c>
      <c r="Z22" s="44">
        <f t="shared" si="8"/>
        <v>3.349364905389024E-2</v>
      </c>
      <c r="AA22" s="44">
        <f t="shared" si="8"/>
        <v>0.12500000000000008</v>
      </c>
      <c r="AB22" s="44">
        <f t="shared" si="8"/>
        <v>0.25</v>
      </c>
      <c r="AC22" s="44">
        <f t="shared" si="8"/>
        <v>0.37499999999999983</v>
      </c>
      <c r="AD22" s="44">
        <f t="shared" si="8"/>
        <v>0.46650635094610982</v>
      </c>
      <c r="AE22" s="44">
        <f t="shared" si="8"/>
        <v>0.50000000000000011</v>
      </c>
      <c r="AF22" s="44">
        <f t="shared" si="8"/>
        <v>0.4665063509461097</v>
      </c>
      <c r="AG22" s="44">
        <f t="shared" si="8"/>
        <v>0.37500000000000006</v>
      </c>
      <c r="AH22" s="44">
        <f t="shared" si="8"/>
        <v>0.25000000000000017</v>
      </c>
      <c r="AI22" s="44">
        <f t="shared" si="8"/>
        <v>0.12500000000000025</v>
      </c>
      <c r="AJ22" s="44">
        <f t="shared" si="8"/>
        <v>3.3493649053890323E-2</v>
      </c>
      <c r="AK22" s="44">
        <f t="shared" si="8"/>
        <v>3.0019774731299584E-32</v>
      </c>
      <c r="AL22" s="44">
        <f t="shared" si="8"/>
        <v>3.3493649053890212E-2</v>
      </c>
      <c r="AM22" s="44">
        <f t="shared" si="8"/>
        <v>0.12499999999999967</v>
      </c>
      <c r="AN22" s="44">
        <f t="shared" si="8"/>
        <v>0.24999999999999944</v>
      </c>
      <c r="AO22" s="44">
        <f t="shared" si="8"/>
        <v>0.37500000000000022</v>
      </c>
      <c r="AP22" s="44">
        <f t="shared" si="8"/>
        <v>0.46650635094610982</v>
      </c>
      <c r="AQ22" s="44">
        <f t="shared" si="8"/>
        <v>0.50000000000000011</v>
      </c>
      <c r="AR22" s="44">
        <f t="shared" si="8"/>
        <v>0.46650635094610993</v>
      </c>
      <c r="AS22" s="44">
        <f t="shared" si="8"/>
        <v>0.37500000000000056</v>
      </c>
      <c r="AT22" s="44">
        <f t="shared" si="8"/>
        <v>0.24999999999999975</v>
      </c>
      <c r="AU22" s="44">
        <f t="shared" si="8"/>
        <v>0.12499999999999992</v>
      </c>
      <c r="AV22" s="44">
        <f t="shared" si="8"/>
        <v>3.3493649053890351E-2</v>
      </c>
      <c r="AW22" s="44">
        <f t="shared" si="8"/>
        <v>6.7544493145424073E-32</v>
      </c>
      <c r="AX22" s="44">
        <f t="shared" si="8"/>
        <v>3.3493649053890628E-2</v>
      </c>
      <c r="AY22" s="44">
        <f t="shared" si="8"/>
        <v>0.12500000000000036</v>
      </c>
    </row>
    <row r="23" spans="2:51" ht="16.5" x14ac:dyDescent="0.35">
      <c r="J23" s="85" t="s">
        <v>473</v>
      </c>
      <c r="K23" s="86">
        <f>IF($L$21=$AI$7,K16*K17,"")</f>
        <v>-0.16492587387321722</v>
      </c>
      <c r="L23" s="87" t="s">
        <v>65</v>
      </c>
      <c r="M23" s="44">
        <f>IF($L$23=$AI$7,M14*M17,0)</f>
        <v>0</v>
      </c>
      <c r="N23" s="44">
        <f t="shared" ref="N23:AY23" si="9">IF($L$23=$AI$7,N14*N17,0)</f>
        <v>-0.21650635094610962</v>
      </c>
      <c r="O23" s="44">
        <f t="shared" si="9"/>
        <v>-0.37499999999999994</v>
      </c>
      <c r="P23" s="44">
        <f t="shared" si="9"/>
        <v>-0.4330127018922193</v>
      </c>
      <c r="Q23" s="44">
        <f t="shared" si="9"/>
        <v>-0.37500000000000022</v>
      </c>
      <c r="R23" s="44">
        <f t="shared" si="9"/>
        <v>-0.21650635094610948</v>
      </c>
      <c r="S23" s="44">
        <f t="shared" si="9"/>
        <v>-1.0610096853581188E-16</v>
      </c>
      <c r="T23" s="44">
        <f t="shared" si="9"/>
        <v>0.21650635094610968</v>
      </c>
      <c r="U23" s="44">
        <f t="shared" si="9"/>
        <v>0.37499999999999983</v>
      </c>
      <c r="V23" s="44">
        <f t="shared" si="9"/>
        <v>0.4330127018922193</v>
      </c>
      <c r="W23" s="44">
        <f t="shared" si="9"/>
        <v>0.375</v>
      </c>
      <c r="X23" s="44">
        <f t="shared" si="9"/>
        <v>0.21650635094610984</v>
      </c>
      <c r="Y23" s="44">
        <f t="shared" si="9"/>
        <v>1.0610096853581188E-16</v>
      </c>
      <c r="Z23" s="44">
        <f t="shared" si="9"/>
        <v>-0.21650635094610932</v>
      </c>
      <c r="AA23" s="44">
        <f t="shared" si="9"/>
        <v>-0.375</v>
      </c>
      <c r="AB23" s="44">
        <f t="shared" si="9"/>
        <v>-0.4330127018922193</v>
      </c>
      <c r="AC23" s="44">
        <f t="shared" si="9"/>
        <v>-0.37500000000000022</v>
      </c>
      <c r="AD23" s="44">
        <f t="shared" si="9"/>
        <v>-0.21650635094610959</v>
      </c>
      <c r="AE23" s="44">
        <f t="shared" si="9"/>
        <v>-2.1220193707162375E-16</v>
      </c>
      <c r="AF23" s="44">
        <f t="shared" si="9"/>
        <v>0.2165063509461099</v>
      </c>
      <c r="AG23" s="44">
        <f t="shared" si="9"/>
        <v>0.37499999999999994</v>
      </c>
      <c r="AH23" s="44">
        <f t="shared" si="9"/>
        <v>0.4330127018922193</v>
      </c>
      <c r="AI23" s="44">
        <f t="shared" si="9"/>
        <v>0.37500000000000017</v>
      </c>
      <c r="AJ23" s="44">
        <f t="shared" si="9"/>
        <v>0.21650635094610957</v>
      </c>
      <c r="AK23" s="44">
        <f t="shared" si="9"/>
        <v>2.1220193707162375E-16</v>
      </c>
      <c r="AL23" s="44">
        <f t="shared" si="9"/>
        <v>-0.21650635094610923</v>
      </c>
      <c r="AM23" s="44">
        <f t="shared" si="9"/>
        <v>-0.37499999999999967</v>
      </c>
      <c r="AN23" s="44">
        <f t="shared" si="9"/>
        <v>-0.4330127018922193</v>
      </c>
      <c r="AO23" s="44">
        <f t="shared" si="9"/>
        <v>-0.37499999999999989</v>
      </c>
      <c r="AP23" s="44">
        <f t="shared" si="9"/>
        <v>-0.21650635094610968</v>
      </c>
      <c r="AQ23" s="44">
        <f t="shared" si="9"/>
        <v>-3.183029056074356E-16</v>
      </c>
      <c r="AR23" s="44">
        <f t="shared" si="9"/>
        <v>0.21650635094610915</v>
      </c>
      <c r="AS23" s="44">
        <f t="shared" si="9"/>
        <v>0.37499999999999956</v>
      </c>
      <c r="AT23" s="44">
        <f t="shared" si="9"/>
        <v>0.4330127018922193</v>
      </c>
      <c r="AU23" s="44">
        <f t="shared" si="9"/>
        <v>0.37499999999999983</v>
      </c>
      <c r="AV23" s="44">
        <f t="shared" si="9"/>
        <v>0.21650635094610968</v>
      </c>
      <c r="AW23" s="44">
        <f t="shared" si="9"/>
        <v>3.183029056074356E-16</v>
      </c>
      <c r="AX23" s="44">
        <f t="shared" si="9"/>
        <v>-0.21650635094611048</v>
      </c>
      <c r="AY23" s="44">
        <f t="shared" si="9"/>
        <v>-0.37500000000000033</v>
      </c>
    </row>
    <row r="59" spans="3:10" ht="16.5" x14ac:dyDescent="0.45">
      <c r="C59" t="s">
        <v>449</v>
      </c>
      <c r="E59" t="s">
        <v>452</v>
      </c>
      <c r="G59" t="s">
        <v>459</v>
      </c>
    </row>
    <row r="60" spans="3:10" ht="16.5" x14ac:dyDescent="0.45">
      <c r="C60" t="s">
        <v>450</v>
      </c>
      <c r="E60" t="s">
        <v>453</v>
      </c>
      <c r="G60" t="s">
        <v>460</v>
      </c>
    </row>
    <row r="61" spans="3:10" x14ac:dyDescent="0.35">
      <c r="C61" s="248" t="s">
        <v>451</v>
      </c>
      <c r="E61" t="s">
        <v>454</v>
      </c>
    </row>
    <row r="63" spans="3:10" x14ac:dyDescent="0.35">
      <c r="C63" t="s">
        <v>456</v>
      </c>
      <c r="E63" t="s">
        <v>455</v>
      </c>
      <c r="J63" t="s">
        <v>458</v>
      </c>
    </row>
    <row r="64" spans="3:10" ht="18.5" x14ac:dyDescent="0.45">
      <c r="C64" t="s">
        <v>457</v>
      </c>
      <c r="E64" t="s">
        <v>464</v>
      </c>
    </row>
    <row r="66" spans="3:5" ht="24" x14ac:dyDescent="0.65">
      <c r="E66" s="249" t="s">
        <v>462</v>
      </c>
    </row>
    <row r="68" spans="3:5" x14ac:dyDescent="0.35">
      <c r="C68" t="s">
        <v>461</v>
      </c>
    </row>
    <row r="74" spans="3:5" x14ac:dyDescent="0.35">
      <c r="C74" t="s">
        <v>463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22" customWidth="1"/>
    <col min="18" max="18" width="11.26953125" style="222" customWidth="1"/>
    <col min="19" max="20" width="8.81640625" style="222" customWidth="1"/>
    <col min="21" max="21" width="5.7265625" style="222" customWidth="1"/>
    <col min="22" max="24" width="5.54296875" style="222" customWidth="1"/>
    <col min="25" max="25" width="10.1796875" style="222" customWidth="1"/>
    <col min="26" max="26" width="5.54296875" style="222" customWidth="1"/>
  </cols>
  <sheetData>
    <row r="1" spans="2:43" ht="15" customHeight="1" x14ac:dyDescent="0.35"/>
    <row r="2" spans="2:43" ht="23.5" x14ac:dyDescent="0.55000000000000004">
      <c r="C2" s="11" t="s">
        <v>446</v>
      </c>
      <c r="D2" s="11"/>
      <c r="R2" s="221"/>
      <c r="AD2" s="1"/>
      <c r="AG2" s="1"/>
      <c r="AQ2" t="s">
        <v>65</v>
      </c>
    </row>
    <row r="3" spans="2:43" ht="12" customHeight="1" x14ac:dyDescent="0.55000000000000004">
      <c r="B3" s="11"/>
      <c r="R3" s="221"/>
      <c r="AA3" s="260" t="s">
        <v>479</v>
      </c>
      <c r="AB3" s="261">
        <f>SQRT(3)/2</f>
        <v>0.8660254037844386</v>
      </c>
      <c r="AD3" s="1"/>
      <c r="AE3" s="262"/>
      <c r="AG3" s="260" t="s">
        <v>483</v>
      </c>
      <c r="AH3" s="261">
        <f>1/SQRT(2)</f>
        <v>0.70710678118654746</v>
      </c>
      <c r="AQ3" t="s">
        <v>66</v>
      </c>
    </row>
    <row r="4" spans="2:43" ht="14.5" customHeight="1" x14ac:dyDescent="0.55000000000000004">
      <c r="B4" s="11"/>
      <c r="R4" s="221"/>
      <c r="AA4" s="260" t="s">
        <v>478</v>
      </c>
      <c r="AB4" s="261">
        <f>COS(RADIANS(30))</f>
        <v>0.86602540378443871</v>
      </c>
      <c r="AD4" s="260" t="s">
        <v>481</v>
      </c>
      <c r="AE4" s="261">
        <f>COS(RADIANS(60))</f>
        <v>0.50000000000000011</v>
      </c>
      <c r="AG4" s="260" t="s">
        <v>482</v>
      </c>
      <c r="AH4" s="261">
        <f>COS(RADIANS(45))</f>
        <v>0.70710678118654757</v>
      </c>
    </row>
    <row r="5" spans="2:43" ht="14.5" customHeight="1" x14ac:dyDescent="0.35">
      <c r="AA5" s="260" t="s">
        <v>480</v>
      </c>
      <c r="AB5" s="261">
        <f>SIN(RADIANS(60))</f>
        <v>0.8660254037844386</v>
      </c>
      <c r="AD5" s="260" t="s">
        <v>478</v>
      </c>
      <c r="AE5" s="261">
        <f>SIN(RADIANS(30))</f>
        <v>0.49999999999999994</v>
      </c>
      <c r="AG5" s="260" t="s">
        <v>482</v>
      </c>
      <c r="AH5" s="261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4" t="s">
        <v>418</v>
      </c>
      <c r="C9" s="5"/>
      <c r="D9" s="5"/>
      <c r="E9" s="5"/>
      <c r="F9" s="5"/>
      <c r="G9" s="5"/>
      <c r="H9" s="5"/>
      <c r="I9" s="5"/>
      <c r="J9" s="5"/>
      <c r="M9" s="429" t="s">
        <v>419</v>
      </c>
      <c r="N9" s="430"/>
      <c r="O9" s="430"/>
      <c r="P9" s="430"/>
      <c r="R9" s="429" t="s">
        <v>231</v>
      </c>
      <c r="S9" s="430"/>
      <c r="T9" s="430"/>
      <c r="U9" s="430"/>
      <c r="V9" s="430"/>
      <c r="W9"/>
      <c r="X9" s="5" t="s">
        <v>485</v>
      </c>
      <c r="Y9" s="5"/>
      <c r="Z9"/>
      <c r="AA9" s="5" t="s">
        <v>484</v>
      </c>
      <c r="AB9" s="5"/>
    </row>
    <row r="10" spans="2:43" ht="16.5" x14ac:dyDescent="0.45">
      <c r="B10" s="218" t="s">
        <v>197</v>
      </c>
      <c r="C10" s="217" t="s">
        <v>613</v>
      </c>
      <c r="D10" s="217" t="s">
        <v>614</v>
      </c>
      <c r="E10" s="217" t="s">
        <v>92</v>
      </c>
      <c r="F10" s="217" t="s">
        <v>415</v>
      </c>
      <c r="G10" s="217" t="s">
        <v>92</v>
      </c>
      <c r="H10" s="217" t="s">
        <v>415</v>
      </c>
      <c r="I10" s="217" t="s">
        <v>416</v>
      </c>
      <c r="J10" s="217" t="s">
        <v>417</v>
      </c>
      <c r="M10" s="223" t="s">
        <v>423</v>
      </c>
      <c r="N10" s="223" t="s">
        <v>424</v>
      </c>
      <c r="O10" s="223" t="s">
        <v>425</v>
      </c>
      <c r="P10" s="223" t="s">
        <v>426</v>
      </c>
      <c r="Q10" s="221"/>
      <c r="R10" s="227" t="s">
        <v>420</v>
      </c>
      <c r="S10" s="223"/>
      <c r="T10" s="223"/>
      <c r="U10" s="223"/>
      <c r="V10" s="223"/>
      <c r="W10"/>
      <c r="X10" s="5">
        <v>0</v>
      </c>
      <c r="Y10" s="81">
        <f>C12*COS(G12)</f>
        <v>-162.63455967290585</v>
      </c>
      <c r="Z10"/>
      <c r="AA10" s="81">
        <f>Y10</f>
        <v>-162.63455967290585</v>
      </c>
      <c r="AB10" s="81">
        <f>Y10</f>
        <v>-162.63455967290585</v>
      </c>
    </row>
    <row r="11" spans="2:43" x14ac:dyDescent="0.35">
      <c r="B11" s="289" t="s">
        <v>443</v>
      </c>
      <c r="C11" s="215">
        <f>D11 * SQRT(2)</f>
        <v>325.26911934581187</v>
      </c>
      <c r="D11" s="215">
        <v>230</v>
      </c>
      <c r="E11" s="79">
        <v>0</v>
      </c>
      <c r="F11" s="78" t="s">
        <v>202</v>
      </c>
      <c r="G11" s="216">
        <f>E11*PI()/180</f>
        <v>0</v>
      </c>
      <c r="H11" s="78" t="s">
        <v>203</v>
      </c>
      <c r="I11" s="216">
        <f>C11*COS(G11)</f>
        <v>325.26911934581187</v>
      </c>
      <c r="J11" s="216">
        <f>C11*SIN(G11)</f>
        <v>0</v>
      </c>
      <c r="M11" s="224">
        <v>0</v>
      </c>
      <c r="N11" s="224">
        <f>I11</f>
        <v>325.26911934581187</v>
      </c>
      <c r="O11" s="224">
        <v>0</v>
      </c>
      <c r="P11" s="224">
        <f>J11</f>
        <v>0</v>
      </c>
      <c r="Q11" s="225"/>
      <c r="R11" s="226">
        <f>MAX(ABS(P11),ABS(N12),ABS(P12),ABS(N11),ABS(N14),ABS(P14))</f>
        <v>325.26911934581187</v>
      </c>
      <c r="S11" s="224">
        <f>R12</f>
        <v>357.79603128039309</v>
      </c>
      <c r="T11" s="224">
        <v>0</v>
      </c>
      <c r="U11" s="224">
        <f>-S11</f>
        <v>-357.79603128039309</v>
      </c>
      <c r="V11" s="224">
        <v>0</v>
      </c>
      <c r="W11"/>
      <c r="X11" s="5">
        <v>0</v>
      </c>
      <c r="Y11" s="5">
        <v>0</v>
      </c>
      <c r="Z11"/>
      <c r="AA11" s="5">
        <v>0</v>
      </c>
      <c r="AB11" s="81">
        <f>C12*SIN(G12)</f>
        <v>281.69132042006549</v>
      </c>
    </row>
    <row r="12" spans="2:43" x14ac:dyDescent="0.35">
      <c r="B12" s="290" t="s">
        <v>444</v>
      </c>
      <c r="C12" s="215">
        <f>D12 * SQRT(2)</f>
        <v>325.26911934581187</v>
      </c>
      <c r="D12" s="215">
        <v>230</v>
      </c>
      <c r="E12" s="79">
        <v>120</v>
      </c>
      <c r="F12" s="78" t="str">
        <f>F11</f>
        <v>°</v>
      </c>
      <c r="G12" s="216">
        <f>E12*PI()/180</f>
        <v>2.0943951023931953</v>
      </c>
      <c r="H12" s="78" t="s">
        <v>203</v>
      </c>
      <c r="I12" s="216">
        <f>C12*COS(G12)</f>
        <v>-162.63455967290585</v>
      </c>
      <c r="J12" s="216">
        <f>C12*SIN(G12)</f>
        <v>281.69132042006549</v>
      </c>
      <c r="M12" s="224">
        <v>0</v>
      </c>
      <c r="N12" s="224">
        <f>I12</f>
        <v>-162.63455967290585</v>
      </c>
      <c r="O12" s="224">
        <v>0</v>
      </c>
      <c r="P12" s="224">
        <f>J12</f>
        <v>281.69132042006549</v>
      </c>
      <c r="Q12" s="225"/>
      <c r="R12" s="226">
        <f>R11*1.1</f>
        <v>357.79603128039309</v>
      </c>
      <c r="S12" s="224">
        <v>0</v>
      </c>
      <c r="T12" s="224">
        <f>S11</f>
        <v>357.79603128039309</v>
      </c>
      <c r="U12" s="224">
        <v>0</v>
      </c>
      <c r="V12" s="224">
        <f>U11</f>
        <v>-357.79603128039309</v>
      </c>
      <c r="W12"/>
      <c r="X12"/>
      <c r="Y12"/>
      <c r="Z12"/>
    </row>
    <row r="13" spans="2:43" x14ac:dyDescent="0.35">
      <c r="B13" s="291" t="s">
        <v>564</v>
      </c>
      <c r="C13" s="215">
        <f>D13 * SQRT(2)</f>
        <v>325.26911934581187</v>
      </c>
      <c r="D13" s="215">
        <v>230</v>
      </c>
      <c r="E13" s="79">
        <v>240</v>
      </c>
      <c r="F13" s="78" t="str">
        <f>F12</f>
        <v>°</v>
      </c>
      <c r="G13" s="216">
        <f>E13*PI()/180</f>
        <v>4.1887902047863905</v>
      </c>
      <c r="H13" s="78" t="s">
        <v>203</v>
      </c>
      <c r="I13" s="216">
        <f>C13*COS(G13)</f>
        <v>-162.63455967290608</v>
      </c>
      <c r="J13" s="216">
        <f>C13*SIN(G13)</f>
        <v>-281.69132042006538</v>
      </c>
      <c r="M13" s="224">
        <v>0</v>
      </c>
      <c r="N13" s="224">
        <f>I13</f>
        <v>-162.63455967290608</v>
      </c>
      <c r="O13" s="224">
        <v>0</v>
      </c>
      <c r="P13" s="224">
        <f>J13</f>
        <v>-281.69132042006538</v>
      </c>
      <c r="Q13" s="225"/>
      <c r="R13" s="226">
        <f>R12*1.1</f>
        <v>393.57563440843245</v>
      </c>
      <c r="S13" s="224">
        <v>0</v>
      </c>
      <c r="T13" s="224">
        <f>S12</f>
        <v>0</v>
      </c>
      <c r="U13" s="224">
        <v>0</v>
      </c>
      <c r="V13" s="224">
        <f>U12</f>
        <v>0</v>
      </c>
      <c r="W13"/>
      <c r="X13"/>
      <c r="Y13"/>
      <c r="Z13"/>
    </row>
    <row r="14" spans="2:43" ht="16.5" x14ac:dyDescent="0.45">
      <c r="B14" s="228" t="s">
        <v>445</v>
      </c>
      <c r="C14" s="216">
        <f>SQRT(I14^2+J14^2)</f>
        <v>563.38264084013099</v>
      </c>
      <c r="D14" s="216"/>
      <c r="E14" s="216">
        <f>G14*180/PI()</f>
        <v>149.99999999999997</v>
      </c>
      <c r="F14" s="78" t="str">
        <f>F12</f>
        <v>°</v>
      </c>
      <c r="G14" s="216">
        <f>ATAN2(I14,J14)</f>
        <v>2.617993877991494</v>
      </c>
      <c r="H14" s="78" t="str">
        <f>H12</f>
        <v>rad</v>
      </c>
      <c r="I14" s="216">
        <f>I12-I11</f>
        <v>-487.90367901871775</v>
      </c>
      <c r="J14" s="216">
        <f>J12-J11</f>
        <v>281.69132042006549</v>
      </c>
      <c r="M14" s="224">
        <f>N11</f>
        <v>325.26911934581187</v>
      </c>
      <c r="N14" s="224">
        <f>N12</f>
        <v>-162.63455967290585</v>
      </c>
      <c r="O14" s="224">
        <f>P11</f>
        <v>0</v>
      </c>
      <c r="P14" s="224">
        <f>P12</f>
        <v>281.69132042006549</v>
      </c>
      <c r="W14"/>
      <c r="X14" s="1" t="s">
        <v>486</v>
      </c>
      <c r="Y14" s="263">
        <f>C11-Y10</f>
        <v>487.90367901871775</v>
      </c>
      <c r="Z14"/>
    </row>
    <row r="15" spans="2:43" ht="16.5" x14ac:dyDescent="0.45">
      <c r="AB15" s="1" t="s">
        <v>487</v>
      </c>
      <c r="AC15" s="263">
        <f>AB11</f>
        <v>281.69132042006549</v>
      </c>
    </row>
    <row r="16" spans="2:43" ht="16.5" x14ac:dyDescent="0.45">
      <c r="AB16" s="228" t="s">
        <v>488</v>
      </c>
      <c r="AC16" s="263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62"/>
    </row>
    <row r="18" spans="17:59" x14ac:dyDescent="0.35">
      <c r="AB18" s="1"/>
      <c r="AC18" s="262"/>
    </row>
    <row r="20" spans="17:59" x14ac:dyDescent="0.35">
      <c r="Q20" s="222" t="s">
        <v>208</v>
      </c>
      <c r="R20" s="222">
        <v>0</v>
      </c>
      <c r="S20" s="222">
        <f>R20+10</f>
        <v>10</v>
      </c>
      <c r="T20" s="222">
        <f t="shared" ref="T20:BB20" si="0">S20+10</f>
        <v>20</v>
      </c>
      <c r="U20" s="222">
        <f t="shared" si="0"/>
        <v>30</v>
      </c>
      <c r="V20" s="222">
        <f t="shared" si="0"/>
        <v>40</v>
      </c>
      <c r="W20" s="222">
        <f t="shared" si="0"/>
        <v>50</v>
      </c>
      <c r="X20" s="222">
        <f t="shared" si="0"/>
        <v>60</v>
      </c>
      <c r="Y20" s="222">
        <f t="shared" si="0"/>
        <v>70</v>
      </c>
      <c r="Z20" s="222">
        <f t="shared" si="0"/>
        <v>80</v>
      </c>
      <c r="AA20" s="222">
        <f t="shared" si="0"/>
        <v>90</v>
      </c>
      <c r="AB20" s="222">
        <f t="shared" si="0"/>
        <v>100</v>
      </c>
      <c r="AC20" s="222">
        <f t="shared" si="0"/>
        <v>110</v>
      </c>
      <c r="AD20" s="222">
        <f t="shared" si="0"/>
        <v>120</v>
      </c>
      <c r="AE20" s="222">
        <f t="shared" si="0"/>
        <v>130</v>
      </c>
      <c r="AF20" s="222">
        <f t="shared" si="0"/>
        <v>140</v>
      </c>
      <c r="AG20" s="222">
        <f t="shared" si="0"/>
        <v>150</v>
      </c>
      <c r="AH20" s="222">
        <f t="shared" si="0"/>
        <v>160</v>
      </c>
      <c r="AI20" s="222">
        <f t="shared" si="0"/>
        <v>170</v>
      </c>
      <c r="AJ20" s="222">
        <f t="shared" si="0"/>
        <v>180</v>
      </c>
      <c r="AK20" s="222">
        <f t="shared" si="0"/>
        <v>190</v>
      </c>
      <c r="AL20" s="222">
        <f t="shared" si="0"/>
        <v>200</v>
      </c>
      <c r="AM20" s="222">
        <f t="shared" si="0"/>
        <v>210</v>
      </c>
      <c r="AN20" s="222">
        <f t="shared" si="0"/>
        <v>220</v>
      </c>
      <c r="AO20" s="222">
        <f t="shared" si="0"/>
        <v>230</v>
      </c>
      <c r="AP20" s="222">
        <f t="shared" si="0"/>
        <v>240</v>
      </c>
      <c r="AQ20" s="222">
        <f t="shared" si="0"/>
        <v>250</v>
      </c>
      <c r="AR20" s="222">
        <f t="shared" si="0"/>
        <v>260</v>
      </c>
      <c r="AS20" s="222">
        <f t="shared" si="0"/>
        <v>270</v>
      </c>
      <c r="AT20" s="222">
        <f t="shared" si="0"/>
        <v>280</v>
      </c>
      <c r="AU20" s="222">
        <f t="shared" si="0"/>
        <v>290</v>
      </c>
      <c r="AV20" s="222">
        <f t="shared" si="0"/>
        <v>300</v>
      </c>
      <c r="AW20" s="222">
        <f t="shared" si="0"/>
        <v>310</v>
      </c>
      <c r="AX20" s="222">
        <f t="shared" si="0"/>
        <v>320</v>
      </c>
      <c r="AY20" s="222">
        <f t="shared" si="0"/>
        <v>330</v>
      </c>
      <c r="AZ20" s="222">
        <f t="shared" si="0"/>
        <v>340</v>
      </c>
      <c r="BA20" s="222">
        <f t="shared" si="0"/>
        <v>350</v>
      </c>
      <c r="BB20" s="222">
        <f t="shared" si="0"/>
        <v>360</v>
      </c>
      <c r="BC20" s="222"/>
      <c r="BD20" s="222"/>
      <c r="BE20" s="222"/>
      <c r="BF20" s="222"/>
      <c r="BG20" s="222"/>
    </row>
    <row r="21" spans="17:59" x14ac:dyDescent="0.35">
      <c r="Q21" s="222" t="s">
        <v>209</v>
      </c>
      <c r="R21" s="222">
        <f>R20*PI()/180</f>
        <v>0</v>
      </c>
      <c r="S21" s="222">
        <f t="shared" ref="S21:BB21" si="1">S20*PI()/180</f>
        <v>0.17453292519943295</v>
      </c>
      <c r="T21" s="222">
        <f t="shared" si="1"/>
        <v>0.3490658503988659</v>
      </c>
      <c r="U21" s="222">
        <f t="shared" si="1"/>
        <v>0.52359877559829882</v>
      </c>
      <c r="V21" s="222">
        <f t="shared" si="1"/>
        <v>0.69813170079773179</v>
      </c>
      <c r="W21" s="222">
        <f t="shared" si="1"/>
        <v>0.87266462599716477</v>
      </c>
      <c r="X21" s="222">
        <f t="shared" si="1"/>
        <v>1.0471975511965976</v>
      </c>
      <c r="Y21" s="222">
        <f t="shared" si="1"/>
        <v>1.2217304763960306</v>
      </c>
      <c r="Z21" s="222">
        <f t="shared" si="1"/>
        <v>1.3962634015954636</v>
      </c>
      <c r="AA21" s="222">
        <f t="shared" si="1"/>
        <v>1.5707963267948966</v>
      </c>
      <c r="AB21" s="222">
        <f t="shared" si="1"/>
        <v>1.7453292519943295</v>
      </c>
      <c r="AC21" s="222">
        <f t="shared" si="1"/>
        <v>1.9198621771937625</v>
      </c>
      <c r="AD21" s="222">
        <f t="shared" si="1"/>
        <v>2.0943951023931953</v>
      </c>
      <c r="AE21" s="222">
        <f t="shared" si="1"/>
        <v>2.2689280275926285</v>
      </c>
      <c r="AF21" s="222">
        <f t="shared" si="1"/>
        <v>2.4434609527920612</v>
      </c>
      <c r="AG21" s="222">
        <f t="shared" si="1"/>
        <v>2.6179938779914944</v>
      </c>
      <c r="AH21" s="222">
        <f t="shared" si="1"/>
        <v>2.7925268031909272</v>
      </c>
      <c r="AI21" s="222">
        <f t="shared" si="1"/>
        <v>2.9670597283903604</v>
      </c>
      <c r="AJ21" s="222">
        <f t="shared" si="1"/>
        <v>3.1415926535897931</v>
      </c>
      <c r="AK21" s="222">
        <f t="shared" si="1"/>
        <v>3.3161255787892263</v>
      </c>
      <c r="AL21" s="222">
        <f t="shared" si="1"/>
        <v>3.4906585039886591</v>
      </c>
      <c r="AM21" s="222">
        <f t="shared" si="1"/>
        <v>3.6651914291880923</v>
      </c>
      <c r="AN21" s="222">
        <f t="shared" si="1"/>
        <v>3.839724354387525</v>
      </c>
      <c r="AO21" s="222">
        <f t="shared" si="1"/>
        <v>4.0142572795869578</v>
      </c>
      <c r="AP21" s="222">
        <f t="shared" si="1"/>
        <v>4.1887902047863905</v>
      </c>
      <c r="AQ21" s="222">
        <f t="shared" si="1"/>
        <v>4.3633231299858233</v>
      </c>
      <c r="AR21" s="222">
        <f t="shared" si="1"/>
        <v>4.5378560551852569</v>
      </c>
      <c r="AS21" s="222">
        <f t="shared" si="1"/>
        <v>4.7123889803846897</v>
      </c>
      <c r="AT21" s="222">
        <f t="shared" si="1"/>
        <v>4.8869219055841224</v>
      </c>
      <c r="AU21" s="222">
        <f t="shared" si="1"/>
        <v>5.0614548307835552</v>
      </c>
      <c r="AV21" s="222">
        <f t="shared" si="1"/>
        <v>5.2359877559829888</v>
      </c>
      <c r="AW21" s="222">
        <f t="shared" si="1"/>
        <v>5.4105206811824216</v>
      </c>
      <c r="AX21" s="222">
        <f t="shared" si="1"/>
        <v>5.5850536063818543</v>
      </c>
      <c r="AY21" s="222">
        <f t="shared" si="1"/>
        <v>5.7595865315812871</v>
      </c>
      <c r="AZ21" s="222">
        <f t="shared" si="1"/>
        <v>5.9341194567807207</v>
      </c>
      <c r="BA21" s="222">
        <f t="shared" si="1"/>
        <v>6.1086523819801526</v>
      </c>
      <c r="BB21" s="222">
        <f t="shared" si="1"/>
        <v>6.2831853071795862</v>
      </c>
    </row>
    <row r="22" spans="17:59" x14ac:dyDescent="0.35">
      <c r="Q22" s="289" t="s">
        <v>447</v>
      </c>
      <c r="R22" s="222">
        <f t="shared" ref="R22:BB22" si="2">$C$11*SIN(R21+$G$11)</f>
        <v>0</v>
      </c>
      <c r="S22" s="222">
        <f t="shared" si="2"/>
        <v>56.482389825727509</v>
      </c>
      <c r="T22" s="222">
        <f t="shared" si="2"/>
        <v>111.24859081806862</v>
      </c>
      <c r="U22" s="222">
        <f t="shared" si="2"/>
        <v>162.63455967290591</v>
      </c>
      <c r="V22" s="222">
        <f t="shared" si="2"/>
        <v>209.07895972914008</v>
      </c>
      <c r="W22" s="222">
        <f t="shared" si="2"/>
        <v>249.17060139306287</v>
      </c>
      <c r="X22" s="222">
        <f t="shared" si="2"/>
        <v>281.69132042006549</v>
      </c>
      <c r="Y22" s="222">
        <f t="shared" si="2"/>
        <v>305.65299121879036</v>
      </c>
      <c r="Z22" s="222">
        <f t="shared" si="2"/>
        <v>320.32755054720872</v>
      </c>
      <c r="AA22" s="222">
        <f t="shared" si="2"/>
        <v>325.26911934581187</v>
      </c>
      <c r="AB22" s="222">
        <f t="shared" si="2"/>
        <v>320.32755054720872</v>
      </c>
      <c r="AC22" s="222">
        <f t="shared" si="2"/>
        <v>305.65299121879036</v>
      </c>
      <c r="AD22" s="222">
        <f t="shared" si="2"/>
        <v>281.69132042006549</v>
      </c>
      <c r="AE22" s="222">
        <f t="shared" si="2"/>
        <v>249.17060139306287</v>
      </c>
      <c r="AF22" s="222">
        <f t="shared" si="2"/>
        <v>209.07895972914014</v>
      </c>
      <c r="AG22" s="222">
        <f t="shared" si="2"/>
        <v>162.63455967290591</v>
      </c>
      <c r="AH22" s="222">
        <f t="shared" si="2"/>
        <v>111.24859081806868</v>
      </c>
      <c r="AI22" s="222">
        <f t="shared" si="2"/>
        <v>56.482389825727488</v>
      </c>
      <c r="AJ22" s="222">
        <f t="shared" si="2"/>
        <v>3.9850295899600895E-14</v>
      </c>
      <c r="AK22" s="222">
        <f t="shared" si="2"/>
        <v>-56.482389825727552</v>
      </c>
      <c r="AL22" s="222">
        <f t="shared" si="2"/>
        <v>-111.24859081806861</v>
      </c>
      <c r="AM22" s="222">
        <f t="shared" si="2"/>
        <v>-162.63455967290597</v>
      </c>
      <c r="AN22" s="222">
        <f t="shared" si="2"/>
        <v>-209.07895972914008</v>
      </c>
      <c r="AO22" s="222">
        <f t="shared" si="2"/>
        <v>-249.17060139306281</v>
      </c>
      <c r="AP22" s="222">
        <f t="shared" si="2"/>
        <v>-281.69132042006538</v>
      </c>
      <c r="AQ22" s="222">
        <f t="shared" si="2"/>
        <v>-305.65299121879031</v>
      </c>
      <c r="AR22" s="222">
        <f t="shared" si="2"/>
        <v>-320.32755054720872</v>
      </c>
      <c r="AS22" s="222">
        <f t="shared" si="2"/>
        <v>-325.26911934581187</v>
      </c>
      <c r="AT22" s="222">
        <f t="shared" si="2"/>
        <v>-320.32755054720877</v>
      </c>
      <c r="AU22" s="222">
        <f t="shared" si="2"/>
        <v>-305.65299121879042</v>
      </c>
      <c r="AV22" s="222">
        <f t="shared" si="2"/>
        <v>-281.69132042006549</v>
      </c>
      <c r="AW22" s="222">
        <f t="shared" si="2"/>
        <v>-249.1706013930629</v>
      </c>
      <c r="AX22" s="222">
        <f t="shared" si="2"/>
        <v>-209.07895972914019</v>
      </c>
      <c r="AY22" s="222">
        <f t="shared" si="2"/>
        <v>-162.63455967290608</v>
      </c>
      <c r="AZ22" s="222">
        <f t="shared" si="2"/>
        <v>-111.24859081806858</v>
      </c>
      <c r="BA22" s="222">
        <f t="shared" si="2"/>
        <v>-56.482389825727815</v>
      </c>
      <c r="BB22" s="222">
        <f t="shared" si="2"/>
        <v>-7.9700591799201791E-14</v>
      </c>
    </row>
    <row r="23" spans="17:59" ht="16" customHeight="1" x14ac:dyDescent="0.35">
      <c r="Q23" s="290" t="s">
        <v>565</v>
      </c>
      <c r="R23" s="222">
        <f t="shared" ref="R23:BB23" si="3">$C$12*SIN(R21+$G$12)</f>
        <v>281.69132042006549</v>
      </c>
      <c r="S23" s="222">
        <f t="shared" si="3"/>
        <v>249.17060139306295</v>
      </c>
      <c r="T23" s="222">
        <f t="shared" si="3"/>
        <v>209.07895972914014</v>
      </c>
      <c r="U23" s="222">
        <f t="shared" si="3"/>
        <v>162.63455967290605</v>
      </c>
      <c r="V23" s="222">
        <f t="shared" si="3"/>
        <v>111.24859081806868</v>
      </c>
      <c r="W23" s="222">
        <f t="shared" si="3"/>
        <v>56.482389825727623</v>
      </c>
      <c r="X23" s="222">
        <f t="shared" si="3"/>
        <v>3.9850295899600895E-14</v>
      </c>
      <c r="Y23" s="222">
        <f t="shared" si="3"/>
        <v>-56.48238982572741</v>
      </c>
      <c r="Z23" s="222">
        <f t="shared" si="3"/>
        <v>-111.24859081806845</v>
      </c>
      <c r="AA23" s="222">
        <f t="shared" si="3"/>
        <v>-162.63455967290585</v>
      </c>
      <c r="AB23" s="222">
        <f t="shared" si="3"/>
        <v>-209.07895972914008</v>
      </c>
      <c r="AC23" s="222">
        <f t="shared" si="3"/>
        <v>-249.17060139306281</v>
      </c>
      <c r="AD23" s="222">
        <f t="shared" si="3"/>
        <v>-281.69132042006538</v>
      </c>
      <c r="AE23" s="222">
        <f t="shared" si="3"/>
        <v>-305.65299121879036</v>
      </c>
      <c r="AF23" s="222">
        <f t="shared" si="3"/>
        <v>-320.32755054720872</v>
      </c>
      <c r="AG23" s="222">
        <f t="shared" si="3"/>
        <v>-325.26911934581187</v>
      </c>
      <c r="AH23" s="222">
        <f t="shared" si="3"/>
        <v>-320.32755054720877</v>
      </c>
      <c r="AI23" s="222">
        <f t="shared" si="3"/>
        <v>-305.65299121879042</v>
      </c>
      <c r="AJ23" s="222">
        <f t="shared" si="3"/>
        <v>-281.69132042006561</v>
      </c>
      <c r="AK23" s="222">
        <f t="shared" si="3"/>
        <v>-249.1706013930629</v>
      </c>
      <c r="AL23" s="222">
        <f t="shared" si="3"/>
        <v>-209.07895972914019</v>
      </c>
      <c r="AM23" s="222">
        <f t="shared" si="3"/>
        <v>-162.63455967290582</v>
      </c>
      <c r="AN23" s="222">
        <f t="shared" si="3"/>
        <v>-111.24859081806858</v>
      </c>
      <c r="AO23" s="222">
        <f t="shared" si="3"/>
        <v>-56.482389825727523</v>
      </c>
      <c r="AP23" s="222">
        <f t="shared" si="3"/>
        <v>-7.9700591799201791E-14</v>
      </c>
      <c r="AQ23" s="222">
        <f t="shared" si="3"/>
        <v>56.482389825727374</v>
      </c>
      <c r="AR23" s="222">
        <f t="shared" si="3"/>
        <v>111.24859081806842</v>
      </c>
      <c r="AS23" s="222">
        <f t="shared" si="3"/>
        <v>162.63455967290571</v>
      </c>
      <c r="AT23" s="222">
        <f t="shared" si="3"/>
        <v>209.07895972913983</v>
      </c>
      <c r="AU23" s="222">
        <f t="shared" si="3"/>
        <v>249.17060139306261</v>
      </c>
      <c r="AV23" s="222">
        <f t="shared" si="3"/>
        <v>281.69132042006555</v>
      </c>
      <c r="AW23" s="222">
        <f t="shared" si="3"/>
        <v>305.65299121879036</v>
      </c>
      <c r="AX23" s="222">
        <f t="shared" si="3"/>
        <v>320.32755054720872</v>
      </c>
      <c r="AY23" s="222">
        <f t="shared" si="3"/>
        <v>325.26911934581187</v>
      </c>
      <c r="AZ23" s="222">
        <f t="shared" si="3"/>
        <v>320.32755054720877</v>
      </c>
      <c r="BA23" s="222">
        <f t="shared" si="3"/>
        <v>305.65299121879048</v>
      </c>
      <c r="BB23" s="222">
        <f t="shared" si="3"/>
        <v>281.69132042006567</v>
      </c>
    </row>
    <row r="24" spans="17:59" ht="16" customHeight="1" x14ac:dyDescent="0.35">
      <c r="Q24" s="291" t="s">
        <v>564</v>
      </c>
      <c r="R24" s="222">
        <f t="shared" ref="R24:BB24" si="4">$C$13*SIN(R21+$G$13)</f>
        <v>-281.69132042006538</v>
      </c>
      <c r="S24" s="222">
        <f t="shared" si="4"/>
        <v>-305.65299121879031</v>
      </c>
      <c r="T24" s="222">
        <f t="shared" si="4"/>
        <v>-320.32755054720866</v>
      </c>
      <c r="U24" s="222">
        <f t="shared" si="4"/>
        <v>-325.26911934581187</v>
      </c>
      <c r="V24" s="222">
        <f t="shared" si="4"/>
        <v>-320.32755054720877</v>
      </c>
      <c r="W24" s="222">
        <f t="shared" si="4"/>
        <v>-305.65299121879042</v>
      </c>
      <c r="X24" s="222">
        <f t="shared" si="4"/>
        <v>-281.69132042006561</v>
      </c>
      <c r="Y24" s="222">
        <f t="shared" si="4"/>
        <v>-249.17060139306307</v>
      </c>
      <c r="Z24" s="222">
        <f t="shared" si="4"/>
        <v>-209.07895972914019</v>
      </c>
      <c r="AA24" s="222">
        <f t="shared" si="4"/>
        <v>-162.63455967290608</v>
      </c>
      <c r="AB24" s="222">
        <f t="shared" si="4"/>
        <v>-111.24859081806885</v>
      </c>
      <c r="AC24" s="222">
        <f t="shared" si="4"/>
        <v>-56.482389825727523</v>
      </c>
      <c r="AD24" s="222">
        <f t="shared" si="4"/>
        <v>-7.9700591799201791E-14</v>
      </c>
      <c r="AE24" s="222">
        <f t="shared" si="4"/>
        <v>56.482389825727374</v>
      </c>
      <c r="AF24" s="222">
        <f t="shared" si="4"/>
        <v>111.24859081806842</v>
      </c>
      <c r="AG24" s="222">
        <f t="shared" si="4"/>
        <v>162.63455967290571</v>
      </c>
      <c r="AH24" s="222">
        <f t="shared" si="4"/>
        <v>209.07895972913983</v>
      </c>
      <c r="AI24" s="222">
        <f t="shared" si="4"/>
        <v>249.17060139306278</v>
      </c>
      <c r="AJ24" s="222">
        <f t="shared" si="4"/>
        <v>281.69132042006538</v>
      </c>
      <c r="AK24" s="222">
        <f t="shared" si="4"/>
        <v>305.65299121879036</v>
      </c>
      <c r="AL24" s="222">
        <f t="shared" si="4"/>
        <v>320.32755054720872</v>
      </c>
      <c r="AM24" s="222">
        <f t="shared" si="4"/>
        <v>325.26911934581187</v>
      </c>
      <c r="AN24" s="222">
        <f t="shared" si="4"/>
        <v>320.32755054720877</v>
      </c>
      <c r="AO24" s="222">
        <f t="shared" si="4"/>
        <v>305.65299121879048</v>
      </c>
      <c r="AP24" s="222">
        <f t="shared" si="4"/>
        <v>281.69132042006567</v>
      </c>
      <c r="AQ24" s="222">
        <f t="shared" si="4"/>
        <v>249.17060139306309</v>
      </c>
      <c r="AR24" s="222">
        <f t="shared" si="4"/>
        <v>209.07895972914</v>
      </c>
      <c r="AS24" s="222">
        <f t="shared" si="4"/>
        <v>162.63455967290585</v>
      </c>
      <c r="AT24" s="222">
        <f t="shared" si="4"/>
        <v>111.24859081806862</v>
      </c>
      <c r="AU24" s="222">
        <f t="shared" si="4"/>
        <v>56.482389825727559</v>
      </c>
      <c r="AV24" s="222">
        <f t="shared" si="4"/>
        <v>1.1955088769880268E-13</v>
      </c>
      <c r="AW24" s="222">
        <f t="shared" si="4"/>
        <v>-56.482389825727324</v>
      </c>
      <c r="AX24" s="222">
        <f t="shared" si="4"/>
        <v>-111.24859081806838</v>
      </c>
      <c r="AY24" s="222">
        <f t="shared" si="4"/>
        <v>-162.63455967290565</v>
      </c>
      <c r="AZ24" s="222">
        <f t="shared" si="4"/>
        <v>-209.0789597291398</v>
      </c>
      <c r="BA24" s="222">
        <f t="shared" si="4"/>
        <v>-249.17060139306255</v>
      </c>
      <c r="BB24" s="222">
        <f t="shared" si="4"/>
        <v>-281.69132042006521</v>
      </c>
    </row>
    <row r="25" spans="17:59" ht="16" hidden="1" customHeight="1" x14ac:dyDescent="0.45">
      <c r="Q25" s="228" t="s">
        <v>448</v>
      </c>
      <c r="R25" s="222">
        <f>R22-R24</f>
        <v>281.69132042006538</v>
      </c>
      <c r="S25" s="222">
        <f t="shared" ref="S25:BB25" si="5">S22-S24</f>
        <v>362.13538104451783</v>
      </c>
      <c r="T25" s="222">
        <f t="shared" si="5"/>
        <v>431.57614136527729</v>
      </c>
      <c r="U25" s="222">
        <f t="shared" si="5"/>
        <v>487.90367901871775</v>
      </c>
      <c r="V25" s="222">
        <f t="shared" si="5"/>
        <v>529.40651027634885</v>
      </c>
      <c r="W25" s="222">
        <f t="shared" si="5"/>
        <v>554.82359261185331</v>
      </c>
      <c r="X25" s="222">
        <f t="shared" si="5"/>
        <v>563.3826408401311</v>
      </c>
      <c r="Y25" s="222">
        <f t="shared" si="5"/>
        <v>554.82359261185343</v>
      </c>
      <c r="Z25" s="222">
        <f t="shared" si="5"/>
        <v>529.40651027634885</v>
      </c>
      <c r="AA25" s="222">
        <f t="shared" si="5"/>
        <v>487.90367901871798</v>
      </c>
      <c r="AB25" s="222">
        <f t="shared" si="5"/>
        <v>431.57614136527758</v>
      </c>
      <c r="AC25" s="222">
        <f t="shared" si="5"/>
        <v>362.13538104451789</v>
      </c>
      <c r="AD25" s="222">
        <f t="shared" si="5"/>
        <v>281.69132042006555</v>
      </c>
      <c r="AE25" s="222">
        <f t="shared" si="5"/>
        <v>192.68821156733549</v>
      </c>
      <c r="AF25" s="222">
        <f t="shared" si="5"/>
        <v>97.830368911071716</v>
      </c>
      <c r="AG25" s="222">
        <f t="shared" si="5"/>
        <v>0</v>
      </c>
      <c r="AH25" s="222">
        <f t="shared" si="5"/>
        <v>-97.830368911071147</v>
      </c>
      <c r="AI25" s="222">
        <f t="shared" si="5"/>
        <v>-192.68821156733529</v>
      </c>
      <c r="AJ25" s="222">
        <f t="shared" si="5"/>
        <v>-281.69132042006532</v>
      </c>
      <c r="AK25" s="222">
        <f t="shared" si="5"/>
        <v>-362.13538104451789</v>
      </c>
      <c r="AL25" s="222">
        <f t="shared" si="5"/>
        <v>-431.57614136527729</v>
      </c>
      <c r="AM25" s="222">
        <f t="shared" si="5"/>
        <v>-487.90367901871787</v>
      </c>
      <c r="AN25" s="222">
        <f t="shared" si="5"/>
        <v>-529.40651027634885</v>
      </c>
      <c r="AO25" s="222">
        <f t="shared" si="5"/>
        <v>-554.82359261185331</v>
      </c>
      <c r="AP25" s="222">
        <f t="shared" si="5"/>
        <v>-563.38264084013099</v>
      </c>
      <c r="AQ25" s="222">
        <f t="shared" si="5"/>
        <v>-554.82359261185343</v>
      </c>
      <c r="AR25" s="222">
        <f t="shared" si="5"/>
        <v>-529.40651027634874</v>
      </c>
      <c r="AS25" s="222">
        <f t="shared" si="5"/>
        <v>-487.90367901871775</v>
      </c>
      <c r="AT25" s="222">
        <f t="shared" si="5"/>
        <v>-431.57614136527741</v>
      </c>
      <c r="AU25" s="222">
        <f t="shared" si="5"/>
        <v>-362.135381044518</v>
      </c>
      <c r="AV25" s="222">
        <f t="shared" si="5"/>
        <v>-281.69132042006561</v>
      </c>
      <c r="AW25" s="222">
        <f t="shared" si="5"/>
        <v>-192.68821156733557</v>
      </c>
      <c r="AX25" s="222">
        <f t="shared" si="5"/>
        <v>-97.830368911071815</v>
      </c>
      <c r="AY25" s="222">
        <f t="shared" si="5"/>
        <v>-4.2632564145606011E-13</v>
      </c>
      <c r="AZ25" s="222">
        <f t="shared" si="5"/>
        <v>97.830368911071218</v>
      </c>
      <c r="BA25" s="222">
        <f t="shared" si="5"/>
        <v>192.68821156733475</v>
      </c>
      <c r="BB25" s="222">
        <f t="shared" si="5"/>
        <v>281.69132042006515</v>
      </c>
    </row>
    <row r="26" spans="17:59" ht="16" customHeight="1" x14ac:dyDescent="0.45">
      <c r="Q26" s="228" t="s">
        <v>445</v>
      </c>
      <c r="R26" s="222">
        <f>R22-R23</f>
        <v>-281.69132042006549</v>
      </c>
      <c r="S26" s="222">
        <f t="shared" ref="S26:BB26" si="6">S22-S23</f>
        <v>-192.68821156733543</v>
      </c>
      <c r="T26" s="222">
        <f t="shared" si="6"/>
        <v>-97.830368911071517</v>
      </c>
      <c r="U26" s="222">
        <f t="shared" si="6"/>
        <v>0</v>
      </c>
      <c r="V26" s="222">
        <f t="shared" si="6"/>
        <v>97.830368911071403</v>
      </c>
      <c r="W26" s="222">
        <f t="shared" si="6"/>
        <v>192.68821156733526</v>
      </c>
      <c r="X26" s="222">
        <f t="shared" si="6"/>
        <v>281.69132042006544</v>
      </c>
      <c r="Y26" s="222">
        <f t="shared" si="6"/>
        <v>362.13538104451777</v>
      </c>
      <c r="Z26" s="222">
        <f t="shared" si="6"/>
        <v>431.57614136527718</v>
      </c>
      <c r="AA26" s="222">
        <f t="shared" si="6"/>
        <v>487.90367901871775</v>
      </c>
      <c r="AB26" s="222">
        <f t="shared" si="6"/>
        <v>529.40651027634885</v>
      </c>
      <c r="AC26" s="222">
        <f t="shared" si="6"/>
        <v>554.8235926118532</v>
      </c>
      <c r="AD26" s="222">
        <f t="shared" si="6"/>
        <v>563.38264084013088</v>
      </c>
      <c r="AE26" s="222">
        <f t="shared" si="6"/>
        <v>554.8235926118532</v>
      </c>
      <c r="AF26" s="222">
        <f t="shared" si="6"/>
        <v>529.40651027634885</v>
      </c>
      <c r="AG26" s="222">
        <f t="shared" si="6"/>
        <v>487.90367901871775</v>
      </c>
      <c r="AH26" s="222">
        <f t="shared" si="6"/>
        <v>431.57614136527746</v>
      </c>
      <c r="AI26" s="222">
        <f t="shared" si="6"/>
        <v>362.13538104451789</v>
      </c>
      <c r="AJ26" s="222">
        <f t="shared" si="6"/>
        <v>281.69132042006567</v>
      </c>
      <c r="AK26" s="222">
        <f t="shared" si="6"/>
        <v>192.68821156733534</v>
      </c>
      <c r="AL26" s="222">
        <f t="shared" si="6"/>
        <v>97.830368911071588</v>
      </c>
      <c r="AM26" s="222">
        <f t="shared" si="6"/>
        <v>0</v>
      </c>
      <c r="AN26" s="222">
        <f t="shared" si="6"/>
        <v>-97.830368911071503</v>
      </c>
      <c r="AO26" s="222">
        <f t="shared" si="6"/>
        <v>-192.68821156733529</v>
      </c>
      <c r="AP26" s="222">
        <f t="shared" si="6"/>
        <v>-281.69132042006532</v>
      </c>
      <c r="AQ26" s="222">
        <f t="shared" si="6"/>
        <v>-362.13538104451766</v>
      </c>
      <c r="AR26" s="222">
        <f t="shared" si="6"/>
        <v>-431.57614136527712</v>
      </c>
      <c r="AS26" s="222">
        <f t="shared" si="6"/>
        <v>-487.90367901871758</v>
      </c>
      <c r="AT26" s="222">
        <f t="shared" si="6"/>
        <v>-529.40651027634863</v>
      </c>
      <c r="AU26" s="222">
        <f t="shared" si="6"/>
        <v>-554.82359261185297</v>
      </c>
      <c r="AV26" s="222">
        <f t="shared" si="6"/>
        <v>-563.38264084013099</v>
      </c>
      <c r="AW26" s="222">
        <f t="shared" si="6"/>
        <v>-554.8235926118532</v>
      </c>
      <c r="AX26" s="222">
        <f t="shared" si="6"/>
        <v>-529.40651027634885</v>
      </c>
      <c r="AY26" s="222">
        <f t="shared" si="6"/>
        <v>-487.90367901871798</v>
      </c>
      <c r="AZ26" s="222">
        <f t="shared" si="6"/>
        <v>-431.57614136527735</v>
      </c>
      <c r="BA26" s="222">
        <f t="shared" si="6"/>
        <v>-362.13538104451828</v>
      </c>
      <c r="BB26" s="222">
        <f t="shared" si="6"/>
        <v>-281.69132042006572</v>
      </c>
    </row>
    <row r="44" spans="2:26" x14ac:dyDescent="0.35">
      <c r="B44" s="2" t="s">
        <v>427</v>
      </c>
      <c r="C44" s="2"/>
      <c r="D44" t="s">
        <v>428</v>
      </c>
      <c r="P44" s="222"/>
      <c r="Z44"/>
    </row>
    <row r="45" spans="2:26" x14ac:dyDescent="0.35">
      <c r="B45" s="3" t="s">
        <v>429</v>
      </c>
      <c r="C45" s="3"/>
      <c r="D45" t="s">
        <v>432</v>
      </c>
      <c r="P45" s="222"/>
      <c r="Z45"/>
    </row>
    <row r="46" spans="2:26" x14ac:dyDescent="0.35">
      <c r="B46" t="s">
        <v>430</v>
      </c>
      <c r="D46" t="s">
        <v>431</v>
      </c>
      <c r="P46" s="222"/>
      <c r="Z46"/>
    </row>
    <row r="49" spans="2:5" ht="15" thickBot="1" x14ac:dyDescent="0.4"/>
    <row r="50" spans="2:5" ht="17" thickBot="1" x14ac:dyDescent="0.5">
      <c r="B50" s="264" t="s">
        <v>488</v>
      </c>
      <c r="C50" s="231" t="s">
        <v>489</v>
      </c>
      <c r="D50" s="233"/>
      <c r="E50" s="234"/>
    </row>
    <row r="86" spans="2:20" ht="21" x14ac:dyDescent="0.5">
      <c r="B86" s="73" t="s">
        <v>568</v>
      </c>
      <c r="M86" s="8" t="s">
        <v>572</v>
      </c>
      <c r="N86" s="4">
        <v>300</v>
      </c>
      <c r="O86" s="5" t="s">
        <v>573</v>
      </c>
      <c r="P86" s="5"/>
      <c r="Q86" s="292">
        <f>N86*SQRT(2)</f>
        <v>424.26406871192853</v>
      </c>
      <c r="R86" s="111" t="s">
        <v>575</v>
      </c>
    </row>
    <row r="87" spans="2:20" ht="16.5" x14ac:dyDescent="0.45">
      <c r="M87" s="8" t="s">
        <v>574</v>
      </c>
      <c r="N87" s="292">
        <f>N86*SQRT(3)</f>
        <v>519.6152422706632</v>
      </c>
      <c r="O87" s="5" t="s">
        <v>573</v>
      </c>
      <c r="P87" s="5"/>
      <c r="Q87" s="292">
        <f>N87*SQRT(2)</f>
        <v>734.84692283495349</v>
      </c>
      <c r="R87" s="111" t="s">
        <v>575</v>
      </c>
    </row>
    <row r="88" spans="2:20" x14ac:dyDescent="0.35">
      <c r="M88" s="8" t="s">
        <v>569</v>
      </c>
      <c r="N88" s="4">
        <v>40</v>
      </c>
      <c r="O88" s="293" t="s">
        <v>322</v>
      </c>
      <c r="P88" s="5"/>
      <c r="Q88" s="111"/>
      <c r="R88" s="111"/>
    </row>
    <row r="89" spans="2:20" x14ac:dyDescent="0.35">
      <c r="M89" s="8" t="s">
        <v>570</v>
      </c>
      <c r="N89" s="4">
        <v>80</v>
      </c>
      <c r="O89" s="293" t="s">
        <v>322</v>
      </c>
      <c r="P89" s="5"/>
      <c r="Q89" s="111"/>
      <c r="R89" s="111"/>
    </row>
    <row r="90" spans="2:20" x14ac:dyDescent="0.35">
      <c r="M90" s="8" t="s">
        <v>571</v>
      </c>
      <c r="N90" s="4">
        <v>160</v>
      </c>
      <c r="O90" s="293" t="s">
        <v>322</v>
      </c>
      <c r="P90" s="5"/>
      <c r="Q90" s="111"/>
      <c r="R90" s="111"/>
    </row>
    <row r="94" spans="2:20" x14ac:dyDescent="0.35">
      <c r="J94" s="94" t="s">
        <v>576</v>
      </c>
      <c r="Q94" s="94" t="s">
        <v>586</v>
      </c>
    </row>
    <row r="96" spans="2:20" ht="17.5" x14ac:dyDescent="0.45">
      <c r="J96" s="8" t="s">
        <v>577</v>
      </c>
      <c r="K96" s="5" t="s">
        <v>578</v>
      </c>
      <c r="L96" s="294">
        <f>$N$86^2/$N$88</f>
        <v>2250</v>
      </c>
      <c r="M96" s="5" t="s">
        <v>579</v>
      </c>
      <c r="Q96" s="8"/>
      <c r="R96" s="5"/>
      <c r="S96" s="294"/>
      <c r="T96" s="5"/>
    </row>
    <row r="97" spans="10:14" ht="17.5" x14ac:dyDescent="0.45">
      <c r="J97" s="8" t="s">
        <v>580</v>
      </c>
      <c r="K97" s="5" t="s">
        <v>583</v>
      </c>
      <c r="L97" s="294">
        <f>$N$86^2/$N$89</f>
        <v>1125</v>
      </c>
      <c r="M97" s="5" t="s">
        <v>579</v>
      </c>
    </row>
    <row r="98" spans="10:14" ht="17.5" x14ac:dyDescent="0.45">
      <c r="J98" s="8" t="s">
        <v>581</v>
      </c>
      <c r="K98" s="5" t="s">
        <v>584</v>
      </c>
      <c r="L98" s="294">
        <f>$N$86^2/$N$90</f>
        <v>562.5</v>
      </c>
      <c r="M98" s="5" t="s">
        <v>579</v>
      </c>
    </row>
    <row r="99" spans="10:14" ht="16.5" x14ac:dyDescent="0.45">
      <c r="J99" s="8" t="s">
        <v>582</v>
      </c>
      <c r="K99" s="5" t="s">
        <v>585</v>
      </c>
      <c r="L99" s="294">
        <f>SUM(L96:L98)</f>
        <v>3937.5</v>
      </c>
      <c r="M99" s="5" t="s">
        <v>579</v>
      </c>
    </row>
    <row r="100" spans="10:14" ht="21.65" customHeight="1" x14ac:dyDescent="0.35"/>
    <row r="101" spans="10:14" ht="16.5" x14ac:dyDescent="0.45">
      <c r="J101" s="296" t="s">
        <v>603</v>
      </c>
      <c r="K101" s="302" t="s">
        <v>604</v>
      </c>
      <c r="L101" s="294">
        <f>$N$86/N88</f>
        <v>7.5</v>
      </c>
      <c r="M101" s="5" t="s">
        <v>39</v>
      </c>
    </row>
    <row r="102" spans="10:14" ht="16.5" x14ac:dyDescent="0.45">
      <c r="J102" s="296" t="s">
        <v>605</v>
      </c>
      <c r="K102" s="302" t="s">
        <v>606</v>
      </c>
      <c r="L102" s="294">
        <f>$N$86/N89</f>
        <v>3.75</v>
      </c>
      <c r="M102" s="5" t="s">
        <v>39</v>
      </c>
    </row>
    <row r="103" spans="10:14" ht="16.5" x14ac:dyDescent="0.45">
      <c r="J103" s="296" t="s">
        <v>607</v>
      </c>
      <c r="K103" s="302" t="s">
        <v>608</v>
      </c>
      <c r="L103" s="294">
        <f>$N$86/N90</f>
        <v>1.875</v>
      </c>
      <c r="M103" s="5" t="s">
        <v>39</v>
      </c>
    </row>
    <row r="106" spans="10:14" x14ac:dyDescent="0.35">
      <c r="J106" s="8" t="s">
        <v>196</v>
      </c>
      <c r="K106" s="99" t="s">
        <v>208</v>
      </c>
      <c r="L106" s="99" t="s">
        <v>207</v>
      </c>
      <c r="M106" s="99" t="s">
        <v>416</v>
      </c>
      <c r="N106" s="99" t="s">
        <v>417</v>
      </c>
    </row>
    <row r="107" spans="10:14" ht="16.5" x14ac:dyDescent="0.45">
      <c r="J107" s="296" t="s">
        <v>609</v>
      </c>
      <c r="K107" s="302">
        <v>0</v>
      </c>
      <c r="L107" s="301">
        <f>L101</f>
        <v>7.5</v>
      </c>
      <c r="M107" s="294">
        <f>L107*COS(RADIANS(K107))</f>
        <v>7.5</v>
      </c>
      <c r="N107" s="294">
        <f>L107*SIN(RADIANS(K107))</f>
        <v>0</v>
      </c>
    </row>
    <row r="108" spans="10:14" ht="16.5" x14ac:dyDescent="0.45">
      <c r="J108" s="296" t="s">
        <v>610</v>
      </c>
      <c r="K108" s="302">
        <v>120</v>
      </c>
      <c r="L108" s="301">
        <f>L102</f>
        <v>3.75</v>
      </c>
      <c r="M108" s="294">
        <f>L108*COS(RADIANS(K108))</f>
        <v>-1.8749999999999991</v>
      </c>
      <c r="N108" s="294">
        <f>L108*SIN(RADIANS(K108))</f>
        <v>3.247595264191645</v>
      </c>
    </row>
    <row r="109" spans="10:14" ht="17" thickBot="1" x14ac:dyDescent="0.5">
      <c r="J109" s="307" t="s">
        <v>611</v>
      </c>
      <c r="K109" s="308">
        <v>240</v>
      </c>
      <c r="L109" s="309">
        <f>L103</f>
        <v>1.875</v>
      </c>
      <c r="M109" s="294">
        <f>L109*COS(RADIANS(K109))</f>
        <v>-0.93750000000000089</v>
      </c>
      <c r="N109" s="294">
        <f>L109*SIN(RADIANS(K109))</f>
        <v>-1.6237976320958221</v>
      </c>
    </row>
    <row r="110" spans="10:14" ht="17" thickBot="1" x14ac:dyDescent="0.5">
      <c r="J110" s="310" t="s">
        <v>602</v>
      </c>
      <c r="K110" s="311">
        <f>IF(N110&lt;&gt;0,DEGREES(ATAN2(M110,N110)),0)</f>
        <v>19.106605350869099</v>
      </c>
      <c r="L110" s="312">
        <f>SQRT(M110^2+N110^2)</f>
        <v>4.9607837082461073</v>
      </c>
      <c r="M110" s="306">
        <f>SUM(M107:M109)</f>
        <v>4.6875</v>
      </c>
      <c r="N110" s="294">
        <f>SUM(N107:N109)</f>
        <v>1.623797632095823</v>
      </c>
    </row>
    <row r="111" spans="10:14" ht="7.5" customHeight="1" x14ac:dyDescent="0.35">
      <c r="J111" s="1"/>
      <c r="K111" s="295"/>
      <c r="L111" s="295"/>
      <c r="M111" s="295"/>
      <c r="N111" s="295"/>
    </row>
    <row r="112" spans="10:14" ht="7.5" customHeight="1" x14ac:dyDescent="0.35">
      <c r="J112" s="1"/>
      <c r="K112" s="295"/>
      <c r="L112" s="295"/>
      <c r="M112" s="295"/>
      <c r="N112" s="295"/>
    </row>
    <row r="113" spans="10:15" ht="7.5" customHeight="1" x14ac:dyDescent="0.35">
      <c r="J113" s="1"/>
      <c r="K113" s="295"/>
      <c r="L113" s="295"/>
      <c r="M113" s="295"/>
      <c r="N113" s="295"/>
    </row>
    <row r="114" spans="10:15" x14ac:dyDescent="0.35">
      <c r="K114" s="99" t="s">
        <v>226</v>
      </c>
      <c r="L114" s="99" t="s">
        <v>227</v>
      </c>
      <c r="M114" s="99" t="s">
        <v>228</v>
      </c>
      <c r="N114" s="99" t="s">
        <v>229</v>
      </c>
    </row>
    <row r="115" spans="10:15" ht="16.5" x14ac:dyDescent="0.45">
      <c r="J115" s="296" t="s">
        <v>609</v>
      </c>
      <c r="K115" s="81">
        <v>0</v>
      </c>
      <c r="L115" s="294">
        <f>M107</f>
        <v>7.5</v>
      </c>
      <c r="M115" s="81">
        <v>0</v>
      </c>
      <c r="N115" s="294">
        <f>N107</f>
        <v>0</v>
      </c>
    </row>
    <row r="116" spans="10:15" ht="16.5" x14ac:dyDescent="0.45">
      <c r="J116" s="296" t="s">
        <v>610</v>
      </c>
      <c r="K116" s="81">
        <f>IF($L$121=$AQ$3,0,L115)</f>
        <v>0</v>
      </c>
      <c r="L116" s="294">
        <f>IF($L$121=$AQ$3,M108,L115+M108)</f>
        <v>-1.8749999999999991</v>
      </c>
      <c r="M116" s="81">
        <f>IF($L$121=$AQ$3,0,N115)</f>
        <v>0</v>
      </c>
      <c r="N116" s="294">
        <f>IF($L$121=$AQ$3,N108,N115+N108)</f>
        <v>3.247595264191645</v>
      </c>
    </row>
    <row r="117" spans="10:15" ht="16.5" x14ac:dyDescent="0.45">
      <c r="J117" s="296" t="s">
        <v>611</v>
      </c>
      <c r="K117" s="81">
        <f>IF($L$121=$AQ$3,0,L116)</f>
        <v>0</v>
      </c>
      <c r="L117" s="294">
        <f>IF($L$121=$AQ$3,M109,L116+M109)</f>
        <v>-0.93750000000000089</v>
      </c>
      <c r="M117" s="81">
        <f>IF($L$121=$AQ$3,0,N116)</f>
        <v>0</v>
      </c>
      <c r="N117" s="294">
        <f>IF($L$121=$AQ$3,N109,N116+N109)</f>
        <v>-1.6237976320958221</v>
      </c>
    </row>
    <row r="118" spans="10:15" ht="16.5" x14ac:dyDescent="0.45">
      <c r="J118" s="296" t="s">
        <v>602</v>
      </c>
      <c r="K118" s="81">
        <v>0</v>
      </c>
      <c r="L118" s="294">
        <f>M110</f>
        <v>4.6875</v>
      </c>
      <c r="M118" s="81">
        <v>0</v>
      </c>
      <c r="N118" s="294">
        <f>N110</f>
        <v>1.623797632095823</v>
      </c>
    </row>
    <row r="119" spans="10:15" x14ac:dyDescent="0.35">
      <c r="M119" s="8" t="s">
        <v>612</v>
      </c>
      <c r="N119" s="303">
        <f>1.2*MAX(L107:N118,K115:K118)</f>
        <v>9</v>
      </c>
    </row>
    <row r="120" spans="10:15" ht="15" thickBot="1" x14ac:dyDescent="0.4">
      <c r="M120" s="1"/>
      <c r="N120" s="295"/>
    </row>
    <row r="121" spans="10:15" ht="15" thickBot="1" x14ac:dyDescent="0.4">
      <c r="J121" s="231"/>
      <c r="K121" s="304" t="s">
        <v>587</v>
      </c>
      <c r="L121" s="305" t="s">
        <v>66</v>
      </c>
    </row>
    <row r="123" spans="10:15" x14ac:dyDescent="0.35">
      <c r="M123" t="s">
        <v>600</v>
      </c>
      <c r="N123" s="295">
        <f>-N119</f>
        <v>-9</v>
      </c>
      <c r="O123" s="295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601</v>
      </c>
      <c r="N125">
        <v>0</v>
      </c>
      <c r="O125">
        <v>0</v>
      </c>
    </row>
    <row r="126" spans="10:15" x14ac:dyDescent="0.35">
      <c r="N126" s="295">
        <f>N123</f>
        <v>-9</v>
      </c>
      <c r="O126" s="295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4" customWidth="1"/>
    <col min="17" max="17" width="4.81640625" style="151" customWidth="1"/>
    <col min="18" max="18" width="34.54296875" style="125" customWidth="1"/>
    <col min="19" max="19" width="3.81640625" style="147" customWidth="1"/>
    <col min="20" max="20" width="12" customWidth="1"/>
    <col min="21" max="21" width="50.54296875" style="1" customWidth="1"/>
    <col min="22" max="22" width="4.81640625" style="41" customWidth="1"/>
    <col min="23" max="23" width="24.54296875" customWidth="1"/>
    <col min="24" max="24" width="3.81640625" customWidth="1"/>
    <col min="26" max="26" width="50.54296875" customWidth="1"/>
    <col min="27" max="27" width="4.81640625" style="59" customWidth="1"/>
    <col min="28" max="28" width="24.54296875" customWidth="1"/>
    <col min="29" max="29" width="3.81640625" customWidth="1"/>
  </cols>
  <sheetData>
    <row r="2" spans="3:29" ht="26" x14ac:dyDescent="0.6">
      <c r="C2" s="33" t="s">
        <v>323</v>
      </c>
    </row>
    <row r="5" spans="3:29" ht="24" x14ac:dyDescent="0.65">
      <c r="P5" s="140" t="s">
        <v>334</v>
      </c>
      <c r="Q5" s="139" t="s">
        <v>333</v>
      </c>
      <c r="R5" s="126">
        <v>0.5</v>
      </c>
      <c r="S5" s="179" t="s">
        <v>322</v>
      </c>
      <c r="U5" s="177" t="str">
        <f>U59</f>
        <v>U1</v>
      </c>
      <c r="V5" s="201" t="str">
        <f>V59</f>
        <v xml:space="preserve"> =</v>
      </c>
      <c r="W5" s="177">
        <f>W59</f>
        <v>0.38502673796791448</v>
      </c>
      <c r="X5" s="195" t="str">
        <f>X59</f>
        <v>V</v>
      </c>
      <c r="Z5" s="189" t="str">
        <f>U98</f>
        <v>I1 = I23 = I123</v>
      </c>
      <c r="AA5" s="188" t="str">
        <f>V98</f>
        <v xml:space="preserve"> =</v>
      </c>
      <c r="AB5" s="189">
        <f>W98</f>
        <v>0.77005347593582896</v>
      </c>
      <c r="AC5" s="187" t="str">
        <f>X98</f>
        <v>A</v>
      </c>
    </row>
    <row r="6" spans="3:29" ht="24" x14ac:dyDescent="0.65">
      <c r="P6" s="140" t="s">
        <v>335</v>
      </c>
      <c r="Q6" s="139" t="s">
        <v>333</v>
      </c>
      <c r="R6" s="126">
        <v>0.5</v>
      </c>
      <c r="S6" s="179" t="s">
        <v>322</v>
      </c>
      <c r="U6" s="177" t="str">
        <f>U62</f>
        <v>U1 = U2 = U23</v>
      </c>
      <c r="V6" s="201" t="str">
        <f>V62</f>
        <v xml:space="preserve"> =</v>
      </c>
      <c r="W6" s="177">
        <f>W62</f>
        <v>0.25668449197860965</v>
      </c>
      <c r="X6" s="195" t="str">
        <f>X62</f>
        <v>V</v>
      </c>
      <c r="Z6" s="189" t="str">
        <f>U18</f>
        <v>I2</v>
      </c>
      <c r="AA6" s="188" t="str">
        <f>V18</f>
        <v xml:space="preserve"> =</v>
      </c>
      <c r="AB6" s="187">
        <f>W18</f>
        <v>0.5133689839572193</v>
      </c>
      <c r="AC6" s="187" t="str">
        <f>X18</f>
        <v>A</v>
      </c>
    </row>
    <row r="7" spans="3:29" ht="24" x14ac:dyDescent="0.65">
      <c r="P7" s="140" t="s">
        <v>336</v>
      </c>
      <c r="Q7" s="139" t="s">
        <v>333</v>
      </c>
      <c r="R7" s="126">
        <v>1</v>
      </c>
      <c r="S7" s="179" t="s">
        <v>322</v>
      </c>
      <c r="U7" s="177" t="str">
        <f>U62</f>
        <v>U1 = U2 = U23</v>
      </c>
      <c r="V7" s="201" t="str">
        <f>V62</f>
        <v xml:space="preserve"> =</v>
      </c>
      <c r="W7" s="177">
        <f>W62</f>
        <v>0.25668449197860965</v>
      </c>
      <c r="X7" s="195" t="str">
        <f>X62</f>
        <v>V</v>
      </c>
      <c r="Z7" s="189" t="str">
        <f>U21</f>
        <v>I3</v>
      </c>
      <c r="AA7" s="188" t="str">
        <f>V21</f>
        <v xml:space="preserve"> =</v>
      </c>
      <c r="AB7" s="189">
        <f>W21</f>
        <v>0.25668449197860965</v>
      </c>
      <c r="AC7" s="187" t="str">
        <f>X21</f>
        <v>A</v>
      </c>
    </row>
    <row r="8" spans="3:29" ht="24" x14ac:dyDescent="0.65">
      <c r="P8" s="140" t="s">
        <v>337</v>
      </c>
      <c r="Q8" s="139" t="s">
        <v>333</v>
      </c>
      <c r="R8" s="126">
        <v>1</v>
      </c>
      <c r="S8" s="179" t="s">
        <v>322</v>
      </c>
      <c r="U8" s="177" t="str">
        <f>U88</f>
        <v>U4 = U5 = U123 = U12345</v>
      </c>
      <c r="V8" s="201" t="str">
        <f>V88</f>
        <v xml:space="preserve"> =</v>
      </c>
      <c r="W8" s="177">
        <f>W88</f>
        <v>0.64171122994652408</v>
      </c>
      <c r="X8" s="195" t="str">
        <f>X88</f>
        <v>V</v>
      </c>
      <c r="Z8" s="189" t="str">
        <f>U24</f>
        <v>I4</v>
      </c>
      <c r="AA8" s="188" t="str">
        <f>V24</f>
        <v xml:space="preserve"> =</v>
      </c>
      <c r="AB8" s="189">
        <f>W24</f>
        <v>0.64171122994652408</v>
      </c>
      <c r="AC8" s="187" t="str">
        <f>X24</f>
        <v>A</v>
      </c>
    </row>
    <row r="9" spans="3:29" ht="24" x14ac:dyDescent="0.65">
      <c r="P9" s="140" t="s">
        <v>338</v>
      </c>
      <c r="Q9" s="139" t="s">
        <v>333</v>
      </c>
      <c r="R9" s="126">
        <v>2</v>
      </c>
      <c r="S9" s="179" t="s">
        <v>322</v>
      </c>
      <c r="U9" s="177" t="str">
        <f>U88</f>
        <v>U4 = U5 = U123 = U12345</v>
      </c>
      <c r="V9" s="201" t="str">
        <f>V88</f>
        <v xml:space="preserve"> =</v>
      </c>
      <c r="W9" s="177">
        <f>W88</f>
        <v>0.64171122994652408</v>
      </c>
      <c r="X9" s="195" t="str">
        <f>X88</f>
        <v>V</v>
      </c>
      <c r="Z9" s="189" t="str">
        <f>U27</f>
        <v>I5</v>
      </c>
      <c r="AA9" s="188" t="str">
        <f>V27</f>
        <v xml:space="preserve"> =</v>
      </c>
      <c r="AB9" s="189">
        <f>W27</f>
        <v>0.32085561497326204</v>
      </c>
      <c r="AC9" s="187" t="str">
        <f>X27</f>
        <v>A</v>
      </c>
    </row>
    <row r="10" spans="3:29" ht="24" x14ac:dyDescent="0.65">
      <c r="P10" s="140" t="s">
        <v>339</v>
      </c>
      <c r="Q10" s="139" t="s">
        <v>333</v>
      </c>
      <c r="R10" s="126">
        <v>2</v>
      </c>
      <c r="S10" s="179" t="s">
        <v>322</v>
      </c>
      <c r="U10" s="177" t="str">
        <f>U144</f>
        <v>U6</v>
      </c>
      <c r="V10" s="201" t="str">
        <f>V144</f>
        <v xml:space="preserve"> =</v>
      </c>
      <c r="W10" s="177">
        <f>W144</f>
        <v>3.4652406417112305</v>
      </c>
      <c r="X10" s="195" t="str">
        <f>X144</f>
        <v>V</v>
      </c>
      <c r="Z10" s="189" t="str">
        <f>U183</f>
        <v>I6 = I12345 = I123456</v>
      </c>
      <c r="AA10" s="188" t="str">
        <f>V183</f>
        <v xml:space="preserve"> =</v>
      </c>
      <c r="AB10" s="189">
        <f>W183</f>
        <v>1.7326203208556152</v>
      </c>
      <c r="AC10" s="187" t="str">
        <f>X183</f>
        <v>A</v>
      </c>
    </row>
    <row r="11" spans="3:29" ht="24" x14ac:dyDescent="0.65">
      <c r="P11" s="140" t="s">
        <v>340</v>
      </c>
      <c r="Q11" s="139" t="s">
        <v>333</v>
      </c>
      <c r="R11" s="126">
        <v>0.5</v>
      </c>
      <c r="S11" s="179" t="s">
        <v>322</v>
      </c>
      <c r="U11" s="177" t="str">
        <f>U31</f>
        <v>U7</v>
      </c>
      <c r="V11" s="201" t="str">
        <f>V31</f>
        <v xml:space="preserve"> =</v>
      </c>
      <c r="W11" s="177">
        <f>W31</f>
        <v>2.0534759358288772</v>
      </c>
      <c r="X11" s="195" t="str">
        <f>X31</f>
        <v>V</v>
      </c>
      <c r="Z11" s="189" t="str">
        <f>U68</f>
        <v>I7 = I8 = I78</v>
      </c>
      <c r="AA11" s="188" t="str">
        <f>V68</f>
        <v xml:space="preserve"> =</v>
      </c>
      <c r="AB11" s="189">
        <f>W68</f>
        <v>4.1069518716577544</v>
      </c>
      <c r="AC11" s="187" t="str">
        <f>X68</f>
        <v>A</v>
      </c>
    </row>
    <row r="12" spans="3:29" ht="24" x14ac:dyDescent="0.65">
      <c r="P12" s="140" t="s">
        <v>341</v>
      </c>
      <c r="Q12" s="139" t="s">
        <v>333</v>
      </c>
      <c r="R12" s="126">
        <v>0.5</v>
      </c>
      <c r="S12" s="179" t="s">
        <v>322</v>
      </c>
      <c r="U12" s="177" t="str">
        <f>U34</f>
        <v>U8</v>
      </c>
      <c r="V12" s="201" t="str">
        <f>V34</f>
        <v xml:space="preserve"> =</v>
      </c>
      <c r="W12" s="177">
        <f>W34</f>
        <v>2.0534759358288772</v>
      </c>
      <c r="X12" s="195" t="str">
        <f>X34</f>
        <v>V</v>
      </c>
      <c r="Z12" s="189" t="str">
        <f>U68</f>
        <v>I7 = I8 = I78</v>
      </c>
      <c r="AA12" s="188" t="str">
        <f>V68</f>
        <v xml:space="preserve"> =</v>
      </c>
      <c r="AB12" s="189">
        <f>W68</f>
        <v>4.1069518716577544</v>
      </c>
      <c r="AC12" s="187" t="str">
        <f>X68</f>
        <v>A</v>
      </c>
    </row>
    <row r="13" spans="3:29" ht="24" x14ac:dyDescent="0.65">
      <c r="P13" s="140" t="s">
        <v>342</v>
      </c>
      <c r="Q13" s="139" t="s">
        <v>333</v>
      </c>
      <c r="R13" s="126">
        <v>2</v>
      </c>
      <c r="S13" s="179" t="s">
        <v>322</v>
      </c>
      <c r="U13" s="177" t="str">
        <f>U172</f>
        <v>U9 = U123456789 = U78 = U123456</v>
      </c>
      <c r="V13" s="201" t="str">
        <f>V172</f>
        <v xml:space="preserve"> =</v>
      </c>
      <c r="W13" s="177">
        <f>W172</f>
        <v>4.1069518716577544</v>
      </c>
      <c r="X13" s="195" t="str">
        <f>X172</f>
        <v>V</v>
      </c>
      <c r="Z13" s="189" t="str">
        <f>U65</f>
        <v>I9</v>
      </c>
      <c r="AA13" s="188" t="str">
        <f>V65</f>
        <v xml:space="preserve"> =</v>
      </c>
      <c r="AB13" s="189">
        <f>W65</f>
        <v>2.0534759358288772</v>
      </c>
      <c r="AC13" s="187" t="str">
        <f>X65</f>
        <v>A</v>
      </c>
    </row>
    <row r="14" spans="3:29" ht="24" x14ac:dyDescent="0.65">
      <c r="P14" s="140" t="s">
        <v>343</v>
      </c>
      <c r="Q14" s="139" t="s">
        <v>333</v>
      </c>
      <c r="R14" s="126">
        <v>1</v>
      </c>
      <c r="S14" s="179" t="s">
        <v>322</v>
      </c>
      <c r="U14" s="177" t="str">
        <f>U229</f>
        <v>U10</v>
      </c>
      <c r="V14" s="201" t="str">
        <f>V229</f>
        <v xml:space="preserve"> =</v>
      </c>
      <c r="W14" s="177">
        <f>W229</f>
        <v>7.8930481283422456</v>
      </c>
      <c r="X14" s="195" t="str">
        <f>X229</f>
        <v>V</v>
      </c>
      <c r="Z14" s="189" t="str">
        <f>U273</f>
        <v>I10 = I123456789 = ITot</v>
      </c>
      <c r="AA14" s="188" t="str">
        <f>V273</f>
        <v xml:space="preserve"> =</v>
      </c>
      <c r="AB14" s="189">
        <f>W273</f>
        <v>7.8930481283422456</v>
      </c>
      <c r="AC14" s="187" t="str">
        <f>X273</f>
        <v>A</v>
      </c>
    </row>
    <row r="15" spans="3:29" ht="24" x14ac:dyDescent="0.65">
      <c r="P15" s="174" t="s">
        <v>403</v>
      </c>
      <c r="Q15" s="175" t="s">
        <v>333</v>
      </c>
      <c r="R15" s="176">
        <f>R273</f>
        <v>1.5203252032520327</v>
      </c>
      <c r="S15" s="180" t="s">
        <v>321</v>
      </c>
      <c r="U15" s="141" t="s">
        <v>402</v>
      </c>
      <c r="V15" s="202" t="s">
        <v>333</v>
      </c>
      <c r="W15" s="126">
        <v>12</v>
      </c>
      <c r="X15" s="196" t="s">
        <v>321</v>
      </c>
      <c r="Z15" s="189" t="str">
        <f>U273</f>
        <v>I10 = I123456789 = ITot</v>
      </c>
      <c r="AA15" s="188" t="str">
        <f>V273</f>
        <v xml:space="preserve"> =</v>
      </c>
      <c r="AB15" s="187">
        <f>W273</f>
        <v>7.8930481283422456</v>
      </c>
      <c r="AC15" s="187" t="str">
        <f>X273</f>
        <v>A</v>
      </c>
    </row>
    <row r="16" spans="3:29" x14ac:dyDescent="0.35">
      <c r="G16" s="123"/>
    </row>
    <row r="17" spans="16:24" ht="35.5" customHeight="1" x14ac:dyDescent="0.8">
      <c r="U17" s="131" t="s">
        <v>390</v>
      </c>
      <c r="V17" s="202" t="s">
        <v>333</v>
      </c>
      <c r="W17" s="153" t="s">
        <v>396</v>
      </c>
      <c r="X17" s="5"/>
    </row>
    <row r="18" spans="16:24" ht="35.5" customHeight="1" x14ac:dyDescent="0.8">
      <c r="P18" s="190" t="str">
        <f>P59</f>
        <v>R23</v>
      </c>
      <c r="Q18" s="191" t="str">
        <f>Q59</f>
        <v xml:space="preserve"> =</v>
      </c>
      <c r="R18" s="190">
        <f>R59</f>
        <v>0.33333333333333331</v>
      </c>
      <c r="S18" s="192" t="str">
        <f>S59</f>
        <v>Ω</v>
      </c>
      <c r="U18" s="159" t="s">
        <v>390</v>
      </c>
      <c r="V18" s="203" t="s">
        <v>333</v>
      </c>
      <c r="W18" s="160">
        <f>W62/R6</f>
        <v>0.5133689839572193</v>
      </c>
      <c r="X18" s="160" t="s">
        <v>39</v>
      </c>
    </row>
    <row r="19" spans="16:24" ht="35.5" customHeight="1" x14ac:dyDescent="0.35">
      <c r="P19" s="190" t="str">
        <f>P62</f>
        <v>R45</v>
      </c>
      <c r="Q19" s="191" t="str">
        <f>Q62</f>
        <v xml:space="preserve"> =</v>
      </c>
      <c r="R19" s="190">
        <f>R62</f>
        <v>0.66666666666666663</v>
      </c>
      <c r="S19" s="192" t="str">
        <f>S62</f>
        <v>Ω</v>
      </c>
    </row>
    <row r="20" spans="16:24" ht="35.5" customHeight="1" x14ac:dyDescent="0.8">
      <c r="P20" s="190" t="str">
        <f>P65</f>
        <v>R78</v>
      </c>
      <c r="Q20" s="191" t="str">
        <f>Q65</f>
        <v xml:space="preserve"> =</v>
      </c>
      <c r="R20" s="190">
        <f>R65</f>
        <v>1</v>
      </c>
      <c r="S20" s="192" t="str">
        <f>S65</f>
        <v>Ω</v>
      </c>
      <c r="U20" s="131" t="s">
        <v>391</v>
      </c>
      <c r="V20" s="202" t="s">
        <v>333</v>
      </c>
      <c r="W20" s="153" t="s">
        <v>397</v>
      </c>
      <c r="X20" s="5"/>
    </row>
    <row r="21" spans="16:24" ht="35.5" customHeight="1" x14ac:dyDescent="0.8">
      <c r="U21" s="159" t="s">
        <v>391</v>
      </c>
      <c r="V21" s="203" t="s">
        <v>333</v>
      </c>
      <c r="W21" s="160">
        <f>W62/R7</f>
        <v>0.25668449197860965</v>
      </c>
      <c r="X21" s="160" t="s">
        <v>39</v>
      </c>
    </row>
    <row r="22" spans="16:24" ht="35.5" customHeight="1" x14ac:dyDescent="0.35">
      <c r="P22" s="190" t="str">
        <f>P98</f>
        <v>R123</v>
      </c>
      <c r="Q22" s="191" t="str">
        <f>Q98</f>
        <v xml:space="preserve"> =</v>
      </c>
      <c r="R22" s="190">
        <f>R98</f>
        <v>0.83333333333333326</v>
      </c>
      <c r="S22" s="192" t="str">
        <f>S98</f>
        <v>Ω</v>
      </c>
    </row>
    <row r="23" spans="16:24" ht="35.5" customHeight="1" x14ac:dyDescent="0.8">
      <c r="P23" s="190" t="str">
        <f>P101</f>
        <v>R789</v>
      </c>
      <c r="Q23" s="191" t="str">
        <f>Q101</f>
        <v xml:space="preserve"> =</v>
      </c>
      <c r="R23" s="190">
        <f>R101</f>
        <v>0.66666666666666663</v>
      </c>
      <c r="S23" s="192" t="str">
        <f>S101</f>
        <v>Ω</v>
      </c>
      <c r="U23" s="131" t="s">
        <v>392</v>
      </c>
      <c r="V23" s="202" t="s">
        <v>333</v>
      </c>
      <c r="W23" s="153" t="s">
        <v>398</v>
      </c>
      <c r="X23" s="5"/>
    </row>
    <row r="24" spans="16:24" ht="35.5" customHeight="1" x14ac:dyDescent="0.8">
      <c r="U24" s="159" t="s">
        <v>392</v>
      </c>
      <c r="V24" s="203" t="s">
        <v>333</v>
      </c>
      <c r="W24" s="160">
        <f>W88/R8</f>
        <v>0.64171122994652408</v>
      </c>
      <c r="X24" s="160" t="s">
        <v>39</v>
      </c>
    </row>
    <row r="25" spans="16:24" ht="35.5" customHeight="1" x14ac:dyDescent="0.35">
      <c r="P25" s="190" t="str">
        <f>P141</f>
        <v>R12345</v>
      </c>
      <c r="Q25" s="191" t="str">
        <f>Q141</f>
        <v xml:space="preserve"> =</v>
      </c>
      <c r="R25" s="190">
        <f>R141</f>
        <v>0.37037037037037035</v>
      </c>
      <c r="S25" s="192" t="str">
        <f>S141</f>
        <v>Ω</v>
      </c>
    </row>
    <row r="26" spans="16:24" ht="35.5" customHeight="1" x14ac:dyDescent="0.8">
      <c r="U26" s="131" t="s">
        <v>393</v>
      </c>
      <c r="V26" s="202" t="s">
        <v>333</v>
      </c>
      <c r="W26" s="153" t="s">
        <v>399</v>
      </c>
      <c r="X26" s="5"/>
    </row>
    <row r="27" spans="16:24" ht="35.5" customHeight="1" x14ac:dyDescent="0.8">
      <c r="P27" s="190" t="str">
        <f>P180</f>
        <v>R123456</v>
      </c>
      <c r="Q27" s="191" t="str">
        <f>Q180</f>
        <v xml:space="preserve"> =</v>
      </c>
      <c r="R27" s="190">
        <f>R180</f>
        <v>2.3703703703703702</v>
      </c>
      <c r="S27" s="192" t="str">
        <f>S180</f>
        <v>Ω</v>
      </c>
      <c r="U27" s="159" t="s">
        <v>393</v>
      </c>
      <c r="V27" s="203" t="s">
        <v>333</v>
      </c>
      <c r="W27" s="160">
        <f>W88/R9</f>
        <v>0.32085561497326204</v>
      </c>
      <c r="X27" s="160" t="s">
        <v>39</v>
      </c>
    </row>
    <row r="28" spans="16:24" ht="35.5" customHeight="1" x14ac:dyDescent="0.35"/>
    <row r="29" spans="16:24" ht="35.5" customHeight="1" x14ac:dyDescent="0.35">
      <c r="P29" s="190" t="str">
        <f>P226</f>
        <v>R123456789</v>
      </c>
      <c r="Q29" s="191" t="str">
        <f>Q226</f>
        <v xml:space="preserve"> =</v>
      </c>
      <c r="R29" s="190">
        <f>R226</f>
        <v>0.52032520325203258</v>
      </c>
      <c r="S29" s="192" t="str">
        <f>S226</f>
        <v>Ω</v>
      </c>
    </row>
    <row r="30" spans="16:24" ht="35.5" customHeight="1" x14ac:dyDescent="0.85">
      <c r="U30" s="164" t="s">
        <v>394</v>
      </c>
      <c r="V30" s="202" t="s">
        <v>333</v>
      </c>
      <c r="W30" s="166" t="s">
        <v>400</v>
      </c>
      <c r="X30" s="197"/>
    </row>
    <row r="31" spans="16:24" ht="35.5" customHeight="1" x14ac:dyDescent="0.85">
      <c r="P31" s="190" t="str">
        <f>P273</f>
        <v>RTot</v>
      </c>
      <c r="Q31" s="191" t="str">
        <f>Q273</f>
        <v xml:space="preserve"> =</v>
      </c>
      <c r="R31" s="190">
        <f>R273</f>
        <v>1.5203252032520327</v>
      </c>
      <c r="S31" s="192" t="str">
        <f>S273</f>
        <v>Ω</v>
      </c>
      <c r="U31" s="169" t="s">
        <v>394</v>
      </c>
      <c r="V31" s="203" t="s">
        <v>333</v>
      </c>
      <c r="W31" s="170">
        <f>W68*R11</f>
        <v>2.0534759358288772</v>
      </c>
      <c r="X31" s="170" t="s">
        <v>321</v>
      </c>
    </row>
    <row r="32" spans="16:24" ht="35.5" customHeight="1" x14ac:dyDescent="0.35"/>
    <row r="33" spans="3:24" ht="35.5" customHeight="1" x14ac:dyDescent="0.85">
      <c r="U33" s="164" t="s">
        <v>395</v>
      </c>
      <c r="V33" s="202" t="s">
        <v>333</v>
      </c>
      <c r="W33" s="166" t="s">
        <v>401</v>
      </c>
      <c r="X33" s="197"/>
    </row>
    <row r="34" spans="3:24" ht="35.5" customHeight="1" x14ac:dyDescent="0.85">
      <c r="U34" s="169" t="s">
        <v>395</v>
      </c>
      <c r="V34" s="203" t="s">
        <v>333</v>
      </c>
      <c r="W34" s="170">
        <f>W68*R12</f>
        <v>2.0534759358288772</v>
      </c>
      <c r="X34" s="170" t="s">
        <v>321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33" t="s">
        <v>324</v>
      </c>
    </row>
    <row r="46" spans="3:24" x14ac:dyDescent="0.35">
      <c r="R46" s="124"/>
    </row>
    <row r="47" spans="3:24" x14ac:dyDescent="0.35">
      <c r="R47" s="124"/>
    </row>
    <row r="48" spans="3:24" ht="21" x14ac:dyDescent="0.5">
      <c r="P48" s="142" t="str">
        <f t="shared" ref="P48:S51" si="0">P6</f>
        <v>R2</v>
      </c>
      <c r="Q48" s="154" t="str">
        <f t="shared" si="0"/>
        <v xml:space="preserve"> =</v>
      </c>
      <c r="R48" s="142">
        <f t="shared" si="0"/>
        <v>0.5</v>
      </c>
      <c r="S48" s="146" t="str">
        <f t="shared" si="0"/>
        <v>Ω</v>
      </c>
      <c r="U48" s="6" t="str">
        <f>U98</f>
        <v>I1 = I23 = I123</v>
      </c>
      <c r="V48" s="204" t="str">
        <f>V98</f>
        <v xml:space="preserve"> =</v>
      </c>
      <c r="W48" s="6">
        <f>W98</f>
        <v>0.77005347593582896</v>
      </c>
      <c r="X48" s="172" t="str">
        <f>X98</f>
        <v>A</v>
      </c>
    </row>
    <row r="49" spans="16:24" ht="21" x14ac:dyDescent="0.5">
      <c r="P49" s="142" t="str">
        <f t="shared" si="0"/>
        <v>R3</v>
      </c>
      <c r="Q49" s="154" t="str">
        <f t="shared" si="0"/>
        <v xml:space="preserve"> =</v>
      </c>
      <c r="R49" s="142">
        <f t="shared" si="0"/>
        <v>1</v>
      </c>
      <c r="S49" s="146" t="str">
        <f t="shared" si="0"/>
        <v>Ω</v>
      </c>
      <c r="U49" s="167" t="str">
        <f>U226</f>
        <v>U9 = U123456789 = U78 = U123456</v>
      </c>
      <c r="V49" s="205" t="str">
        <f>V226</f>
        <v xml:space="preserve"> =</v>
      </c>
      <c r="W49" s="167">
        <f>W226</f>
        <v>4.1069518716577544</v>
      </c>
      <c r="X49" s="173" t="str">
        <f>X226</f>
        <v>V</v>
      </c>
    </row>
    <row r="50" spans="16:24" ht="21" x14ac:dyDescent="0.5">
      <c r="P50" s="142" t="str">
        <f t="shared" si="0"/>
        <v>R4</v>
      </c>
      <c r="Q50" s="154" t="str">
        <f t="shared" si="0"/>
        <v xml:space="preserve"> =</v>
      </c>
      <c r="R50" s="142">
        <f t="shared" si="0"/>
        <v>1</v>
      </c>
      <c r="S50" s="146" t="str">
        <f t="shared" si="0"/>
        <v>Ω</v>
      </c>
      <c r="U50" s="1" t="str">
        <f>P5</f>
        <v>R1</v>
      </c>
      <c r="V50" s="41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42" t="str">
        <f t="shared" si="0"/>
        <v>R5</v>
      </c>
      <c r="Q51" s="154" t="str">
        <f t="shared" si="0"/>
        <v xml:space="preserve"> =</v>
      </c>
      <c r="R51" s="142">
        <f t="shared" si="0"/>
        <v>2</v>
      </c>
      <c r="S51" s="146" t="str">
        <f t="shared" si="0"/>
        <v>Ω</v>
      </c>
      <c r="U51" s="1" t="str">
        <f>P59</f>
        <v>R23</v>
      </c>
      <c r="V51" s="41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42" t="str">
        <f t="shared" ref="P52:S53" si="1">P11</f>
        <v>R7</v>
      </c>
      <c r="Q52" s="154" t="str">
        <f t="shared" si="1"/>
        <v xml:space="preserve"> =</v>
      </c>
      <c r="R52" s="142">
        <f t="shared" si="1"/>
        <v>0.5</v>
      </c>
      <c r="S52" s="146" t="str">
        <f t="shared" si="1"/>
        <v>Ω</v>
      </c>
      <c r="U52" s="1" t="str">
        <f>P65</f>
        <v>R78</v>
      </c>
      <c r="V52" s="41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42" t="str">
        <f t="shared" si="1"/>
        <v>R8</v>
      </c>
      <c r="Q53" s="154" t="str">
        <f t="shared" si="1"/>
        <v xml:space="preserve"> =</v>
      </c>
      <c r="R53" s="142">
        <f t="shared" si="1"/>
        <v>0.5</v>
      </c>
      <c r="S53" s="146" t="str">
        <f t="shared" si="1"/>
        <v>Ω</v>
      </c>
      <c r="U53" s="1" t="str">
        <f>P13</f>
        <v>R9</v>
      </c>
      <c r="V53" s="41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4"/>
    </row>
    <row r="55" spans="16:24" x14ac:dyDescent="0.35">
      <c r="R55" s="124"/>
    </row>
    <row r="58" spans="16:24" ht="32.5" x14ac:dyDescent="0.85">
      <c r="P58" s="127" t="s">
        <v>344</v>
      </c>
      <c r="Q58" s="139" t="s">
        <v>333</v>
      </c>
      <c r="R58" s="128" t="s">
        <v>348</v>
      </c>
      <c r="S58" s="181"/>
      <c r="U58" s="164" t="s">
        <v>384</v>
      </c>
      <c r="V58" s="202" t="s">
        <v>333</v>
      </c>
      <c r="W58" s="166" t="s">
        <v>386</v>
      </c>
      <c r="X58" s="197"/>
    </row>
    <row r="59" spans="16:24" ht="32.5" x14ac:dyDescent="0.85">
      <c r="P59" s="143" t="s">
        <v>344</v>
      </c>
      <c r="Q59" s="144" t="s">
        <v>333</v>
      </c>
      <c r="R59" s="145">
        <f>1/(1/R6+1/R7)</f>
        <v>0.33333333333333331</v>
      </c>
      <c r="S59" s="182" t="s">
        <v>322</v>
      </c>
      <c r="U59" s="169" t="s">
        <v>384</v>
      </c>
      <c r="V59" s="203" t="s">
        <v>333</v>
      </c>
      <c r="W59" s="170">
        <f>W48*W50</f>
        <v>0.38502673796791448</v>
      </c>
      <c r="X59" s="170" t="s">
        <v>321</v>
      </c>
    </row>
    <row r="61" spans="16:24" ht="32.5" x14ac:dyDescent="0.85">
      <c r="P61" s="127" t="s">
        <v>345</v>
      </c>
      <c r="Q61" s="139" t="s">
        <v>333</v>
      </c>
      <c r="R61" s="128" t="s">
        <v>349</v>
      </c>
      <c r="S61" s="181"/>
      <c r="U61" s="164" t="s">
        <v>385</v>
      </c>
      <c r="V61" s="202" t="s">
        <v>333</v>
      </c>
      <c r="W61" s="166" t="s">
        <v>387</v>
      </c>
      <c r="X61" s="197"/>
    </row>
    <row r="62" spans="16:24" ht="32.5" x14ac:dyDescent="0.85">
      <c r="P62" s="143" t="s">
        <v>345</v>
      </c>
      <c r="Q62" s="144" t="s">
        <v>333</v>
      </c>
      <c r="R62" s="145">
        <f>1/(1/R8+1/R9)</f>
        <v>0.66666666666666663</v>
      </c>
      <c r="S62" s="182" t="s">
        <v>322</v>
      </c>
      <c r="U62" s="169" t="s">
        <v>409</v>
      </c>
      <c r="V62" s="203" t="s">
        <v>333</v>
      </c>
      <c r="W62" s="170">
        <f>W48*W51</f>
        <v>0.25668449197860965</v>
      </c>
      <c r="X62" s="170" t="s">
        <v>321</v>
      </c>
    </row>
    <row r="64" spans="16:24" ht="30" x14ac:dyDescent="0.8">
      <c r="P64" s="127" t="s">
        <v>346</v>
      </c>
      <c r="Q64" s="139" t="s">
        <v>333</v>
      </c>
      <c r="R64" s="128" t="s">
        <v>350</v>
      </c>
      <c r="S64" s="181"/>
      <c r="U64" s="131" t="s">
        <v>383</v>
      </c>
      <c r="V64" s="202" t="s">
        <v>333</v>
      </c>
      <c r="W64" s="153" t="s">
        <v>388</v>
      </c>
      <c r="X64" s="5"/>
    </row>
    <row r="65" spans="16:24" ht="30" x14ac:dyDescent="0.8">
      <c r="P65" s="143" t="s">
        <v>346</v>
      </c>
      <c r="Q65" s="144" t="s">
        <v>333</v>
      </c>
      <c r="R65" s="145">
        <f>R11+R12</f>
        <v>1</v>
      </c>
      <c r="S65" s="182" t="s">
        <v>322</v>
      </c>
      <c r="U65" s="159" t="s">
        <v>383</v>
      </c>
      <c r="V65" s="203" t="s">
        <v>333</v>
      </c>
      <c r="W65" s="160">
        <f>W49/W53</f>
        <v>2.0534759358288772</v>
      </c>
      <c r="X65" s="160" t="s">
        <v>39</v>
      </c>
    </row>
    <row r="67" spans="16:24" ht="30" x14ac:dyDescent="0.8">
      <c r="U67" s="131" t="s">
        <v>382</v>
      </c>
      <c r="V67" s="202" t="s">
        <v>333</v>
      </c>
      <c r="W67" s="153" t="s">
        <v>389</v>
      </c>
      <c r="X67" s="5"/>
    </row>
    <row r="68" spans="16:24" ht="30" x14ac:dyDescent="0.8">
      <c r="U68" s="159" t="s">
        <v>410</v>
      </c>
      <c r="V68" s="203" t="s">
        <v>333</v>
      </c>
      <c r="W68" s="160">
        <f>W49/W52</f>
        <v>4.1069518716577544</v>
      </c>
      <c r="X68" s="160" t="s">
        <v>39</v>
      </c>
    </row>
    <row r="70" spans="16:24" ht="16" thickBot="1" x14ac:dyDescent="0.4"/>
    <row r="71" spans="16:24" ht="33" thickBot="1" x14ac:dyDescent="0.9">
      <c r="U71" s="138" t="s">
        <v>405</v>
      </c>
      <c r="V71" s="206">
        <f>IF(W59+W62=W88,1,-1)</f>
        <v>1</v>
      </c>
    </row>
    <row r="72" spans="16:24" ht="16" thickBot="1" x14ac:dyDescent="0.4"/>
    <row r="73" spans="16:24" ht="30.5" thickBot="1" x14ac:dyDescent="0.85">
      <c r="U73" s="134" t="s">
        <v>406</v>
      </c>
      <c r="V73" s="207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33" t="s">
        <v>329</v>
      </c>
      <c r="P88" s="124" t="str">
        <f>P5</f>
        <v>R1</v>
      </c>
      <c r="Q88" s="151" t="str">
        <f>Q5</f>
        <v xml:space="preserve"> =</v>
      </c>
      <c r="R88" s="124">
        <f>R5</f>
        <v>0.5</v>
      </c>
      <c r="S88" s="147" t="str">
        <f>S5</f>
        <v>Ω</v>
      </c>
      <c r="U88" s="167" t="str">
        <f>U141</f>
        <v>U4 = U5 = U123 = U12345</v>
      </c>
      <c r="V88" s="205" t="str">
        <f>V141</f>
        <v xml:space="preserve"> =</v>
      </c>
      <c r="W88" s="167">
        <f>W141</f>
        <v>0.64171122994652408</v>
      </c>
      <c r="X88" s="173" t="str">
        <f>X141</f>
        <v>V</v>
      </c>
    </row>
    <row r="89" spans="3:24" x14ac:dyDescent="0.35">
      <c r="P89" s="124" t="str">
        <f>P13</f>
        <v>R9</v>
      </c>
      <c r="Q89" s="151" t="str">
        <f>Q13</f>
        <v xml:space="preserve"> =</v>
      </c>
      <c r="R89" s="124">
        <f>R13</f>
        <v>2</v>
      </c>
      <c r="S89" s="147" t="str">
        <f>S13</f>
        <v>Ω</v>
      </c>
      <c r="U89" s="1" t="str">
        <f>P98</f>
        <v>R123</v>
      </c>
      <c r="V89" s="41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4" t="str">
        <f>P59</f>
        <v>R23</v>
      </c>
      <c r="Q90" s="151" t="str">
        <f>Q59</f>
        <v xml:space="preserve"> =</v>
      </c>
      <c r="R90" s="124">
        <f>R59</f>
        <v>0.33333333333333331</v>
      </c>
      <c r="S90" s="147" t="str">
        <f>S59</f>
        <v>Ω</v>
      </c>
      <c r="U90" s="1" t="str">
        <f>P135</f>
        <v>R45</v>
      </c>
      <c r="V90" s="41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4" t="str">
        <f>P65</f>
        <v>R78</v>
      </c>
      <c r="Q91" s="151" t="str">
        <f>Q65</f>
        <v xml:space="preserve"> =</v>
      </c>
      <c r="R91" s="124">
        <f>R65</f>
        <v>1</v>
      </c>
      <c r="S91" s="147" t="str">
        <f>S65</f>
        <v>Ω</v>
      </c>
    </row>
    <row r="97" spans="16:24" ht="30" x14ac:dyDescent="0.8">
      <c r="P97" s="127" t="s">
        <v>347</v>
      </c>
      <c r="Q97" s="139" t="s">
        <v>333</v>
      </c>
      <c r="R97" s="128" t="s">
        <v>351</v>
      </c>
      <c r="S97" s="181"/>
      <c r="U97" s="131" t="s">
        <v>378</v>
      </c>
      <c r="V97" s="202" t="s">
        <v>333</v>
      </c>
      <c r="W97" s="153" t="s">
        <v>379</v>
      </c>
      <c r="X97" s="5"/>
    </row>
    <row r="98" spans="16:24" ht="30" x14ac:dyDescent="0.8">
      <c r="P98" s="143" t="s">
        <v>347</v>
      </c>
      <c r="Q98" s="144" t="s">
        <v>333</v>
      </c>
      <c r="R98" s="145">
        <f>R90+R88</f>
        <v>0.83333333333333326</v>
      </c>
      <c r="S98" s="182" t="s">
        <v>322</v>
      </c>
      <c r="U98" s="159" t="s">
        <v>413</v>
      </c>
      <c r="V98" s="203" t="s">
        <v>333</v>
      </c>
      <c r="W98" s="160">
        <f>W88/W89</f>
        <v>0.77005347593582896</v>
      </c>
      <c r="X98" s="160" t="s">
        <v>39</v>
      </c>
    </row>
    <row r="100" spans="16:24" ht="30" x14ac:dyDescent="0.8">
      <c r="P100" s="127" t="s">
        <v>352</v>
      </c>
      <c r="Q100" s="139" t="s">
        <v>333</v>
      </c>
      <c r="R100" s="128" t="s">
        <v>353</v>
      </c>
      <c r="S100" s="181"/>
      <c r="U100" s="131" t="s">
        <v>380</v>
      </c>
      <c r="V100" s="202" t="s">
        <v>333</v>
      </c>
      <c r="W100" s="153" t="s">
        <v>381</v>
      </c>
      <c r="X100" s="5"/>
    </row>
    <row r="101" spans="16:24" ht="30" x14ac:dyDescent="0.8">
      <c r="P101" s="143" t="s">
        <v>352</v>
      </c>
      <c r="Q101" s="144" t="s">
        <v>333</v>
      </c>
      <c r="R101" s="145">
        <f>1/(1/R89+1/R91)</f>
        <v>0.66666666666666663</v>
      </c>
      <c r="S101" s="182" t="s">
        <v>322</v>
      </c>
      <c r="U101" s="159" t="s">
        <v>380</v>
      </c>
      <c r="V101" s="203" t="s">
        <v>333</v>
      </c>
      <c r="W101" s="160">
        <f>W88/W90</f>
        <v>0.96256684491978617</v>
      </c>
      <c r="X101" s="160" t="s">
        <v>39</v>
      </c>
    </row>
    <row r="103" spans="16:24" ht="16" thickBot="1" x14ac:dyDescent="0.4"/>
    <row r="104" spans="16:24" ht="30.5" thickBot="1" x14ac:dyDescent="0.85">
      <c r="U104" s="134" t="s">
        <v>404</v>
      </c>
      <c r="V104" s="207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33" t="s">
        <v>328</v>
      </c>
    </row>
    <row r="134" spans="3:24" ht="28.5" x14ac:dyDescent="0.65">
      <c r="T134" s="136"/>
    </row>
    <row r="135" spans="3:24" ht="28.5" x14ac:dyDescent="0.65">
      <c r="P135" s="124" t="str">
        <f>P62</f>
        <v>R45</v>
      </c>
      <c r="Q135" s="151" t="str">
        <f>Q62</f>
        <v xml:space="preserve"> =</v>
      </c>
      <c r="R135" s="124">
        <f>R62</f>
        <v>0.66666666666666663</v>
      </c>
      <c r="S135" s="147" t="str">
        <f>S62</f>
        <v>Ω</v>
      </c>
      <c r="T135" s="136"/>
      <c r="U135" s="1" t="str">
        <f>P141</f>
        <v>R12345</v>
      </c>
      <c r="V135" s="41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4" t="str">
        <f>P98</f>
        <v>R123</v>
      </c>
      <c r="Q136" s="151" t="str">
        <f>Q98</f>
        <v xml:space="preserve"> =</v>
      </c>
      <c r="R136" s="124">
        <f>R98</f>
        <v>0.83333333333333326</v>
      </c>
      <c r="S136" s="147" t="str">
        <f>S98</f>
        <v>Ω</v>
      </c>
      <c r="T136" s="136"/>
      <c r="U136" s="1" t="str">
        <f>P172</f>
        <v>R6</v>
      </c>
      <c r="V136" s="41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7"/>
      <c r="Q137" s="152"/>
      <c r="R137" s="136"/>
      <c r="S137" s="171"/>
      <c r="T137" s="136"/>
      <c r="U137" s="6" t="str">
        <f>U183</f>
        <v>I6 = I12345 = I123456</v>
      </c>
      <c r="V137" s="204" t="str">
        <f>V183</f>
        <v xml:space="preserve"> =</v>
      </c>
      <c r="W137" s="6">
        <f>W183</f>
        <v>1.7326203208556152</v>
      </c>
      <c r="X137" s="172" t="str">
        <f>X183</f>
        <v>A</v>
      </c>
    </row>
    <row r="140" spans="3:24" ht="32.5" x14ac:dyDescent="0.85">
      <c r="P140" s="135" t="s">
        <v>354</v>
      </c>
      <c r="Q140" s="139" t="s">
        <v>333</v>
      </c>
      <c r="R140" s="128" t="s">
        <v>355</v>
      </c>
      <c r="S140" s="183"/>
      <c r="U140" s="164" t="s">
        <v>375</v>
      </c>
      <c r="V140" s="202" t="s">
        <v>333</v>
      </c>
      <c r="W140" s="166" t="s">
        <v>369</v>
      </c>
      <c r="X140" s="197"/>
    </row>
    <row r="141" spans="3:24" ht="32.5" x14ac:dyDescent="0.85">
      <c r="P141" s="148" t="s">
        <v>354</v>
      </c>
      <c r="Q141" s="144" t="s">
        <v>333</v>
      </c>
      <c r="R141" s="149">
        <f>1/(1/R135+1/R136)</f>
        <v>0.37037037037037035</v>
      </c>
      <c r="S141" s="184" t="s">
        <v>322</v>
      </c>
      <c r="U141" s="169" t="s">
        <v>408</v>
      </c>
      <c r="V141" s="203" t="s">
        <v>333</v>
      </c>
      <c r="W141" s="170">
        <f>W137*W135</f>
        <v>0.64171122994652408</v>
      </c>
      <c r="X141" s="170" t="s">
        <v>321</v>
      </c>
    </row>
    <row r="143" spans="3:24" ht="32.5" x14ac:dyDescent="0.85">
      <c r="U143" s="164" t="s">
        <v>376</v>
      </c>
      <c r="V143" s="202" t="s">
        <v>333</v>
      </c>
      <c r="W143" s="166" t="s">
        <v>371</v>
      </c>
      <c r="X143" s="197"/>
    </row>
    <row r="144" spans="3:24" ht="32.5" x14ac:dyDescent="0.85">
      <c r="U144" s="169" t="s">
        <v>376</v>
      </c>
      <c r="V144" s="203" t="s">
        <v>333</v>
      </c>
      <c r="W144" s="170">
        <f>W137*W136</f>
        <v>3.4652406417112305</v>
      </c>
      <c r="X144" s="170" t="s">
        <v>321</v>
      </c>
    </row>
    <row r="145" spans="21:24" ht="29" thickBot="1" x14ac:dyDescent="0.7">
      <c r="W145" s="157"/>
      <c r="X145" s="136"/>
    </row>
    <row r="146" spans="21:24" ht="33" thickBot="1" x14ac:dyDescent="0.9">
      <c r="U146" s="138" t="s">
        <v>377</v>
      </c>
      <c r="V146" s="206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33" t="s">
        <v>327</v>
      </c>
    </row>
    <row r="171" spans="3:24" x14ac:dyDescent="0.35">
      <c r="E171" s="172">
        <f>$W$273</f>
        <v>7.8930481283422456</v>
      </c>
    </row>
    <row r="172" spans="3:24" ht="18.649999999999999" customHeight="1" x14ac:dyDescent="0.6">
      <c r="P172" s="124" t="str">
        <f>P10</f>
        <v>R6</v>
      </c>
      <c r="Q172" s="151" t="str">
        <f>Q10</f>
        <v xml:space="preserve"> =</v>
      </c>
      <c r="R172" s="124">
        <f>R10</f>
        <v>2</v>
      </c>
      <c r="S172" s="147" t="str">
        <f>S10</f>
        <v>Ω</v>
      </c>
      <c r="T172" s="132"/>
      <c r="U172" s="167" t="str">
        <f>U226</f>
        <v>U9 = U123456789 = U78 = U123456</v>
      </c>
      <c r="V172" s="205" t="str">
        <f>V226</f>
        <v xml:space="preserve"> =</v>
      </c>
      <c r="W172" s="167">
        <f>W226</f>
        <v>4.1069518716577544</v>
      </c>
      <c r="X172" s="173" t="str">
        <f>X226</f>
        <v>V</v>
      </c>
    </row>
    <row r="173" spans="3:24" ht="26" x14ac:dyDescent="0.6">
      <c r="P173" s="124" t="str">
        <f>P141</f>
        <v>R12345</v>
      </c>
      <c r="Q173" s="151" t="str">
        <f>Q141</f>
        <v xml:space="preserve"> =</v>
      </c>
      <c r="R173" s="124">
        <f>R141</f>
        <v>0.37037037037037035</v>
      </c>
      <c r="S173" s="147" t="str">
        <f>S141</f>
        <v>Ω</v>
      </c>
      <c r="T173" s="132"/>
      <c r="U173" s="1" t="str">
        <f>P180</f>
        <v>R123456</v>
      </c>
      <c r="V173" s="41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41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41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4" t="str">
        <f>V217</f>
        <v xml:space="preserve"> =</v>
      </c>
      <c r="W176" s="6">
        <f>W217</f>
        <v>7.8930481283422456</v>
      </c>
      <c r="X176" s="172" t="str">
        <f>X217</f>
        <v>A</v>
      </c>
    </row>
    <row r="177" spans="4:24" x14ac:dyDescent="0.35">
      <c r="F177" s="167"/>
    </row>
    <row r="178" spans="4:24" x14ac:dyDescent="0.35">
      <c r="F178" s="167">
        <f>$W$226</f>
        <v>4.1069518716577544</v>
      </c>
      <c r="I178" s="167">
        <f>$W$226</f>
        <v>4.1069518716577544</v>
      </c>
    </row>
    <row r="179" spans="4:24" ht="30" x14ac:dyDescent="0.8">
      <c r="D179" s="173">
        <f>$W$229</f>
        <v>7.8930481283422456</v>
      </c>
      <c r="P179" s="129" t="s">
        <v>356</v>
      </c>
      <c r="Q179" s="139" t="s">
        <v>333</v>
      </c>
      <c r="R179" s="130" t="s">
        <v>357</v>
      </c>
      <c r="S179" s="185"/>
      <c r="U179" s="131" t="s">
        <v>366</v>
      </c>
      <c r="V179" s="202" t="s">
        <v>333</v>
      </c>
      <c r="W179" s="153" t="s">
        <v>365</v>
      </c>
      <c r="X179" s="198"/>
    </row>
    <row r="180" spans="4:24" ht="30" x14ac:dyDescent="0.8">
      <c r="P180" s="155" t="s">
        <v>356</v>
      </c>
      <c r="Q180" s="144" t="s">
        <v>333</v>
      </c>
      <c r="R180" s="156">
        <f>R172+R173</f>
        <v>2.3703703703703702</v>
      </c>
      <c r="S180" s="186" t="s">
        <v>322</v>
      </c>
      <c r="U180" s="159" t="s">
        <v>366</v>
      </c>
      <c r="V180" s="203" t="s">
        <v>333</v>
      </c>
      <c r="W180" s="160">
        <f>W172/W174</f>
        <v>6.1604278074866317</v>
      </c>
      <c r="X180" s="160" t="s">
        <v>39</v>
      </c>
    </row>
    <row r="182" spans="4:24" ht="30" x14ac:dyDescent="0.8">
      <c r="U182" s="131" t="s">
        <v>368</v>
      </c>
      <c r="V182" s="202" t="s">
        <v>333</v>
      </c>
      <c r="W182" s="153" t="s">
        <v>367</v>
      </c>
      <c r="X182" s="198"/>
    </row>
    <row r="183" spans="4:24" ht="30" x14ac:dyDescent="0.8">
      <c r="U183" s="159" t="s">
        <v>412</v>
      </c>
      <c r="V183" s="203" t="s">
        <v>333</v>
      </c>
      <c r="W183" s="160">
        <f>W172/W173</f>
        <v>1.7326203208556152</v>
      </c>
      <c r="X183" s="160" t="s">
        <v>39</v>
      </c>
    </row>
    <row r="185" spans="4:24" ht="16" thickBot="1" x14ac:dyDescent="0.4"/>
    <row r="186" spans="4:24" ht="30.5" thickBot="1" x14ac:dyDescent="0.85">
      <c r="U186" s="134" t="s">
        <v>330</v>
      </c>
      <c r="V186" s="207">
        <f>IF(W180+W183=W273,1,-1)</f>
        <v>1</v>
      </c>
      <c r="W186" s="178"/>
      <c r="X186" s="194"/>
    </row>
    <row r="187" spans="4:24" ht="26" x14ac:dyDescent="0.6">
      <c r="G187" s="172">
        <f>W180</f>
        <v>6.1604278074866317</v>
      </c>
      <c r="I187" s="172">
        <f>$W$183</f>
        <v>1.7326203208556152</v>
      </c>
      <c r="U187" s="193"/>
      <c r="V187" s="208"/>
      <c r="W187" s="194"/>
      <c r="X187" s="194"/>
    </row>
    <row r="188" spans="4:24" ht="26" x14ac:dyDescent="0.6">
      <c r="W188" s="158"/>
      <c r="X188" s="132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33" t="s">
        <v>326</v>
      </c>
    </row>
    <row r="217" spans="3:24" x14ac:dyDescent="0.35">
      <c r="P217" s="124" t="str">
        <f>P101</f>
        <v>R789</v>
      </c>
      <c r="Q217" s="151" t="str">
        <f>Q101</f>
        <v xml:space="preserve"> =</v>
      </c>
      <c r="R217" s="124">
        <f>R101</f>
        <v>0.66666666666666663</v>
      </c>
      <c r="S217" s="147" t="str">
        <f>S101</f>
        <v>Ω</v>
      </c>
      <c r="U217" s="6" t="str">
        <f>U273</f>
        <v>I10 = I123456789 = ITot</v>
      </c>
      <c r="V217" s="204" t="str">
        <f>V273</f>
        <v xml:space="preserve"> =</v>
      </c>
      <c r="W217" s="6">
        <f>W273</f>
        <v>7.8930481283422456</v>
      </c>
      <c r="X217" s="172" t="str">
        <f>X273</f>
        <v>A</v>
      </c>
    </row>
    <row r="218" spans="3:24" x14ac:dyDescent="0.35">
      <c r="P218" s="124" t="str">
        <f>P180</f>
        <v>R123456</v>
      </c>
      <c r="Q218" s="151" t="str">
        <f>Q180</f>
        <v xml:space="preserve"> =</v>
      </c>
      <c r="R218" s="124">
        <f>R180</f>
        <v>2.3703703703703702</v>
      </c>
      <c r="S218" s="147" t="str">
        <f>S180</f>
        <v>Ω</v>
      </c>
      <c r="U218" s="1" t="str">
        <f>P226</f>
        <v>R123456789</v>
      </c>
      <c r="V218" s="41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72">
        <f>$W$273</f>
        <v>7.8930481283422456</v>
      </c>
      <c r="U219" s="1" t="str">
        <f>P267</f>
        <v>R10</v>
      </c>
      <c r="V219" s="41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73">
        <f>$W$229</f>
        <v>7.8930481283422456</v>
      </c>
    </row>
    <row r="225" spans="9:24" ht="30" x14ac:dyDescent="0.8">
      <c r="I225" s="167">
        <f>$W$226</f>
        <v>4.1069518716577544</v>
      </c>
      <c r="P225" s="129" t="s">
        <v>358</v>
      </c>
      <c r="Q225" s="139" t="s">
        <v>333</v>
      </c>
      <c r="R225" s="130" t="s">
        <v>359</v>
      </c>
      <c r="S225" s="185"/>
      <c r="T225" s="132"/>
      <c r="U225" s="161" t="s">
        <v>373</v>
      </c>
      <c r="V225" s="202" t="s">
        <v>333</v>
      </c>
      <c r="W225" s="165" t="s">
        <v>363</v>
      </c>
      <c r="X225" s="199"/>
    </row>
    <row r="226" spans="9:24" ht="30" x14ac:dyDescent="0.8">
      <c r="P226" s="155" t="s">
        <v>358</v>
      </c>
      <c r="Q226" s="144" t="s">
        <v>333</v>
      </c>
      <c r="R226" s="156">
        <f>1/(1/R217+1/R218)</f>
        <v>0.52032520325203258</v>
      </c>
      <c r="S226" s="186" t="s">
        <v>322</v>
      </c>
      <c r="T226" s="132"/>
      <c r="U226" s="162" t="s">
        <v>407</v>
      </c>
      <c r="V226" s="203" t="s">
        <v>333</v>
      </c>
      <c r="W226" s="163">
        <f>W218*W217</f>
        <v>4.1069518716577544</v>
      </c>
      <c r="X226" s="163" t="s">
        <v>321</v>
      </c>
    </row>
    <row r="227" spans="9:24" ht="26" x14ac:dyDescent="0.6">
      <c r="P227" s="133"/>
      <c r="Q227" s="178"/>
      <c r="R227" s="132"/>
      <c r="S227" s="150"/>
      <c r="T227" s="132"/>
    </row>
    <row r="228" spans="9:24" ht="30" x14ac:dyDescent="0.8">
      <c r="P228" s="133"/>
      <c r="Q228" s="178"/>
      <c r="R228" s="132"/>
      <c r="S228" s="150"/>
      <c r="T228" s="132"/>
      <c r="U228" s="161" t="s">
        <v>372</v>
      </c>
      <c r="V228" s="202" t="s">
        <v>333</v>
      </c>
      <c r="W228" s="153" t="s">
        <v>364</v>
      </c>
      <c r="X228" s="199"/>
    </row>
    <row r="229" spans="9:24" ht="30" x14ac:dyDescent="0.8">
      <c r="U229" s="162" t="s">
        <v>372</v>
      </c>
      <c r="V229" s="203" t="s">
        <v>333</v>
      </c>
      <c r="W229" s="163">
        <f>W217*W219</f>
        <v>7.8930481283422456</v>
      </c>
      <c r="X229" s="163" t="s">
        <v>321</v>
      </c>
    </row>
    <row r="230" spans="9:24" ht="26" x14ac:dyDescent="0.6">
      <c r="W230" s="158"/>
      <c r="X230" s="132"/>
    </row>
    <row r="231" spans="9:24" ht="16" thickBot="1" x14ac:dyDescent="0.4"/>
    <row r="232" spans="9:24" ht="30.5" thickBot="1" x14ac:dyDescent="0.85">
      <c r="U232" s="134" t="s">
        <v>374</v>
      </c>
      <c r="V232" s="207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33" t="s">
        <v>325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4" t="str">
        <f>P14</f>
        <v>R10</v>
      </c>
      <c r="Q267" s="151" t="str">
        <f>Q14</f>
        <v xml:space="preserve"> =</v>
      </c>
      <c r="R267" s="124">
        <f>R14</f>
        <v>1</v>
      </c>
      <c r="S267" s="147" t="str">
        <f>S14</f>
        <v>Ω</v>
      </c>
      <c r="U267" s="167" t="str">
        <f>U15</f>
        <v>UTot</v>
      </c>
      <c r="V267" s="205" t="str">
        <f>V15</f>
        <v xml:space="preserve"> =</v>
      </c>
      <c r="W267" s="167">
        <f>W15</f>
        <v>12</v>
      </c>
      <c r="X267" s="173" t="str">
        <f>X15</f>
        <v>V</v>
      </c>
    </row>
    <row r="268" spans="3:24" x14ac:dyDescent="0.35">
      <c r="H268" s="172">
        <f>$W$273</f>
        <v>7.8930481283422456</v>
      </c>
      <c r="P268" s="124" t="str">
        <f>P226</f>
        <v>R123456789</v>
      </c>
      <c r="Q268" s="151" t="str">
        <f>Q226</f>
        <v xml:space="preserve"> =</v>
      </c>
      <c r="R268" s="124">
        <f>R226</f>
        <v>0.52032520325203258</v>
      </c>
      <c r="S268" s="147" t="str">
        <f>S226</f>
        <v>Ω</v>
      </c>
      <c r="U268" s="1" t="str">
        <f>P273</f>
        <v>RTot</v>
      </c>
      <c r="V268" s="41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9" t="s">
        <v>362</v>
      </c>
      <c r="Q272" s="139" t="s">
        <v>333</v>
      </c>
      <c r="R272" s="130" t="s">
        <v>360</v>
      </c>
      <c r="S272" s="185"/>
      <c r="U272" s="131" t="s">
        <v>361</v>
      </c>
      <c r="V272" s="202" t="s">
        <v>333</v>
      </c>
      <c r="W272" s="153" t="s">
        <v>370</v>
      </c>
      <c r="X272" s="200"/>
    </row>
    <row r="273" spans="9:24" ht="30" x14ac:dyDescent="0.8">
      <c r="I273" s="168">
        <f>W267</f>
        <v>12</v>
      </c>
      <c r="P273" s="155" t="s">
        <v>362</v>
      </c>
      <c r="Q273" s="144" t="s">
        <v>333</v>
      </c>
      <c r="R273" s="156">
        <f>R267+R268</f>
        <v>1.5203252032520327</v>
      </c>
      <c r="S273" s="186" t="s">
        <v>322</v>
      </c>
      <c r="U273" s="159" t="s">
        <v>411</v>
      </c>
      <c r="V273" s="209" t="s">
        <v>333</v>
      </c>
      <c r="W273" s="160">
        <f>W267/W268</f>
        <v>7.8930481283422456</v>
      </c>
      <c r="X273" s="160" t="s">
        <v>39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11" t="s">
        <v>490</v>
      </c>
    </row>
  </sheetData>
  <pageMargins left="0.7" right="0.7" top="0.78740157499999996" bottom="0.78740157499999996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11" t="s">
        <v>491</v>
      </c>
    </row>
    <row r="21" spans="3:13" ht="15" thickBot="1" x14ac:dyDescent="0.4"/>
    <row r="22" spans="3:13" ht="16.5" x14ac:dyDescent="0.45">
      <c r="C22" s="265" t="s">
        <v>500</v>
      </c>
      <c r="D22" s="266" t="s">
        <v>416</v>
      </c>
      <c r="E22" s="266" t="s">
        <v>417</v>
      </c>
      <c r="F22" s="266" t="s">
        <v>492</v>
      </c>
      <c r="G22" s="266" t="s">
        <v>493</v>
      </c>
      <c r="H22" s="267" t="s">
        <v>494</v>
      </c>
      <c r="L22" t="s">
        <v>511</v>
      </c>
      <c r="M22" t="s">
        <v>512</v>
      </c>
    </row>
    <row r="23" spans="3:13" x14ac:dyDescent="0.35">
      <c r="C23" s="268" t="s">
        <v>496</v>
      </c>
      <c r="D23" s="4">
        <v>0</v>
      </c>
      <c r="E23" s="4">
        <v>0</v>
      </c>
      <c r="F23" s="81">
        <f>D23*E24</f>
        <v>0</v>
      </c>
      <c r="G23" s="81">
        <f>D24*E23</f>
        <v>0</v>
      </c>
      <c r="H23" s="272">
        <f>F23-G23</f>
        <v>0</v>
      </c>
      <c r="L23">
        <f>D23+D24</f>
        <v>4</v>
      </c>
    </row>
    <row r="24" spans="3:13" x14ac:dyDescent="0.35">
      <c r="C24" s="268" t="s">
        <v>497</v>
      </c>
      <c r="D24" s="4">
        <v>4</v>
      </c>
      <c r="E24" s="4">
        <v>0</v>
      </c>
      <c r="F24" s="81">
        <f>D24*E25</f>
        <v>12</v>
      </c>
      <c r="G24" s="81">
        <f>D25*E24</f>
        <v>0</v>
      </c>
      <c r="H24" s="272">
        <f>F24-G24</f>
        <v>12</v>
      </c>
    </row>
    <row r="25" spans="3:13" x14ac:dyDescent="0.35">
      <c r="C25" s="268" t="s">
        <v>498</v>
      </c>
      <c r="D25" s="4">
        <v>2</v>
      </c>
      <c r="E25" s="4">
        <v>3</v>
      </c>
      <c r="F25" s="81">
        <f t="shared" ref="F25:F36" si="0">D25*E26</f>
        <v>6</v>
      </c>
      <c r="G25" s="81">
        <f t="shared" ref="G25:G36" si="1">D26*E25</f>
        <v>3</v>
      </c>
      <c r="H25" s="272">
        <f t="shared" ref="H25:H36" si="2">F25-G25</f>
        <v>3</v>
      </c>
    </row>
    <row r="26" spans="3:13" x14ac:dyDescent="0.35">
      <c r="C26" s="268" t="s">
        <v>499</v>
      </c>
      <c r="D26" s="4">
        <v>1</v>
      </c>
      <c r="E26" s="4">
        <v>3</v>
      </c>
      <c r="F26" s="81">
        <f t="shared" si="0"/>
        <v>0</v>
      </c>
      <c r="G26" s="81">
        <f t="shared" si="1"/>
        <v>0</v>
      </c>
      <c r="H26" s="272">
        <f t="shared" si="2"/>
        <v>0</v>
      </c>
    </row>
    <row r="27" spans="3:13" x14ac:dyDescent="0.35">
      <c r="C27" s="268" t="s">
        <v>501</v>
      </c>
      <c r="D27" s="4">
        <v>0</v>
      </c>
      <c r="E27" s="4">
        <v>0</v>
      </c>
      <c r="F27" s="81">
        <f t="shared" si="0"/>
        <v>0</v>
      </c>
      <c r="G27" s="81">
        <f t="shared" si="1"/>
        <v>0</v>
      </c>
      <c r="H27" s="272">
        <f t="shared" si="2"/>
        <v>0</v>
      </c>
    </row>
    <row r="28" spans="3:13" x14ac:dyDescent="0.35">
      <c r="C28" s="268" t="s">
        <v>502</v>
      </c>
      <c r="D28" s="4">
        <v>0</v>
      </c>
      <c r="E28" s="4">
        <v>0</v>
      </c>
      <c r="F28" s="81">
        <f t="shared" si="0"/>
        <v>0</v>
      </c>
      <c r="G28" s="81">
        <f t="shared" si="1"/>
        <v>0</v>
      </c>
      <c r="H28" s="272">
        <f t="shared" si="2"/>
        <v>0</v>
      </c>
    </row>
    <row r="29" spans="3:13" x14ac:dyDescent="0.35">
      <c r="C29" s="268" t="s">
        <v>503</v>
      </c>
      <c r="D29" s="4">
        <v>0</v>
      </c>
      <c r="E29" s="4">
        <v>0</v>
      </c>
      <c r="F29" s="81">
        <f t="shared" si="0"/>
        <v>0</v>
      </c>
      <c r="G29" s="81">
        <f t="shared" si="1"/>
        <v>0</v>
      </c>
      <c r="H29" s="272">
        <f t="shared" si="2"/>
        <v>0</v>
      </c>
    </row>
    <row r="30" spans="3:13" x14ac:dyDescent="0.35">
      <c r="C30" s="268" t="s">
        <v>504</v>
      </c>
      <c r="D30" s="4">
        <v>0</v>
      </c>
      <c r="E30" s="4">
        <v>0</v>
      </c>
      <c r="F30" s="81">
        <f t="shared" si="0"/>
        <v>0</v>
      </c>
      <c r="G30" s="81">
        <f t="shared" si="1"/>
        <v>0</v>
      </c>
      <c r="H30" s="272">
        <f t="shared" si="2"/>
        <v>0</v>
      </c>
    </row>
    <row r="31" spans="3:13" x14ac:dyDescent="0.35">
      <c r="C31" s="268" t="s">
        <v>505</v>
      </c>
      <c r="D31" s="4">
        <v>0</v>
      </c>
      <c r="E31" s="4">
        <v>0</v>
      </c>
      <c r="F31" s="81">
        <f t="shared" si="0"/>
        <v>0</v>
      </c>
      <c r="G31" s="81">
        <f t="shared" si="1"/>
        <v>0</v>
      </c>
      <c r="H31" s="272">
        <f t="shared" si="2"/>
        <v>0</v>
      </c>
    </row>
    <row r="32" spans="3:13" x14ac:dyDescent="0.35">
      <c r="C32" s="268" t="s">
        <v>506</v>
      </c>
      <c r="D32" s="4">
        <v>0</v>
      </c>
      <c r="E32" s="4">
        <v>0</v>
      </c>
      <c r="F32" s="81">
        <f t="shared" si="0"/>
        <v>0</v>
      </c>
      <c r="G32" s="81">
        <f t="shared" si="1"/>
        <v>0</v>
      </c>
      <c r="H32" s="272">
        <f t="shared" si="2"/>
        <v>0</v>
      </c>
    </row>
    <row r="33" spans="3:12" x14ac:dyDescent="0.35">
      <c r="C33" s="268" t="s">
        <v>507</v>
      </c>
      <c r="D33" s="4">
        <v>0</v>
      </c>
      <c r="E33" s="4">
        <v>0</v>
      </c>
      <c r="F33" s="81">
        <f t="shared" si="0"/>
        <v>0</v>
      </c>
      <c r="G33" s="81">
        <f t="shared" si="1"/>
        <v>0</v>
      </c>
      <c r="H33" s="272">
        <f t="shared" si="2"/>
        <v>0</v>
      </c>
    </row>
    <row r="34" spans="3:12" x14ac:dyDescent="0.35">
      <c r="C34" s="268" t="s">
        <v>508</v>
      </c>
      <c r="D34" s="4">
        <v>0</v>
      </c>
      <c r="E34" s="4">
        <v>0</v>
      </c>
      <c r="F34" s="81">
        <f t="shared" si="0"/>
        <v>0</v>
      </c>
      <c r="G34" s="81">
        <f t="shared" si="1"/>
        <v>0</v>
      </c>
      <c r="H34" s="272">
        <f t="shared" si="2"/>
        <v>0</v>
      </c>
    </row>
    <row r="35" spans="3:12" x14ac:dyDescent="0.35">
      <c r="C35" s="268" t="s">
        <v>509</v>
      </c>
      <c r="D35" s="4">
        <v>0</v>
      </c>
      <c r="E35" s="4">
        <v>0</v>
      </c>
      <c r="F35" s="81">
        <f t="shared" si="0"/>
        <v>0</v>
      </c>
      <c r="G35" s="81">
        <f t="shared" si="1"/>
        <v>0</v>
      </c>
      <c r="H35" s="272">
        <f t="shared" si="2"/>
        <v>0</v>
      </c>
    </row>
    <row r="36" spans="3:12" x14ac:dyDescent="0.35">
      <c r="C36" s="268" t="s">
        <v>510</v>
      </c>
      <c r="D36" s="4">
        <v>0</v>
      </c>
      <c r="E36" s="4">
        <v>0</v>
      </c>
      <c r="F36" s="81">
        <f t="shared" si="0"/>
        <v>0</v>
      </c>
      <c r="G36" s="81">
        <f t="shared" si="1"/>
        <v>0</v>
      </c>
      <c r="H36" s="272">
        <f t="shared" si="2"/>
        <v>0</v>
      </c>
    </row>
    <row r="37" spans="3:12" ht="19" thickBot="1" x14ac:dyDescent="0.5">
      <c r="C37" s="269" t="s">
        <v>495</v>
      </c>
      <c r="D37" s="270"/>
      <c r="E37" s="270"/>
      <c r="F37" s="270"/>
      <c r="G37" s="270"/>
      <c r="H37" s="271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4" t="s">
        <v>513</v>
      </c>
      <c r="E42" s="274"/>
      <c r="F42" s="274"/>
      <c r="G42" s="274"/>
      <c r="H42" s="274"/>
      <c r="I42" s="274"/>
      <c r="J42" s="274"/>
      <c r="K42" s="273"/>
      <c r="L42" s="273"/>
    </row>
    <row r="43" spans="3:12" x14ac:dyDescent="0.35">
      <c r="D43" s="274" t="s">
        <v>514</v>
      </c>
      <c r="E43" s="274"/>
      <c r="F43" s="274"/>
      <c r="G43" s="274"/>
      <c r="H43" s="274"/>
      <c r="I43" s="274"/>
      <c r="J43" s="274"/>
      <c r="K43" s="273"/>
      <c r="L43" s="273"/>
    </row>
    <row r="44" spans="3:12" x14ac:dyDescent="0.35">
      <c r="D44" s="274" t="s">
        <v>515</v>
      </c>
      <c r="E44" s="274"/>
      <c r="F44" s="274"/>
      <c r="G44" s="274"/>
      <c r="H44" s="274"/>
      <c r="I44" s="274"/>
      <c r="J44" s="274"/>
      <c r="K44" s="273"/>
      <c r="L44" s="273"/>
    </row>
    <row r="45" spans="3:12" x14ac:dyDescent="0.35">
      <c r="D45" s="274" t="s">
        <v>516</v>
      </c>
      <c r="E45" s="274"/>
      <c r="F45" s="274"/>
      <c r="G45" s="274"/>
      <c r="H45" s="274"/>
      <c r="I45" s="274"/>
      <c r="J45" s="274"/>
      <c r="K45" s="273"/>
      <c r="L45" s="273"/>
    </row>
    <row r="46" spans="3:12" x14ac:dyDescent="0.35">
      <c r="D46" s="274" t="s">
        <v>517</v>
      </c>
      <c r="E46" s="274"/>
      <c r="F46" s="274"/>
      <c r="G46" s="274"/>
      <c r="H46" s="274"/>
      <c r="I46" s="274"/>
      <c r="J46" s="274"/>
      <c r="K46" s="273"/>
      <c r="L46" s="273"/>
    </row>
    <row r="47" spans="3:12" x14ac:dyDescent="0.35">
      <c r="D47" s="274" t="s">
        <v>518</v>
      </c>
      <c r="E47" s="274"/>
      <c r="F47" s="274"/>
      <c r="G47" s="274"/>
      <c r="H47" s="274"/>
      <c r="I47" s="274"/>
      <c r="J47" s="274"/>
      <c r="K47" s="273"/>
      <c r="L47" s="273"/>
    </row>
    <row r="48" spans="3:12" x14ac:dyDescent="0.35">
      <c r="D48" s="274" t="s">
        <v>519</v>
      </c>
      <c r="E48" s="274"/>
      <c r="F48" s="274"/>
      <c r="G48" s="274"/>
      <c r="H48" s="274"/>
      <c r="I48" s="274"/>
      <c r="J48" s="274"/>
      <c r="K48" s="273"/>
      <c r="L48" s="273"/>
    </row>
    <row r="49" spans="4:12" x14ac:dyDescent="0.35">
      <c r="D49" s="274" t="s">
        <v>520</v>
      </c>
      <c r="E49" s="274"/>
      <c r="F49" s="274"/>
      <c r="G49" s="274"/>
      <c r="H49" s="274"/>
      <c r="I49" s="274"/>
      <c r="J49" s="274"/>
      <c r="K49" s="273"/>
      <c r="L49" s="273"/>
    </row>
    <row r="50" spans="4:12" x14ac:dyDescent="0.35">
      <c r="D50" s="274" t="s">
        <v>521</v>
      </c>
      <c r="E50" s="274"/>
      <c r="F50" s="274"/>
      <c r="G50" s="274"/>
      <c r="H50" s="274"/>
      <c r="I50" s="274"/>
      <c r="J50" s="274"/>
      <c r="K50" s="273"/>
      <c r="L50" s="273"/>
    </row>
    <row r="51" spans="4:12" x14ac:dyDescent="0.35">
      <c r="D51" s="274" t="s">
        <v>522</v>
      </c>
      <c r="E51" s="274"/>
      <c r="F51" s="274"/>
      <c r="G51" s="274"/>
      <c r="H51" s="274"/>
      <c r="I51" s="274"/>
      <c r="J51" s="274"/>
      <c r="K51" s="273"/>
      <c r="L51" s="273"/>
    </row>
    <row r="52" spans="4:12" x14ac:dyDescent="0.35">
      <c r="D52" s="274" t="s">
        <v>514</v>
      </c>
      <c r="E52" s="274"/>
      <c r="F52" s="274"/>
      <c r="G52" s="274"/>
      <c r="H52" s="274"/>
      <c r="I52" s="274"/>
      <c r="J52" s="274"/>
      <c r="K52" s="273"/>
      <c r="L52" s="273"/>
    </row>
    <row r="53" spans="4:12" x14ac:dyDescent="0.35">
      <c r="D53" s="274" t="s">
        <v>523</v>
      </c>
      <c r="E53" s="274"/>
      <c r="F53" s="274"/>
      <c r="G53" s="274"/>
      <c r="H53" s="274"/>
      <c r="I53" s="274"/>
      <c r="J53" s="274"/>
      <c r="K53" s="273"/>
      <c r="L53" s="273"/>
    </row>
    <row r="54" spans="4:12" x14ac:dyDescent="0.35">
      <c r="D54" s="274" t="s">
        <v>524</v>
      </c>
      <c r="E54" s="274"/>
      <c r="F54" s="274"/>
      <c r="G54" s="274"/>
      <c r="H54" s="274"/>
      <c r="I54" s="274"/>
      <c r="J54" s="274"/>
      <c r="K54" s="273"/>
      <c r="L54" s="273"/>
    </row>
    <row r="55" spans="4:12" x14ac:dyDescent="0.35">
      <c r="D55" s="274" t="s">
        <v>525</v>
      </c>
      <c r="E55" s="274"/>
      <c r="F55" s="274"/>
      <c r="G55" s="274"/>
      <c r="H55" s="274"/>
      <c r="I55" s="274"/>
      <c r="J55" s="274"/>
      <c r="K55" s="273"/>
      <c r="L55" s="273"/>
    </row>
    <row r="56" spans="4:12" x14ac:dyDescent="0.35">
      <c r="D56" s="274"/>
      <c r="E56" s="274"/>
      <c r="F56" s="274"/>
      <c r="G56" s="274"/>
      <c r="H56" s="274"/>
      <c r="I56" s="274"/>
      <c r="J56" s="274"/>
      <c r="K56" s="273"/>
      <c r="L56" s="273"/>
    </row>
    <row r="57" spans="4:12" x14ac:dyDescent="0.35">
      <c r="D57" s="274" t="s">
        <v>526</v>
      </c>
      <c r="E57" s="274"/>
      <c r="F57" s="274"/>
      <c r="G57" s="274"/>
      <c r="H57" s="274"/>
      <c r="I57" s="274"/>
      <c r="J57" s="274"/>
      <c r="K57" s="273"/>
      <c r="L57" s="273"/>
    </row>
    <row r="58" spans="4:12" x14ac:dyDescent="0.35">
      <c r="D58" s="274" t="s">
        <v>527</v>
      </c>
      <c r="E58" s="274"/>
      <c r="F58" s="274"/>
      <c r="G58" s="274"/>
      <c r="H58" s="274"/>
      <c r="I58" s="274"/>
      <c r="J58" s="274"/>
      <c r="K58" s="273"/>
      <c r="L58" s="273"/>
    </row>
    <row r="59" spans="4:12" x14ac:dyDescent="0.35">
      <c r="D59" s="274"/>
      <c r="E59" s="274"/>
      <c r="F59" s="274"/>
      <c r="G59" s="274"/>
      <c r="H59" s="274"/>
      <c r="I59" s="274"/>
      <c r="J59" s="274"/>
      <c r="K59" s="273"/>
      <c r="L59" s="273"/>
    </row>
    <row r="60" spans="4:12" x14ac:dyDescent="0.35">
      <c r="D60" s="274" t="s">
        <v>528</v>
      </c>
      <c r="E60" s="274"/>
      <c r="F60" s="274"/>
      <c r="G60" s="274"/>
      <c r="H60" s="274"/>
      <c r="I60" s="274"/>
      <c r="J60" s="274"/>
      <c r="K60" s="273"/>
      <c r="L60" s="273"/>
    </row>
    <row r="61" spans="4:12" x14ac:dyDescent="0.35">
      <c r="D61" s="274" t="s">
        <v>529</v>
      </c>
      <c r="E61" s="274"/>
      <c r="F61" s="274"/>
      <c r="G61" s="274"/>
      <c r="H61" s="274"/>
      <c r="I61" s="274"/>
      <c r="J61" s="274"/>
      <c r="K61" s="273"/>
      <c r="L61" s="273"/>
    </row>
    <row r="62" spans="4:12" x14ac:dyDescent="0.35">
      <c r="D62" s="274" t="s">
        <v>530</v>
      </c>
      <c r="E62" s="274"/>
      <c r="F62" s="274"/>
      <c r="G62" s="274"/>
      <c r="H62" s="274"/>
      <c r="I62" s="274"/>
      <c r="J62" s="274"/>
      <c r="K62" s="273"/>
      <c r="L62" s="273"/>
    </row>
    <row r="63" spans="4:12" x14ac:dyDescent="0.35">
      <c r="D63" s="274"/>
      <c r="E63" s="274"/>
      <c r="F63" s="274"/>
      <c r="G63" s="274"/>
      <c r="H63" s="274"/>
      <c r="I63" s="274"/>
      <c r="J63" s="274"/>
      <c r="K63" s="273"/>
      <c r="L63" s="273"/>
    </row>
    <row r="64" spans="4:12" x14ac:dyDescent="0.35">
      <c r="D64" s="274" t="s">
        <v>531</v>
      </c>
      <c r="E64" s="274"/>
      <c r="F64" s="274"/>
      <c r="G64" s="274"/>
      <c r="H64" s="274"/>
      <c r="I64" s="274"/>
      <c r="J64" s="274"/>
      <c r="K64" s="273"/>
      <c r="L64" s="273"/>
    </row>
    <row r="65" spans="4:12" x14ac:dyDescent="0.35">
      <c r="D65" s="274" t="s">
        <v>532</v>
      </c>
      <c r="E65" s="274"/>
      <c r="F65" s="274"/>
      <c r="G65" s="274"/>
      <c r="H65" s="274"/>
      <c r="I65" s="274"/>
      <c r="J65" s="274"/>
      <c r="K65" s="273"/>
      <c r="L65" s="273"/>
    </row>
    <row r="66" spans="4:12" x14ac:dyDescent="0.35">
      <c r="D66" s="274" t="s">
        <v>533</v>
      </c>
      <c r="E66" s="274"/>
      <c r="F66" s="274"/>
      <c r="G66" s="274"/>
      <c r="H66" s="274"/>
      <c r="I66" s="274"/>
      <c r="J66" s="274"/>
      <c r="K66" s="273"/>
      <c r="L66" s="273"/>
    </row>
    <row r="67" spans="4:12" x14ac:dyDescent="0.35">
      <c r="D67" s="274" t="s">
        <v>534</v>
      </c>
      <c r="E67" s="274"/>
      <c r="F67" s="274"/>
      <c r="G67" s="274"/>
      <c r="H67" s="274"/>
      <c r="I67" s="274"/>
      <c r="J67" s="274"/>
      <c r="K67" s="273"/>
      <c r="L67" s="273"/>
    </row>
    <row r="68" spans="4:12" x14ac:dyDescent="0.35">
      <c r="D68" s="274" t="s">
        <v>535</v>
      </c>
      <c r="E68" s="274"/>
      <c r="F68" s="274"/>
      <c r="G68" s="274"/>
      <c r="H68" s="274"/>
      <c r="I68" s="274"/>
      <c r="J68" s="274"/>
      <c r="K68" s="273"/>
      <c r="L68" s="273"/>
    </row>
    <row r="69" spans="4:12" x14ac:dyDescent="0.35">
      <c r="D69" s="274" t="s">
        <v>536</v>
      </c>
      <c r="E69" s="274"/>
      <c r="F69" s="274"/>
      <c r="G69" s="274"/>
      <c r="H69" s="274"/>
      <c r="I69" s="274"/>
      <c r="J69" s="274"/>
      <c r="K69" s="273"/>
      <c r="L69" s="273"/>
    </row>
    <row r="70" spans="4:12" x14ac:dyDescent="0.35">
      <c r="D70" s="274" t="s">
        <v>537</v>
      </c>
      <c r="E70" s="274"/>
      <c r="F70" s="274"/>
      <c r="G70" s="274"/>
      <c r="H70" s="274"/>
      <c r="I70" s="274"/>
      <c r="J70" s="274"/>
      <c r="K70" s="273"/>
      <c r="L70" s="273"/>
    </row>
    <row r="71" spans="4:12" x14ac:dyDescent="0.35">
      <c r="D71" s="274"/>
      <c r="E71" s="274"/>
      <c r="F71" s="274"/>
      <c r="G71" s="274"/>
      <c r="H71" s="274"/>
      <c r="I71" s="274"/>
      <c r="J71" s="274"/>
      <c r="K71" s="273"/>
      <c r="L71" s="273"/>
    </row>
    <row r="72" spans="4:12" x14ac:dyDescent="0.35">
      <c r="D72" s="274" t="s">
        <v>538</v>
      </c>
      <c r="E72" s="274"/>
      <c r="F72" s="274"/>
      <c r="G72" s="274"/>
      <c r="H72" s="274"/>
      <c r="I72" s="274"/>
      <c r="J72" s="274"/>
      <c r="K72" s="273"/>
      <c r="L72" s="273"/>
    </row>
    <row r="73" spans="4:12" x14ac:dyDescent="0.35">
      <c r="D73" s="274" t="s">
        <v>539</v>
      </c>
      <c r="E73" s="274"/>
      <c r="F73" s="274"/>
      <c r="G73" s="274"/>
      <c r="H73" s="274"/>
      <c r="I73" s="274"/>
      <c r="J73" s="274"/>
      <c r="K73" s="273"/>
      <c r="L73" s="273"/>
    </row>
    <row r="74" spans="4:12" x14ac:dyDescent="0.35">
      <c r="D74" s="274" t="s">
        <v>540</v>
      </c>
      <c r="E74" s="274"/>
      <c r="F74" s="274"/>
      <c r="G74" s="274"/>
      <c r="H74" s="274"/>
      <c r="I74" s="274"/>
      <c r="J74" s="274"/>
      <c r="K74" s="273"/>
      <c r="L74" s="273"/>
    </row>
    <row r="75" spans="4:12" x14ac:dyDescent="0.35">
      <c r="D75" s="274" t="s">
        <v>516</v>
      </c>
      <c r="E75" s="274"/>
      <c r="F75" s="274"/>
      <c r="G75" s="274"/>
      <c r="H75" s="274"/>
      <c r="I75" s="274"/>
      <c r="J75" s="274"/>
      <c r="K75" s="273"/>
      <c r="L75" s="273"/>
    </row>
    <row r="76" spans="4:12" x14ac:dyDescent="0.35">
      <c r="D76" s="274" t="s">
        <v>541</v>
      </c>
      <c r="E76" s="274"/>
      <c r="F76" s="274"/>
      <c r="G76" s="274"/>
      <c r="H76" s="274"/>
      <c r="I76" s="274"/>
      <c r="J76" s="274"/>
      <c r="K76" s="273"/>
      <c r="L76" s="273"/>
    </row>
    <row r="77" spans="4:12" x14ac:dyDescent="0.35">
      <c r="D77" s="274" t="s">
        <v>542</v>
      </c>
      <c r="E77" s="274"/>
      <c r="F77" s="274"/>
      <c r="G77" s="274"/>
      <c r="H77" s="274"/>
      <c r="I77" s="274"/>
      <c r="J77" s="274"/>
      <c r="K77" s="273"/>
      <c r="L77" s="273"/>
    </row>
    <row r="78" spans="4:12" x14ac:dyDescent="0.35">
      <c r="D78" s="274"/>
      <c r="E78" s="274"/>
      <c r="F78" s="274"/>
      <c r="G78" s="274"/>
      <c r="H78" s="274"/>
      <c r="I78" s="274"/>
      <c r="J78" s="274"/>
      <c r="K78" s="273"/>
      <c r="L78" s="273"/>
    </row>
    <row r="79" spans="4:12" x14ac:dyDescent="0.35">
      <c r="D79" s="274" t="s">
        <v>543</v>
      </c>
      <c r="E79" s="274"/>
      <c r="F79" s="274"/>
      <c r="G79" s="274"/>
      <c r="H79" s="274"/>
      <c r="I79" s="274"/>
      <c r="J79" s="274"/>
      <c r="K79" s="273"/>
      <c r="L79" s="273"/>
    </row>
    <row r="80" spans="4:12" x14ac:dyDescent="0.35">
      <c r="D80" s="274"/>
      <c r="E80" s="274"/>
      <c r="F80" s="274"/>
      <c r="G80" s="274"/>
      <c r="H80" s="274"/>
      <c r="I80" s="274"/>
      <c r="J80" s="274"/>
      <c r="K80" s="273"/>
      <c r="L80" s="273"/>
    </row>
    <row r="82" spans="4:12" x14ac:dyDescent="0.35">
      <c r="D82" s="274" t="s">
        <v>544</v>
      </c>
      <c r="E82" s="274"/>
      <c r="F82" s="274"/>
      <c r="G82" s="274"/>
      <c r="H82" s="274"/>
      <c r="I82" s="274"/>
      <c r="J82" s="274"/>
      <c r="K82" s="274"/>
      <c r="L82" s="274"/>
    </row>
    <row r="83" spans="4:12" x14ac:dyDescent="0.35">
      <c r="D83" s="274" t="s">
        <v>545</v>
      </c>
      <c r="E83" s="274"/>
      <c r="F83" s="274"/>
      <c r="G83" s="274"/>
      <c r="H83" s="274"/>
      <c r="I83" s="274"/>
      <c r="J83" s="274"/>
      <c r="K83" s="274"/>
      <c r="L83" s="274"/>
    </row>
    <row r="84" spans="4:12" x14ac:dyDescent="0.35">
      <c r="D84" s="274"/>
      <c r="E84" s="274"/>
      <c r="F84" s="274"/>
      <c r="G84" s="274"/>
      <c r="H84" s="274"/>
      <c r="I84" s="274"/>
      <c r="J84" s="274"/>
      <c r="K84" s="274"/>
      <c r="L84" s="274"/>
    </row>
    <row r="85" spans="4:12" x14ac:dyDescent="0.35">
      <c r="D85" s="274" t="s">
        <v>546</v>
      </c>
      <c r="E85" s="274"/>
      <c r="F85" s="274"/>
      <c r="G85" s="274"/>
      <c r="H85" s="274"/>
      <c r="I85" s="274"/>
      <c r="J85" s="274"/>
      <c r="K85" s="274"/>
      <c r="L85" s="274"/>
    </row>
    <row r="86" spans="4:12" x14ac:dyDescent="0.35">
      <c r="D86" s="274" t="s">
        <v>547</v>
      </c>
      <c r="E86" s="274"/>
      <c r="F86" s="274"/>
      <c r="G86" s="274"/>
      <c r="H86" s="274"/>
      <c r="I86" s="274"/>
      <c r="J86" s="274"/>
      <c r="K86" s="274"/>
      <c r="L86" s="274"/>
    </row>
    <row r="88" spans="4:12" x14ac:dyDescent="0.35">
      <c r="D88" s="274" t="s">
        <v>548</v>
      </c>
      <c r="E88" s="273"/>
      <c r="F88" s="273"/>
      <c r="G88" s="273"/>
      <c r="H88" s="273"/>
      <c r="I88" s="273"/>
      <c r="J88" s="273"/>
      <c r="K88" s="273"/>
      <c r="L88" s="273"/>
    </row>
    <row r="89" spans="4:12" x14ac:dyDescent="0.35">
      <c r="D89" s="274" t="s">
        <v>549</v>
      </c>
      <c r="E89" s="273"/>
      <c r="F89" s="273"/>
      <c r="G89" s="273"/>
      <c r="H89" s="273"/>
      <c r="I89" s="273"/>
      <c r="J89" s="273"/>
      <c r="K89" s="273"/>
      <c r="L89" s="273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25</vt:i4>
      </vt:variant>
    </vt:vector>
  </HeadingPairs>
  <TitlesOfParts>
    <vt:vector size="25" baseType="lpstr">
      <vt:lpstr>TOC</vt:lpstr>
      <vt:lpstr>Einheitenvorsätze</vt:lpstr>
      <vt:lpstr>Elektronische Schaltzeichen</vt:lpstr>
      <vt:lpstr>LCR-Glieder</vt:lpstr>
      <vt:lpstr>Quelle mit Innenwiderstand</vt:lpstr>
      <vt:lpstr>Leistung bei Wechselstrom</vt:lpstr>
      <vt:lpstr>Schiefeebene</vt:lpstr>
      <vt:lpstr>Schiefe-Ebene (alt)</vt:lpstr>
      <vt:lpstr>Sinus_Cosinus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2025-06-12T05:29:37Z</cp:lastPrinted>
  <dcterms:created xsi:type="dcterms:W3CDTF">2015-06-05T18:19:34Z</dcterms:created>
  <dcterms:modified xsi:type="dcterms:W3CDTF">2025-12-18T16:17:13Z</dcterms:modified>
</cp:coreProperties>
</file>