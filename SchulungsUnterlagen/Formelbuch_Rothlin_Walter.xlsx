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ink/ink2.xml" ContentType="application/inkml+xml"/>
  <Override PartName="/xl/ink/ink3.xml" ContentType="application/inkml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CF16A073-5739-44A5-9F6F-9EB695D73DBE}" xr6:coauthVersionLast="47" xr6:coauthVersionMax="47" xr10:uidLastSave="{00000000-0000-0000-0000-000000000000}"/>
  <bookViews>
    <workbookView xWindow="-110" yWindow="-110" windowWidth="19420" windowHeight="10300" firstSheet="4" activeTab="5" xr2:uid="{00000000-000D-0000-FFFF-FFFF00000000}"/>
  </bookViews>
  <sheets>
    <sheet name="TOC" sheetId="13" r:id="rId1"/>
    <sheet name="Belasteter Spannungsteiler" sheetId="40" r:id="rId2"/>
    <sheet name="Magnetismus" sheetId="38" r:id="rId3"/>
    <sheet name="Einheitenvorsätze" sheetId="32" r:id="rId4"/>
    <sheet name="Edizio_Bestellungen" sheetId="37" r:id="rId5"/>
    <sheet name="Elektronische Schaltzeichen" sheetId="30" r:id="rId6"/>
    <sheet name="LCR-Glieder" sheetId="35" r:id="rId7"/>
    <sheet name="Kondensator an Gleichspannung" sheetId="36" r:id="rId8"/>
    <sheet name="Quelle mit Innenwiderstand" sheetId="29" r:id="rId9"/>
    <sheet name="Leistung bei Wechselstrom" sheetId="28" r:id="rId10"/>
    <sheet name="Schiefeebene" sheetId="19" r:id="rId11"/>
    <sheet name="Schiefe-Ebene (alt)" sheetId="20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40" l="1"/>
  <c r="D28" i="40"/>
  <c r="D29" i="40" s="1"/>
  <c r="D30" i="40" s="1"/>
  <c r="D31" i="40" s="1"/>
  <c r="W12" i="40"/>
  <c r="Q12" i="40"/>
  <c r="Q13" i="40" s="1"/>
  <c r="W13" i="40"/>
  <c r="B42" i="40"/>
  <c r="B41" i="40"/>
  <c r="V7" i="40"/>
  <c r="P7" i="40"/>
  <c r="V8" i="40"/>
  <c r="W8" i="40"/>
  <c r="W7" i="40"/>
  <c r="Q7" i="40"/>
  <c r="Q11" i="40" s="1"/>
  <c r="U8" i="40"/>
  <c r="U7" i="40"/>
  <c r="F26" i="40"/>
  <c r="E27" i="40" s="1"/>
  <c r="I17" i="32"/>
  <c r="N14" i="40"/>
  <c r="P10" i="40"/>
  <c r="Q10" i="40"/>
  <c r="G20" i="35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D25" i="35" s="1"/>
  <c r="D28" i="35" s="1"/>
  <c r="G21" i="35"/>
  <c r="G22" i="35"/>
  <c r="I19" i="32"/>
  <c r="H19" i="32"/>
  <c r="I25" i="35"/>
  <c r="K21" i="35"/>
  <c r="K22" i="35"/>
  <c r="K23" i="35"/>
  <c r="L23" i="35" s="1"/>
  <c r="X63" i="35" s="1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E32" i="40" l="1"/>
  <c r="E33" i="40" s="1"/>
  <c r="E34" i="40" s="1"/>
  <c r="E35" i="40" s="1"/>
  <c r="D33" i="40"/>
  <c r="D34" i="40" s="1"/>
  <c r="D35" i="40" s="1"/>
  <c r="W11" i="40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40" i="35"/>
  <c r="X22" i="35"/>
  <c r="AB20" i="35"/>
  <c r="AE20" i="35" s="1"/>
  <c r="AE24" i="35" s="1"/>
  <c r="AB38" i="35"/>
  <c r="AB58" i="35"/>
  <c r="G14" i="33"/>
  <c r="J20" i="35"/>
  <c r="M20" i="35" s="1"/>
  <c r="L22" i="35"/>
  <c r="F28" i="35"/>
  <c r="F34" i="35" s="1"/>
  <c r="F29" i="35"/>
  <c r="M22" i="35"/>
  <c r="M21" i="35"/>
  <c r="J25" i="35"/>
  <c r="M25" i="35" s="1"/>
  <c r="M23" i="35"/>
  <c r="K25" i="35"/>
  <c r="L25" i="35" s="1"/>
  <c r="Z20" i="35" s="1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G27" i="40" l="1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B39" i="35" s="1"/>
  <c r="AH39" i="35" s="1"/>
  <c r="AH42" i="35" s="1"/>
  <c r="H25" i="35"/>
  <c r="G19" i="9"/>
  <c r="AE58" i="35"/>
  <c r="AE64" i="35" s="1"/>
  <c r="Z60" i="35"/>
  <c r="Z38" i="35"/>
  <c r="X39" i="35"/>
  <c r="X61" i="35"/>
  <c r="X60" i="35"/>
  <c r="X20" i="35"/>
  <c r="X38" i="35"/>
  <c r="AE38" i="35"/>
  <c r="AE42" i="35" s="1"/>
  <c r="X21" i="35"/>
  <c r="X62" i="35"/>
  <c r="W15" i="18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27" i="40" l="1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34" i="35"/>
  <c r="X64" i="35" s="1"/>
  <c r="AB60" i="35"/>
  <c r="AH60" i="35" s="1"/>
  <c r="AH67" i="35" s="1"/>
  <c r="K29" i="35"/>
  <c r="L29" i="35" s="1"/>
  <c r="Z39" i="35" s="1"/>
  <c r="D33" i="35"/>
  <c r="H33" i="35" s="1"/>
  <c r="P33" i="35"/>
  <c r="R33" i="35" s="1"/>
  <c r="T33" i="35" s="1"/>
  <c r="Z41" i="35" s="1"/>
  <c r="J29" i="35"/>
  <c r="M29" i="35" s="1"/>
  <c r="G21" i="9"/>
  <c r="G20" i="9"/>
  <c r="H19" i="9"/>
  <c r="D32" i="35"/>
  <c r="H32" i="35" s="1"/>
  <c r="AB59" i="35"/>
  <c r="AB65" i="35" s="1"/>
  <c r="AB21" i="35"/>
  <c r="AH21" i="35" s="1"/>
  <c r="AH24" i="35" s="1"/>
  <c r="Z61" i="35"/>
  <c r="AB40" i="35"/>
  <c r="AD40" i="35" s="1"/>
  <c r="AG41" i="35" s="1"/>
  <c r="Z21" i="35"/>
  <c r="Z62" i="35"/>
  <c r="P32" i="35"/>
  <c r="R32" i="35" s="1"/>
  <c r="T32" i="35" s="1"/>
  <c r="Z23" i="35" s="1"/>
  <c r="D34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I27" i="40" l="1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Z40" i="35" s="1"/>
  <c r="G32" i="36"/>
  <c r="H20" i="9"/>
  <c r="H21" i="9"/>
  <c r="I19" i="9"/>
  <c r="AB22" i="35"/>
  <c r="AE22" i="35" s="1"/>
  <c r="AH23" i="35" s="1"/>
  <c r="AH59" i="35"/>
  <c r="AH61" i="35" s="1"/>
  <c r="AH64" i="35" s="1"/>
  <c r="AE40" i="35"/>
  <c r="AH41" i="35" s="1"/>
  <c r="J32" i="35"/>
  <c r="M32" i="35" s="1"/>
  <c r="K32" i="35"/>
  <c r="L32" i="35" s="1"/>
  <c r="Z22" i="35" s="1"/>
  <c r="K34" i="35"/>
  <c r="L34" i="35" s="1"/>
  <c r="Z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J27" i="40" l="1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65" i="35"/>
  <c r="AG66" i="35" s="1"/>
  <c r="AE65" i="35"/>
  <c r="AH66" i="35" s="1"/>
  <c r="P34" i="35"/>
  <c r="R34" i="35" s="1"/>
  <c r="T34" i="35" s="1"/>
  <c r="Z64" i="35" s="1"/>
  <c r="AD22" i="35"/>
  <c r="AG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K27" i="40" l="1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M27" i="40" l="1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N27" i="40" l="1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O27" i="40" l="1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P27" i="40" l="1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S27" i="40" l="1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U27" i="40" l="1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X27" i="40" l="1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Y27" i="40" l="1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Z27" i="40" l="1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A27" i="40" l="1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C27" i="40" l="1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D27" i="40" l="1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G27" i="40" l="1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I27" i="40" l="1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K27" i="40" l="1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L27" i="40" l="1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M27" i="40" l="1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M28" i="40" l="1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<sst xmlns="http://schemas.openxmlformats.org/spreadsheetml/2006/main" count="1526" uniqueCount="962">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</sst>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9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'LCR-Glieder'!$AD$23:$AE$23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'LCR-Glieder'!$AG$23:$AH$23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'LCR-Glieder'!$AD$22:$AE$22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'LCR-Glieder'!$AG$22:$AH$22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'LCR-Glieder'!$X$20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'LCR-Glieder'!$AD$20:$AE$20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'LCR-Glieder'!$AG$20:$AH$20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'LCR-Glieder'!$Z$21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'LCR-Glieder'!$AD$21:$AE$21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'LCR-Glieder'!$AG$21:$AH$21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'LCR-Glieder'!$Z$22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'LCR-Glieder'!$AD$24:$AE$24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'LCR-Glieder'!$AG$24:$AH$24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'LCR-Glieder'!$AD$41:$AE$41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'LCR-Glieder'!$AG$41:$AH$41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'LCR-Glieder'!$AD$40:$AE$40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'LCR-Glieder'!$AG$40:$AH$40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'LCR-Glieder'!$X$38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'LCR-Glieder'!$AD$38:$AE$38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'LCR-Glieder'!$AG$38:$AH$38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'LCR-Glieder'!$Z$39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'LCR-Glieder'!$AD$39:$AE$39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'LCR-Glieder'!$AG$39:$AH$39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'LCR-Glieder'!$Z$40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'LCR-Glieder'!$AD$42:$AE$42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'LCR-Glieder'!$AG$42:$AH$42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'LCR-Glieder'!$AD$66:$AE$66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'LCR-Glieder'!$AG$66:$AH$66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'LCR-Glieder'!$AD$65:$AE$65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'LCR-Glieder'!$AG$65:$AH$65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'LCR-Glieder'!$X$38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'LCR-Glieder'!$AD$38:$AE$38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'LCR-Glieder'!$AG$38:$AH$38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'LCR-Glieder'!$Z$39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'LCR-Glieder'!$AD$60:$AE$60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'LCR-Glieder'!$AG$60:$AH$60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'LCR-Glieder'!$M$28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'LCR-Glieder'!$AD$59:$AE$59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'LCR-Glieder'!$AG$59:$AH$59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'LCR-Glieder'!$AD$61:$AE$61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'LCR-Glieder'!$AG$61:$AH$61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'LCR-Glieder'!$AC$64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'LCR-Glieder'!$AD$64:$AE$64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'LCR-Glieder'!$AG$64:$AH$64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5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1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28231"/>
          <a:ext cx="2970863" cy="3216374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240145</xdr:colOff>
      <xdr:row>13</xdr:row>
      <xdr:rowOff>9509</xdr:rowOff>
    </xdr:from>
    <xdr:to>
      <xdr:col>5</xdr:col>
      <xdr:colOff>349250</xdr:colOff>
      <xdr:row>21</xdr:row>
      <xdr:rowOff>32839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442359" y="2676509"/>
          <a:ext cx="871105" cy="1583616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583622</xdr:colOff>
      <xdr:row>12</xdr:row>
      <xdr:rowOff>154609</xdr:rowOff>
    </xdr:from>
    <xdr:to>
      <xdr:col>6</xdr:col>
      <xdr:colOff>692727</xdr:colOff>
      <xdr:row>21</xdr:row>
      <xdr:rowOff>24177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47836" y="2612966"/>
          <a:ext cx="871105" cy="1638497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691029</xdr:colOff>
      <xdr:row>20</xdr:row>
      <xdr:rowOff>123263</xdr:rowOff>
    </xdr:from>
    <xdr:to>
      <xdr:col>5</xdr:col>
      <xdr:colOff>58978</xdr:colOff>
      <xdr:row>21</xdr:row>
      <xdr:rowOff>79988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739029" y="3935131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47685"/>
          <a:ext cx="1696152" cy="1194160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83990"/>
          <a:ext cx="1581439" cy="1527112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01429"/>
          <a:ext cx="2645276" cy="723239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36555"/>
          <a:ext cx="7663217" cy="2647592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491807"/>
          <a:ext cx="4151095" cy="24941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649933"/>
          <a:ext cx="5125354" cy="1563690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833608"/>
          <a:ext cx="3891695" cy="2611654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052164"/>
          <a:ext cx="968608" cy="24753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883694"/>
          <a:ext cx="5564837" cy="5068786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2283" y="879656"/>
          <a:ext cx="608867" cy="1534618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12</xdr:col>
      <xdr:colOff>1820022</xdr:colOff>
      <xdr:row>112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17</xdr:row>
      <xdr:rowOff>37777</xdr:rowOff>
    </xdr:from>
    <xdr:to>
      <xdr:col>22</xdr:col>
      <xdr:colOff>1139826</xdr:colOff>
      <xdr:row>23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35</xdr:row>
      <xdr:rowOff>88901</xdr:rowOff>
    </xdr:from>
    <xdr:to>
      <xdr:col>22</xdr:col>
      <xdr:colOff>939800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31</xdr:row>
      <xdr:rowOff>145624</xdr:rowOff>
    </xdr:from>
    <xdr:to>
      <xdr:col>34</xdr:col>
      <xdr:colOff>78441</xdr:colOff>
      <xdr:row>49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56</xdr:row>
      <xdr:rowOff>133349</xdr:rowOff>
    </xdr:from>
    <xdr:to>
      <xdr:col>22</xdr:col>
      <xdr:colOff>665694</xdr:colOff>
      <xdr:row>65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52</xdr:row>
      <xdr:rowOff>44822</xdr:rowOff>
    </xdr:from>
    <xdr:to>
      <xdr:col>34</xdr:col>
      <xdr:colOff>100851</xdr:colOff>
      <xdr:row>73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9" sqref="E9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937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zoomScale="70" zoomScaleNormal="70" workbookViewId="0">
      <selection activeCell="F118" sqref="F118"/>
    </sheetView>
  </sheetViews>
  <sheetFormatPr baseColWidth="10" defaultRowHeight="14.5" x14ac:dyDescent="0.35"/>
  <cols>
    <col min="3" max="3" width="13.08984375" customWidth="1"/>
    <col min="8" max="8" width="15.453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937</v>
      </c>
    </row>
    <row r="7" spans="3:23" ht="16.5" x14ac:dyDescent="0.45">
      <c r="H7" s="5" t="s">
        <v>938</v>
      </c>
      <c r="K7" s="5" t="s">
        <v>881</v>
      </c>
      <c r="L7" s="8" t="s">
        <v>942</v>
      </c>
      <c r="M7" s="4">
        <v>1</v>
      </c>
      <c r="N7" s="4" t="s">
        <v>698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954</v>
      </c>
      <c r="S7" s="4">
        <v>2.4</v>
      </c>
      <c r="T7" s="4" t="s">
        <v>698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943</v>
      </c>
      <c r="M8" s="4">
        <v>3</v>
      </c>
      <c r="N8" s="4" t="s">
        <v>698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955</v>
      </c>
      <c r="S8" s="4">
        <v>7.2</v>
      </c>
      <c r="T8" s="4" t="s">
        <v>698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46" t="s">
        <v>939</v>
      </c>
      <c r="K9" s="5"/>
      <c r="L9" s="8" t="s">
        <v>944</v>
      </c>
      <c r="M9" s="4">
        <v>3</v>
      </c>
      <c r="N9" s="4" t="s">
        <v>698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46" t="s">
        <v>940</v>
      </c>
      <c r="K10" s="5"/>
      <c r="L10" s="8" t="s">
        <v>945</v>
      </c>
      <c r="M10" s="4">
        <v>12</v>
      </c>
      <c r="N10" s="4" t="s">
        <v>707</v>
      </c>
      <c r="O10" s="5" t="s">
        <v>320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956</v>
      </c>
      <c r="M11" s="5"/>
      <c r="N11" s="5"/>
      <c r="O11" s="5"/>
      <c r="P11" s="5"/>
      <c r="Q11" s="77">
        <f>Q7/Q8</f>
        <v>0.33333333333333331</v>
      </c>
      <c r="R11" s="8" t="s">
        <v>957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941</v>
      </c>
      <c r="L12" s="8" t="s">
        <v>960</v>
      </c>
      <c r="M12" s="5"/>
      <c r="N12" s="5"/>
      <c r="O12" s="5"/>
      <c r="P12" s="5"/>
      <c r="Q12" s="77">
        <f>1-Q7/(Q7+Q8)</f>
        <v>0.75</v>
      </c>
      <c r="R12" s="8" t="s">
        <v>960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961</v>
      </c>
      <c r="M13" s="5"/>
      <c r="N13" s="5"/>
      <c r="O13" s="5"/>
      <c r="P13" s="5"/>
      <c r="Q13" s="77">
        <f>$M$10*Q12</f>
        <v>9</v>
      </c>
      <c r="R13" s="8" t="s">
        <v>961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946</v>
      </c>
      <c r="L14" s="95" t="s">
        <v>947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948</v>
      </c>
      <c r="L15" s="95" t="s">
        <v>949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950</v>
      </c>
      <c r="L16" s="95" t="s">
        <v>951</v>
      </c>
      <c r="M16" s="77">
        <f>Q7*M15</f>
        <v>4.8</v>
      </c>
      <c r="N16" s="5" t="s">
        <v>320</v>
      </c>
    </row>
    <row r="17" spans="2:39" ht="16.5" x14ac:dyDescent="0.45">
      <c r="K17" s="293" t="s">
        <v>952</v>
      </c>
      <c r="L17" s="95" t="s">
        <v>953</v>
      </c>
      <c r="M17" s="77">
        <f>Q10-M16</f>
        <v>7.2</v>
      </c>
      <c r="N17" s="5" t="s">
        <v>320</v>
      </c>
    </row>
    <row r="26" spans="2:39" x14ac:dyDescent="0.35">
      <c r="C26" s="8" t="s">
        <v>317</v>
      </c>
      <c r="D26" s="4">
        <v>1</v>
      </c>
      <c r="E26" s="4" t="s">
        <v>698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944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946</v>
      </c>
      <c r="C28" s="95" t="s">
        <v>947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948</v>
      </c>
      <c r="C29" s="95" t="s">
        <v>949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950</v>
      </c>
      <c r="C30" s="95" t="s">
        <v>951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952</v>
      </c>
      <c r="C31" s="95" t="s">
        <v>953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946</v>
      </c>
      <c r="C32" s="95" t="s">
        <v>958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948</v>
      </c>
      <c r="C33" s="95" t="s">
        <v>949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950</v>
      </c>
      <c r="C34" s="95" t="s">
        <v>959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952</v>
      </c>
      <c r="C35" s="95" t="s">
        <v>953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44" t="str">
        <f>_xlfn.CONCAT("UL = f(RL)   R1/R2 =",Q11)</f>
        <v>UL = f(RL)   R1/R2 =0.333333333333333</v>
      </c>
      <c r="C41" s="218"/>
    </row>
    <row r="42" spans="2:39" x14ac:dyDescent="0.35">
      <c r="B42" s="445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3" workbookViewId="0">
      <selection activeCell="I18" sqref="I18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7">
        <v>1</v>
      </c>
      <c r="R17" s="447"/>
      <c r="T17" s="447">
        <v>1</v>
      </c>
      <c r="U17" s="447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8" t="s">
        <v>926</v>
      </c>
      <c r="N23" s="448"/>
      <c r="O23" s="174"/>
      <c r="P23" s="174"/>
      <c r="Q23" s="448">
        <v>3</v>
      </c>
      <c r="R23" s="448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abSelected="1" topLeftCell="D9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88"/>
  <sheetViews>
    <sheetView showGridLines="0" zoomScale="85" zoomScaleNormal="85" workbookViewId="0">
      <selection activeCell="C5" sqref="C5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2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24" x14ac:dyDescent="0.35">
      <c r="R3" t="s">
        <v>65</v>
      </c>
    </row>
    <row r="16" spans="3:24" ht="15" thickBot="1" x14ac:dyDescent="0.4"/>
    <row r="17" spans="3:34" x14ac:dyDescent="0.35">
      <c r="V17" s="404"/>
      <c r="W17" s="405"/>
      <c r="X17" s="405"/>
      <c r="Y17" s="405"/>
      <c r="Z17" s="405"/>
      <c r="AA17" s="406"/>
    </row>
    <row r="18" spans="3:34" x14ac:dyDescent="0.35">
      <c r="V18" s="407"/>
      <c r="AA18" s="408"/>
    </row>
    <row r="19" spans="3:34" x14ac:dyDescent="0.35">
      <c r="V19" s="407"/>
      <c r="X19" s="5" t="s">
        <v>881</v>
      </c>
      <c r="Z19" s="5" t="s">
        <v>880</v>
      </c>
      <c r="AA19" s="408"/>
    </row>
    <row r="20" spans="3:34" ht="20.5" customHeight="1" x14ac:dyDescent="0.45">
      <c r="C20" s="8" t="s">
        <v>865</v>
      </c>
      <c r="D20" s="4">
        <v>1</v>
      </c>
      <c r="E20" s="4" t="s">
        <v>698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1000</v>
      </c>
      <c r="I20" s="401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 * 10³Ω</v>
      </c>
      <c r="K20" s="77" t="str">
        <f>IF(E20=Einheitenvorsätze!$A$19,_xlfn.CONCAT(D20,F20),_xlfn.CONCAT(D20,E20,F20))</f>
        <v>1kΩ</v>
      </c>
      <c r="L20" s="77" t="str">
        <f>_xlfn.CONCAT(I20,K20)</f>
        <v>R = 1kΩ</v>
      </c>
      <c r="M20" s="77" t="str">
        <f>_xlfn.CONCAT(I20,J20)</f>
        <v>R = 1 * 10³Ω</v>
      </c>
      <c r="V20" s="407"/>
      <c r="X20" s="402" t="str">
        <f>$L$20</f>
        <v>R = 1kΩ</v>
      </c>
      <c r="Z20" s="403" t="str">
        <f>IF($X$2=$R$2,$L$25,_xlfn.CONCAT($C$25,"?"))</f>
        <v>ω = 6283.1853(1/s)</v>
      </c>
      <c r="AA20" s="408"/>
      <c r="AB20">
        <f>$H$20</f>
        <v>1000</v>
      </c>
      <c r="AC20" s="1" t="s">
        <v>891</v>
      </c>
      <c r="AD20">
        <v>0</v>
      </c>
      <c r="AE20">
        <f>IF($X$2=$R$2,AB20,0)</f>
        <v>1000</v>
      </c>
      <c r="AG20">
        <v>0</v>
      </c>
      <c r="AH20">
        <v>0</v>
      </c>
    </row>
    <row r="21" spans="3:34" ht="20.5" customHeight="1" x14ac:dyDescent="0.45">
      <c r="C21" s="8" t="s">
        <v>866</v>
      </c>
      <c r="D21" s="4">
        <v>0.1</v>
      </c>
      <c r="E21" s="4" t="s">
        <v>719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401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V21" s="407"/>
      <c r="X21" s="402" t="str">
        <f>$L$21</f>
        <v>C = 0.1µF</v>
      </c>
      <c r="Z21" s="403" t="str">
        <f>IF($X$2=$R$2,$L$28,_xlfn.CONCAT($C$28,"?"))</f>
        <v>XC = 1591.55Ω</v>
      </c>
      <c r="AA21" s="408"/>
      <c r="AB21">
        <f>$H$28</f>
        <v>1591.55</v>
      </c>
      <c r="AC21" s="1" t="s">
        <v>892</v>
      </c>
      <c r="AD21">
        <v>0</v>
      </c>
      <c r="AE21">
        <v>0</v>
      </c>
      <c r="AG21">
        <v>0</v>
      </c>
      <c r="AH21">
        <f>IF($X$2=$R$2,-AB21,0)</f>
        <v>-1591.55</v>
      </c>
    </row>
    <row r="22" spans="3:34" ht="20.5" customHeight="1" x14ac:dyDescent="0.45">
      <c r="C22" s="8" t="s">
        <v>867</v>
      </c>
      <c r="D22" s="4">
        <v>40</v>
      </c>
      <c r="E22" s="4" t="s">
        <v>716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0.04</v>
      </c>
      <c r="I22" s="401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40 * 10⁻³H</v>
      </c>
      <c r="K22" s="77" t="str">
        <f>IF(E22=Einheitenvorsätze!$A$19,_xlfn.CONCAT(D22,F22),_xlfn.CONCAT(D22,E22,F22))</f>
        <v>40mH</v>
      </c>
      <c r="L22" s="77" t="str">
        <f t="shared" si="1"/>
        <v>L = 40mH</v>
      </c>
      <c r="M22" s="77" t="str">
        <f t="shared" si="2"/>
        <v>L = 40 * 10⁻³H</v>
      </c>
      <c r="V22" s="407"/>
      <c r="X22" s="402" t="str">
        <f>$L$23</f>
        <v>f =1kHZ</v>
      </c>
      <c r="Z22" s="403" t="str">
        <f>IF($X$2=$R$2,$L$32,_xlfn.CONCAT($C$32,"?"))</f>
        <v>ZRC = 1879.64Ω</v>
      </c>
      <c r="AA22" s="409"/>
      <c r="AB22">
        <f>ABS(MAX(AB20:AB21))*1.1</f>
        <v>1750.7050000000002</v>
      </c>
      <c r="AC22" s="1" t="s">
        <v>894</v>
      </c>
      <c r="AD22">
        <f>-AB22</f>
        <v>-1750.7050000000002</v>
      </c>
      <c r="AE22">
        <f>AB22</f>
        <v>1750.7050000000002</v>
      </c>
      <c r="AG22">
        <v>0</v>
      </c>
      <c r="AH22">
        <v>0</v>
      </c>
    </row>
    <row r="23" spans="3:34" ht="20.5" customHeight="1" x14ac:dyDescent="0.45">
      <c r="C23" s="8" t="s">
        <v>868</v>
      </c>
      <c r="D23" s="4">
        <v>1</v>
      </c>
      <c r="E23" s="4" t="s">
        <v>698</v>
      </c>
      <c r="F23" s="5" t="s">
        <v>869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401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V23" s="407"/>
      <c r="Z23" s="403" t="str">
        <f>IF($X$2=$R$2,$T$32,_xlfn.CONCAT($O$32,"?"))</f>
        <v>φ = -57.9°</v>
      </c>
      <c r="AA23" s="408"/>
      <c r="AD23">
        <v>0</v>
      </c>
      <c r="AE23">
        <v>0</v>
      </c>
      <c r="AG23">
        <f>AD22</f>
        <v>-1750.7050000000002</v>
      </c>
      <c r="AH23">
        <f>AE22</f>
        <v>1750.7050000000002</v>
      </c>
    </row>
    <row r="24" spans="3:34" ht="20.5" customHeight="1" x14ac:dyDescent="0.35">
      <c r="V24" s="407"/>
      <c r="AA24" s="408"/>
      <c r="AD24">
        <v>0</v>
      </c>
      <c r="AE24">
        <f>AE20</f>
        <v>1000</v>
      </c>
      <c r="AG24">
        <v>0</v>
      </c>
      <c r="AH24">
        <f>AH21</f>
        <v>-1591.55</v>
      </c>
    </row>
    <row r="25" spans="3:34" ht="20.5" customHeight="1" thickBot="1" x14ac:dyDescent="0.4">
      <c r="C25" s="8" t="s">
        <v>870</v>
      </c>
      <c r="D25" s="77">
        <f>ROUND((2*PI()*H23 / 10^G25),4)</f>
        <v>6283.1853000000001</v>
      </c>
      <c r="E25" s="4" t="s">
        <v>707</v>
      </c>
      <c r="F25" s="5" t="s">
        <v>871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401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V25" s="410"/>
      <c r="W25" s="411"/>
      <c r="X25" s="411"/>
      <c r="Y25" s="411"/>
      <c r="Z25" s="411"/>
      <c r="AA25" s="412"/>
    </row>
    <row r="26" spans="3:34" ht="20.5" customHeight="1" x14ac:dyDescent="0.35"/>
    <row r="27" spans="3:34" ht="20.5" customHeight="1" x14ac:dyDescent="0.35"/>
    <row r="28" spans="3:34" ht="20.5" customHeight="1" x14ac:dyDescent="0.45">
      <c r="C28" s="8" t="s">
        <v>872</v>
      </c>
      <c r="D28" s="77">
        <f>ROUND((1/((D25*D21)*10^(G25+G21)))/10^G28,2)</f>
        <v>1591.55</v>
      </c>
      <c r="E28" s="4" t="s">
        <v>707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0</v>
      </c>
      <c r="H28" s="77">
        <f>D28*VLOOKUP(E28, CHOOSE({1,2,3,4}, Einheitenvorsätze!A:A, Einheitenvorsätze!B:B, Einheitenvorsätze!C:C, Einheitenvorsätze!D:D), 3, FALSE)</f>
        <v>1591.55</v>
      </c>
      <c r="I28" s="401" t="str">
        <f t="shared" ref="I28:I29" si="6">C28</f>
        <v xml:space="preserve">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1591.55Ω</v>
      </c>
      <c r="K28" s="77" t="str">
        <f>IF(E28=Einheitenvorsätze!$A$19,_xlfn.CONCAT(D28,F28),_xlfn.CONCAT(D28,E28,F28))</f>
        <v>1591.55Ω</v>
      </c>
      <c r="L28" s="77" t="str">
        <f t="shared" ref="L28:L29" si="7">_xlfn.CONCAT(I28,K28)</f>
        <v>XC = 1591.55Ω</v>
      </c>
      <c r="M28" s="77" t="str">
        <f t="shared" ref="M28:M29" si="8">_xlfn.CONCAT(I28,J28)</f>
        <v>XC = 1591.55Ω</v>
      </c>
    </row>
    <row r="29" spans="3:34" ht="20.5" customHeight="1" x14ac:dyDescent="0.45">
      <c r="C29" s="8" t="s">
        <v>873</v>
      </c>
      <c r="D29" s="77">
        <f>ROUND((((D25*D22)*10^(G25+G22))/10^G29),4)</f>
        <v>251.32740000000001</v>
      </c>
      <c r="E29" s="4" t="s">
        <v>707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251.32740000000001</v>
      </c>
      <c r="I29" s="401" t="str">
        <f t="shared" si="6"/>
        <v xml:space="preserve">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251.3274Ω</v>
      </c>
      <c r="K29" s="77" t="str">
        <f>IF(E29=Einheitenvorsätze!$A$19,_xlfn.CONCAT(D29,F29),_xlfn.CONCAT(D29,E29,F29))</f>
        <v>251.3274Ω</v>
      </c>
      <c r="L29" s="77" t="str">
        <f t="shared" si="7"/>
        <v>XL = 251.3274Ω</v>
      </c>
      <c r="M29" s="77" t="str">
        <f t="shared" si="8"/>
        <v>XL = 251.3274Ω</v>
      </c>
    </row>
    <row r="31" spans="3:34" x14ac:dyDescent="0.35">
      <c r="C31" t="s">
        <v>875</v>
      </c>
    </row>
    <row r="32" spans="3:34" ht="16.5" x14ac:dyDescent="0.45">
      <c r="C32" s="8" t="s">
        <v>874</v>
      </c>
      <c r="D32" s="77">
        <f>ROUND(SQRT(H20^2 + H28^2) / 10^G32,2)</f>
        <v>1879.64</v>
      </c>
      <c r="E32" s="4" t="s">
        <v>707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0</v>
      </c>
      <c r="H32" s="77">
        <f>D32*VLOOKUP(E32, CHOOSE({1,2,3,4}, Einheitenvorsätze!A:A, Einheitenvorsätze!B:B, Einheitenvorsätze!C:C, Einheitenvorsätze!D:D), 3, FALSE)</f>
        <v>1879.64</v>
      </c>
      <c r="I32" s="401" t="str">
        <f t="shared" ref="I32:I34" si="9">C32</f>
        <v xml:space="preserve">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1879.64Ω</v>
      </c>
      <c r="K32" s="77" t="str">
        <f>IF(E32=Einheitenvorsätze!$A$19,_xlfn.CONCAT(D32,F32),_xlfn.CONCAT(D32,E32,F32))</f>
        <v>1879.64Ω</v>
      </c>
      <c r="L32" s="77" t="str">
        <f t="shared" ref="L32:L34" si="10">_xlfn.CONCAT(I32,K32)</f>
        <v>ZRC = 1879.64Ω</v>
      </c>
      <c r="M32" s="77" t="str">
        <f t="shared" ref="M32:M34" si="11">_xlfn.CONCAT(I32,J32)</f>
        <v>ZRC = 1879.64Ω</v>
      </c>
      <c r="O32" s="8" t="s">
        <v>878</v>
      </c>
      <c r="P32" s="77">
        <f>ATAN2(H20,-H28)</f>
        <v>-1.0098143717607519</v>
      </c>
      <c r="Q32" s="5" t="s">
        <v>202</v>
      </c>
      <c r="R32" s="77">
        <f>DEGREES(P32)</f>
        <v>-57.85810159354579</v>
      </c>
      <c r="S32" s="5" t="s">
        <v>201</v>
      </c>
      <c r="T32" s="77" t="str">
        <f>_xlfn.CONCAT(O32,ROUND(R32,1),S32)</f>
        <v>φ = -57.9°</v>
      </c>
    </row>
    <row r="33" spans="2:34" ht="16.5" x14ac:dyDescent="0.45">
      <c r="C33" s="8" t="s">
        <v>876</v>
      </c>
      <c r="D33" s="77">
        <f>ROUND(SQRT(H20^2 + H29^2)/10^G33,2)</f>
        <v>1031.0999999999999</v>
      </c>
      <c r="E33" s="4" t="s">
        <v>707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0</v>
      </c>
      <c r="H33" s="77">
        <f>D33*VLOOKUP(E33, CHOOSE({1,2,3,4}, Einheitenvorsätze!A:A, Einheitenvorsätze!B:B, Einheitenvorsätze!C:C, Einheitenvorsätze!D:D), 3, FALSE)</f>
        <v>1031.0999999999999</v>
      </c>
      <c r="I33" s="401" t="str">
        <f t="shared" si="9"/>
        <v xml:space="preserve">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1031.1Ω</v>
      </c>
      <c r="K33" s="77" t="str">
        <f>IF(E33=Einheitenvorsätze!$A$19,_xlfn.CONCAT(D33,F33),_xlfn.CONCAT(D33,E33,F33))</f>
        <v>1031.1Ω</v>
      </c>
      <c r="L33" s="77" t="str">
        <f t="shared" si="10"/>
        <v>ZRL = 1031.1Ω</v>
      </c>
      <c r="M33" s="77" t="str">
        <f t="shared" si="11"/>
        <v>ZRL = 1031.1Ω</v>
      </c>
      <c r="O33" s="8" t="s">
        <v>878</v>
      </c>
      <c r="P33" s="77">
        <f>ATAN2(H20,H29)</f>
        <v>0.24622759004774283</v>
      </c>
      <c r="Q33" s="5" t="s">
        <v>202</v>
      </c>
      <c r="R33" s="77">
        <f>DEGREES(P33)</f>
        <v>14.107801709413097</v>
      </c>
      <c r="S33" s="5" t="s">
        <v>201</v>
      </c>
      <c r="T33" s="77" t="str">
        <f>_xlfn.CONCAT(O33,ROUND(R33,1),S33)</f>
        <v>φ = 14.1°</v>
      </c>
    </row>
    <row r="34" spans="2:34" ht="16.5" x14ac:dyDescent="0.45">
      <c r="B34" s="498" t="str">
        <f>IF(D28=D29,"ohmsch",IF(D28&gt;D29,"kapazitiv","induktiv"))</f>
        <v>kapazitiv</v>
      </c>
      <c r="C34" s="8" t="s">
        <v>877</v>
      </c>
      <c r="D34" s="77">
        <f>ROUND(SQRT(H20^2 + (H28-H29)^2)/10^G34,2)</f>
        <v>1672.18</v>
      </c>
      <c r="E34" s="4" t="s">
        <v>707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0</v>
      </c>
      <c r="H34" s="77">
        <f>D34*VLOOKUP(E34, CHOOSE({1,2,3,4}, Einheitenvorsätze!A:A, Einheitenvorsätze!B:B, Einheitenvorsätze!C:C, Einheitenvorsätze!D:D), 3, FALSE)</f>
        <v>1672.18</v>
      </c>
      <c r="I34" s="401" t="str">
        <f t="shared" si="9"/>
        <v xml:space="preserve">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1672.18Ω</v>
      </c>
      <c r="K34" s="77" t="str">
        <f>IF(E34=Einheitenvorsätze!$A$19,_xlfn.CONCAT(D34,F34),_xlfn.CONCAT(D34,E34,F34))</f>
        <v>1672.18Ω</v>
      </c>
      <c r="L34" s="77" t="str">
        <f t="shared" si="10"/>
        <v>ZRLC = 1672.18Ω</v>
      </c>
      <c r="M34" s="77" t="str">
        <f t="shared" si="11"/>
        <v>ZRLC = 1672.18Ω</v>
      </c>
      <c r="O34" s="8" t="s">
        <v>878</v>
      </c>
      <c r="P34" s="77">
        <f>ATAN2(H20,IF(H32&gt;H33,-H34,H34))</f>
        <v>-1.0318326960693467</v>
      </c>
      <c r="Q34" s="5" t="s">
        <v>202</v>
      </c>
      <c r="R34" s="77">
        <f>DEGREES(P34)</f>
        <v>-59.119658648378575</v>
      </c>
      <c r="S34" s="5" t="s">
        <v>201</v>
      </c>
      <c r="T34" s="77" t="str">
        <f>_xlfn.CONCAT(O34,ROUND(R34,1),S34)</f>
        <v>φ = -59.1°</v>
      </c>
    </row>
    <row r="35" spans="2:34" ht="15" thickBot="1" x14ac:dyDescent="0.4"/>
    <row r="36" spans="2:34" ht="23.5" x14ac:dyDescent="0.55000000000000004">
      <c r="V36" s="413"/>
      <c r="W36" s="414"/>
      <c r="X36" s="405"/>
      <c r="Y36" s="405"/>
      <c r="Z36" s="405"/>
      <c r="AA36" s="406"/>
    </row>
    <row r="37" spans="2:34" ht="23.5" x14ac:dyDescent="0.55000000000000004">
      <c r="V37" s="415"/>
      <c r="W37" s="245"/>
      <c r="X37" s="5" t="s">
        <v>881</v>
      </c>
      <c r="Z37" s="5" t="s">
        <v>880</v>
      </c>
      <c r="AA37" s="408"/>
    </row>
    <row r="38" spans="2:34" ht="18.5" x14ac:dyDescent="0.45">
      <c r="V38" s="407"/>
      <c r="X38" s="402" t="str">
        <f>$L$20</f>
        <v>R = 1kΩ</v>
      </c>
      <c r="Z38" s="403" t="str">
        <f>IF($X$2=$R$2,$L$25,_xlfn.CONCAT($C$25,"?"))</f>
        <v>ω = 6283.1853(1/s)</v>
      </c>
      <c r="AA38" s="408"/>
      <c r="AB38">
        <f>$H$20</f>
        <v>1000</v>
      </c>
      <c r="AC38" s="1" t="s">
        <v>891</v>
      </c>
      <c r="AD38">
        <v>0</v>
      </c>
      <c r="AE38">
        <f>IF($X$2=$R$2,AB38,0)</f>
        <v>1000</v>
      </c>
      <c r="AG38">
        <v>0</v>
      </c>
      <c r="AH38">
        <v>0</v>
      </c>
    </row>
    <row r="39" spans="2:34" ht="18.5" x14ac:dyDescent="0.45">
      <c r="V39" s="407"/>
      <c r="X39" s="402" t="str">
        <f>$L$22</f>
        <v>L = 40mH</v>
      </c>
      <c r="Z39" s="403" t="str">
        <f>IF($X$2=$R$2,$L$29,_xlfn.CONCAT($C$29,"?"))</f>
        <v>XL = 251.3274Ω</v>
      </c>
      <c r="AA39" s="408"/>
      <c r="AB39">
        <f>$H$29</f>
        <v>251.32740000000001</v>
      </c>
      <c r="AC39" s="1" t="s">
        <v>893</v>
      </c>
      <c r="AD39">
        <v>0</v>
      </c>
      <c r="AE39">
        <v>0</v>
      </c>
      <c r="AG39">
        <v>0</v>
      </c>
      <c r="AH39">
        <f>IF($X$2=$R$2,AB39,0)</f>
        <v>251.32740000000001</v>
      </c>
    </row>
    <row r="40" spans="2:34" ht="18.5" x14ac:dyDescent="0.45">
      <c r="V40" s="407"/>
      <c r="X40" s="402" t="str">
        <f>$L$23</f>
        <v>f =1kHZ</v>
      </c>
      <c r="Z40" s="403" t="str">
        <f>IF($X$2=$R$2,$L$33,_xlfn.CONCAT($C$33,"?"))</f>
        <v>ZRL = 1031.1Ω</v>
      </c>
      <c r="AA40" s="408"/>
      <c r="AB40">
        <f>ABS(MAX(AB38:AB39))*1.1</f>
        <v>1100</v>
      </c>
      <c r="AC40" s="1" t="s">
        <v>894</v>
      </c>
      <c r="AD40">
        <f>-AB40</f>
        <v>-1100</v>
      </c>
      <c r="AE40">
        <f>AB40</f>
        <v>1100</v>
      </c>
      <c r="AG40">
        <v>0</v>
      </c>
      <c r="AH40">
        <v>0</v>
      </c>
    </row>
    <row r="41" spans="2:34" ht="18.5" x14ac:dyDescent="0.45">
      <c r="V41" s="407"/>
      <c r="Z41" s="403" t="str">
        <f>IF($X$2=$R$2,$T$33,_xlfn.CONCAT($O$33,"?"))</f>
        <v>φ = 14.1°</v>
      </c>
      <c r="AA41" s="408"/>
      <c r="AD41">
        <v>0</v>
      </c>
      <c r="AE41">
        <v>0</v>
      </c>
      <c r="AG41">
        <f>AD40</f>
        <v>-1100</v>
      </c>
      <c r="AH41">
        <f>AE40</f>
        <v>1100</v>
      </c>
    </row>
    <row r="42" spans="2:34" ht="15" thickBot="1" x14ac:dyDescent="0.4">
      <c r="V42" s="410"/>
      <c r="W42" s="411"/>
      <c r="X42" s="411"/>
      <c r="Y42" s="411"/>
      <c r="Z42" s="411"/>
      <c r="AA42" s="412"/>
      <c r="AD42">
        <v>0</v>
      </c>
      <c r="AE42">
        <f>AE38</f>
        <v>1000</v>
      </c>
      <c r="AG42">
        <v>0</v>
      </c>
      <c r="AH42">
        <f>AH39</f>
        <v>251.32740000000001</v>
      </c>
    </row>
    <row r="56" spans="22:34" ht="15" thickBot="1" x14ac:dyDescent="0.4"/>
    <row r="57" spans="22:34" x14ac:dyDescent="0.35">
      <c r="V57" s="404"/>
      <c r="W57" s="405"/>
      <c r="X57" s="405"/>
      <c r="Y57" s="405"/>
      <c r="Z57" s="405"/>
      <c r="AA57" s="406"/>
    </row>
    <row r="58" spans="22:34" x14ac:dyDescent="0.35">
      <c r="V58" s="407"/>
      <c r="AA58" s="408"/>
      <c r="AB58">
        <f>$H$20</f>
        <v>1000</v>
      </c>
      <c r="AC58" s="1" t="s">
        <v>891</v>
      </c>
      <c r="AD58">
        <v>0</v>
      </c>
      <c r="AE58">
        <f>IF($X$2=$R$2,AB58,0)</f>
        <v>1000</v>
      </c>
      <c r="AG58">
        <v>0</v>
      </c>
      <c r="AH58">
        <v>0</v>
      </c>
    </row>
    <row r="59" spans="22:34" x14ac:dyDescent="0.35">
      <c r="V59" s="407"/>
      <c r="X59" s="5" t="s">
        <v>881</v>
      </c>
      <c r="Z59" s="5" t="s">
        <v>880</v>
      </c>
      <c r="AA59" s="408"/>
      <c r="AB59">
        <f>$H$28</f>
        <v>1591.55</v>
      </c>
      <c r="AC59" s="1" t="s">
        <v>892</v>
      </c>
      <c r="AD59">
        <v>0</v>
      </c>
      <c r="AE59">
        <v>0</v>
      </c>
      <c r="AG59">
        <v>0</v>
      </c>
      <c r="AH59">
        <f>IF($X$2=$R$2,-AB59,0)</f>
        <v>-1591.55</v>
      </c>
    </row>
    <row r="60" spans="22:34" ht="18.5" x14ac:dyDescent="0.45">
      <c r="V60" s="407"/>
      <c r="X60" s="402" t="str">
        <f>$L$20</f>
        <v>R = 1kΩ</v>
      </c>
      <c r="Z60" s="403" t="str">
        <f>IF($X$2=$R$2,$L$25,_xlfn.CONCAT($C$25,"?"))</f>
        <v>ω = 6283.1853(1/s)</v>
      </c>
      <c r="AA60" s="408"/>
      <c r="AB60">
        <f>$H$29</f>
        <v>251.32740000000001</v>
      </c>
      <c r="AC60" s="1" t="s">
        <v>893</v>
      </c>
      <c r="AD60">
        <v>0</v>
      </c>
      <c r="AE60">
        <v>0</v>
      </c>
      <c r="AG60">
        <v>0</v>
      </c>
      <c r="AH60">
        <f>IF($X$2=$R$2,AB60,0)</f>
        <v>251.32740000000001</v>
      </c>
    </row>
    <row r="61" spans="22:34" ht="18.5" x14ac:dyDescent="0.45">
      <c r="V61" s="407"/>
      <c r="X61" s="402" t="str">
        <f>$L$22</f>
        <v>L = 40mH</v>
      </c>
      <c r="Z61" s="403" t="str">
        <f>IF($X$2=$R$2,$L$29,_xlfn.CONCAT($C$29,"?"))</f>
        <v>XL = 251.3274Ω</v>
      </c>
      <c r="AA61" s="408"/>
      <c r="AC61" s="1" t="s">
        <v>895</v>
      </c>
      <c r="AD61">
        <v>0</v>
      </c>
      <c r="AE61">
        <v>0</v>
      </c>
      <c r="AG61">
        <v>0</v>
      </c>
      <c r="AH61">
        <f>AH59+AH60</f>
        <v>-1340.2226000000001</v>
      </c>
    </row>
    <row r="62" spans="22:34" ht="18.5" x14ac:dyDescent="0.45">
      <c r="V62" s="407"/>
      <c r="X62" s="402" t="str">
        <f>$L$21</f>
        <v>C = 0.1µF</v>
      </c>
      <c r="Z62" s="403" t="str">
        <f>IF($X$2=$R$2,$L$28,_xlfn.CONCAT($C$28,"?"))</f>
        <v>XC = 1591.55Ω</v>
      </c>
      <c r="AA62" s="408"/>
      <c r="AC62" s="1"/>
    </row>
    <row r="63" spans="22:34" ht="18.5" x14ac:dyDescent="0.45">
      <c r="V63" s="407"/>
      <c r="X63" s="402" t="str">
        <f>$L$23</f>
        <v>f =1kHZ</v>
      </c>
      <c r="Z63" s="403" t="str">
        <f>IF($X$2=$R$2,$L$34,_xlfn.CONCAT($C$33,"?"))</f>
        <v>ZRLC = 1672.18Ω</v>
      </c>
      <c r="AA63" s="408"/>
      <c r="AC63" s="1"/>
    </row>
    <row r="64" spans="22:34" ht="18.5" x14ac:dyDescent="0.45">
      <c r="V64" s="407"/>
      <c r="X64" s="403" t="str">
        <f>$B$34</f>
        <v>kapazitiv</v>
      </c>
      <c r="Z64" s="403" t="str">
        <f>IF($X$2=$R$2,$T$34,_xlfn.CONCAT($O$34,"?"))</f>
        <v>φ = -59.1°</v>
      </c>
      <c r="AA64" s="408"/>
      <c r="AC64" s="1" t="s">
        <v>896</v>
      </c>
      <c r="AD64">
        <v>0</v>
      </c>
      <c r="AE64">
        <f>AE58</f>
        <v>1000</v>
      </c>
      <c r="AG64">
        <v>0</v>
      </c>
      <c r="AH64">
        <f>AH61</f>
        <v>-1340.2226000000001</v>
      </c>
    </row>
    <row r="65" spans="22:34" x14ac:dyDescent="0.35">
      <c r="V65" s="407"/>
      <c r="AA65" s="408"/>
      <c r="AB65">
        <f>ABS(MAX(AB58:AB60))*1.1</f>
        <v>1750.7050000000002</v>
      </c>
      <c r="AC65" s="1" t="s">
        <v>894</v>
      </c>
      <c r="AD65">
        <f>-AB65</f>
        <v>-1750.7050000000002</v>
      </c>
      <c r="AE65">
        <f>AB65</f>
        <v>1750.7050000000002</v>
      </c>
      <c r="AG65">
        <v>0</v>
      </c>
      <c r="AH65">
        <v>0</v>
      </c>
    </row>
    <row r="66" spans="22:34" ht="15" thickBot="1" x14ac:dyDescent="0.4">
      <c r="V66" s="410"/>
      <c r="W66" s="411"/>
      <c r="X66" s="411"/>
      <c r="Y66" s="411"/>
      <c r="Z66" s="411"/>
      <c r="AA66" s="412"/>
      <c r="AD66">
        <v>0</v>
      </c>
      <c r="AE66">
        <v>0</v>
      </c>
      <c r="AG66">
        <f>AD65</f>
        <v>-1750.7050000000002</v>
      </c>
      <c r="AH66">
        <f>AE65</f>
        <v>1750.7050000000002</v>
      </c>
    </row>
    <row r="67" spans="22:34" x14ac:dyDescent="0.35">
      <c r="AD67">
        <v>0</v>
      </c>
      <c r="AE67">
        <f>AE59</f>
        <v>0</v>
      </c>
      <c r="AG67">
        <v>0</v>
      </c>
      <c r="AH67">
        <f>AH60</f>
        <v>251.32740000000001</v>
      </c>
    </row>
    <row r="88" spans="34:34" x14ac:dyDescent="0.35">
      <c r="AH88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topLeftCell="A1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12</v>
      </c>
      <c r="E9" s="4" t="s">
        <v>716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24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17.999960274662833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55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-0.66666666666666674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0.51341711903259202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0.48658288096740798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1500kΩ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0.48658363636363638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12ms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9" t="s">
        <v>659</v>
      </c>
      <c r="N92" s="449"/>
      <c r="O92" s="449"/>
      <c r="P92" s="450"/>
      <c r="Q92" s="451" t="s">
        <v>65</v>
      </c>
      <c r="R92" s="452"/>
      <c r="S92" s="453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54">
        <f>3*10^8</f>
        <v>300000000</v>
      </c>
      <c r="K131" s="455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54">
        <v>0.02</v>
      </c>
      <c r="K132" s="455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3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42">
        <f>$J$11</f>
        <v>10</v>
      </c>
      <c r="F26" s="442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42">
        <f>$J$11</f>
        <v>10</v>
      </c>
      <c r="F29" s="442">
        <f>E29</f>
        <v>10</v>
      </c>
      <c r="H29" t="str">
        <f>D26</f>
        <v>X-Achse:</v>
      </c>
    </row>
    <row r="30" spans="4:10" x14ac:dyDescent="0.35">
      <c r="E30" s="442">
        <f>MIN($J$12:$AX$13)</f>
        <v>-5</v>
      </c>
      <c r="F30" s="442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7" t="s">
        <v>216</v>
      </c>
      <c r="D12" s="457"/>
      <c r="E12" s="457"/>
      <c r="F12" s="457"/>
      <c r="G12" s="457"/>
      <c r="H12" s="56"/>
      <c r="I12" s="457" t="s">
        <v>217</v>
      </c>
      <c r="J12" s="457"/>
      <c r="K12" s="457" t="s">
        <v>212</v>
      </c>
      <c r="L12" s="457"/>
      <c r="M12" s="457" t="s">
        <v>218</v>
      </c>
      <c r="N12" s="457"/>
      <c r="O12" s="457"/>
      <c r="P12" s="456" t="s">
        <v>229</v>
      </c>
      <c r="Q12" s="456"/>
      <c r="R12" s="456"/>
      <c r="S12" s="456"/>
      <c r="T12" s="456" t="s">
        <v>261</v>
      </c>
      <c r="U12" s="456"/>
      <c r="V12" s="456"/>
      <c r="W12" s="456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8" t="s">
        <v>417</v>
      </c>
      <c r="C13" s="455"/>
      <c r="D13" s="455"/>
      <c r="E13" s="455"/>
      <c r="F13" s="455"/>
      <c r="G13" s="455"/>
      <c r="H13" s="455"/>
      <c r="I13" s="455"/>
      <c r="L13" s="458" t="s">
        <v>418</v>
      </c>
      <c r="M13" s="459"/>
      <c r="N13" s="459"/>
      <c r="O13" s="459"/>
      <c r="Q13" s="458" t="s">
        <v>230</v>
      </c>
      <c r="R13" s="459"/>
      <c r="S13" s="459"/>
      <c r="T13" s="459"/>
      <c r="U13" s="459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46163.663959490739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60" t="s">
        <v>901</v>
      </c>
      <c r="D3" s="460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60" t="s">
        <v>21</v>
      </c>
      <c r="D4" s="460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60" t="s">
        <v>22</v>
      </c>
      <c r="D5" s="460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60" t="s">
        <v>887</v>
      </c>
      <c r="D6" s="460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61" t="s">
        <v>899</v>
      </c>
      <c r="D11" s="462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61" t="s">
        <v>900</v>
      </c>
      <c r="D12" s="462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4" t="s">
        <v>1</v>
      </c>
      <c r="D18" s="465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3" t="s">
        <v>19</v>
      </c>
      <c r="D19" s="463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62" t="s">
        <v>24</v>
      </c>
      <c r="D20" s="462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62" t="s">
        <v>888</v>
      </c>
      <c r="D21" s="462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7" t="str">
        <f>$O$8</f>
        <v>Anfangs-Geschwindigkeit</v>
      </c>
      <c r="D6" s="478"/>
      <c r="E6" s="481" t="str">
        <f>$O$9</f>
        <v>Geschwindigkeit</v>
      </c>
      <c r="F6" s="478"/>
      <c r="G6" s="481" t="str">
        <f>$O$10</f>
        <v>Strecke</v>
      </c>
      <c r="H6" s="478"/>
      <c r="I6" s="481" t="str">
        <f>$O$11</f>
        <v>Zeit</v>
      </c>
      <c r="J6" s="478"/>
      <c r="K6" s="481" t="str">
        <f>$O$12</f>
        <v>Beschleunigung</v>
      </c>
      <c r="L6" s="482"/>
    </row>
    <row r="7" spans="1:19" ht="15" thickBot="1" x14ac:dyDescent="0.4">
      <c r="B7" s="13" t="s">
        <v>37</v>
      </c>
      <c r="C7" s="479" t="str">
        <f>$P$8</f>
        <v>v0 [m/s]</v>
      </c>
      <c r="D7" s="480"/>
      <c r="E7" s="483" t="str">
        <f>$P$9</f>
        <v>v [m/s]</v>
      </c>
      <c r="F7" s="480"/>
      <c r="G7" s="483" t="str">
        <f>$P$10</f>
        <v>s [m]</v>
      </c>
      <c r="H7" s="480"/>
      <c r="I7" s="483" t="str">
        <f>$P$11</f>
        <v>t [s]</v>
      </c>
      <c r="J7" s="480"/>
      <c r="K7" s="483" t="str">
        <f>$P$12</f>
        <v>a [m/s2]</v>
      </c>
      <c r="L7" s="484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71">
        <v>119</v>
      </c>
      <c r="H8" s="472"/>
      <c r="I8" s="471">
        <v>7</v>
      </c>
      <c r="J8" s="472"/>
      <c r="K8" s="471">
        <v>2</v>
      </c>
      <c r="L8" s="476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8">
        <v>24</v>
      </c>
      <c r="F9" s="469"/>
      <c r="G9" s="16" t="s">
        <v>75</v>
      </c>
      <c r="H9" s="16">
        <f>E9*I9 - K9*I9^2/2</f>
        <v>119</v>
      </c>
      <c r="I9" s="468">
        <v>7</v>
      </c>
      <c r="J9" s="469"/>
      <c r="K9" s="468">
        <v>2</v>
      </c>
      <c r="L9" s="474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8">
        <v>24</v>
      </c>
      <c r="F10" s="469"/>
      <c r="G10" s="468">
        <v>119</v>
      </c>
      <c r="H10" s="469"/>
      <c r="I10" s="16" t="s">
        <v>76</v>
      </c>
      <c r="J10" s="16">
        <f>(E10 - SQRT(E10^2 - 2*K10*G10))/K10</f>
        <v>7</v>
      </c>
      <c r="K10" s="468">
        <v>2</v>
      </c>
      <c r="L10" s="474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8">
        <v>24</v>
      </c>
      <c r="F11" s="469"/>
      <c r="G11" s="468">
        <v>119</v>
      </c>
      <c r="H11" s="469"/>
      <c r="I11" s="468">
        <v>7</v>
      </c>
      <c r="J11" s="469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3">
        <v>10</v>
      </c>
      <c r="D12" s="469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8">
        <v>7</v>
      </c>
      <c r="J12" s="469"/>
      <c r="K12" s="468">
        <v>2</v>
      </c>
      <c r="L12" s="474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3">
        <v>10</v>
      </c>
      <c r="D13" s="469"/>
      <c r="E13" s="16" t="s">
        <v>80</v>
      </c>
      <c r="F13" s="16">
        <f>SQRT(C13^2 + 2*K13*G13)</f>
        <v>24</v>
      </c>
      <c r="G13" s="468">
        <v>119</v>
      </c>
      <c r="H13" s="469"/>
      <c r="I13" s="22" t="s">
        <v>55</v>
      </c>
      <c r="J13" s="16">
        <f xml:space="preserve"> (-C13 + SQRT(C13^2 + 2*K13*G13))/K13</f>
        <v>7</v>
      </c>
      <c r="K13" s="466">
        <v>2</v>
      </c>
      <c r="L13" s="474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3">
        <v>10</v>
      </c>
      <c r="D14" s="469"/>
      <c r="E14" s="16" t="s">
        <v>81</v>
      </c>
      <c r="F14" s="16">
        <f>2*G14/I14 - C14</f>
        <v>24</v>
      </c>
      <c r="G14" s="468">
        <v>119</v>
      </c>
      <c r="H14" s="469"/>
      <c r="I14" s="468">
        <v>7</v>
      </c>
      <c r="J14" s="475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3">
        <v>10</v>
      </c>
      <c r="D15" s="469"/>
      <c r="E15" s="468">
        <v>24</v>
      </c>
      <c r="F15" s="469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8">
        <v>2</v>
      </c>
      <c r="L15" s="474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3">
        <v>10</v>
      </c>
      <c r="D16" s="469"/>
      <c r="E16" s="468">
        <v>24</v>
      </c>
      <c r="F16" s="469"/>
      <c r="G16" s="16" t="s">
        <v>83</v>
      </c>
      <c r="H16" s="16">
        <f>(C16+E16)*I16/2</f>
        <v>119</v>
      </c>
      <c r="I16" s="468">
        <v>7</v>
      </c>
      <c r="J16" s="469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70">
        <v>10</v>
      </c>
      <c r="D17" s="467"/>
      <c r="E17" s="466">
        <v>24</v>
      </c>
      <c r="F17" s="467"/>
      <c r="G17" s="466">
        <v>119</v>
      </c>
      <c r="H17" s="467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85" t="str">
        <f>P13</f>
        <v>ω0 [rad/s]</v>
      </c>
      <c r="D18" s="486"/>
      <c r="E18" s="487" t="str">
        <f>P14</f>
        <v>ω [rad/s]</v>
      </c>
      <c r="F18" s="486"/>
      <c r="G18" s="487" t="str">
        <f>P15</f>
        <v>φ [rad]</v>
      </c>
      <c r="H18" s="486"/>
      <c r="I18" s="487" t="str">
        <f>P16</f>
        <v>t [s]</v>
      </c>
      <c r="J18" s="486"/>
      <c r="K18" s="487" t="str">
        <f>P17</f>
        <v>α [rad/s2]</v>
      </c>
      <c r="L18" s="488"/>
    </row>
    <row r="19" spans="1:16" ht="29.15" customHeight="1" thickBot="1" x14ac:dyDescent="0.4">
      <c r="C19" s="489" t="str">
        <f>O13</f>
        <v>Anfangs-Winkelgeschwindigkeit</v>
      </c>
      <c r="D19" s="490"/>
      <c r="E19" s="491" t="str">
        <f>O14</f>
        <v>Winkelgeschwindigkeit</v>
      </c>
      <c r="F19" s="490"/>
      <c r="G19" s="491" t="str">
        <f>O15</f>
        <v>Winkel</v>
      </c>
      <c r="H19" s="490"/>
      <c r="I19" s="491" t="str">
        <f>O16</f>
        <v>Zeit</v>
      </c>
      <c r="J19" s="490"/>
      <c r="K19" s="491" t="str">
        <f>O17</f>
        <v>Winkelbeschleunigung</v>
      </c>
      <c r="L19" s="492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62" t="s">
        <v>73</v>
      </c>
      <c r="V7" s="462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93"/>
      <c r="D11" s="493"/>
      <c r="E11" s="493"/>
      <c r="F11" s="493"/>
      <c r="G11" s="493"/>
      <c r="H11" s="493"/>
      <c r="I11" s="493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4" t="s">
        <v>441</v>
      </c>
      <c r="D12" s="494"/>
      <c r="E12" s="494"/>
      <c r="F12" s="494"/>
      <c r="G12" s="494"/>
      <c r="H12" s="494"/>
      <c r="I12" s="494"/>
      <c r="J12" s="32"/>
      <c r="K12" s="32"/>
      <c r="M12" s="42" t="s">
        <v>435</v>
      </c>
      <c r="N12" s="23">
        <v>50</v>
      </c>
      <c r="O12" s="495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6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7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62" t="s">
        <v>73</v>
      </c>
      <c r="S7" s="462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3"/>
      <c r="D11" s="493"/>
      <c r="E11" s="493"/>
      <c r="F11" s="493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4" t="s">
        <v>476</v>
      </c>
      <c r="D12" s="494"/>
      <c r="E12" s="494"/>
      <c r="F12" s="494"/>
      <c r="G12" s="32"/>
      <c r="H12" s="32"/>
      <c r="J12" s="42" t="s">
        <v>62</v>
      </c>
      <c r="K12" s="23">
        <v>60</v>
      </c>
      <c r="L12" s="495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7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8" t="s">
        <v>418</v>
      </c>
      <c r="N9" s="459"/>
      <c r="O9" s="459"/>
      <c r="P9" s="459"/>
      <c r="R9" s="458" t="s">
        <v>230</v>
      </c>
      <c r="S9" s="459"/>
      <c r="T9" s="459"/>
      <c r="U9" s="459"/>
      <c r="V9" s="459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2026-05-21T15:15:07Z</dcterms:modified>
</cp:coreProperties>
</file>