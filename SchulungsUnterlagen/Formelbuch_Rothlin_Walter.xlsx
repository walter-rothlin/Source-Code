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8.xml" ContentType="application/vnd.openxmlformats-officedocument.drawing+xml"/>
  <Override PartName="/xl/comments2.xml" ContentType="application/vnd.openxmlformats-officedocument.spreadsheetml.comments+xml"/>
  <Override PartName="/xl/drawings/drawing19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2.xml" ContentType="application/vnd.openxmlformats-officedocument.drawing+xml"/>
  <Override PartName="/xl/comments3.xml" ContentType="application/vnd.openxmlformats-officedocument.spreadsheetml.comments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7099B65E-F5D6-4713-9682-A03C67537AAF}" xr6:coauthVersionLast="47" xr6:coauthVersionMax="47" xr10:uidLastSave="{00000000-0000-0000-0000-000000000000}"/>
  <bookViews>
    <workbookView xWindow="-28860" yWindow="-18120" windowWidth="29040" windowHeight="18240" firstSheet="11" activeTab="16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Quelle mit Innenwiderstand" sheetId="29" r:id="rId5"/>
    <sheet name="Leistung bei Wechselstrom" sheetId="28" r:id="rId6"/>
    <sheet name="Schiefeebene" sheetId="19" r:id="rId7"/>
    <sheet name="Schiefe-Ebene (alt)" sheetId="20" r:id="rId8"/>
    <sheet name="Sinus_Cosinus" sheetId="22" r:id="rId9"/>
    <sheet name="Vektoroperationen" sheetId="18" r:id="rId10"/>
    <sheet name="VektorZeitbereich" sheetId="24" r:id="rId11"/>
    <sheet name="Geburtstagsliste" sheetId="17" r:id="rId12"/>
    <sheet name="Einheiten umrechnen" sheetId="16" r:id="rId13"/>
    <sheet name="Flächenberechnungen" sheetId="14" r:id="rId14"/>
    <sheet name="Kinematik_1" sheetId="4" r:id="rId15"/>
    <sheet name="Kinematik_1 (Weg-Zeit)" sheetId="33" r:id="rId16"/>
    <sheet name="Kinematik_2" sheetId="9" r:id="rId17"/>
    <sheet name="Kinematik_2_Berechnungen" sheetId="11" r:id="rId18"/>
    <sheet name="Kinematik_2 (Weg-Zeit)" sheetId="34" r:id="rId19"/>
    <sheet name="Fourierreihe" sheetId="12" r:id="rId20"/>
    <sheet name="Scheinleistung" sheetId="15" r:id="rId21"/>
    <sheet name="3-Phasenstrom" sheetId="25" r:id="rId22"/>
    <sheet name="Gemischte Schaltung" sheetId="23" r:id="rId23"/>
    <sheet name="Theoreme" sheetId="26" r:id="rId24"/>
    <sheet name="Fläche eines Polygones" sheetId="27" r:id="rId25"/>
  </sheets>
  <definedNames>
    <definedName name="_xlnm._FilterDatabase" localSheetId="11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9" l="1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H51" i="35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10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D12" i="35" s="1"/>
  <c r="D16" i="35" s="1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O4" i="9" l="1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D15" i="35"/>
  <c r="M8" i="35"/>
  <c r="J12" i="35"/>
  <c r="M12" i="35" s="1"/>
  <c r="M10" i="35"/>
  <c r="H16" i="35"/>
  <c r="K12" i="35"/>
  <c r="L12" i="35" s="1"/>
  <c r="H12" i="35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G19" i="9" l="1"/>
  <c r="AE45" i="35"/>
  <c r="AE51" i="35" s="1"/>
  <c r="Z47" i="35"/>
  <c r="Z25" i="35"/>
  <c r="Z7" i="35"/>
  <c r="X26" i="35"/>
  <c r="X48" i="35"/>
  <c r="AB47" i="35"/>
  <c r="AH47" i="35" s="1"/>
  <c r="AH54" i="35" s="1"/>
  <c r="AB26" i="35"/>
  <c r="AH26" i="35" s="1"/>
  <c r="AH29" i="35" s="1"/>
  <c r="P20" i="35"/>
  <c r="R20" i="35" s="1"/>
  <c r="T20" i="35" s="1"/>
  <c r="X47" i="35"/>
  <c r="X7" i="35"/>
  <c r="X25" i="35"/>
  <c r="AE25" i="35"/>
  <c r="AE29" i="35" s="1"/>
  <c r="X8" i="35"/>
  <c r="X49" i="35"/>
  <c r="J16" i="35"/>
  <c r="M16" i="35" s="1"/>
  <c r="D20" i="35"/>
  <c r="H20" i="35" s="1"/>
  <c r="W15" i="18"/>
  <c r="F20" i="35"/>
  <c r="F19" i="35"/>
  <c r="K15" i="35"/>
  <c r="L15" i="35" s="1"/>
  <c r="B21" i="35"/>
  <c r="X51" i="35" s="1"/>
  <c r="J15" i="35"/>
  <c r="M15" i="35" s="1"/>
  <c r="H15" i="35"/>
  <c r="K16" i="35"/>
  <c r="L16" i="35" s="1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G21" i="9" l="1"/>
  <c r="G20" i="9"/>
  <c r="H19" i="9"/>
  <c r="D19" i="35"/>
  <c r="H19" i="35" s="1"/>
  <c r="AB46" i="35"/>
  <c r="AB52" i="35" s="1"/>
  <c r="AB8" i="35"/>
  <c r="AH8" i="35" s="1"/>
  <c r="AH11" i="35" s="1"/>
  <c r="Z48" i="35"/>
  <c r="Z26" i="35"/>
  <c r="AB27" i="35"/>
  <c r="AD27" i="35" s="1"/>
  <c r="AG28" i="35" s="1"/>
  <c r="Z8" i="35"/>
  <c r="Z49" i="35"/>
  <c r="Z28" i="35"/>
  <c r="K20" i="35"/>
  <c r="L20" i="35" s="1"/>
  <c r="Z27" i="35" s="1"/>
  <c r="J20" i="35"/>
  <c r="M20" i="35" s="1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H20" i="9" l="1"/>
  <c r="H21" i="9"/>
  <c r="I19" i="9"/>
  <c r="AB9" i="35"/>
  <c r="AE9" i="35" s="1"/>
  <c r="AH10" i="35" s="1"/>
  <c r="AH46" i="35"/>
  <c r="AH48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I16" i="22" s="1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I21" i="9" l="1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J20" i="9" l="1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K20" i="9" l="1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L20" i="9" l="1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M20" i="9" l="1"/>
  <c r="M21" i="9"/>
  <c r="N19" i="9"/>
  <c r="S11" i="34"/>
  <c r="R18" i="34"/>
  <c r="P14" i="33"/>
  <c r="Q11" i="33"/>
  <c r="P12" i="33"/>
  <c r="M17" i="22"/>
  <c r="T17" i="4"/>
  <c r="S18" i="4"/>
  <c r="N12" i="22"/>
  <c r="N13" i="22"/>
  <c r="N17" i="22" s="1"/>
  <c r="M16" i="22"/>
  <c r="N61" i="22"/>
  <c r="N62" i="22"/>
  <c r="O11" i="22"/>
  <c r="P10" i="22"/>
  <c r="N20" i="9" l="1"/>
  <c r="N21" i="9"/>
  <c r="O19" i="9"/>
  <c r="S18" i="34"/>
  <c r="T11" i="34"/>
  <c r="R11" i="33"/>
  <c r="Q12" i="33"/>
  <c r="Q14" i="33"/>
  <c r="U17" i="4"/>
  <c r="T18" i="4"/>
  <c r="O12" i="22"/>
  <c r="O13" i="22"/>
  <c r="O17" i="22" s="1"/>
  <c r="N16" i="22"/>
  <c r="O61" i="22"/>
  <c r="O62" i="22"/>
  <c r="P11" i="22"/>
  <c r="Q10" i="22"/>
  <c r="O20" i="9" l="1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P20" i="9" l="1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Q20" i="9" l="1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R21" i="9" l="1"/>
  <c r="R20" i="9"/>
  <c r="S19" i="9"/>
  <c r="X11" i="34"/>
  <c r="W18" i="34"/>
  <c r="U12" i="33"/>
  <c r="U14" i="33"/>
  <c r="V11" i="33"/>
  <c r="R17" i="22"/>
  <c r="X18" i="4"/>
  <c r="Y17" i="4"/>
  <c r="S12" i="22"/>
  <c r="S13" i="22"/>
  <c r="S17" i="22" s="1"/>
  <c r="R16" i="22"/>
  <c r="S61" i="22"/>
  <c r="S62" i="22"/>
  <c r="U10" i="22"/>
  <c r="T11" i="22"/>
  <c r="S20" i="9" l="1"/>
  <c r="S21" i="9"/>
  <c r="T19" i="9"/>
  <c r="X18" i="34"/>
  <c r="Y11" i="34"/>
  <c r="V14" i="33"/>
  <c r="W11" i="33"/>
  <c r="V12" i="33"/>
  <c r="Y18" i="4"/>
  <c r="Z17" i="4"/>
  <c r="T12" i="22"/>
  <c r="T13" i="22"/>
  <c r="T17" i="22" s="1"/>
  <c r="S16" i="22"/>
  <c r="T61" i="22"/>
  <c r="T62" i="22"/>
  <c r="U11" i="22"/>
  <c r="V10" i="22"/>
  <c r="T20" i="9" l="1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U20" i="9" l="1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V21" i="9" l="1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W20" i="9" l="1"/>
  <c r="W21" i="9"/>
  <c r="X19" i="9"/>
  <c r="Z14" i="33"/>
  <c r="Z12" i="33"/>
  <c r="W17" i="22"/>
  <c r="AD17" i="4"/>
  <c r="AC18" i="4"/>
  <c r="X12" i="22"/>
  <c r="X13" i="22"/>
  <c r="X17" i="22" s="1"/>
  <c r="W16" i="22"/>
  <c r="X61" i="22"/>
  <c r="X62" i="22"/>
  <c r="Z10" i="22"/>
  <c r="Y11" i="22"/>
  <c r="X20" i="9" l="1"/>
  <c r="X21" i="9"/>
  <c r="Y19" i="9"/>
  <c r="AE17" i="4"/>
  <c r="AD18" i="4"/>
  <c r="Y12" i="22"/>
  <c r="Y13" i="22"/>
  <c r="X16" i="22"/>
  <c r="Y61" i="22"/>
  <c r="Y62" i="22"/>
  <c r="Z11" i="22"/>
  <c r="AA10" i="22"/>
  <c r="Y20" i="9" l="1"/>
  <c r="Y21" i="9"/>
  <c r="Z19" i="9"/>
  <c r="Y17" i="22"/>
  <c r="AF17" i="4"/>
  <c r="AE18" i="4"/>
  <c r="Z12" i="22"/>
  <c r="Z13" i="22"/>
  <c r="Z17" i="22" s="1"/>
  <c r="Y16" i="22"/>
  <c r="Z61" i="22"/>
  <c r="Z62" i="22"/>
  <c r="AA11" i="22"/>
  <c r="AB10" i="22"/>
  <c r="Z21" i="9" l="1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<sst xmlns="http://schemas.openxmlformats.org/spreadsheetml/2006/main" count="1395" uniqueCount="905">
  <si>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</si>
  <si>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</si>
  <si>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</si>
  <si>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</si>
  <si>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</si>
  <si>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</si>
  <si>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</si>
  <si>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</si>
  <si>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</si>
  <si>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</si>
  <si>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</si>
  <si>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</si>
  <si>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</si>
  <si>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</si>
  <si>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</si>
  <si>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</si>
  <si>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</si>
  <si>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</si>
  <si>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</si>
  <si>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</si>
  <si>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</si>
  <si>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</si>
  <si>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</si>
  <si>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</si>
  <si>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</si>
  <si>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</si>
  <si>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</si>
  <si>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</si>
  <si>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</si>
  <si>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</si>
  <si>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</si>
  <si>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</si>
  <si>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</si>
  <si>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</si>
  <si>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</si>
  <si>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</si>
  <si>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</si>
  <si>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</si>
  <si>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</si>
  <si>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</si>
  <si>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</si>
  <si>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</si>
  <si>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</si>
  <si>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</si>
  <si>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</si>
  <si>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</si>
  <si>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</si>
  <si>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</si>
  <si>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</si>
  <si>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</si>
  <si>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</si>
  <si>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</si>
  <si>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</si>
  <si>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</si>
  <si>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</si>
  <si>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</si>
  <si>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</si>
  <si>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</si>
  <si>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</si>
  <si>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</si>
  <si>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</si>
  <si>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</si>
  <si>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</si>
  <si>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</si>
  <si>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</si>
  <si>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</si>
  <si>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</si>
  <si>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</si>
  <si>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</si>
  <si>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</si>
  <si>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</si>
  <si>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</si>
  <si>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</si>
  <si>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</si>
  <si>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</si>
  <si>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</si>
  <si>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</si>
  <si>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</si>
  <si>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</si>
  <si>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</si>
  <si>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</si>
  <si>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</si>
  <si>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</si>
  <si>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</si>
  <si>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</si>
  <si>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</si>
  <si>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</si>
  <si>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</si>
  <si>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</si>
  <si>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</si>
  <si>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</si>
  <si>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</si>
  <si>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</si>
  <si>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</si>
  <si>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</si>
  <si>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</si>
  <si>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</si>
  <si>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</si>
  <si>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</si>
  <si>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</si>
  <si>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</si>
  <si>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</si>
  <si>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</si>
  <si>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</si>
  <si>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</si>
  <si>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</si>
  <si>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</si>
  <si>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</si>
  <si>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</si>
  <si>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</si>
  <si>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</si>
  <si>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</si>
  <si>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</si>
  <si>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</si>
  <si>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</si>
  <si>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</si>
  <si>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</si>
  <si>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</si>
  <si>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</si>
  <si>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</si>
  <si>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</si>
  <si>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</si>
  <si>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</si>
  <si>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</si>
  <si>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</si>
  <si>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</si>
  <si>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</si>
  <si>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</si>
  <si>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</si>
  <si>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</si>
  <si>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</si>
  <si>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</si>
  <si>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</si>
  <si>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</si>
  <si>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</si>
  <si>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</si>
  <si>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</si>
  <si>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</si>
  <si>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</si>
  <si>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</si>
  <si>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</si>
  <si>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</si>
  <si>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</si>
  <si>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</si>
  <si>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</si>
  <si>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</si>
  <si>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</si>
  <si>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</si>
  <si>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</si>
  <si>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</si>
  <si>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</si>
  <si>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</si>
  <si>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</si>
  <si>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</si>
  <si>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</si>
  <si>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</si>
  <si>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</si>
  <si>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</si>
  <si>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</si>
  <si>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</si>
  <si>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</si>
  <si>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</si>
  <si>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</si>
  <si>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</si>
  <si>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</si>
  <si>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</si>
  <si>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</si>
  <si>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</si>
  <si>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</si>
  <si>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</si>
  <si>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</si>
  <si>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</si>
  <si>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</si>
  <si>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</si>
  <si>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</si>
  <si>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</si>
  <si>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</si>
  <si>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</si>
  <si>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</si>
  <si>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</si>
  <si>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</si>
  <si>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</si>
  <si>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</si>
  <si>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</si>
  <si>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</si>
  <si>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</si>
  <si>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</si>
  <si>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</si>
  <si>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</si>
  <si>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</si>
  <si>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</si>
  <si>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</si>
  <si>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</si>
  <si>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</si>
  <si>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</si>
  <si>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</si>
  <si>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</si>
  <si>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</si>
  <si>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</si>
  <si>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</si>
  <si>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</si>
  <si>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</si>
  <si>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</si>
  <si>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</si>
  <si>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</si>
  <si>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</si>
  <si>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</si>
  <si>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</si>
  <si>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</si>
  <si>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</si>
  <si>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</si>
  <si>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</si>
  <si>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</si>
  <si>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</si>
  <si>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</si>
  <si>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</si>
  <si>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</si>
  <si>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</si>
  <si>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</si>
  <si>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</si>
  <si>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</si>
  <si>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</si>
  <si>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</si>
  <si>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</si>
  <si>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</si>
  <si>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</si>
  <si>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</si>
  <si>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</si>
  <si>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</si>
  <si>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</si>
  <si>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</si>
  <si>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</si>
  <si>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</si>
  <si>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</si>
  <si>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</si>
  <si>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</si>
  <si>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</si>
  <si>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</si>
  <si>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</si>
  <si>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</si>
  <si>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</si>
  <si>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</si>
  <si>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</si>
  <si>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</si>
  <si>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</si>
  <si>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</si>
  <si>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</si>
  <si>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</si>
  <si>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</si>
  <si>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</si>
  <si>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</si>
  <si>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</si>
  <si>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</si>
  <si>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</si>
  <si>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</si>
  <si>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</si>
  <si>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</si>
  <si>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</si>
  <si>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</si>
  <si>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</si>
  <si>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</si>
  <si>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</si>
  <si>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</si>
  <si>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</si>
  <si>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</si>
  <si>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</si>
  <si>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</si>
  <si>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</si>
  <si>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</si>
  <si>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</si>
  <si>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</si>
  <si>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</si>
  <si>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</si>
  <si>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</si>
  <si>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</si>
  <si>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</si>
  <si>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</si>
  <si>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</si>
  <si>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</si>
  <si>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</si>
  <si>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</si>
  <si>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</si>
  <si>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</si>
  <si>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</si>
  <si>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</si>
  <si>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</si>
  <si>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</si>
  <si>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</si>
  <si>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</si>
  <si>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</si>
  <si>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</si>
  <si>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</si>
  <si>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</si>
  <si>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</si>
  <si>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</si>
  <si>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</si>
  <si>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</si>
  <si>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</si>
  <si>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</si>
  <si>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</si>
  <si>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</si>
  <si>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</si>
  <si>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</si>
  <si>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</si>
  <si>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</si>
  <si>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</si>
  <si>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</si>
  <si>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</si>
  <si>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</si>
  <si>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</si>
  <si>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</si>
  <si>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</si>
  <si>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</si>
  <si>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</si>
  <si>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</si>
  <si>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</si>
  <si>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</si>
  <si>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</si>
  <si>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</si>
  <si>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</si>
  <si>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</si>
  <si>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</si>
  <si>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</si>
  <si>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</si>
  <si>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</si>
  <si>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</si>
  <si>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</si>
  <si>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</si>
  <si>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</si>
  <si>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</si>
  <si>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</si>
  <si>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</si>
  <si>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</si>
  <si>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</si>
  <si>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</si>
  <si>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</si>
  <si>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</si>
  <si>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</si>
  <si>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</si>
  <si>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</si>
  <si>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</si>
  <si>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</si>
  <si>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</si>
  <si>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</si>
  <si>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</si>
  <si>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</si>
  <si>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</si>
  <si>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</si>
  <si>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</si>
  <si>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</si>
  <si>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</si>
  <si>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</si>
  <si>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</si>
  <si>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</si>
  <si>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</si>
  <si>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</si>
  <si>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</si>
  <si>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</si>
  <si>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</si>
  <si>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</si>
  <si>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</si>
  <si>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</si>
  <si>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</si>
  <si>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</si>
  <si>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</si>
  <si>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</si>
  <si>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</si>
  <si>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</si>
  <si>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</si>
  <si>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</si>
  <si>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</si>
  <si>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</si>
  <si>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</si>
  <si>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</si>
  <si>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</si>
  <si>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</si>
  <si>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</si>
  <si>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</si>
  <si>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</si>
  <si>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</si>
  <si>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</si>
  <si>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</si>
  <si>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</si>
  <si>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</si>
  <si>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</si>
  <si>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</si>
  <si>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</si>
  <si>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</si>
  <si>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</si>
  <si>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</si>
  <si>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</si>
  <si>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</si>
  <si>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</si>
  <si>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</si>
  <si>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</si>
  <si>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</si>
  <si>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</si>
  <si>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</si>
  <si>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</si>
  <si>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</si>
  <si>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</si>
  <si>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</si>
  <si>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</si>
  <si>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</si>
  <si>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</si>
  <si>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</si>
  <si>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</si>
  <si>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</si>
  <si>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</si>
  <si>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</si>
  <si>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</si>
  <si>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</si>
  <si>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</si>
  <si>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</si>
  <si>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</si>
  <si>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</si>
  <si>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</si>
  <si>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</si>
  <si>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</si>
  <si>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</si>
  <si>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</si>
  <si>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</si>
  <si>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</si>
  <si>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</si>
  <si>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</si>
  <si>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</si>
  <si>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</si>
  <si>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</si>
  <si>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</si>
  <si>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</si>
  <si>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</si>
  <si>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</si>
  <si>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</si>
  <si>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</si>
  <si>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</si>
  <si>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</si>
  <si>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</si>
  <si>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</si>
  <si>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</si>
  <si>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</si>
  <si>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</si>
  <si>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</si>
  <si>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</si>
  <si>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</si>
  <si>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</si>
  <si>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</si>
  <si>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</si>
  <si>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</si>
  <si>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</si>
  <si>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</si>
  <si>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</si>
  <si>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</si>
  <si>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</si>
  <si>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</si>
  <si>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</si>
  <si>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</si>
  <si>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</si>
  <si>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</si>
  <si>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</si>
  <si>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</si>
  <si>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</si>
  <si>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</si>
  <si>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</si>
  <si>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</si>
  <si>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</si>
  <si>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</si>
  <si>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</si>
  <si>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</si>
  <si>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</si>
  <si>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</si>
  <si>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</si>
  <si>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</si>
  <si>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</si>
  <si>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</si>
  <si>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</si>
  <si>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</si>
  <si>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</si>
  <si>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</si>
  <si>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</si>
  <si>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</si>
  <si>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</si>
  <si>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</si>
  <si>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</si>
  <si>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</si>
  <si>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</si>
  <si>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</si>
  <si>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</si>
  <si>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</si>
  <si>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</si>
  <si>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</si>
  <si>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</si>
  <si>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</si>
  <si>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</si>
  <si>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</si>
  <si>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</si>
  <si>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</si>
  <si>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</si>
  <si>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</si>
  <si>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</si>
  <si>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</si>
  <si>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</si>
  <si>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</si>
  <si>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</si>
  <si>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</si>
  <si>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</si>
  <si>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</si>
  <si>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</si>
  <si>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</si>
  <si>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</si>
  <si>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</si>
  <si>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</si>
  <si>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</si>
  <si>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</si>
  <si>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</si>
  <si>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</si>
  <si>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</si>
  <si>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</si>
  <si>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</si>
  <si>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</si>
  <si>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</si>
  <si>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</si>
  <si>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</si>
  <si>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</si>
  <si>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</si>
  <si>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</si>
  <si>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</si>
  <si>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</si>
  <si>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</si>
  <si>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</si>
  <si>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</si>
  <si>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</si>
  <si>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</si>
  <si>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</si>
  <si>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</si>
  <si>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</si>
  <si>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</si>
  <si>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</si>
  <si>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</si>
  <si>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</si>
  <si>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</si>
  <si>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</si>
  <si>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</si>
  <si>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</si>
  <si>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</si>
  <si>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</si>
  <si>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</si>
  <si>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</si>
  <si>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</si>
  <si>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</si>
  <si>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</si>
  <si>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</si>
  <si>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</si>
  <si>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</si>
  <si>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</si>
  <si>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</si>
  <si>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</si>
  <si>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</si>
  <si>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</si>
  <si>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</si>
  <si>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</si>
  <si>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</si>
  <si>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</si>
  <si>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</si>
  <si>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</si>
  <si>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</si>
  <si>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</si>
  <si>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</si>
  <si>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</si>
  <si>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</si>
  <si>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</si>
  <si>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</si>
  <si>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</si>
  <si>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</si>
  <si>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</si>
  <si>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</si>
  <si>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</si>
  <si>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</si>
  <si>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</si>
  <si>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</si>
  <si>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</si>
  <si>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</si>
  <si>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</si>
  <si>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</si>
  <si>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</si>
  <si>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</si>
  <si>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</si>
  <si>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</si>
  <si>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</si>
  <si>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</si>
  <si>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</si>
  <si>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</si>
  <si>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</si>
  <si>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</si>
  <si>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</si>
  <si>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</si>
  <si>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</si>
  <si>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</si>
  <si>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</si>
  <si>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</si>
  <si>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</si>
  <si>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</si>
  <si>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</si>
  <si>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</si>
  <si>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</si>
  <si>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</si>
  <si>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</si>
  <si>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</si>
  <si>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</si>
  <si>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</si>
  <si>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</si>
  <si>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</si>
  <si>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</si>
  <si>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</si>
  <si>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</si>
  <si>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</si>
  <si>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</si>
  <si>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</si>
  <si>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</si>
  <si>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</si>
  <si>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</si>
  <si>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</si>
  <si>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</si>
  <si>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</si>
  <si>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</si>
  <si>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</si>
  <si>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</si>
  <si>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</si>
  <si>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</si>
  <si>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</si>
  <si>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</si>
  <si>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</si>
  <si>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</si>
  <si>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</si>
  <si>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</si>
  <si>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</si>
  <si>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</si>
  <si>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</si>
  <si>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</si>
  <si>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</si>
  <si>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</si>
  <si>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</si>
  <si>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</si>
  <si>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</si>
  <si>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</si>
  <si>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</si>
  <si>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</si>
  <si>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</si>
  <si>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</si>
  <si>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</si>
  <si>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</si>
  <si>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</si>
  <si>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</si>
  <si>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</si>
  <si>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</si>
  <si>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</si>
  <si>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</si>
  <si>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</si>
  <si>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</si>
  <si>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</si>
  <si>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</si>
  <si>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</si>
  <si>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</si>
  <si>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</si>
  <si>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</si>
  <si>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</si>
  <si>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</si>
  <si>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</si>
  <si>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</si>
  <si>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</si>
  <si>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</si>
  <si>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</si>
  <si>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</si>
  <si>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</si>
  <si>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</si>
  <si>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</si>
  <si>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</si>
  <si>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</si>
  <si>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</si>
  <si>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</si>
  <si>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</si>
  <si>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</si>
  <si>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</si>
  <si>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</si>
  <si>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</si>
  <si>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</si>
  <si>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</si>
  <si>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</si>
  <si>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</si>
  <si>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</si>
  <si>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</si>
  <si>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</si>
  <si>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</si>
  <si>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</si>
  <si>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</si>
  <si>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</si>
  <si>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</si>
  <si>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</si>
  <si>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</si>
  <si>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</si>
  <si>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</si>
  <si>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</si>
  <si>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</si>
  <si>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</si>
  <si>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</si>
  <si>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</si>
  <si>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</si>
  <si>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</si>
  <si>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</si>
  <si>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</si>
  <si>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</si>
  <si>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</si>
  <si>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</si>
  <si>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</si>
  <si>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</si>
  <si>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</si>
  <si>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</si>
  <si>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</si>
  <si>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</si>
  <si>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</si>
  <si>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</si>
  <si>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</si>
  <si>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</si>
  <si>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</si>
  <si>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</si>
  <si>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</si>
  <si>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</si>
  <si>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</si>
  <si>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</si>
  <si>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</si>
  <si>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</si>
  <si>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</si>
  <si>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</si>
  <si>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</si>
  <si>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</si>
  <si>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</si>
  <si>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</si>
  <si>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</si>
  <si>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</si>
  <si>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</si>
  <si>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</si>
  <si>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</si>
  <si>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</si>
  <si>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</si>
  <si>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</si>
  <si>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</si>
  <si>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</si>
  <si>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</si>
  <si>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</si>
  <si>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</si>
  <si>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</si>
  <si>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</si>
  <si>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</si>
  <si>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</si>
  <si>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</si>
  <si>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</si>
  <si>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</si>
  <si>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</si>
  <si>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</si>
  <si>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</si>
  <si>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</si>
  <si>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</si>
  <si>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</si>
  <si>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</si>
  <si>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</si>
  <si>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</si>
  <si>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</si>
  <si>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</si>
  <si>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</si>
  <si>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</si>
  <si>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</si>
  <si>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</si>
  <si>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</si>
  <si>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</si>
  <si>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</si>
  <si>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</si>
  <si>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</si>
  <si>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</si>
  <si>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</si>
  <si>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</si>
  <si>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</si>
  <si>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</si>
  <si>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</si>
  <si>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</si>
  <si>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</si>
  <si>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</si>
  <si>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</si>
  <si>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</si>
  <si>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</si>
  <si>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</si>
  <si>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</si>
  <si>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</si>
  <si>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</si>
  <si>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</si>
  <si>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</si>
  <si>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</si>
  <si>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</si>
  <si>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</si>
  <si>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</si>
  <si>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</si>
  <si>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</si>
  <si>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</si>
  <si>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</si>
  <si>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</si>
  <si>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</si>
  <si>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</si>
  <si>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</si>
  <si>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</si>
  <si>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</si>
  <si>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</si>
  <si>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</si>
  <si>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</si>
  <si>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</si>
  <si>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</si>
  <si>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</si>
  <si>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</si>
  <si>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</si>
  <si>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</si>
  <si>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</si>
  <si>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</si>
  <si>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</si>
  <si>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</si>
  <si>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</si>
  <si>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</si>
  <si>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</si>
  <si>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</si>
  <si>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</si>
  <si>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</si>
  <si>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</si>
  <si>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</si>
  <si>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</si>
  <si>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</si>
  <si>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</si>
  <si>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</si>
  <si>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</si>
  <si>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</si>
  <si>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</si>
  <si>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</si>
  <si>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</si>
  <si>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</si>
  <si>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</si>
  <si>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</si>
  <si>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</si>
  <si>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</si>
  <si>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</si>
  <si>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</si>
  <si>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</si>
  <si>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</si>
  <si>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</si>
  <si>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</si>
  <si>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</si>
  <si>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</si>
  <si>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</si>
  <si>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</si>
  <si>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</si>
  <si>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</si>
  <si>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</si>
  <si>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</si>
  <si>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</si>
  <si>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</si>
  <si>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</si>
  <si>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</si>
  <si>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</si>
  <si>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</si>
  <si>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</si>
  <si>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</si>
  <si>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</si>
  <si>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</si>
  <si>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</si>
  <si>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</si>
  <si>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</si>
  <si>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</si>
  <si>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</si>
  <si>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</si>
  <si>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</si>
  <si>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</si>
  <si>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</si>
  <si>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</si>
  <si>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</si>
  <si>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</si>
  <si>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</si>
  <si>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</si>
  <si>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</si>
  <si>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</si>
  <si>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</si>
  <si>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</si>
  <si>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</si>
  <si>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</si>
  <si>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</si>
  <si>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</si>
  <si>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</si>
  <si>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</si>
  <si>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</si>
  <si>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</si>
  <si>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</si>
  <si>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</si>
  <si>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</si>
  <si>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</si>
  <si>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RCL-Glieder (Serieschaltung)</t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</si>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</sst>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70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" fontId="55" fillId="3" borderId="2" xfId="0" applyNumberFormat="1" applyFont="1" applyFill="1" applyBorder="1"/>
    <xf numFmtId="0" fontId="55" fillId="0" borderId="2" xfId="0" applyFont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0" xfId="0" applyFill="1" applyBorder="1"/>
    <xf numFmtId="0" fontId="0" fillId="0" borderId="48" xfId="0" applyBorder="1"/>
    <xf numFmtId="0" fontId="0" fillId="0" borderId="2" xfId="0" applyBorder="1" applyAlignment="1">
      <alignment horizontal="right" vertical="center"/>
    </xf>
    <xf numFmtId="0" fontId="0" fillId="2" borderId="2" xfId="0" applyFill="1" applyBorder="1" applyAlignment="1">
      <alignment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318.31Ω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322.21Ω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31.416Ω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31.416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59.05Ω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31.416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31.416Ω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31.416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318.31Ω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-286.89400000000001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-286.89400000000001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- 180)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-3</c:v>
                </c:pt>
                <c:pt idx="1">
                  <c:v>-2.9544232590366239</c:v>
                </c:pt>
                <c:pt idx="2">
                  <c:v>-2.8190778623577248</c:v>
                </c:pt>
                <c:pt idx="3">
                  <c:v>-2.598076211353316</c:v>
                </c:pt>
                <c:pt idx="4">
                  <c:v>-2.2981333293569337</c:v>
                </c:pt>
                <c:pt idx="5">
                  <c:v>-1.9283628290596182</c:v>
                </c:pt>
                <c:pt idx="6">
                  <c:v>-1.5000000000000007</c:v>
                </c:pt>
                <c:pt idx="7">
                  <c:v>-1.0260604299770062</c:v>
                </c:pt>
                <c:pt idx="8">
                  <c:v>-0.52094453300079091</c:v>
                </c:pt>
                <c:pt idx="9">
                  <c:v>1.83772268236293E-16</c:v>
                </c:pt>
                <c:pt idx="10">
                  <c:v>0.52094453300079124</c:v>
                </c:pt>
                <c:pt idx="11">
                  <c:v>1.0260604299770064</c:v>
                </c:pt>
                <c:pt idx="12">
                  <c:v>1.4999999999999996</c:v>
                </c:pt>
                <c:pt idx="13">
                  <c:v>1.9283628290596184</c:v>
                </c:pt>
                <c:pt idx="14">
                  <c:v>2.2981333293569342</c:v>
                </c:pt>
                <c:pt idx="15">
                  <c:v>2.598076211353316</c:v>
                </c:pt>
                <c:pt idx="16">
                  <c:v>2.8190778623577248</c:v>
                </c:pt>
                <c:pt idx="17">
                  <c:v>2.9544232590366244</c:v>
                </c:pt>
                <c:pt idx="18">
                  <c:v>3</c:v>
                </c:pt>
                <c:pt idx="19">
                  <c:v>2.9544232590366239</c:v>
                </c:pt>
                <c:pt idx="20">
                  <c:v>2.8190778623577248</c:v>
                </c:pt>
                <c:pt idx="21">
                  <c:v>2.5980762113533156</c:v>
                </c:pt>
                <c:pt idx="22">
                  <c:v>2.2981333293569342</c:v>
                </c:pt>
                <c:pt idx="23">
                  <c:v>1.9283628290596184</c:v>
                </c:pt>
                <c:pt idx="24">
                  <c:v>1.5000000000000009</c:v>
                </c:pt>
                <c:pt idx="25">
                  <c:v>1.0260604299770077</c:v>
                </c:pt>
                <c:pt idx="26">
                  <c:v>0.52094453300079069</c:v>
                </c:pt>
                <c:pt idx="27">
                  <c:v>1.83772268236293E-16</c:v>
                </c:pt>
                <c:pt idx="28">
                  <c:v>-0.52094453300079024</c:v>
                </c:pt>
                <c:pt idx="29">
                  <c:v>-1.0260604299770049</c:v>
                </c:pt>
                <c:pt idx="30">
                  <c:v>-1.5000000000000007</c:v>
                </c:pt>
                <c:pt idx="31">
                  <c:v>-1.9283628290596182</c:v>
                </c:pt>
                <c:pt idx="32">
                  <c:v>-2.2981333293569337</c:v>
                </c:pt>
                <c:pt idx="33">
                  <c:v>-2.5980762113533156</c:v>
                </c:pt>
                <c:pt idx="34">
                  <c:v>-2.8190778623577253</c:v>
                </c:pt>
                <c:pt idx="35">
                  <c:v>-2.9544232590366235</c:v>
                </c:pt>
                <c:pt idx="36">
                  <c:v>-3</c:v>
                </c:pt>
                <c:pt idx="37">
                  <c:v>-2.9544232590366244</c:v>
                </c:pt>
                <c:pt idx="38">
                  <c:v>-2.8190778623577248</c:v>
                </c:pt>
                <c:pt idx="39">
                  <c:v>-2.5980762113533169</c:v>
                </c:pt>
                <c:pt idx="40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-1.9283628290596182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-3</c:v>
                </c:pt>
                <c:pt idx="1">
                  <c:v>-2.7807750813696934</c:v>
                </c:pt>
                <c:pt idx="2">
                  <c:v>-2.477057719032056</c:v>
                </c:pt>
                <c:pt idx="3">
                  <c:v>-2.098076211353316</c:v>
                </c:pt>
                <c:pt idx="4">
                  <c:v>-1.6553457196703945</c:v>
                </c:pt>
                <c:pt idx="5">
                  <c:v>-1.1623183859406403</c:v>
                </c:pt>
                <c:pt idx="6">
                  <c:v>-0.63397459621556207</c:v>
                </c:pt>
                <c:pt idx="7">
                  <c:v>-8.6367809191097877E-2</c:v>
                </c:pt>
                <c:pt idx="8">
                  <c:v>0.46386322001141711</c:v>
                </c:pt>
                <c:pt idx="9">
                  <c:v>1.0000000000000002</c:v>
                </c:pt>
                <c:pt idx="10">
                  <c:v>1.5057522860129993</c:v>
                </c:pt>
                <c:pt idx="11">
                  <c:v>1.9657530507629148</c:v>
                </c:pt>
                <c:pt idx="12">
                  <c:v>2.3660254037844384</c:v>
                </c:pt>
                <c:pt idx="13">
                  <c:v>2.6944072721785965</c:v>
                </c:pt>
                <c:pt idx="14">
                  <c:v>2.9409209390434734</c:v>
                </c:pt>
                <c:pt idx="15">
                  <c:v>3.098076211353316</c:v>
                </c:pt>
                <c:pt idx="16">
                  <c:v>3.1610980056833937</c:v>
                </c:pt>
                <c:pt idx="17">
                  <c:v>3.1280714367035545</c:v>
                </c:pt>
                <c:pt idx="18">
                  <c:v>3</c:v>
                </c:pt>
                <c:pt idx="19">
                  <c:v>2.7807750813696934</c:v>
                </c:pt>
                <c:pt idx="20">
                  <c:v>2.4770577190320564</c:v>
                </c:pt>
                <c:pt idx="21">
                  <c:v>2.0980762113533156</c:v>
                </c:pt>
                <c:pt idx="22">
                  <c:v>1.6553457196703949</c:v>
                </c:pt>
                <c:pt idx="23">
                  <c:v>1.1623183859406405</c:v>
                </c:pt>
                <c:pt idx="24">
                  <c:v>0.63397459621556251</c:v>
                </c:pt>
                <c:pt idx="25">
                  <c:v>8.6367809191099543E-2</c:v>
                </c:pt>
                <c:pt idx="26">
                  <c:v>-0.46386322001141733</c:v>
                </c:pt>
                <c:pt idx="27">
                  <c:v>-0.99999999999999978</c:v>
                </c:pt>
                <c:pt idx="28">
                  <c:v>-1.5057522860129984</c:v>
                </c:pt>
                <c:pt idx="29">
                  <c:v>-1.9657530507629133</c:v>
                </c:pt>
                <c:pt idx="30">
                  <c:v>-2.3660254037844393</c:v>
                </c:pt>
                <c:pt idx="31">
                  <c:v>-2.6944072721785961</c:v>
                </c:pt>
                <c:pt idx="32">
                  <c:v>-2.9409209390434734</c:v>
                </c:pt>
                <c:pt idx="33">
                  <c:v>-3.098076211353316</c:v>
                </c:pt>
                <c:pt idx="34">
                  <c:v>-3.1610980056833937</c:v>
                </c:pt>
                <c:pt idx="35">
                  <c:v>-3.1280714367035549</c:v>
                </c:pt>
                <c:pt idx="36">
                  <c:v>-3.0000000000000004</c:v>
                </c:pt>
                <c:pt idx="37">
                  <c:v>-2.7807750813696943</c:v>
                </c:pt>
                <c:pt idx="38">
                  <c:v>-2.477057719032056</c:v>
                </c:pt>
                <c:pt idx="39">
                  <c:v>-2.0980762113533178</c:v>
                </c:pt>
                <c:pt idx="40">
                  <c:v>-1.6553457196703949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0.64278760968653936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2.2981333293569342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3.1622776601683795</c:v>
                </c:pt>
                <c:pt idx="2">
                  <c:v>0</c:v>
                </c:pt>
                <c:pt idx="3">
                  <c:v>-3.1622776601683795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3.1622776601683795</c:v>
                </c:pt>
                <c:pt idx="1">
                  <c:v>0</c:v>
                </c:pt>
                <c:pt idx="2">
                  <c:v>-3.1622776601683795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2.2981333293569342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-1.9283628290596178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0.64278760968653936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0.76604444311897801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Relationship Id="rId4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5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hyperlink" Target="#TOC!A1"/><Relationship Id="rId5" Type="http://schemas.openxmlformats.org/officeDocument/2006/relationships/chart" Target="../charts/chart28.xml"/><Relationship Id="rId4" Type="http://schemas.openxmlformats.org/officeDocument/2006/relationships/image" Target="../media/image1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23899" y="193674"/>
          <a:ext cx="600075" cy="443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25</xdr:col>
      <xdr:colOff>800847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C21" sqref="C21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</v>
      </c>
    </row>
    <row r="10" spans="2:7" x14ac:dyDescent="0.35">
      <c r="B10" s="70">
        <v>45873</v>
      </c>
      <c r="C10" s="71" t="str">
        <f>Theoreme!$C$2</f>
        <v>Trigonometrischen Theoreme und Identitäten</v>
      </c>
    </row>
    <row r="11" spans="2:7" x14ac:dyDescent="0.35">
      <c r="B11" s="70">
        <v>45873</v>
      </c>
      <c r="C11" s="71" t="str">
        <f>'Fläche eines Polygones'!C2</f>
        <v>Polygone-Fläche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" workbookViewId="0">
      <selection activeCell="L22" sqref="L22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9" zoomScale="115" zoomScaleNormal="115" workbookViewId="0">
      <selection activeCell="P17" sqref="P17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/>
  </sheetViews>
  <sheetFormatPr baseColWidth="10" defaultRowHeight="14.5" x14ac:dyDescent="0.35"/>
  <cols>
    <col min="5" max="5" width="5.1796875" customWidth="1"/>
    <col min="6" max="6" width="4.1796875" customWidth="1"/>
    <col min="7" max="7" width="9.36328125" hidden="1" customWidth="1"/>
    <col min="8" max="9" width="0" hidden="1" customWidth="1"/>
    <col min="10" max="11" width="20.7265625" hidden="1" customWidth="1"/>
    <col min="12" max="12" width="20.7265625" customWidth="1"/>
    <col min="13" max="13" width="26.6328125" customWidth="1"/>
    <col min="14" max="14" width="6.81640625" customWidth="1"/>
    <col min="15" max="15" width="9.54296875" hidden="1" customWidth="1"/>
    <col min="16" max="16" width="0" hidden="1" customWidth="1"/>
    <col min="17" max="17" width="7.90625" hidden="1" customWidth="1"/>
    <col min="18" max="18" width="0" hidden="1" customWidth="1"/>
    <col min="19" max="19" width="5.453125" hidden="1" customWidth="1"/>
    <col min="20" max="20" width="8.7265625" hidden="1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19.453125" customWidth="1"/>
  </cols>
  <sheetData>
    <row r="2" spans="3:34" ht="23.5" x14ac:dyDescent="0.55000000000000004">
      <c r="C2" s="9" t="s">
        <v>897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50</v>
      </c>
      <c r="E7" s="4" t="s">
        <v>707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0</v>
      </c>
      <c r="H7" s="77">
        <f>D7*VLOOKUP(E7, CHOOSE({1,2,3,4}, Einheitenvorsätze!A:A, Einheitenvorsätze!B:B, Einheitenvorsätze!C:C, Einheitenvorsätze!D:D), 3, FALSE)</f>
        <v>50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50Ω</v>
      </c>
      <c r="K7" s="77" t="str">
        <f>IF(E7=Einheitenvorsätze!$A$19,_xlfn.CONCAT(D7,F7),_xlfn.CONCAT(D7,E7,F7))</f>
        <v>50Ω</v>
      </c>
      <c r="L7" s="77" t="str">
        <f>_xlfn.CONCAT(I7,K7)</f>
        <v>R = 50Ω</v>
      </c>
      <c r="M7" s="77" t="str">
        <f>_xlfn.CONCAT(I7,J7)</f>
        <v>R = 50Ω</v>
      </c>
      <c r="V7" s="407"/>
      <c r="X7" s="402" t="str">
        <f>$L$7</f>
        <v>R = 50Ω</v>
      </c>
      <c r="Z7" s="403" t="str">
        <f>IF($X$2=$R$2,$L$12,_xlfn.CONCAT($C$12,"?"))</f>
        <v>ω = 6.2832k(1/s)</v>
      </c>
      <c r="AA7" s="408"/>
      <c r="AB7">
        <f>$H$7</f>
        <v>50</v>
      </c>
      <c r="AC7" s="1" t="s">
        <v>891</v>
      </c>
      <c r="AD7">
        <v>0</v>
      </c>
      <c r="AE7">
        <f>IF($X$2=$R$2,AB7,0)</f>
        <v>50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0.5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4.9999999999999998E-7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0.5 * 10⁻⁶F</v>
      </c>
      <c r="K8" s="77" t="str">
        <f>IF(E8=Einheitenvorsätze!$A$19,_xlfn.CONCAT(D8,F8),_xlfn.CONCAT(D8,E8,F8))</f>
        <v>0.5µF</v>
      </c>
      <c r="L8" s="77" t="str">
        <f t="shared" ref="L8:L10" si="1">_xlfn.CONCAT(I8,K8)</f>
        <v>C = 0.5µF</v>
      </c>
      <c r="M8" s="77" t="str">
        <f t="shared" ref="M8:M10" si="2">_xlfn.CONCAT(I8,J8)</f>
        <v>C = 0.5 * 10⁻⁶F</v>
      </c>
      <c r="V8" s="407"/>
      <c r="X8" s="402" t="str">
        <f>$L$8</f>
        <v>C = 0.5µF</v>
      </c>
      <c r="Z8" s="403" t="str">
        <f>IF($X$2=$R$2,$L$15,_xlfn.CONCAT($C$15,"?"))</f>
        <v>XC = 318.31Ω</v>
      </c>
      <c r="AA8" s="408"/>
      <c r="AB8">
        <f>$H$15</f>
        <v>318.31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-318.31</v>
      </c>
    </row>
    <row r="9" spans="3:34" ht="20.5" customHeight="1" x14ac:dyDescent="0.45">
      <c r="C9" s="8" t="s">
        <v>867</v>
      </c>
      <c r="D9" s="4">
        <v>5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5.0000000000000001E-3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5 * 10⁻³H</v>
      </c>
      <c r="K9" s="77" t="str">
        <f>IF(E9=Einheitenvorsätze!$A$19,_xlfn.CONCAT(D9,F9),_xlfn.CONCAT(D9,E9,F9))</f>
        <v>5mH</v>
      </c>
      <c r="L9" s="77" t="str">
        <f t="shared" si="1"/>
        <v>L = 5mH</v>
      </c>
      <c r="M9" s="77" t="str">
        <f t="shared" si="2"/>
        <v>L = 5 * 10⁻³H</v>
      </c>
      <c r="V9" s="407"/>
      <c r="X9" s="402" t="str">
        <f>$L$10</f>
        <v>f =1kHZ</v>
      </c>
      <c r="Z9" s="403" t="str">
        <f>IF($X$2=$R$2,$L$19,_xlfn.CONCAT($C$19,"?"))</f>
        <v>ZRC = 322.21Ω</v>
      </c>
      <c r="AA9" s="409"/>
      <c r="AB9">
        <f>ABS(MAX(AB7:AB8))*1.1</f>
        <v>350.14100000000002</v>
      </c>
      <c r="AC9" s="1" t="s">
        <v>894</v>
      </c>
      <c r="AD9">
        <f>-AB9</f>
        <v>-350.14100000000002</v>
      </c>
      <c r="AE9">
        <f>AB9</f>
        <v>350.14100000000002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-81.1°</v>
      </c>
      <c r="AA10" s="408"/>
      <c r="AD10">
        <v>0</v>
      </c>
      <c r="AE10">
        <v>0</v>
      </c>
      <c r="AG10">
        <f>AD9</f>
        <v>-350.14100000000002</v>
      </c>
      <c r="AH10">
        <f>AE9</f>
        <v>350.14100000000002</v>
      </c>
    </row>
    <row r="11" spans="3:34" ht="20.5" customHeight="1" x14ac:dyDescent="0.35">
      <c r="V11" s="407"/>
      <c r="AA11" s="408"/>
      <c r="AD11">
        <v>0</v>
      </c>
      <c r="AE11">
        <f>AE7</f>
        <v>50</v>
      </c>
      <c r="AG11">
        <v>0</v>
      </c>
      <c r="AH11">
        <f>AH8</f>
        <v>-318.31</v>
      </c>
    </row>
    <row r="12" spans="3:34" ht="20.5" customHeight="1" thickBot="1" x14ac:dyDescent="0.4">
      <c r="C12" s="8" t="s">
        <v>870</v>
      </c>
      <c r="D12" s="77">
        <f>ROUND((2*PI()*H10 / 10^G12),4)</f>
        <v>6.2831999999999999</v>
      </c>
      <c r="E12" s="4" t="s">
        <v>698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3</v>
      </c>
      <c r="H12" s="77">
        <f>D12*VLOOKUP(E12, CHOOSE({1,2,3,4}, Einheitenvorsätze!A:A, Einheitenvorsätze!B:B, Einheitenvorsätze!C:C, Einheitenvorsätze!D:D), 3, FALSE)</f>
        <v>6283.2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6.2832 * 10³(1/s)</v>
      </c>
      <c r="K12" s="77" t="str">
        <f>IF(E12=Einheitenvorsätze!$A$19,_xlfn.CONCAT(D12,F12),_xlfn.CONCAT(D12,E12,F12))</f>
        <v>6.2832k(1/s)</v>
      </c>
      <c r="L12" s="77" t="str">
        <f t="shared" ref="L12" si="4">_xlfn.CONCAT(I12,K12)</f>
        <v>ω = 6.2832k(1/s)</v>
      </c>
      <c r="M12" s="77" t="str">
        <f t="shared" ref="M12" si="5">_xlfn.CONCAT(I12,J12)</f>
        <v>ω = 6.2832 * 10³(1/s)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318.31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318.31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318.31Ω</v>
      </c>
      <c r="K15" s="77" t="str">
        <f>IF(E15=Einheitenvorsätze!$A$19,_xlfn.CONCAT(D15,F15),_xlfn.CONCAT(D15,E15,F15))</f>
        <v>318.31Ω</v>
      </c>
      <c r="L15" s="77" t="str">
        <f t="shared" ref="L15:L16" si="7">_xlfn.CONCAT(I15,K15)</f>
        <v>XC = 318.31Ω</v>
      </c>
      <c r="M15" s="77" t="str">
        <f t="shared" ref="M15:M16" si="8">_xlfn.CONCAT(I15,J15)</f>
        <v>XC = 318.31Ω</v>
      </c>
    </row>
    <row r="16" spans="3:34" ht="20.5" customHeight="1" x14ac:dyDescent="0.45">
      <c r="C16" s="8" t="s">
        <v>873</v>
      </c>
      <c r="D16" s="77">
        <f>ROUND((((D12*D9)*10^(G12+G9))/10^G16),4)</f>
        <v>31.416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31.416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31.416Ω</v>
      </c>
      <c r="K16" s="77" t="str">
        <f>IF(E16=Einheitenvorsätze!$A$19,_xlfn.CONCAT(D16,F16),_xlfn.CONCAT(D16,E16,F16))</f>
        <v>31.416Ω</v>
      </c>
      <c r="L16" s="77" t="str">
        <f t="shared" si="7"/>
        <v>XL = 31.416Ω</v>
      </c>
      <c r="M16" s="77" t="str">
        <f t="shared" si="8"/>
        <v>XL = 31.416Ω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322.20999999999998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322.20999999999998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322.21Ω</v>
      </c>
      <c r="K19" s="77" t="str">
        <f>IF(E19=Einheitenvorsätze!$A$19,_xlfn.CONCAT(D19,F19),_xlfn.CONCAT(D19,E19,F19))</f>
        <v>322.21Ω</v>
      </c>
      <c r="L19" s="77" t="str">
        <f t="shared" ref="L19:L21" si="10">_xlfn.CONCAT(I19,K19)</f>
        <v>ZRC = 322.21Ω</v>
      </c>
      <c r="M19" s="77" t="str">
        <f t="shared" ref="M19:M21" si="11">_xlfn.CONCAT(I19,J19)</f>
        <v>ZRC = 322.21Ω</v>
      </c>
      <c r="O19" s="8" t="s">
        <v>878</v>
      </c>
      <c r="P19" s="77">
        <f>ATAN2(H7,-H15)</f>
        <v>-1.414989881638913</v>
      </c>
      <c r="Q19" s="5" t="s">
        <v>202</v>
      </c>
      <c r="R19" s="77">
        <f>DEGREES(P19)</f>
        <v>-81.07294827162562</v>
      </c>
      <c r="S19" s="5" t="s">
        <v>201</v>
      </c>
      <c r="T19" s="77" t="str">
        <f>_xlfn.CONCAT(O19,ROUND(R19,1),S19)</f>
        <v>φ = -81.1°</v>
      </c>
    </row>
    <row r="20" spans="2:34" ht="16.5" x14ac:dyDescent="0.45">
      <c r="C20" s="8" t="s">
        <v>876</v>
      </c>
      <c r="D20" s="77">
        <f>ROUND(SQRT(H7^2 + H16^2)/10^G20,2)</f>
        <v>59.05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59.05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59.05Ω</v>
      </c>
      <c r="K20" s="77" t="str">
        <f>IF(E20=Einheitenvorsätze!$A$19,_xlfn.CONCAT(D20,F20),_xlfn.CONCAT(D20,E20,F20))</f>
        <v>59.05Ω</v>
      </c>
      <c r="L20" s="77" t="str">
        <f t="shared" si="10"/>
        <v>ZRL = 59.05Ω</v>
      </c>
      <c r="M20" s="77" t="str">
        <f t="shared" si="11"/>
        <v>ZRL = 59.05Ω</v>
      </c>
      <c r="O20" s="8" t="s">
        <v>878</v>
      </c>
      <c r="P20" s="77">
        <f>ATAN2(H7,H16)</f>
        <v>0.56098316951967775</v>
      </c>
      <c r="Q20" s="5" t="s">
        <v>202</v>
      </c>
      <c r="R20" s="77">
        <f>DEGREES(P20)</f>
        <v>32.141967991349539</v>
      </c>
      <c r="S20" s="5" t="s">
        <v>201</v>
      </c>
      <c r="T20" s="77" t="str">
        <f>_xlfn.CONCAT(O20,ROUND(R20,1),S20)</f>
        <v>φ = 32.1°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291.22000000000003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291.22000000000003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291.22Ω</v>
      </c>
      <c r="K21" s="77" t="str">
        <f>IF(E21=Einheitenvorsätze!$A$19,_xlfn.CONCAT(D21,F21),_xlfn.CONCAT(D21,E21,F21))</f>
        <v>291.22Ω</v>
      </c>
      <c r="L21" s="77" t="str">
        <f t="shared" si="10"/>
        <v>ZRLC = 291.22Ω</v>
      </c>
      <c r="M21" s="77" t="str">
        <f t="shared" si="11"/>
        <v>ZRLC = 291.22Ω</v>
      </c>
      <c r="O21" s="8" t="s">
        <v>878</v>
      </c>
      <c r="P21" s="77">
        <f>ATAN2(H7,IF(H19&gt;H20,-H21,H21))</f>
        <v>-1.4007626371621704</v>
      </c>
      <c r="Q21" s="5" t="s">
        <v>202</v>
      </c>
      <c r="R21" s="77">
        <f>DEGREES(P21)</f>
        <v>-80.257787209007446</v>
      </c>
      <c r="S21" s="5" t="s">
        <v>201</v>
      </c>
      <c r="T21" s="77" t="str">
        <f>_xlfn.CONCAT(O21,ROUND(R21,1),S21)</f>
        <v>φ = -80.3°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50Ω</v>
      </c>
      <c r="Z25" s="403" t="str">
        <f>IF($X$2=$R$2,$L$12,_xlfn.CONCAT($C$12,"?"))</f>
        <v>ω = 6.2832k(1/s)</v>
      </c>
      <c r="AA25" s="408"/>
      <c r="AB25">
        <f>$H$7</f>
        <v>50</v>
      </c>
      <c r="AC25" s="1" t="s">
        <v>891</v>
      </c>
      <c r="AD25">
        <v>0</v>
      </c>
      <c r="AE25">
        <f>IF($X$2=$R$2,AB25,0)</f>
        <v>50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5mH</v>
      </c>
      <c r="Z26" s="403" t="str">
        <f>IF($X$2=$R$2,$L$16,_xlfn.CONCAT($C$16,"?"))</f>
        <v>XL = 31.416Ω</v>
      </c>
      <c r="AA26" s="408"/>
      <c r="AB26">
        <f>$H$16</f>
        <v>31.416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31.416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59.05Ω</v>
      </c>
      <c r="AA27" s="408"/>
      <c r="AB27">
        <f>ABS(MAX(AB25:AB26))*1.1</f>
        <v>55.000000000000007</v>
      </c>
      <c r="AC27" s="1" t="s">
        <v>894</v>
      </c>
      <c r="AD27">
        <f>-AB27</f>
        <v>-55.000000000000007</v>
      </c>
      <c r="AE27">
        <f>AB27</f>
        <v>55.000000000000007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32.1°</v>
      </c>
      <c r="AA28" s="408"/>
      <c r="AD28">
        <v>0</v>
      </c>
      <c r="AE28">
        <v>0</v>
      </c>
      <c r="AG28">
        <f>AD27</f>
        <v>-55.000000000000007</v>
      </c>
      <c r="AH28">
        <f>AE27</f>
        <v>55.000000000000007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50</v>
      </c>
      <c r="AG29">
        <v>0</v>
      </c>
      <c r="AH29">
        <f>AH26</f>
        <v>31.416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50</v>
      </c>
      <c r="AC45" s="1" t="s">
        <v>891</v>
      </c>
      <c r="AD45">
        <v>0</v>
      </c>
      <c r="AE45">
        <f>IF($X$2=$R$2,AB45,0)</f>
        <v>50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318.31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-318.31</v>
      </c>
    </row>
    <row r="47" spans="22:34" ht="18.5" x14ac:dyDescent="0.45">
      <c r="V47" s="407"/>
      <c r="X47" s="402" t="str">
        <f>$L$7</f>
        <v>R = 50Ω</v>
      </c>
      <c r="Z47" s="403" t="str">
        <f>IF($X$2=$R$2,$L$12,_xlfn.CONCAT($C$12,"?"))</f>
        <v>ω = 6.2832k(1/s)</v>
      </c>
      <c r="AA47" s="408"/>
      <c r="AB47">
        <f>$H$16</f>
        <v>31.416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31.416</v>
      </c>
    </row>
    <row r="48" spans="22:34" ht="18.5" x14ac:dyDescent="0.45">
      <c r="V48" s="407"/>
      <c r="X48" s="402" t="str">
        <f>$L$9</f>
        <v>L = 5mH</v>
      </c>
      <c r="Z48" s="403" t="str">
        <f>IF($X$2=$R$2,$L$16,_xlfn.CONCAT($C$16,"?"))</f>
        <v>XL = 31.416Ω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-286.89400000000001</v>
      </c>
    </row>
    <row r="49" spans="22:34" ht="18.5" x14ac:dyDescent="0.45">
      <c r="V49" s="407"/>
      <c r="X49" s="402" t="str">
        <f>$L$8</f>
        <v>C = 0.5µF</v>
      </c>
      <c r="Z49" s="403" t="str">
        <f>IF($X$2=$R$2,$L$15,_xlfn.CONCAT($C$15,"?"))</f>
        <v>XC = 318.31Ω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291.22Ω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-80.3°</v>
      </c>
      <c r="AA51" s="408"/>
      <c r="AC51" s="1" t="s">
        <v>896</v>
      </c>
      <c r="AD51">
        <v>0</v>
      </c>
      <c r="AE51">
        <f>AE45</f>
        <v>50</v>
      </c>
      <c r="AG51">
        <v>0</v>
      </c>
      <c r="AH51">
        <f>AH48</f>
        <v>-286.89400000000001</v>
      </c>
    </row>
    <row r="52" spans="22:34" x14ac:dyDescent="0.35">
      <c r="V52" s="407"/>
      <c r="AA52" s="408"/>
      <c r="AB52">
        <f>ABS(MAX(AB45:AB47))*1.1</f>
        <v>350.14100000000002</v>
      </c>
      <c r="AC52" s="1" t="s">
        <v>894</v>
      </c>
      <c r="AD52">
        <f>-AB52</f>
        <v>-350.14100000000002</v>
      </c>
      <c r="AE52">
        <f>AB52</f>
        <v>350.14100000000002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-350.14100000000002</v>
      </c>
      <c r="AH53">
        <f>AE52</f>
        <v>350.14100000000002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31.416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>
      <selection activeCell="A2" sqref="A2:XFD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Normal="100" workbookViewId="0"/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-1.9283628290596182</v>
      </c>
      <c r="BC4" s="212">
        <f>IF(MAX(AY12:AY17) &lt; 0,0,MAX(AY12:AY17))</f>
        <v>0.76604444311897801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3.1622776601683795</v>
      </c>
      <c r="BK11" s="77">
        <v>0</v>
      </c>
      <c r="BL11" s="77">
        <f>BJ11</f>
        <v>3.1622776601683795</v>
      </c>
      <c r="BM11" s="77">
        <v>0</v>
      </c>
      <c r="BN11" s="77">
        <f>-BJ11</f>
        <v>-3.1622776601683795</v>
      </c>
      <c r="BO11" s="77">
        <f>BL11</f>
        <v>3.1622776601683795</v>
      </c>
      <c r="BP11" s="77">
        <v>0</v>
      </c>
      <c r="BQ11" s="77">
        <f>BN11</f>
        <v>-3.1622776601683795</v>
      </c>
      <c r="BR11" s="77">
        <v>0</v>
      </c>
    </row>
    <row r="12" spans="3:70" ht="18.5" x14ac:dyDescent="0.45">
      <c r="C12" s="4">
        <v>1</v>
      </c>
      <c r="D12" s="4">
        <v>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sin(x) =</v>
      </c>
      <c r="G12" s="212">
        <f>IF($AW$12=$K$3,$C$12*SIN(G11+RADIANS($D$12)),0)</f>
        <v>0</v>
      </c>
      <c r="H12" s="212">
        <f t="shared" ref="H12:AU12" si="3">IF($AW$12=$K$3,$C$12*SIN(H11+RADIANS($D$12)),0)</f>
        <v>0.17364817766693033</v>
      </c>
      <c r="I12" s="212">
        <f t="shared" si="3"/>
        <v>0.34202014332566871</v>
      </c>
      <c r="J12" s="212">
        <f t="shared" si="3"/>
        <v>0.49999999999999994</v>
      </c>
      <c r="K12" s="212">
        <f t="shared" si="3"/>
        <v>0.64278760968653925</v>
      </c>
      <c r="L12" s="212">
        <f t="shared" si="3"/>
        <v>0.76604444311897801</v>
      </c>
      <c r="M12" s="212">
        <f t="shared" si="3"/>
        <v>0.8660254037844386</v>
      </c>
      <c r="N12" s="212">
        <f t="shared" si="3"/>
        <v>0.93969262078590832</v>
      </c>
      <c r="O12" s="212">
        <f t="shared" si="3"/>
        <v>0.98480775301220802</v>
      </c>
      <c r="P12" s="212">
        <f t="shared" si="3"/>
        <v>1</v>
      </c>
      <c r="Q12" s="212">
        <f t="shared" si="3"/>
        <v>0.98480775301220802</v>
      </c>
      <c r="R12" s="212">
        <f t="shared" si="3"/>
        <v>0.93969262078590843</v>
      </c>
      <c r="S12" s="212">
        <f t="shared" si="3"/>
        <v>0.86602540378443871</v>
      </c>
      <c r="T12" s="212">
        <f t="shared" si="3"/>
        <v>0.76604444311897801</v>
      </c>
      <c r="U12" s="212">
        <f t="shared" si="3"/>
        <v>0.64278760968653947</v>
      </c>
      <c r="V12" s="212">
        <f t="shared" si="3"/>
        <v>0.49999999999999994</v>
      </c>
      <c r="W12" s="212">
        <f t="shared" si="3"/>
        <v>0.34202014332566888</v>
      </c>
      <c r="X12" s="212">
        <f t="shared" si="3"/>
        <v>0.17364817766693028</v>
      </c>
      <c r="Y12" s="212">
        <f t="shared" si="3"/>
        <v>1.22514845490862E-16</v>
      </c>
      <c r="Z12" s="212">
        <f t="shared" si="3"/>
        <v>-0.17364817766693047</v>
      </c>
      <c r="AA12" s="212">
        <f t="shared" si="3"/>
        <v>-0.34202014332566866</v>
      </c>
      <c r="AB12" s="212">
        <f t="shared" si="3"/>
        <v>-0.50000000000000011</v>
      </c>
      <c r="AC12" s="212">
        <f t="shared" si="3"/>
        <v>-0.64278760968653925</v>
      </c>
      <c r="AD12" s="212">
        <f t="shared" si="3"/>
        <v>-0.7660444431189779</v>
      </c>
      <c r="AE12" s="212">
        <f t="shared" si="3"/>
        <v>-0.86602540378443837</v>
      </c>
      <c r="AF12" s="212">
        <f t="shared" si="3"/>
        <v>-0.93969262078590821</v>
      </c>
      <c r="AG12" s="212">
        <f t="shared" si="3"/>
        <v>-0.98480775301220802</v>
      </c>
      <c r="AH12" s="212">
        <f t="shared" si="3"/>
        <v>-1</v>
      </c>
      <c r="AI12" s="212">
        <f t="shared" si="3"/>
        <v>-0.98480775301220813</v>
      </c>
      <c r="AJ12" s="212">
        <f t="shared" si="3"/>
        <v>-0.93969262078590854</v>
      </c>
      <c r="AK12" s="212">
        <f t="shared" si="3"/>
        <v>-0.8660254037844386</v>
      </c>
      <c r="AL12" s="212">
        <f t="shared" si="3"/>
        <v>-0.76604444311897812</v>
      </c>
      <c r="AM12" s="212">
        <f t="shared" si="3"/>
        <v>-0.64278760968653958</v>
      </c>
      <c r="AN12" s="212">
        <f t="shared" si="3"/>
        <v>-0.50000000000000044</v>
      </c>
      <c r="AO12" s="212">
        <f t="shared" si="3"/>
        <v>-0.3420201433256686</v>
      </c>
      <c r="AP12" s="212">
        <f t="shared" si="3"/>
        <v>-0.17364817766693127</v>
      </c>
      <c r="AQ12" s="212">
        <f t="shared" si="3"/>
        <v>-2.45029690981724E-16</v>
      </c>
      <c r="AR12" s="212">
        <f t="shared" si="3"/>
        <v>0.17364817766692991</v>
      </c>
      <c r="AS12" s="212">
        <f t="shared" si="3"/>
        <v>0.34202014332566893</v>
      </c>
      <c r="AT12" s="212">
        <f t="shared" si="3"/>
        <v>0.49999999999999928</v>
      </c>
      <c r="AU12" s="212">
        <f t="shared" si="3"/>
        <v>0.64278760968653914</v>
      </c>
      <c r="AV12" s="99"/>
      <c r="AW12" s="318" t="s">
        <v>64</v>
      </c>
      <c r="AY12" s="212">
        <f>IF($AW$12=$K$3,$C$12 * SIN(AY11 + RADIANS($D$12)),0)</f>
        <v>0.76604444311897801</v>
      </c>
      <c r="AZ12" s="5"/>
      <c r="BB12" s="77">
        <f>IF($AW$12=$K$3,$C12,0)</f>
        <v>1</v>
      </c>
      <c r="BC12" s="77">
        <f>$AY$10+$D$12</f>
        <v>50</v>
      </c>
      <c r="BD12" s="311">
        <f>BB12*COS(RADIANS(BC12))</f>
        <v>0.64278760968653936</v>
      </c>
      <c r="BE12" s="311">
        <f>BB12*SIN(RADIANS(BC12))</f>
        <v>0.76604444311897801</v>
      </c>
      <c r="BF12" s="311">
        <v>0</v>
      </c>
      <c r="BG12" s="311">
        <f>BD12</f>
        <v>0.64278760968653936</v>
      </c>
      <c r="BH12" s="311">
        <v>0</v>
      </c>
      <c r="BI12" s="311">
        <f>BE12</f>
        <v>0.76604444311897801</v>
      </c>
    </row>
    <row r="13" spans="3:70" ht="18.5" x14ac:dyDescent="0.45">
      <c r="C13" s="4">
        <v>3</v>
      </c>
      <c r="D13" s="4">
        <v>-180</v>
      </c>
      <c r="E13" s="317" t="s">
        <v>319</v>
      </c>
      <c r="F13" s="317" t="str">
        <f>_xlfn.CONCAT(C13, IF(D13=0," * cos(x) =",IF(D13&lt;0,_xlfn.CONCAT(" * cos(x - ",ABS(D13),") ="),_xlfn.CONCAT(" * cos(x + ",D13,") ="))))</f>
        <v>3 * cos(x - 180) =</v>
      </c>
      <c r="G13" s="212">
        <f>IF($AW$13=$K$3,$C$13*COS(G11+RADIANS($D$13)),0)</f>
        <v>-3</v>
      </c>
      <c r="H13" s="212">
        <f t="shared" ref="H13:AU13" si="4">IF($AW$13=$K$3,$C$13*COS(H11+RADIANS($D$13)),0)</f>
        <v>-2.9544232590366239</v>
      </c>
      <c r="I13" s="212">
        <f t="shared" si="4"/>
        <v>-2.8190778623577248</v>
      </c>
      <c r="J13" s="212">
        <f t="shared" si="4"/>
        <v>-2.598076211353316</v>
      </c>
      <c r="K13" s="212">
        <f t="shared" si="4"/>
        <v>-2.2981333293569337</v>
      </c>
      <c r="L13" s="212">
        <f t="shared" si="4"/>
        <v>-1.9283628290596182</v>
      </c>
      <c r="M13" s="212">
        <f t="shared" si="4"/>
        <v>-1.5000000000000007</v>
      </c>
      <c r="N13" s="212">
        <f t="shared" si="4"/>
        <v>-1.0260604299770062</v>
      </c>
      <c r="O13" s="212">
        <f t="shared" si="4"/>
        <v>-0.52094453300079091</v>
      </c>
      <c r="P13" s="212">
        <f t="shared" si="4"/>
        <v>1.83772268236293E-16</v>
      </c>
      <c r="Q13" s="212">
        <f t="shared" si="4"/>
        <v>0.52094453300079124</v>
      </c>
      <c r="R13" s="212">
        <f t="shared" si="4"/>
        <v>1.0260604299770064</v>
      </c>
      <c r="S13" s="212">
        <f t="shared" si="4"/>
        <v>1.4999999999999996</v>
      </c>
      <c r="T13" s="212">
        <f t="shared" si="4"/>
        <v>1.9283628290596184</v>
      </c>
      <c r="U13" s="212">
        <f t="shared" si="4"/>
        <v>2.2981333293569342</v>
      </c>
      <c r="V13" s="212">
        <f t="shared" si="4"/>
        <v>2.598076211353316</v>
      </c>
      <c r="W13" s="212">
        <f t="shared" si="4"/>
        <v>2.8190778623577248</v>
      </c>
      <c r="X13" s="212">
        <f t="shared" si="4"/>
        <v>2.9544232590366244</v>
      </c>
      <c r="Y13" s="212">
        <f t="shared" si="4"/>
        <v>3</v>
      </c>
      <c r="Z13" s="212">
        <f t="shared" si="4"/>
        <v>2.9544232590366239</v>
      </c>
      <c r="AA13" s="212">
        <f t="shared" si="4"/>
        <v>2.8190778623577248</v>
      </c>
      <c r="AB13" s="212">
        <f t="shared" si="4"/>
        <v>2.5980762113533156</v>
      </c>
      <c r="AC13" s="212">
        <f t="shared" si="4"/>
        <v>2.2981333293569342</v>
      </c>
      <c r="AD13" s="212">
        <f t="shared" si="4"/>
        <v>1.9283628290596184</v>
      </c>
      <c r="AE13" s="212">
        <f t="shared" si="4"/>
        <v>1.5000000000000009</v>
      </c>
      <c r="AF13" s="212">
        <f t="shared" si="4"/>
        <v>1.0260604299770077</v>
      </c>
      <c r="AG13" s="212">
        <f t="shared" si="4"/>
        <v>0.52094453300079069</v>
      </c>
      <c r="AH13" s="212">
        <f t="shared" si="4"/>
        <v>1.83772268236293E-16</v>
      </c>
      <c r="AI13" s="212">
        <f t="shared" si="4"/>
        <v>-0.52094453300079024</v>
      </c>
      <c r="AJ13" s="212">
        <f t="shared" si="4"/>
        <v>-1.0260604299770049</v>
      </c>
      <c r="AK13" s="212">
        <f t="shared" si="4"/>
        <v>-1.5000000000000007</v>
      </c>
      <c r="AL13" s="212">
        <f t="shared" si="4"/>
        <v>-1.9283628290596182</v>
      </c>
      <c r="AM13" s="212">
        <f t="shared" si="4"/>
        <v>-2.2981333293569337</v>
      </c>
      <c r="AN13" s="212">
        <f t="shared" si="4"/>
        <v>-2.5980762113533156</v>
      </c>
      <c r="AO13" s="212">
        <f t="shared" si="4"/>
        <v>-2.8190778623577253</v>
      </c>
      <c r="AP13" s="212">
        <f t="shared" si="4"/>
        <v>-2.9544232590366235</v>
      </c>
      <c r="AQ13" s="212">
        <f t="shared" si="4"/>
        <v>-3</v>
      </c>
      <c r="AR13" s="212">
        <f t="shared" si="4"/>
        <v>-2.9544232590366244</v>
      </c>
      <c r="AS13" s="212">
        <f t="shared" si="4"/>
        <v>-2.8190778623577248</v>
      </c>
      <c r="AT13" s="212">
        <f t="shared" si="4"/>
        <v>-2.5980762113533169</v>
      </c>
      <c r="AU13" s="212">
        <f t="shared" si="4"/>
        <v>-2.2981333293569342</v>
      </c>
      <c r="AV13" s="99"/>
      <c r="AW13" s="318" t="s">
        <v>64</v>
      </c>
      <c r="AY13" s="212">
        <f>IF($AW$13=$K$3,$C$13 * COS(AY11+RADIANS(D13)),0)</f>
        <v>-1.9283628290596182</v>
      </c>
      <c r="AZ13" s="5"/>
      <c r="BB13" s="77">
        <f>IF($AW$13=$K$3,$C13,0)</f>
        <v>3</v>
      </c>
      <c r="BC13" s="77">
        <f>$AY$10+90+$D$13</f>
        <v>-40</v>
      </c>
      <c r="BD13" s="311">
        <f>BB13*COS(RADIANS(BC13))</f>
        <v>2.2981333293569342</v>
      </c>
      <c r="BE13" s="311">
        <f>BB13*SIN(RADIANS(BC13))</f>
        <v>-1.9283628290596178</v>
      </c>
      <c r="BF13" s="311">
        <v>0</v>
      </c>
      <c r="BG13" s="311">
        <f>BD13</f>
        <v>2.2981333293569342</v>
      </c>
      <c r="BH13" s="311">
        <v>0</v>
      </c>
      <c r="BI13" s="311">
        <f>BE13</f>
        <v>-1.9283628290596178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-3</v>
      </c>
      <c r="H16" s="212">
        <f t="shared" ref="H16:AU16" si="5">IF($AW$16=$K$3,H12+H13,0)</f>
        <v>-2.7807750813696934</v>
      </c>
      <c r="I16" s="212">
        <f t="shared" si="5"/>
        <v>-2.477057719032056</v>
      </c>
      <c r="J16" s="212">
        <f t="shared" si="5"/>
        <v>-2.098076211353316</v>
      </c>
      <c r="K16" s="212">
        <f t="shared" si="5"/>
        <v>-1.6553457196703945</v>
      </c>
      <c r="L16" s="212">
        <f t="shared" si="5"/>
        <v>-1.1623183859406403</v>
      </c>
      <c r="M16" s="212">
        <f t="shared" si="5"/>
        <v>-0.63397459621556207</v>
      </c>
      <c r="N16" s="212">
        <f t="shared" si="5"/>
        <v>-8.6367809191097877E-2</v>
      </c>
      <c r="O16" s="212">
        <f t="shared" si="5"/>
        <v>0.46386322001141711</v>
      </c>
      <c r="P16" s="212">
        <f t="shared" si="5"/>
        <v>1.0000000000000002</v>
      </c>
      <c r="Q16" s="212">
        <f t="shared" si="5"/>
        <v>1.5057522860129993</v>
      </c>
      <c r="R16" s="212">
        <f t="shared" si="5"/>
        <v>1.9657530507629148</v>
      </c>
      <c r="S16" s="212">
        <f t="shared" si="5"/>
        <v>2.3660254037844384</v>
      </c>
      <c r="T16" s="212">
        <f t="shared" si="5"/>
        <v>2.6944072721785965</v>
      </c>
      <c r="U16" s="212">
        <f t="shared" si="5"/>
        <v>2.9409209390434734</v>
      </c>
      <c r="V16" s="212">
        <f t="shared" si="5"/>
        <v>3.098076211353316</v>
      </c>
      <c r="W16" s="212">
        <f t="shared" si="5"/>
        <v>3.1610980056833937</v>
      </c>
      <c r="X16" s="212">
        <f t="shared" si="5"/>
        <v>3.1280714367035545</v>
      </c>
      <c r="Y16" s="212">
        <f t="shared" si="5"/>
        <v>3</v>
      </c>
      <c r="Z16" s="212">
        <f t="shared" si="5"/>
        <v>2.7807750813696934</v>
      </c>
      <c r="AA16" s="212">
        <f t="shared" si="5"/>
        <v>2.4770577190320564</v>
      </c>
      <c r="AB16" s="212">
        <f t="shared" si="5"/>
        <v>2.0980762113533156</v>
      </c>
      <c r="AC16" s="212">
        <f t="shared" si="5"/>
        <v>1.6553457196703949</v>
      </c>
      <c r="AD16" s="212">
        <f t="shared" si="5"/>
        <v>1.1623183859406405</v>
      </c>
      <c r="AE16" s="212">
        <f t="shared" si="5"/>
        <v>0.63397459621556251</v>
      </c>
      <c r="AF16" s="212">
        <f t="shared" si="5"/>
        <v>8.6367809191099543E-2</v>
      </c>
      <c r="AG16" s="212">
        <f t="shared" si="5"/>
        <v>-0.46386322001141733</v>
      </c>
      <c r="AH16" s="212">
        <f t="shared" si="5"/>
        <v>-0.99999999999999978</v>
      </c>
      <c r="AI16" s="212">
        <f t="shared" si="5"/>
        <v>-1.5057522860129984</v>
      </c>
      <c r="AJ16" s="212">
        <f t="shared" si="5"/>
        <v>-1.9657530507629133</v>
      </c>
      <c r="AK16" s="212">
        <f t="shared" si="5"/>
        <v>-2.3660254037844393</v>
      </c>
      <c r="AL16" s="212">
        <f t="shared" si="5"/>
        <v>-2.6944072721785961</v>
      </c>
      <c r="AM16" s="212">
        <f t="shared" si="5"/>
        <v>-2.9409209390434734</v>
      </c>
      <c r="AN16" s="212">
        <f t="shared" si="5"/>
        <v>-3.098076211353316</v>
      </c>
      <c r="AO16" s="212">
        <f t="shared" si="5"/>
        <v>-3.1610980056833937</v>
      </c>
      <c r="AP16" s="212">
        <f t="shared" si="5"/>
        <v>-3.1280714367035549</v>
      </c>
      <c r="AQ16" s="212">
        <f t="shared" si="5"/>
        <v>-3.0000000000000004</v>
      </c>
      <c r="AR16" s="212">
        <f t="shared" si="5"/>
        <v>-2.7807750813696943</v>
      </c>
      <c r="AS16" s="212">
        <f t="shared" si="5"/>
        <v>-2.477057719032056</v>
      </c>
      <c r="AT16" s="212">
        <f t="shared" si="5"/>
        <v>-2.0980762113533178</v>
      </c>
      <c r="AU16" s="212">
        <f t="shared" si="5"/>
        <v>-1.6553457196703949</v>
      </c>
      <c r="AV16" s="99"/>
      <c r="AW16" s="318" t="s">
        <v>64</v>
      </c>
      <c r="AY16" s="212">
        <f>IF($AW$16=$K$3,AY12+AY13,0)</f>
        <v>-1.1623183859406403</v>
      </c>
      <c r="BB16" s="311">
        <f>SQRT(BD16^2+BE16^2)</f>
        <v>3.1622776601683795</v>
      </c>
      <c r="BC16" s="311">
        <f>IF($AW$16=$K$3,DEGREES(ATAN2(BD16,BE16)),0)</f>
        <v>-21.56505117707799</v>
      </c>
      <c r="BD16" s="311">
        <f>IF($AW$16=$K$3,BD12+BD13,0)</f>
        <v>2.9409209390434734</v>
      </c>
      <c r="BE16" s="311">
        <f>IF($AW$16=$K$3,BE12+BE13,0)</f>
        <v>-1.1623183859406399</v>
      </c>
      <c r="BF16" s="311">
        <v>0</v>
      </c>
      <c r="BG16" s="311">
        <f>BD16</f>
        <v>2.9409209390434734</v>
      </c>
      <c r="BH16" s="311">
        <v>0</v>
      </c>
      <c r="BI16" s="322">
        <f>BE16</f>
        <v>-1.1623183859406399</v>
      </c>
      <c r="BJ16" s="311">
        <f>IF($AW$16=$K$3,BD13,0)</f>
        <v>2.2981333293569342</v>
      </c>
      <c r="BK16" s="311">
        <f>BD16</f>
        <v>2.9409209390434734</v>
      </c>
      <c r="BL16" s="311">
        <f>IF($AW$16=$K$3,BE13,0)</f>
        <v>-1.9283628290596178</v>
      </c>
      <c r="BM16" s="311">
        <f>BE16</f>
        <v>-1.1623183859406399</v>
      </c>
      <c r="BN16" s="311">
        <f>BD12</f>
        <v>0.64278760968653936</v>
      </c>
      <c r="BO16" s="311">
        <f>BK16</f>
        <v>2.9409209390434734</v>
      </c>
      <c r="BP16" s="311">
        <f>IF($AW$16=$K$3,BE12,0)</f>
        <v>0.76604444311897801</v>
      </c>
      <c r="BQ16" s="311">
        <f>BM16</f>
        <v>-1.1623183859406399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0</v>
      </c>
      <c r="H17" s="212">
        <f t="shared" ref="H17:AU17" si="6">IF($AW$17=$K$3,H12*H13,0)</f>
        <v>0</v>
      </c>
      <c r="I17" s="212">
        <f t="shared" si="6"/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99"/>
      <c r="AW17" s="318" t="s">
        <v>65</v>
      </c>
      <c r="AY17" s="212">
        <f>IF($AW$17=$K$3,AY12*AY13,0)</f>
        <v>0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16" t="s">
        <v>659</v>
      </c>
      <c r="M92" s="416"/>
      <c r="N92" s="416"/>
      <c r="O92" s="417"/>
      <c r="P92" s="418" t="s">
        <v>65</v>
      </c>
      <c r="Q92" s="419"/>
      <c r="R92" s="420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21">
        <f>3*10^8</f>
        <v>300000000</v>
      </c>
      <c r="J131" s="422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21">
        <v>0.02</v>
      </c>
      <c r="J132" s="422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>
      <selection activeCell="H16" sqref="H16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4" t="s">
        <v>216</v>
      </c>
      <c r="D12" s="424"/>
      <c r="E12" s="424"/>
      <c r="F12" s="424"/>
      <c r="G12" s="424"/>
      <c r="H12" s="56"/>
      <c r="I12" s="424" t="s">
        <v>217</v>
      </c>
      <c r="J12" s="424"/>
      <c r="K12" s="424" t="s">
        <v>212</v>
      </c>
      <c r="L12" s="424"/>
      <c r="M12" s="424" t="s">
        <v>218</v>
      </c>
      <c r="N12" s="424"/>
      <c r="O12" s="424"/>
      <c r="P12" s="423" t="s">
        <v>229</v>
      </c>
      <c r="Q12" s="423"/>
      <c r="R12" s="423"/>
      <c r="S12" s="423"/>
      <c r="T12" s="423" t="s">
        <v>261</v>
      </c>
      <c r="U12" s="423"/>
      <c r="V12" s="423"/>
      <c r="W12" s="423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I4" sqref="I4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25" t="s">
        <v>417</v>
      </c>
      <c r="C13" s="422"/>
      <c r="D13" s="422"/>
      <c r="E13" s="422"/>
      <c r="F13" s="422"/>
      <c r="G13" s="422"/>
      <c r="H13" s="422"/>
      <c r="I13" s="422"/>
      <c r="L13" s="425" t="s">
        <v>418</v>
      </c>
      <c r="M13" s="426"/>
      <c r="N13" s="426"/>
      <c r="O13" s="426"/>
      <c r="Q13" s="425" t="s">
        <v>230</v>
      </c>
      <c r="R13" s="426"/>
      <c r="S13" s="426"/>
      <c r="T13" s="426"/>
      <c r="U13" s="426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46032.756415509262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46033</v>
      </c>
      <c r="E13" s="94">
        <f t="shared" ca="1" si="4"/>
        <v>61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Noch kein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46033</v>
      </c>
      <c r="E14" s="94">
        <f t="shared" ca="1" si="4"/>
        <v>42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Noch kein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46036</v>
      </c>
      <c r="E15" s="94">
        <f t="shared" ca="1" si="4"/>
        <v>65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Noch kein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46037</v>
      </c>
      <c r="E16" s="94">
        <f t="shared" ca="1" si="4"/>
        <v>45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Noch kein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46062</v>
      </c>
      <c r="E17" s="94">
        <f t="shared" ca="1" si="4"/>
        <v>80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Noch kein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46067</v>
      </c>
      <c r="E18" s="94">
        <f t="shared" ca="1" si="4"/>
        <v>52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Noch kein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46083</v>
      </c>
      <c r="E19" s="94">
        <f t="shared" ca="1" si="4"/>
        <v>66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Noch kein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46083</v>
      </c>
      <c r="E20" s="94">
        <f t="shared" ca="1" si="4"/>
        <v>31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Noch kein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tabSelected="1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68" t="s">
        <v>902</v>
      </c>
      <c r="D3" s="468" t="s">
        <v>667</v>
      </c>
      <c r="E3" s="469">
        <v>4</v>
      </c>
      <c r="F3" s="469" t="s">
        <v>882</v>
      </c>
      <c r="G3" s="77">
        <f>IF(F3=H3,E3,IF(F3=P7,E3*60,IF(F3=P8,E3*3600)))</f>
        <v>4</v>
      </c>
      <c r="H3" s="5" t="str">
        <f>P6</f>
        <v>[s]</v>
      </c>
      <c r="J3" s="465"/>
      <c r="K3" s="466"/>
      <c r="L3" s="466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68" t="s">
        <v>21</v>
      </c>
      <c r="D4" s="468"/>
      <c r="E4" s="469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68" t="s">
        <v>22</v>
      </c>
      <c r="D5" s="468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68" t="s">
        <v>887</v>
      </c>
      <c r="D6" s="468"/>
      <c r="E6" s="469">
        <v>50</v>
      </c>
      <c r="F6" s="469" t="s">
        <v>862</v>
      </c>
      <c r="G6" s="77">
        <f>IF(F6=H6,E6,E6*1000)</f>
        <v>50</v>
      </c>
      <c r="H6" s="5" t="str">
        <f>O6</f>
        <v>[m]</v>
      </c>
      <c r="N6" t="s">
        <v>903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904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64" t="s">
        <v>900</v>
      </c>
      <c r="D11" s="428"/>
      <c r="E11" s="463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899</v>
      </c>
    </row>
    <row r="12" spans="2:28" ht="22.5" customHeight="1" x14ac:dyDescent="0.65">
      <c r="C12" s="464" t="s">
        <v>901</v>
      </c>
      <c r="D12" s="428"/>
      <c r="E12" s="463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898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67"/>
    </row>
    <row r="18" spans="3:27" ht="15.65" customHeight="1" x14ac:dyDescent="0.35">
      <c r="C18" s="429" t="s">
        <v>1</v>
      </c>
      <c r="D18" s="430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27" t="s">
        <v>19</v>
      </c>
      <c r="D19" s="427"/>
      <c r="E19" s="4">
        <v>0</v>
      </c>
      <c r="F19" s="12">
        <f>E19+$E$18</f>
        <v>0.5</v>
      </c>
      <c r="G19" s="12">
        <f>F19+$E$18</f>
        <v>1</v>
      </c>
      <c r="H19" s="12">
        <f>G19+$E$18</f>
        <v>1.5</v>
      </c>
      <c r="I19" s="12">
        <f>H19+$E$18</f>
        <v>2</v>
      </c>
      <c r="J19" s="12">
        <f>I19+$E$18</f>
        <v>2.5</v>
      </c>
      <c r="K19" s="12">
        <f>J19+$E$18</f>
        <v>3</v>
      </c>
      <c r="L19" s="12">
        <f>K19+$E$18</f>
        <v>3.5</v>
      </c>
      <c r="M19" s="12">
        <f>L19+$E$18</f>
        <v>4</v>
      </c>
      <c r="N19" s="12">
        <f>M19+$E$18</f>
        <v>4.5</v>
      </c>
      <c r="O19" s="12">
        <f>N19+$E$18</f>
        <v>5</v>
      </c>
      <c r="P19" s="12">
        <f>O19+$E$18</f>
        <v>5.5</v>
      </c>
      <c r="Q19" s="12">
        <f>P19+$E$18</f>
        <v>6</v>
      </c>
      <c r="R19" s="12">
        <f>Q19+$E$18</f>
        <v>6.5</v>
      </c>
      <c r="S19" s="12">
        <f>R19+$E$18</f>
        <v>7</v>
      </c>
      <c r="T19" s="12">
        <f>S19+$E$18</f>
        <v>7.5</v>
      </c>
      <c r="U19" s="12">
        <f>T19+$E$18</f>
        <v>8</v>
      </c>
      <c r="V19" s="12">
        <f>U19+$E$18</f>
        <v>8.5</v>
      </c>
      <c r="W19" s="12">
        <f>V19+$E$18</f>
        <v>9</v>
      </c>
      <c r="X19" s="12">
        <f>W19+$E$18</f>
        <v>9.5</v>
      </c>
      <c r="Y19" s="12">
        <f>X19+$E$18</f>
        <v>10</v>
      </c>
      <c r="Z19" s="12">
        <f>Y19+$E$18</f>
        <v>10.5</v>
      </c>
      <c r="AA19" s="12">
        <f>Z19+$E$18</f>
        <v>11</v>
      </c>
    </row>
    <row r="20" spans="3:27" x14ac:dyDescent="0.35">
      <c r="C20" s="428" t="s">
        <v>24</v>
      </c>
      <c r="D20" s="428"/>
      <c r="E20" s="5">
        <f>$E$4*E19+$G$5</f>
        <v>30</v>
      </c>
      <c r="F20" s="5">
        <f t="shared" ref="F20:AA20" si="0">$E$4*F19+$G$5</f>
        <v>32</v>
      </c>
      <c r="G20" s="5">
        <f t="shared" si="0"/>
        <v>34</v>
      </c>
      <c r="H20" s="5">
        <f t="shared" si="0"/>
        <v>36</v>
      </c>
      <c r="I20" s="5">
        <f t="shared" si="0"/>
        <v>38</v>
      </c>
      <c r="J20" s="5">
        <f t="shared" si="0"/>
        <v>40</v>
      </c>
      <c r="K20" s="5">
        <f t="shared" si="0"/>
        <v>42</v>
      </c>
      <c r="L20" s="5">
        <f t="shared" si="0"/>
        <v>44</v>
      </c>
      <c r="M20" s="5">
        <f t="shared" si="0"/>
        <v>46</v>
      </c>
      <c r="N20" s="5">
        <f t="shared" si="0"/>
        <v>48</v>
      </c>
      <c r="O20" s="5">
        <f t="shared" si="0"/>
        <v>50</v>
      </c>
      <c r="P20" s="5">
        <f t="shared" si="0"/>
        <v>52</v>
      </c>
      <c r="Q20" s="5">
        <f t="shared" si="0"/>
        <v>54</v>
      </c>
      <c r="R20" s="5">
        <f t="shared" si="0"/>
        <v>56</v>
      </c>
      <c r="S20" s="5">
        <f t="shared" si="0"/>
        <v>58</v>
      </c>
      <c r="T20" s="5">
        <f t="shared" si="0"/>
        <v>60</v>
      </c>
      <c r="U20" s="5">
        <f t="shared" si="0"/>
        <v>62</v>
      </c>
      <c r="V20" s="5">
        <f t="shared" si="0"/>
        <v>64</v>
      </c>
      <c r="W20" s="5">
        <f t="shared" si="0"/>
        <v>66</v>
      </c>
      <c r="X20" s="5">
        <f t="shared" si="0"/>
        <v>68</v>
      </c>
      <c r="Y20" s="5">
        <f t="shared" si="0"/>
        <v>70</v>
      </c>
      <c r="Z20" s="5">
        <f t="shared" si="0"/>
        <v>72</v>
      </c>
      <c r="AA20" s="5">
        <f t="shared" si="0"/>
        <v>74</v>
      </c>
    </row>
    <row r="21" spans="3:27" ht="16.5" x14ac:dyDescent="0.35">
      <c r="C21" s="428" t="s">
        <v>888</v>
      </c>
      <c r="D21" s="428"/>
      <c r="E21" s="5">
        <f>$E$4/2 * E19^2 + $G$5 * E19 + $E$6</f>
        <v>50</v>
      </c>
      <c r="F21" s="5">
        <f t="shared" ref="F21:AA21" si="1">$E$4/2 * F19^2 + $G$5 * F19 + $E$6</f>
        <v>65.5</v>
      </c>
      <c r="G21" s="5">
        <f t="shared" si="1"/>
        <v>82</v>
      </c>
      <c r="H21" s="5">
        <f t="shared" si="1"/>
        <v>99.5</v>
      </c>
      <c r="I21" s="5">
        <f t="shared" si="1"/>
        <v>118</v>
      </c>
      <c r="J21" s="5">
        <f t="shared" si="1"/>
        <v>137.5</v>
      </c>
      <c r="K21" s="5">
        <f t="shared" si="1"/>
        <v>158</v>
      </c>
      <c r="L21" s="5">
        <f t="shared" si="1"/>
        <v>179.5</v>
      </c>
      <c r="M21" s="5">
        <f t="shared" si="1"/>
        <v>202</v>
      </c>
      <c r="N21" s="5">
        <f t="shared" si="1"/>
        <v>225.5</v>
      </c>
      <c r="O21" s="5">
        <f t="shared" si="1"/>
        <v>250</v>
      </c>
      <c r="P21" s="5">
        <f t="shared" si="1"/>
        <v>275.5</v>
      </c>
      <c r="Q21" s="5">
        <f t="shared" si="1"/>
        <v>302</v>
      </c>
      <c r="R21" s="5">
        <f t="shared" si="1"/>
        <v>329.5</v>
      </c>
      <c r="S21" s="5">
        <f t="shared" si="1"/>
        <v>358</v>
      </c>
      <c r="T21" s="5">
        <f t="shared" si="1"/>
        <v>387.5</v>
      </c>
      <c r="U21" s="5">
        <f t="shared" si="1"/>
        <v>418</v>
      </c>
      <c r="V21" s="5">
        <f t="shared" si="1"/>
        <v>449.5</v>
      </c>
      <c r="W21" s="5">
        <f t="shared" si="1"/>
        <v>482</v>
      </c>
      <c r="X21" s="5">
        <f t="shared" si="1"/>
        <v>515.5</v>
      </c>
      <c r="Y21" s="5">
        <f t="shared" si="1"/>
        <v>550</v>
      </c>
      <c r="Z21" s="5">
        <f t="shared" si="1"/>
        <v>585.5</v>
      </c>
      <c r="AA21" s="5">
        <f t="shared" si="1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115" zoomScaleNormal="115" workbookViewId="0">
      <selection activeCell="K8" sqref="K8:L8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39" t="str">
        <f>$O$8</f>
        <v>Anfangs-Geschwindigkeit</v>
      </c>
      <c r="D6" s="440"/>
      <c r="E6" s="443" t="str">
        <f>$O$9</f>
        <v>Geschwindigkeit</v>
      </c>
      <c r="F6" s="440"/>
      <c r="G6" s="443" t="str">
        <f>$O$10</f>
        <v>Strecke</v>
      </c>
      <c r="H6" s="440"/>
      <c r="I6" s="443" t="str">
        <f>$O$11</f>
        <v>Zeit</v>
      </c>
      <c r="J6" s="440"/>
      <c r="K6" s="443" t="str">
        <f>$O$12</f>
        <v>Beschleunigung</v>
      </c>
      <c r="L6" s="444"/>
    </row>
    <row r="7" spans="1:19" ht="15" thickBot="1" x14ac:dyDescent="0.4">
      <c r="B7" s="13" t="s">
        <v>37</v>
      </c>
      <c r="C7" s="441" t="str">
        <f>$P$8</f>
        <v>v0 [m/s]</v>
      </c>
      <c r="D7" s="442"/>
      <c r="E7" s="445" t="str">
        <f>$P$9</f>
        <v>v [m/s]</v>
      </c>
      <c r="F7" s="442"/>
      <c r="G7" s="445" t="str">
        <f>$P$10</f>
        <v>s [m]</v>
      </c>
      <c r="H7" s="442"/>
      <c r="I7" s="445" t="str">
        <f>$P$11</f>
        <v>t [s]</v>
      </c>
      <c r="J7" s="442"/>
      <c r="K7" s="445" t="str">
        <f>$P$12</f>
        <v>a [m/s2]</v>
      </c>
      <c r="L7" s="446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47">
        <v>119</v>
      </c>
      <c r="H8" s="452"/>
      <c r="I8" s="447">
        <v>7</v>
      </c>
      <c r="J8" s="452"/>
      <c r="K8" s="447">
        <v>2</v>
      </c>
      <c r="L8" s="448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49">
        <v>24</v>
      </c>
      <c r="F9" s="453"/>
      <c r="G9" s="16" t="s">
        <v>75</v>
      </c>
      <c r="H9" s="16">
        <f>E9*I9 - K9*I9^2/2</f>
        <v>119</v>
      </c>
      <c r="I9" s="449">
        <v>7</v>
      </c>
      <c r="J9" s="453"/>
      <c r="K9" s="449">
        <v>2</v>
      </c>
      <c r="L9" s="450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49">
        <v>24</v>
      </c>
      <c r="F10" s="453"/>
      <c r="G10" s="449">
        <v>119</v>
      </c>
      <c r="H10" s="453"/>
      <c r="I10" s="16" t="s">
        <v>76</v>
      </c>
      <c r="J10" s="16">
        <f>(E10 - SQRT(E10^2 - 2*K10*G10))/K10</f>
        <v>7</v>
      </c>
      <c r="K10" s="449">
        <v>2</v>
      </c>
      <c r="L10" s="450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49">
        <v>24</v>
      </c>
      <c r="F11" s="453"/>
      <c r="G11" s="449">
        <v>119</v>
      </c>
      <c r="H11" s="453"/>
      <c r="I11" s="449">
        <v>7</v>
      </c>
      <c r="J11" s="453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55">
        <v>10</v>
      </c>
      <c r="D12" s="453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49">
        <v>7</v>
      </c>
      <c r="J12" s="453"/>
      <c r="K12" s="449">
        <v>2</v>
      </c>
      <c r="L12" s="450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55">
        <v>10</v>
      </c>
      <c r="D13" s="453"/>
      <c r="E13" s="16" t="s">
        <v>80</v>
      </c>
      <c r="F13" s="16">
        <f>SQRT(C13^2 + 2*K13*G13)</f>
        <v>24</v>
      </c>
      <c r="G13" s="449">
        <v>119</v>
      </c>
      <c r="H13" s="453"/>
      <c r="I13" s="22" t="s">
        <v>55</v>
      </c>
      <c r="J13" s="16">
        <f xml:space="preserve"> (-C13 + SQRT(C13^2 + 2*K13*G13))/K13</f>
        <v>7</v>
      </c>
      <c r="K13" s="451">
        <v>2</v>
      </c>
      <c r="L13" s="450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55">
        <v>10</v>
      </c>
      <c r="D14" s="453"/>
      <c r="E14" s="16" t="s">
        <v>81</v>
      </c>
      <c r="F14" s="16">
        <f>2*G14/I14 - C14</f>
        <v>24</v>
      </c>
      <c r="G14" s="449">
        <v>119</v>
      </c>
      <c r="H14" s="453"/>
      <c r="I14" s="449">
        <v>7</v>
      </c>
      <c r="J14" s="454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55">
        <v>10</v>
      </c>
      <c r="D15" s="453"/>
      <c r="E15" s="449">
        <v>24</v>
      </c>
      <c r="F15" s="453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49">
        <v>2</v>
      </c>
      <c r="L15" s="450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55">
        <v>10</v>
      </c>
      <c r="D16" s="453"/>
      <c r="E16" s="449">
        <v>24</v>
      </c>
      <c r="F16" s="453"/>
      <c r="G16" s="16" t="s">
        <v>83</v>
      </c>
      <c r="H16" s="16">
        <f>(C16+E16)*I16/2</f>
        <v>119</v>
      </c>
      <c r="I16" s="449">
        <v>7</v>
      </c>
      <c r="J16" s="453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57">
        <v>10</v>
      </c>
      <c r="D17" s="456"/>
      <c r="E17" s="451">
        <v>24</v>
      </c>
      <c r="F17" s="456"/>
      <c r="G17" s="451">
        <v>119</v>
      </c>
      <c r="H17" s="456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35" t="str">
        <f>P13</f>
        <v>ω0 [rad/s]</v>
      </c>
      <c r="D18" s="436"/>
      <c r="E18" s="437" t="str">
        <f>P14</f>
        <v>ω [rad/s]</v>
      </c>
      <c r="F18" s="436"/>
      <c r="G18" s="437" t="str">
        <f>P15</f>
        <v>φ [rad]</v>
      </c>
      <c r="H18" s="436"/>
      <c r="I18" s="437" t="str">
        <f>P16</f>
        <v>t [s]</v>
      </c>
      <c r="J18" s="436"/>
      <c r="K18" s="437" t="str">
        <f>P17</f>
        <v>α [rad/s2]</v>
      </c>
      <c r="L18" s="438"/>
    </row>
    <row r="19" spans="1:16" ht="29.15" customHeight="1" thickBot="1" x14ac:dyDescent="0.4">
      <c r="C19" s="431" t="str">
        <f>O13</f>
        <v>Anfangs-Winkelgeschwindigkeit</v>
      </c>
      <c r="D19" s="432"/>
      <c r="E19" s="433" t="str">
        <f>O14</f>
        <v>Winkelgeschwindigkeit</v>
      </c>
      <c r="F19" s="432"/>
      <c r="G19" s="433" t="str">
        <f>O15</f>
        <v>Winkel</v>
      </c>
      <c r="H19" s="432"/>
      <c r="I19" s="433" t="str">
        <f>O16</f>
        <v>Zeit</v>
      </c>
      <c r="J19" s="432"/>
      <c r="K19" s="433" t="str">
        <f>O17</f>
        <v>Winkelbeschleunigung</v>
      </c>
      <c r="L19" s="434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28" t="s">
        <v>73</v>
      </c>
      <c r="V7" s="428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58"/>
      <c r="D11" s="458"/>
      <c r="E11" s="458"/>
      <c r="F11" s="458"/>
      <c r="G11" s="458"/>
      <c r="H11" s="458"/>
      <c r="I11" s="458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59" t="s">
        <v>441</v>
      </c>
      <c r="D12" s="459"/>
      <c r="E12" s="459"/>
      <c r="F12" s="459"/>
      <c r="G12" s="459"/>
      <c r="H12" s="459"/>
      <c r="I12" s="459"/>
      <c r="J12" s="32"/>
      <c r="K12" s="32"/>
      <c r="M12" s="42" t="s">
        <v>435</v>
      </c>
      <c r="N12" s="23">
        <v>50</v>
      </c>
      <c r="O12" s="460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61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62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28" t="s">
        <v>73</v>
      </c>
      <c r="S7" s="428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58"/>
      <c r="D11" s="458"/>
      <c r="E11" s="458"/>
      <c r="F11" s="458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59" t="s">
        <v>476</v>
      </c>
      <c r="D12" s="459"/>
      <c r="E12" s="459"/>
      <c r="F12" s="459"/>
      <c r="G12" s="32"/>
      <c r="H12" s="32"/>
      <c r="J12" s="42" t="s">
        <v>62</v>
      </c>
      <c r="K12" s="23">
        <v>60</v>
      </c>
      <c r="L12" s="460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62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25" t="s">
        <v>418</v>
      </c>
      <c r="N9" s="426"/>
      <c r="O9" s="426"/>
      <c r="P9" s="426"/>
      <c r="R9" s="425" t="s">
        <v>230</v>
      </c>
      <c r="S9" s="426"/>
      <c r="T9" s="426"/>
      <c r="U9" s="426"/>
      <c r="V9" s="426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TOC</vt:lpstr>
      <vt:lpstr>Einheitenvorsätze</vt:lpstr>
      <vt:lpstr>Elektronische Schaltzeichen</vt:lpstr>
      <vt:lpstr>LCR-Glieder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2026-01-10T17:09:19Z</dcterms:modified>
</cp:coreProperties>
</file>