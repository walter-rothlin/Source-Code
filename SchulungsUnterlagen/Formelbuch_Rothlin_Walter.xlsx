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2.xml" ContentType="application/inkml+xml"/>
  <Override PartName="/xl/ink/ink3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5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omments2.xml" ContentType="application/vnd.openxmlformats-officedocument.spreadsheetml.comments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AA6A0588-7C31-4F13-BA34-21DF00192EDB}" xr6:coauthVersionLast="47" xr6:coauthVersionMax="47" xr10:uidLastSave="{00000000-0000-0000-0000-000000000000}"/>
  <bookViews>
    <workbookView xWindow="2350" yWindow="1630" windowWidth="14400" windowHeight="7280" xr2:uid="{00000000-000D-0000-FFFF-FFFF00000000}"/>
  </bookViews>
  <sheets>
    <sheet name="TOC" sheetId="13" r:id="rId1"/>
    <sheet name="Belasteter Spannungsteiler" sheetId="40" r:id="rId2"/>
    <sheet name="Magnetismus" sheetId="38" r:id="rId3"/>
    <sheet name="Einheitenvorsätze" sheetId="32" r:id="rId4"/>
    <sheet name="Edizio_Bestellungen" sheetId="37" r:id="rId5"/>
    <sheet name="Elektronische Schaltzeichen" sheetId="30" r:id="rId6"/>
    <sheet name="LCR-Glieder an Wechselspannung" sheetId="35" r:id="rId7"/>
    <sheet name="Kondensator an Gleichspannung" sheetId="36" r:id="rId8"/>
    <sheet name="Quelle mit Innenwiderstand" sheetId="29" r:id="rId9"/>
    <sheet name="Leistung bei Wechselstrom" sheetId="28" r:id="rId10"/>
    <sheet name="Schiefeebene" sheetId="19" r:id="rId11"/>
    <sheet name="Sinus_Cosinus" sheetId="22" r:id="rId12"/>
    <sheet name="Sinuskurve" sheetId="39" r:id="rId13"/>
    <sheet name="Vektoroperationen" sheetId="18" r:id="rId14"/>
    <sheet name="VektorZeitbereich" sheetId="24" r:id="rId15"/>
    <sheet name="Geburtstagsliste" sheetId="17" r:id="rId16"/>
    <sheet name="Einheiten umrechnen" sheetId="16" r:id="rId17"/>
    <sheet name="Flächenberechnungen" sheetId="14" r:id="rId18"/>
    <sheet name="Kinematik_1" sheetId="4" r:id="rId19"/>
    <sheet name="Kinematik_1 (Weg-Zeit)" sheetId="33" r:id="rId20"/>
    <sheet name="Kinematik_2" sheetId="9" r:id="rId21"/>
    <sheet name="Kinematik_2_Berechnungen" sheetId="11" r:id="rId22"/>
    <sheet name="Kinematik_2 (Weg-Zeit)" sheetId="34" r:id="rId23"/>
    <sheet name="Fourierreihe" sheetId="12" r:id="rId24"/>
    <sheet name="Scheinleistung" sheetId="15" r:id="rId25"/>
    <sheet name="3-Phasenstrom" sheetId="25" r:id="rId26"/>
    <sheet name="Gemischte Schaltung" sheetId="23" r:id="rId27"/>
    <sheet name="Theoreme" sheetId="26" r:id="rId28"/>
    <sheet name="Fläche eines Polygones" sheetId="27" r:id="rId29"/>
  </sheets>
  <definedNames>
    <definedName name="_xlnm._FilterDatabase" localSheetId="15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2" l="1"/>
  <c r="V7" i="40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G20" i="35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L23" i="35" s="1"/>
  <c r="X63" i="35" s="1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Q12" i="40" l="1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40" i="35"/>
  <c r="X22" i="35"/>
  <c r="AB20" i="35"/>
  <c r="AE20" i="35" s="1"/>
  <c r="AE24" i="35" s="1"/>
  <c r="AB38" i="35"/>
  <c r="AB58" i="35"/>
  <c r="G14" i="33"/>
  <c r="J20" i="35"/>
  <c r="M20" i="35" s="1"/>
  <c r="L22" i="35"/>
  <c r="F28" i="35"/>
  <c r="F34" i="35" s="1"/>
  <c r="F29" i="35"/>
  <c r="M22" i="35"/>
  <c r="M21" i="35"/>
  <c r="J25" i="35"/>
  <c r="M25" i="35" s="1"/>
  <c r="M23" i="35"/>
  <c r="K25" i="35"/>
  <c r="L25" i="35" s="1"/>
  <c r="Z20" i="35" s="1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N23" i="24" l="1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B39" i="35" s="1"/>
  <c r="AH39" i="35" s="1"/>
  <c r="AH42" i="35" s="1"/>
  <c r="H25" i="35"/>
  <c r="G19" i="9"/>
  <c r="AE58" i="35"/>
  <c r="AE64" i="35" s="1"/>
  <c r="Z60" i="35"/>
  <c r="Z38" i="35"/>
  <c r="X39" i="35"/>
  <c r="X61" i="35"/>
  <c r="X60" i="35"/>
  <c r="X20" i="35"/>
  <c r="X38" i="35"/>
  <c r="AE38" i="35"/>
  <c r="AE42" i="35" s="1"/>
  <c r="X21" i="35"/>
  <c r="X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M25" i="24" l="1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34" i="35"/>
  <c r="X64" i="35" s="1"/>
  <c r="AB60" i="35"/>
  <c r="AH60" i="35" s="1"/>
  <c r="AH67" i="35" s="1"/>
  <c r="K29" i="35"/>
  <c r="L29" i="35" s="1"/>
  <c r="Z39" i="35" s="1"/>
  <c r="D33" i="35"/>
  <c r="H33" i="35" s="1"/>
  <c r="P33" i="35"/>
  <c r="R33" i="35" s="1"/>
  <c r="T33" i="35" s="1"/>
  <c r="Z41" i="35" s="1"/>
  <c r="J29" i="35"/>
  <c r="M29" i="35" s="1"/>
  <c r="G21" i="9"/>
  <c r="G20" i="9"/>
  <c r="H19" i="9"/>
  <c r="D32" i="35"/>
  <c r="H32" i="35" s="1"/>
  <c r="AB59" i="35"/>
  <c r="AB65" i="35" s="1"/>
  <c r="AB21" i="35"/>
  <c r="AH21" i="35" s="1"/>
  <c r="AH24" i="35" s="1"/>
  <c r="Z61" i="35"/>
  <c r="AB40" i="35"/>
  <c r="AD40" i="35" s="1"/>
  <c r="AG41" i="35" s="1"/>
  <c r="Z21" i="35"/>
  <c r="Z62" i="35"/>
  <c r="P32" i="35"/>
  <c r="R32" i="35" s="1"/>
  <c r="T32" i="35" s="1"/>
  <c r="Z23" i="35" s="1"/>
  <c r="D34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O16" i="18" l="1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Z40" i="35" s="1"/>
  <c r="G32" i="36"/>
  <c r="H20" i="9"/>
  <c r="H21" i="9"/>
  <c r="I19" i="9"/>
  <c r="AB22" i="35"/>
  <c r="AE22" i="35" s="1"/>
  <c r="AH23" i="35" s="1"/>
  <c r="AH59" i="35"/>
  <c r="AH61" i="35" s="1"/>
  <c r="AH64" i="35" s="1"/>
  <c r="AE40" i="35"/>
  <c r="AH41" i="35" s="1"/>
  <c r="J32" i="35"/>
  <c r="M32" i="35" s="1"/>
  <c r="K32" i="35"/>
  <c r="L32" i="35" s="1"/>
  <c r="Z22" i="35" s="1"/>
  <c r="K34" i="35"/>
  <c r="L34" i="35" s="1"/>
  <c r="Z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P25" i="24" l="1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D65" i="35"/>
  <c r="AG66" i="35" s="1"/>
  <c r="AE65" i="35"/>
  <c r="AH66" i="35" s="1"/>
  <c r="P34" i="35"/>
  <c r="R34" i="35" s="1"/>
  <c r="T34" i="35" s="1"/>
  <c r="Z64" i="35" s="1"/>
  <c r="AD22" i="35"/>
  <c r="AG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V15" i="18" l="1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<sst xmlns="http://schemas.openxmlformats.org/spreadsheetml/2006/main" count="1511" uniqueCount="960">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</sst>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Wechselspannung'!$AD$23:$AE$23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Wechselspannung'!$AG$23:$AH$23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Wechselspannung'!$AD$22:$AE$22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 an Wechselspannung'!$AG$22:$AH$22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Wechselspannung'!$X$20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Wechselspannung'!$AD$20:$AE$20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Wechselspannung'!$AG$20:$AH$20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Wechselspannung'!$Z$21</c:f>
              <c:strCache>
                <c:ptCount val="1"/>
                <c:pt idx="0">
                  <c:v>Blindwiderstand 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Wechselspannung'!$AD$21:$AE$21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Wechselspannung'!$AG$21:$AH$21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Wechselspannung'!$Z$22</c:f>
              <c:strCache>
                <c:ptCount val="1"/>
                <c:pt idx="0">
                  <c:v>Scheinwiderstand 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Wechselspannung'!$AD$24:$AE$24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Wechselspannung'!$AG$24:$AH$24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Wechselspannung'!$AD$41:$AE$41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Wechselspannung'!$AG$41:$AH$41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Wechselspannung'!$AD$40:$AE$40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 an Wechselspannung'!$AG$40:$AH$40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Wechselspannung'!$X$38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Wechselspannung'!$AD$38:$AE$38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Wechselspannung'!$AG$38:$AH$38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Wechselspannung'!$Z$39</c:f>
              <c:strCache>
                <c:ptCount val="1"/>
                <c:pt idx="0">
                  <c:v>Blindwiderstand 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Wechselspannung'!$AD$39:$AE$39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Wechselspannung'!$AG$39:$AH$39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Wechselspannung'!$Z$40</c:f>
              <c:strCache>
                <c:ptCount val="1"/>
                <c:pt idx="0">
                  <c:v>Scheinwiderstand 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Wechselspannung'!$AD$42:$AE$42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Wechselspannung'!$AG$42:$AH$42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5196709952050269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Wechselspannung'!$AD$66:$AE$66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Wechselspannung'!$AG$66:$AH$66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Wechselspannung'!$AD$65:$AE$65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 an Wechselspannung'!$AG$65:$AH$65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Wechselspannung'!$X$38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Wechselspannung'!$AD$38:$AE$38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Wechselspannung'!$AG$38:$AH$38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Wechselspannung'!$Z$39</c:f>
              <c:strCache>
                <c:ptCount val="1"/>
                <c:pt idx="0">
                  <c:v>Blindwiderstand 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Wechselspannung'!$AD$60:$AE$60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Wechselspannung'!$AG$60:$AH$60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Wechselspannung'!$AD$59:$AE$59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Wechselspannung'!$AG$59:$AH$59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Wechselspannung'!$AC$61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Wechselspannung'!$AD$61:$AE$61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Wechselspannung'!$AG$61:$AH$61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Wechselspannung'!$AC$64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Wechselspannung'!$AD$64:$AE$64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 an Wechselspannung'!$AG$64:$AH$64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3 * sin(x + 90)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  <c:pt idx="37">
                  <c:v>2.9544232590366244</c:v>
                </c:pt>
                <c:pt idx="38">
                  <c:v>2.819077862357724</c:v>
                </c:pt>
                <c:pt idx="39">
                  <c:v>2.5980762113533173</c:v>
                </c:pt>
                <c:pt idx="40">
                  <c:v>2.2981333293569328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3 * cos(x - 270)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-5.51316804708879E-16</c:v>
                </c:pt>
                <c:pt idx="1">
                  <c:v>-0.52094453300079102</c:v>
                </c:pt>
                <c:pt idx="2">
                  <c:v>-1.0260604299770058</c:v>
                </c:pt>
                <c:pt idx="3">
                  <c:v>-1.5000000000000013</c:v>
                </c:pt>
                <c:pt idx="4">
                  <c:v>-1.9283628290596184</c:v>
                </c:pt>
                <c:pt idx="5">
                  <c:v>-2.2981333293569342</c:v>
                </c:pt>
                <c:pt idx="6">
                  <c:v>-2.598076211353316</c:v>
                </c:pt>
                <c:pt idx="7">
                  <c:v>-2.8190778623577253</c:v>
                </c:pt>
                <c:pt idx="8">
                  <c:v>-2.9544232590366244</c:v>
                </c:pt>
                <c:pt idx="9">
                  <c:v>-3</c:v>
                </c:pt>
                <c:pt idx="10">
                  <c:v>-2.9544232590366239</c:v>
                </c:pt>
                <c:pt idx="11">
                  <c:v>-2.8190778623577248</c:v>
                </c:pt>
                <c:pt idx="12">
                  <c:v>-2.598076211353316</c:v>
                </c:pt>
                <c:pt idx="13">
                  <c:v>-2.2981333293569337</c:v>
                </c:pt>
                <c:pt idx="14">
                  <c:v>-1.9283628290596182</c:v>
                </c:pt>
                <c:pt idx="15">
                  <c:v>-1.4999999999999993</c:v>
                </c:pt>
                <c:pt idx="16">
                  <c:v>-1.0260604299770062</c:v>
                </c:pt>
                <c:pt idx="17">
                  <c:v>-0.52094453300079024</c:v>
                </c:pt>
                <c:pt idx="18">
                  <c:v>1.83772268236293E-16</c:v>
                </c:pt>
                <c:pt idx="19">
                  <c:v>0.52094453300079191</c:v>
                </c:pt>
                <c:pt idx="20">
                  <c:v>1.0260604299770064</c:v>
                </c:pt>
                <c:pt idx="21">
                  <c:v>1.5000000000000009</c:v>
                </c:pt>
                <c:pt idx="22">
                  <c:v>1.9283628290596184</c:v>
                </c:pt>
                <c:pt idx="23">
                  <c:v>2.2981333293569342</c:v>
                </c:pt>
                <c:pt idx="24">
                  <c:v>2.5980762113533156</c:v>
                </c:pt>
                <c:pt idx="25">
                  <c:v>2.8190778623577248</c:v>
                </c:pt>
                <c:pt idx="26">
                  <c:v>2.9544232590366244</c:v>
                </c:pt>
                <c:pt idx="27">
                  <c:v>3</c:v>
                </c:pt>
                <c:pt idx="28">
                  <c:v>2.9544232590366244</c:v>
                </c:pt>
                <c:pt idx="29">
                  <c:v>2.8190778623577257</c:v>
                </c:pt>
                <c:pt idx="30">
                  <c:v>2.5980762113533156</c:v>
                </c:pt>
                <c:pt idx="31">
                  <c:v>2.2981333293569342</c:v>
                </c:pt>
                <c:pt idx="32">
                  <c:v>1.9283628290596184</c:v>
                </c:pt>
                <c:pt idx="33">
                  <c:v>1.5000000000000009</c:v>
                </c:pt>
                <c:pt idx="34">
                  <c:v>1.0260604299770051</c:v>
                </c:pt>
                <c:pt idx="35">
                  <c:v>0.52094453300079324</c:v>
                </c:pt>
                <c:pt idx="36">
                  <c:v>1.83772268236293E-16</c:v>
                </c:pt>
                <c:pt idx="37">
                  <c:v>-0.52094453300079024</c:v>
                </c:pt>
                <c:pt idx="38">
                  <c:v>-1.0260604299770073</c:v>
                </c:pt>
                <c:pt idx="39">
                  <c:v>-1.4999999999999982</c:v>
                </c:pt>
                <c:pt idx="40">
                  <c:v>-1.9283628290596182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-2.2981333293569342</c:v>
                </c:pt>
                <c:pt idx="1">
                  <c:v>1.9283628290596184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2.9999999999999996</c:v>
                </c:pt>
                <c:pt idx="1">
                  <c:v>2.4334787260358328</c:v>
                </c:pt>
                <c:pt idx="2">
                  <c:v>1.7930174323807195</c:v>
                </c:pt>
                <c:pt idx="3">
                  <c:v>1.0980762113533147</c:v>
                </c:pt>
                <c:pt idx="4">
                  <c:v>0.36977050029731573</c:v>
                </c:pt>
                <c:pt idx="5">
                  <c:v>-0.36977050029731573</c:v>
                </c:pt>
                <c:pt idx="6">
                  <c:v>-1.0980762113533151</c:v>
                </c:pt>
                <c:pt idx="7">
                  <c:v>-1.7930174323807186</c:v>
                </c:pt>
                <c:pt idx="8">
                  <c:v>-2.4334787260358337</c:v>
                </c:pt>
                <c:pt idx="9">
                  <c:v>-2.9999999999999996</c:v>
                </c:pt>
                <c:pt idx="10">
                  <c:v>-3.4753677920374137</c:v>
                </c:pt>
                <c:pt idx="11">
                  <c:v>-3.845138292334731</c:v>
                </c:pt>
                <c:pt idx="12">
                  <c:v>-4.0980762113533151</c:v>
                </c:pt>
                <c:pt idx="13">
                  <c:v>-4.2264961584165519</c:v>
                </c:pt>
                <c:pt idx="14">
                  <c:v>-4.2264961584165519</c:v>
                </c:pt>
                <c:pt idx="15">
                  <c:v>-4.098076211353316</c:v>
                </c:pt>
                <c:pt idx="16">
                  <c:v>-3.8451382923347315</c:v>
                </c:pt>
                <c:pt idx="17">
                  <c:v>-3.4753677920374142</c:v>
                </c:pt>
                <c:pt idx="18">
                  <c:v>-3</c:v>
                </c:pt>
                <c:pt idx="19">
                  <c:v>-2.4334787260358324</c:v>
                </c:pt>
                <c:pt idx="20">
                  <c:v>-1.7930174323807193</c:v>
                </c:pt>
                <c:pt idx="21">
                  <c:v>-1.0980762113533151</c:v>
                </c:pt>
                <c:pt idx="22">
                  <c:v>-0.36977050029731617</c:v>
                </c:pt>
                <c:pt idx="23">
                  <c:v>0.36977050029731551</c:v>
                </c:pt>
                <c:pt idx="24">
                  <c:v>1.0980762113533142</c:v>
                </c:pt>
                <c:pt idx="25">
                  <c:v>1.7930174323807164</c:v>
                </c:pt>
                <c:pt idx="26">
                  <c:v>2.4334787260358333</c:v>
                </c:pt>
                <c:pt idx="27">
                  <c:v>2.9999999999999991</c:v>
                </c:pt>
                <c:pt idx="28">
                  <c:v>3.4753677920374142</c:v>
                </c:pt>
                <c:pt idx="29">
                  <c:v>3.8451382923347301</c:v>
                </c:pt>
                <c:pt idx="30">
                  <c:v>4.098076211353316</c:v>
                </c:pt>
                <c:pt idx="31">
                  <c:v>4.2264961584165519</c:v>
                </c:pt>
                <c:pt idx="32">
                  <c:v>4.2264961584165519</c:v>
                </c:pt>
                <c:pt idx="33">
                  <c:v>4.098076211353316</c:v>
                </c:pt>
                <c:pt idx="34">
                  <c:v>3.8451382923347301</c:v>
                </c:pt>
                <c:pt idx="35">
                  <c:v>3.4753677920374169</c:v>
                </c:pt>
                <c:pt idx="36">
                  <c:v>3</c:v>
                </c:pt>
                <c:pt idx="37">
                  <c:v>2.4334787260358341</c:v>
                </c:pt>
                <c:pt idx="38">
                  <c:v>1.7930174323807166</c:v>
                </c:pt>
                <c:pt idx="39">
                  <c:v>1.0980762113533191</c:v>
                </c:pt>
                <c:pt idx="40">
                  <c:v>0.36977050029731462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-2.2981333293569337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1.9283628290596184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-1.9283628290596182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4.2426406871192848</c:v>
                </c:pt>
                <c:pt idx="2">
                  <c:v>0</c:v>
                </c:pt>
                <c:pt idx="3">
                  <c:v>-4.2426406871192848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4.2426406871192848</c:v>
                </c:pt>
                <c:pt idx="1">
                  <c:v>0</c:v>
                </c:pt>
                <c:pt idx="2">
                  <c:v>-4.2426406871192848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-1.9283628290596182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-2.2981333293569342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-2.2981333293569337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1.9283628290596184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5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1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12205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43583"/>
          <a:ext cx="2968072" cy="3252659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439568" y="2705817"/>
          <a:ext cx="871105" cy="160594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154609</xdr:rowOff>
    </xdr:from>
    <xdr:to>
      <xdr:col>6</xdr:col>
      <xdr:colOff>692727</xdr:colOff>
      <xdr:row>21</xdr:row>
      <xdr:rowOff>24177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45045" y="2640878"/>
          <a:ext cx="871105" cy="1662222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47685"/>
          <a:ext cx="1696152" cy="1194160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83990"/>
          <a:ext cx="1581439" cy="1527112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01429"/>
          <a:ext cx="2645276" cy="723239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36555"/>
          <a:ext cx="7663217" cy="2647592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491807"/>
          <a:ext cx="4151095" cy="24941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649933"/>
          <a:ext cx="5125354" cy="1563690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833608"/>
          <a:ext cx="3891695" cy="2611654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052164"/>
          <a:ext cx="968608" cy="24753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883694"/>
          <a:ext cx="5564837" cy="5068786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2283" y="879656"/>
          <a:ext cx="608867" cy="1534618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17</xdr:row>
      <xdr:rowOff>37777</xdr:rowOff>
    </xdr:from>
    <xdr:to>
      <xdr:col>22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36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35</xdr:row>
      <xdr:rowOff>88901</xdr:rowOff>
    </xdr:from>
    <xdr:to>
      <xdr:col>22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144778</xdr:colOff>
      <xdr:row>31</xdr:row>
      <xdr:rowOff>142449</xdr:rowOff>
    </xdr:from>
    <xdr:to>
      <xdr:col>36</xdr:col>
      <xdr:colOff>459441</xdr:colOff>
      <xdr:row>49</xdr:row>
      <xdr:rowOff>142500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56</xdr:row>
      <xdr:rowOff>133349</xdr:rowOff>
    </xdr:from>
    <xdr:to>
      <xdr:col>22</xdr:col>
      <xdr:colOff>665694</xdr:colOff>
      <xdr:row>65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179293</xdr:colOff>
      <xdr:row>52</xdr:row>
      <xdr:rowOff>44822</xdr:rowOff>
    </xdr:from>
    <xdr:to>
      <xdr:col>36</xdr:col>
      <xdr:colOff>459440</xdr:colOff>
      <xdr:row>73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880</v>
      </c>
      <c r="E2" s="71" t="s">
        <v>881</v>
      </c>
    </row>
    <row r="4" spans="2:7" x14ac:dyDescent="0.35">
      <c r="B4" s="90" t="s">
        <v>843</v>
      </c>
      <c r="D4" s="90" t="s">
        <v>845</v>
      </c>
      <c r="F4" s="90" t="s">
        <v>846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327</v>
      </c>
      <c r="D9" s="70">
        <v>45998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844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928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zoomScale="130" zoomScaleNormal="130" workbookViewId="0">
      <selection activeCell="W2" sqref="W2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928</v>
      </c>
    </row>
    <row r="7" spans="3:23" ht="16.5" x14ac:dyDescent="0.45">
      <c r="H7" s="5" t="s">
        <v>929</v>
      </c>
      <c r="K7" s="5" t="s">
        <v>872</v>
      </c>
      <c r="L7" s="8" t="s">
        <v>933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945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934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946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45" t="s">
        <v>930</v>
      </c>
      <c r="K9" s="5"/>
      <c r="L9" s="8" t="s">
        <v>935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45" t="s">
        <v>931</v>
      </c>
      <c r="K10" s="5"/>
      <c r="L10" s="8" t="s">
        <v>936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947</v>
      </c>
      <c r="M11" s="5"/>
      <c r="N11" s="5"/>
      <c r="O11" s="5"/>
      <c r="P11" s="5"/>
      <c r="Q11" s="77">
        <f>Q7/Q8</f>
        <v>0.33333333333333331</v>
      </c>
      <c r="R11" s="8" t="s">
        <v>948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932</v>
      </c>
      <c r="L12" s="8" t="s">
        <v>951</v>
      </c>
      <c r="M12" s="5"/>
      <c r="N12" s="5"/>
      <c r="O12" s="5"/>
      <c r="P12" s="5"/>
      <c r="Q12" s="77">
        <f>1-Q7/(Q7+Q8)</f>
        <v>0.75</v>
      </c>
      <c r="R12" s="8" t="s">
        <v>951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952</v>
      </c>
      <c r="M13" s="5"/>
      <c r="N13" s="5"/>
      <c r="O13" s="5"/>
      <c r="P13" s="5"/>
      <c r="Q13" s="77">
        <f>$M$10*Q12</f>
        <v>9</v>
      </c>
      <c r="R13" s="8" t="s">
        <v>952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937</v>
      </c>
      <c r="L14" s="95" t="s">
        <v>938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939</v>
      </c>
      <c r="L15" s="95" t="s">
        <v>940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941</v>
      </c>
      <c r="L16" s="95" t="s">
        <v>942</v>
      </c>
      <c r="M16" s="77">
        <f>Q7*M15</f>
        <v>4.8</v>
      </c>
      <c r="N16" s="5" t="s">
        <v>316</v>
      </c>
    </row>
    <row r="17" spans="2:39" ht="16.5" x14ac:dyDescent="0.45">
      <c r="K17" s="293" t="s">
        <v>943</v>
      </c>
      <c r="L17" s="95" t="s">
        <v>944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935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937</v>
      </c>
      <c r="C28" s="95" t="s">
        <v>938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939</v>
      </c>
      <c r="C29" s="95" t="s">
        <v>940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941</v>
      </c>
      <c r="C30" s="95" t="s">
        <v>942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943</v>
      </c>
      <c r="C31" s="95" t="s">
        <v>944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937</v>
      </c>
      <c r="C32" s="95" t="s">
        <v>949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939</v>
      </c>
      <c r="C33" s="95" t="s">
        <v>940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941</v>
      </c>
      <c r="C34" s="95" t="s">
        <v>950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943</v>
      </c>
      <c r="C35" s="95" t="s">
        <v>944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43" t="str">
        <f>_xlfn.CONCAT("UL = f(RL)   R1/R2 =",Q11)</f>
        <v>UL = f(RL)   R1/R2 =0.333333333333333</v>
      </c>
      <c r="C41" s="218"/>
    </row>
    <row r="42" spans="2:39" x14ac:dyDescent="0.35">
      <c r="B42" s="444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5" workbookViewId="0">
      <selection activeCell="C53" sqref="C53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0" t="s">
        <v>914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915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50">
        <v>1</v>
      </c>
      <c r="R17" s="450"/>
      <c r="T17" s="450">
        <v>1</v>
      </c>
      <c r="U17" s="450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51" t="s">
        <v>917</v>
      </c>
      <c r="N23" s="451"/>
      <c r="O23" s="174"/>
      <c r="P23" s="174"/>
      <c r="Q23" s="451">
        <v>3</v>
      </c>
      <c r="R23" s="451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88"/>
  <sheetViews>
    <sheetView showGridLines="0" topLeftCell="M1" zoomScale="85" zoomScaleNormal="85" workbookViewId="0"/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42.08984375" customWidth="1"/>
  </cols>
  <sheetData>
    <row r="2" spans="3:24" ht="23.5" x14ac:dyDescent="0.55000000000000004">
      <c r="C2" s="9" t="s">
        <v>895</v>
      </c>
      <c r="R2" t="s">
        <v>64</v>
      </c>
      <c r="W2" s="8" t="s">
        <v>870</v>
      </c>
      <c r="X2" s="4" t="s">
        <v>64</v>
      </c>
    </row>
    <row r="3" spans="3:24" x14ac:dyDescent="0.35">
      <c r="R3" t="s">
        <v>65</v>
      </c>
    </row>
    <row r="16" spans="3:24" ht="15" thickBot="1" x14ac:dyDescent="0.4"/>
    <row r="17" spans="3:34" x14ac:dyDescent="0.35">
      <c r="V17" s="404"/>
      <c r="W17" s="405"/>
      <c r="X17" s="405"/>
      <c r="Y17" s="405"/>
      <c r="Z17" s="405"/>
      <c r="AA17" s="406"/>
    </row>
    <row r="18" spans="3:34" x14ac:dyDescent="0.35">
      <c r="V18" s="407"/>
      <c r="AA18" s="408"/>
    </row>
    <row r="19" spans="3:34" x14ac:dyDescent="0.35">
      <c r="V19" s="407"/>
      <c r="X19" s="5" t="s">
        <v>872</v>
      </c>
      <c r="Z19" s="5" t="s">
        <v>871</v>
      </c>
      <c r="AA19" s="408"/>
    </row>
    <row r="20" spans="3:34" ht="20.5" customHeight="1" x14ac:dyDescent="0.45">
      <c r="C20" s="8" t="s">
        <v>861</v>
      </c>
      <c r="D20" s="4">
        <v>1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1000</v>
      </c>
      <c r="I20" s="401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 * 10³Ω</v>
      </c>
      <c r="K20" s="77" t="str">
        <f>IF(E20=Einheitenvorsätze!$A$19,_xlfn.CONCAT(D20,F20),_xlfn.CONCAT(D20,E20,F20))</f>
        <v>1kΩ</v>
      </c>
      <c r="L20" s="77" t="str">
        <f>_xlfn.CONCAT(I20,K20)</f>
        <v>R = 1kΩ</v>
      </c>
      <c r="M20" s="77" t="str">
        <f>_xlfn.CONCAT(I20,J20)</f>
        <v>R = 1 * 10³Ω</v>
      </c>
      <c r="V20" s="407"/>
      <c r="X20" s="402" t="str">
        <f>$L$20</f>
        <v>R = 1kΩ</v>
      </c>
      <c r="Z20" s="403" t="str">
        <f>IF($X$2=$R$2,$L$25,_xlfn.CONCAT($C$25,"?"))</f>
        <v>ω = 6283.1853(1/s)</v>
      </c>
      <c r="AA20" s="408"/>
      <c r="AB20">
        <f>$H$20</f>
        <v>1000</v>
      </c>
      <c r="AC20" s="1" t="s">
        <v>882</v>
      </c>
      <c r="AD20">
        <v>0</v>
      </c>
      <c r="AE20">
        <f>IF($X$2=$R$2,AB20,0)</f>
        <v>1000</v>
      </c>
      <c r="AG20">
        <v>0</v>
      </c>
      <c r="AH20">
        <v>0</v>
      </c>
    </row>
    <row r="21" spans="3:34" ht="20.5" customHeight="1" x14ac:dyDescent="0.45">
      <c r="C21" s="8" t="s">
        <v>862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401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V21" s="407"/>
      <c r="X21" s="402" t="str">
        <f>$L$21</f>
        <v>C = 0.1µF</v>
      </c>
      <c r="Z21" s="403" t="str">
        <f>IF($X$2=$R$2,$L$28,_xlfn.CONCAT($C$28,"?"))</f>
        <v>Blindwiderstand XC = 1591.55Ω</v>
      </c>
      <c r="AA21" s="408"/>
      <c r="AB21">
        <f>$H$28</f>
        <v>1591.55</v>
      </c>
      <c r="AC21" s="1" t="s">
        <v>883</v>
      </c>
      <c r="AD21">
        <v>0</v>
      </c>
      <c r="AE21">
        <v>0</v>
      </c>
      <c r="AG21">
        <v>0</v>
      </c>
      <c r="AH21">
        <f>IF($X$2=$R$2,-AB21,0)</f>
        <v>-1591.55</v>
      </c>
    </row>
    <row r="22" spans="3:34" ht="20.5" customHeight="1" x14ac:dyDescent="0.45">
      <c r="C22" s="8" t="s">
        <v>863</v>
      </c>
      <c r="D22" s="4">
        <v>40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0.04</v>
      </c>
      <c r="I22" s="401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40 * 10⁻³H</v>
      </c>
      <c r="K22" s="77" t="str">
        <f>IF(E22=Einheitenvorsätze!$A$19,_xlfn.CONCAT(D22,F22),_xlfn.CONCAT(D22,E22,F22))</f>
        <v>40mH</v>
      </c>
      <c r="L22" s="77" t="str">
        <f t="shared" si="1"/>
        <v>L = 40mH</v>
      </c>
      <c r="M22" s="77" t="str">
        <f t="shared" si="2"/>
        <v>L = 40 * 10⁻³H</v>
      </c>
      <c r="V22" s="407"/>
      <c r="X22" s="402" t="str">
        <f>$L$23</f>
        <v>f =1kHZ</v>
      </c>
      <c r="Z22" s="403" t="str">
        <f>IF($X$2=$R$2,$L$32,_xlfn.CONCAT($C$32,"?"))</f>
        <v>Scheinwiderstand ZRC = 1879.64Ω</v>
      </c>
      <c r="AA22" s="409"/>
      <c r="AB22">
        <f>ABS(MAX(AB20:AB21))*1.1</f>
        <v>1750.7050000000002</v>
      </c>
      <c r="AC22" s="1" t="s">
        <v>885</v>
      </c>
      <c r="AD22">
        <f>-AB22</f>
        <v>-1750.7050000000002</v>
      </c>
      <c r="AE22">
        <f>AB22</f>
        <v>1750.7050000000002</v>
      </c>
      <c r="AG22">
        <v>0</v>
      </c>
      <c r="AH22">
        <v>0</v>
      </c>
    </row>
    <row r="23" spans="3:34" ht="20.5" customHeight="1" x14ac:dyDescent="0.45">
      <c r="C23" s="8" t="s">
        <v>864</v>
      </c>
      <c r="D23" s="4">
        <v>1</v>
      </c>
      <c r="E23" s="4" t="s">
        <v>694</v>
      </c>
      <c r="F23" s="5" t="s">
        <v>865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401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V23" s="407"/>
      <c r="Z23" s="403" t="str">
        <f>IF($X$2=$R$2,$T$32,_xlfn.CONCAT($O$32,"?"))</f>
        <v>φ = -57.9°</v>
      </c>
      <c r="AA23" s="408"/>
      <c r="AD23">
        <v>0</v>
      </c>
      <c r="AE23">
        <v>0</v>
      </c>
      <c r="AG23">
        <f>AD22</f>
        <v>-1750.7050000000002</v>
      </c>
      <c r="AH23">
        <f>AE22</f>
        <v>1750.7050000000002</v>
      </c>
    </row>
    <row r="24" spans="3:34" ht="20.5" customHeight="1" x14ac:dyDescent="0.35">
      <c r="V24" s="407"/>
      <c r="AA24" s="408"/>
      <c r="AD24">
        <v>0</v>
      </c>
      <c r="AE24">
        <f>AE20</f>
        <v>1000</v>
      </c>
      <c r="AG24">
        <v>0</v>
      </c>
      <c r="AH24">
        <f>AH21</f>
        <v>-1591.55</v>
      </c>
    </row>
    <row r="25" spans="3:34" ht="20.5" customHeight="1" thickBot="1" x14ac:dyDescent="0.4">
      <c r="C25" s="8" t="s">
        <v>866</v>
      </c>
      <c r="D25" s="77">
        <f>ROUND((2*PI()*H23 / 10^G25),4)</f>
        <v>6283.1853000000001</v>
      </c>
      <c r="E25" s="4" t="s">
        <v>703</v>
      </c>
      <c r="F25" s="5" t="s">
        <v>867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401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V25" s="410"/>
      <c r="W25" s="411"/>
      <c r="X25" s="411"/>
      <c r="Y25" s="411"/>
      <c r="Z25" s="411"/>
      <c r="AA25" s="412"/>
    </row>
    <row r="26" spans="3:34" ht="20.5" customHeight="1" x14ac:dyDescent="0.35"/>
    <row r="27" spans="3:34" ht="20.5" customHeight="1" x14ac:dyDescent="0.35"/>
    <row r="28" spans="3:34" ht="20.5" customHeight="1" x14ac:dyDescent="0.45">
      <c r="C28" s="8" t="s">
        <v>953</v>
      </c>
      <c r="D28" s="77">
        <f>ROUND((1/((D25*D21)*10^(G25+G21)))/10^G28,2)</f>
        <v>1591.55</v>
      </c>
      <c r="E28" s="4" t="s">
        <v>703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0</v>
      </c>
      <c r="H28" s="77">
        <f>D28*VLOOKUP(E28, CHOOSE({1,2,3,4}, Einheitenvorsätze!A:A, Einheitenvorsätze!B:B, Einheitenvorsätze!C:C, Einheitenvorsätze!D:D), 3, FALSE)</f>
        <v>1591.55</v>
      </c>
      <c r="I28" s="401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1591.55Ω</v>
      </c>
      <c r="K28" s="77" t="str">
        <f>IF(E28=Einheitenvorsätze!$A$19,_xlfn.CONCAT(D28,F28),_xlfn.CONCAT(D28,E28,F28))</f>
        <v>1591.55Ω</v>
      </c>
      <c r="L28" s="77" t="str">
        <f t="shared" ref="L28:L29" si="7">_xlfn.CONCAT(I28,K28)</f>
        <v>Blindwiderstand XC = 1591.55Ω</v>
      </c>
      <c r="M28" s="77" t="str">
        <f t="shared" ref="M28:M29" si="8">_xlfn.CONCAT(I28,J28)</f>
        <v>Blindwiderstand XC = 1591.55Ω</v>
      </c>
    </row>
    <row r="29" spans="3:34" ht="20.5" customHeight="1" x14ac:dyDescent="0.45">
      <c r="C29" s="8" t="s">
        <v>954</v>
      </c>
      <c r="D29" s="77">
        <f>ROUND((((D25*D22)*10^(G25+G22))/10^G29),4)</f>
        <v>251.32740000000001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251.32740000000001</v>
      </c>
      <c r="I29" s="401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251.3274Ω</v>
      </c>
      <c r="K29" s="77" t="str">
        <f>IF(E29=Einheitenvorsätze!$A$19,_xlfn.CONCAT(D29,F29),_xlfn.CONCAT(D29,E29,F29))</f>
        <v>251.3274Ω</v>
      </c>
      <c r="L29" s="77" t="str">
        <f t="shared" si="7"/>
        <v>Blindwiderstand XL = 251.3274Ω</v>
      </c>
      <c r="M29" s="77" t="str">
        <f t="shared" si="8"/>
        <v>Blindwiderstand XL = 251.3274Ω</v>
      </c>
    </row>
    <row r="31" spans="3:34" x14ac:dyDescent="0.35">
      <c r="C31" t="s">
        <v>868</v>
      </c>
    </row>
    <row r="32" spans="3:34" ht="16.5" x14ac:dyDescent="0.45">
      <c r="C32" s="8" t="s">
        <v>955</v>
      </c>
      <c r="D32" s="77">
        <f>ROUND(SQRT(H20^2 + H28^2) / 10^G32,2)</f>
        <v>1879.64</v>
      </c>
      <c r="E32" s="4" t="s">
        <v>703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0</v>
      </c>
      <c r="H32" s="77">
        <f>D32*VLOOKUP(E32, CHOOSE({1,2,3,4}, Einheitenvorsätze!A:A, Einheitenvorsätze!B:B, Einheitenvorsätze!C:C, Einheitenvorsätze!D:D), 3, FALSE)</f>
        <v>1879.64</v>
      </c>
      <c r="I32" s="401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1879.64Ω</v>
      </c>
      <c r="K32" s="77" t="str">
        <f>IF(E32=Einheitenvorsätze!$A$19,_xlfn.CONCAT(D32,F32),_xlfn.CONCAT(D32,E32,F32))</f>
        <v>1879.64Ω</v>
      </c>
      <c r="L32" s="77" t="str">
        <f t="shared" ref="L32:L34" si="10">_xlfn.CONCAT(I32,K32)</f>
        <v>Scheinwiderstand ZRC = 1879.64Ω</v>
      </c>
      <c r="M32" s="77" t="str">
        <f t="shared" ref="M32:M34" si="11">_xlfn.CONCAT(I32,J32)</f>
        <v>Scheinwiderstand ZRC = 1879.64Ω</v>
      </c>
      <c r="O32" s="8" t="s">
        <v>869</v>
      </c>
      <c r="P32" s="77">
        <f>ATAN2(H20,-H28)</f>
        <v>-1.0098143717607519</v>
      </c>
      <c r="Q32" s="5" t="s">
        <v>202</v>
      </c>
      <c r="R32" s="77">
        <f>DEGREES(P32)</f>
        <v>-57.85810159354579</v>
      </c>
      <c r="S32" s="5" t="s">
        <v>201</v>
      </c>
      <c r="T32" s="77" t="str">
        <f>_xlfn.CONCAT(O32,ROUND(R32,1),S32)</f>
        <v>φ = -57.9°</v>
      </c>
    </row>
    <row r="33" spans="2:34" ht="16.5" x14ac:dyDescent="0.45">
      <c r="C33" s="8" t="s">
        <v>956</v>
      </c>
      <c r="D33" s="77">
        <f>ROUND(SQRT(H20^2 + H29^2)/10^G33,2)</f>
        <v>1031.0999999999999</v>
      </c>
      <c r="E33" s="4" t="s">
        <v>703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0</v>
      </c>
      <c r="H33" s="77">
        <f>D33*VLOOKUP(E33, CHOOSE({1,2,3,4}, Einheitenvorsätze!A:A, Einheitenvorsätze!B:B, Einheitenvorsätze!C:C, Einheitenvorsätze!D:D), 3, FALSE)</f>
        <v>1031.0999999999999</v>
      </c>
      <c r="I33" s="401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1031.1Ω</v>
      </c>
      <c r="K33" s="77" t="str">
        <f>IF(E33=Einheitenvorsätze!$A$19,_xlfn.CONCAT(D33,F33),_xlfn.CONCAT(D33,E33,F33))</f>
        <v>1031.1Ω</v>
      </c>
      <c r="L33" s="77" t="str">
        <f t="shared" si="10"/>
        <v>Scheinwiderstand ZRL = 1031.1Ω</v>
      </c>
      <c r="M33" s="77" t="str">
        <f t="shared" si="11"/>
        <v>Scheinwiderstand ZRL = 1031.1Ω</v>
      </c>
      <c r="O33" s="8" t="s">
        <v>869</v>
      </c>
      <c r="P33" s="77">
        <f>ATAN2(H20,H29)</f>
        <v>0.24622759004774283</v>
      </c>
      <c r="Q33" s="5" t="s">
        <v>202</v>
      </c>
      <c r="R33" s="77">
        <f>DEGREES(P33)</f>
        <v>14.107801709413097</v>
      </c>
      <c r="S33" s="5" t="s">
        <v>201</v>
      </c>
      <c r="T33" s="77" t="str">
        <f>_xlfn.CONCAT(O33,ROUND(R33,1),S33)</f>
        <v>φ = 14.1°</v>
      </c>
    </row>
    <row r="34" spans="2:34" ht="16.5" x14ac:dyDescent="0.45">
      <c r="B34" s="446" t="str">
        <f>IF(D28=D29,"ohmsch",IF(D28&gt;D29,"kapazitiv","induktiv"))</f>
        <v>kapazitiv</v>
      </c>
      <c r="C34" s="8" t="s">
        <v>957</v>
      </c>
      <c r="D34" s="77">
        <f>ROUND(SQRT(H20^2 + (H28-H29)^2)/10^G34,2)</f>
        <v>1672.18</v>
      </c>
      <c r="E34" s="4" t="s">
        <v>703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0</v>
      </c>
      <c r="H34" s="77">
        <f>D34*VLOOKUP(E34, CHOOSE({1,2,3,4}, Einheitenvorsätze!A:A, Einheitenvorsätze!B:B, Einheitenvorsätze!C:C, Einheitenvorsätze!D:D), 3, FALSE)</f>
        <v>1672.18</v>
      </c>
      <c r="I34" s="401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1672.18Ω</v>
      </c>
      <c r="K34" s="77" t="str">
        <f>IF(E34=Einheitenvorsätze!$A$19,_xlfn.CONCAT(D34,F34),_xlfn.CONCAT(D34,E34,F34))</f>
        <v>1672.18Ω</v>
      </c>
      <c r="L34" s="77" t="str">
        <f t="shared" si="10"/>
        <v>Scheinwiderstand ZRLC = 1672.18Ω</v>
      </c>
      <c r="M34" s="77" t="str">
        <f t="shared" si="11"/>
        <v>Scheinwiderstand ZRLC = 1672.18Ω</v>
      </c>
      <c r="O34" s="8" t="s">
        <v>869</v>
      </c>
      <c r="P34" s="77">
        <f>ATAN2(H20,IF(H32&gt;H33,-H34,H34))</f>
        <v>-1.0318326960693467</v>
      </c>
      <c r="Q34" s="5" t="s">
        <v>202</v>
      </c>
      <c r="R34" s="77">
        <f>DEGREES(P34)</f>
        <v>-59.119658648378575</v>
      </c>
      <c r="S34" s="5" t="s">
        <v>201</v>
      </c>
      <c r="T34" s="77" t="str">
        <f>_xlfn.CONCAT(O34,ROUND(R34,1),S34)</f>
        <v>φ = -59.1°</v>
      </c>
    </row>
    <row r="35" spans="2:34" ht="15" thickBot="1" x14ac:dyDescent="0.4"/>
    <row r="36" spans="2:34" ht="23.5" x14ac:dyDescent="0.55000000000000004">
      <c r="V36" s="413"/>
      <c r="W36" s="414"/>
      <c r="X36" s="405"/>
      <c r="Y36" s="405"/>
      <c r="Z36" s="405"/>
      <c r="AA36" s="406"/>
    </row>
    <row r="37" spans="2:34" ht="23.5" x14ac:dyDescent="0.55000000000000004">
      <c r="V37" s="415"/>
      <c r="W37" s="245"/>
      <c r="X37" s="5" t="s">
        <v>872</v>
      </c>
      <c r="Z37" s="5" t="s">
        <v>871</v>
      </c>
      <c r="AA37" s="408"/>
    </row>
    <row r="38" spans="2:34" ht="18.5" x14ac:dyDescent="0.45">
      <c r="C38" t="s">
        <v>958</v>
      </c>
      <c r="V38" s="407"/>
      <c r="X38" s="402" t="str">
        <f>$L$20</f>
        <v>R = 1kΩ</v>
      </c>
      <c r="Z38" s="403" t="str">
        <f>IF($X$2=$R$2,$L$25,_xlfn.CONCAT($C$25,"?"))</f>
        <v>ω = 6283.1853(1/s)</v>
      </c>
      <c r="AA38" s="408"/>
      <c r="AB38">
        <f>$H$20</f>
        <v>1000</v>
      </c>
      <c r="AC38" s="1" t="s">
        <v>882</v>
      </c>
      <c r="AD38">
        <v>0</v>
      </c>
      <c r="AE38">
        <f>IF($X$2=$R$2,AB38,0)</f>
        <v>1000</v>
      </c>
      <c r="AG38">
        <v>0</v>
      </c>
      <c r="AH38">
        <v>0</v>
      </c>
    </row>
    <row r="39" spans="2:34" ht="18.5" x14ac:dyDescent="0.45">
      <c r="C39" t="s">
        <v>959</v>
      </c>
      <c r="V39" s="407"/>
      <c r="X39" s="402" t="str">
        <f>$L$22</f>
        <v>L = 40mH</v>
      </c>
      <c r="Z39" s="403" t="str">
        <f>IF($X$2=$R$2,$L$29,_xlfn.CONCAT($C$29,"?"))</f>
        <v>Blindwiderstand XL = 251.3274Ω</v>
      </c>
      <c r="AA39" s="408"/>
      <c r="AB39">
        <f>$H$29</f>
        <v>251.32740000000001</v>
      </c>
      <c r="AC39" s="1" t="s">
        <v>884</v>
      </c>
      <c r="AD39">
        <v>0</v>
      </c>
      <c r="AE39">
        <v>0</v>
      </c>
      <c r="AG39">
        <v>0</v>
      </c>
      <c r="AH39">
        <f>IF($X$2=$R$2,AB39,0)</f>
        <v>251.32740000000001</v>
      </c>
    </row>
    <row r="40" spans="2:34" ht="18.5" x14ac:dyDescent="0.45">
      <c r="V40" s="407"/>
      <c r="X40" s="402" t="str">
        <f>$L$23</f>
        <v>f =1kHZ</v>
      </c>
      <c r="Z40" s="403" t="str">
        <f>IF($X$2=$R$2,$L$33,_xlfn.CONCAT($C$33,"?"))</f>
        <v>Scheinwiderstand ZRL = 1031.1Ω</v>
      </c>
      <c r="AA40" s="408"/>
      <c r="AB40">
        <f>ABS(MAX(AB38:AB39))*1.1</f>
        <v>1100</v>
      </c>
      <c r="AC40" s="1" t="s">
        <v>885</v>
      </c>
      <c r="AD40">
        <f>-AB40</f>
        <v>-1100</v>
      </c>
      <c r="AE40">
        <f>AB40</f>
        <v>1100</v>
      </c>
      <c r="AG40">
        <v>0</v>
      </c>
      <c r="AH40">
        <v>0</v>
      </c>
    </row>
    <row r="41" spans="2:34" ht="18.5" x14ac:dyDescent="0.45">
      <c r="V41" s="407"/>
      <c r="Z41" s="403" t="str">
        <f>IF($X$2=$R$2,$T$33,_xlfn.CONCAT($O$33,"?"))</f>
        <v>φ = 14.1°</v>
      </c>
      <c r="AA41" s="408"/>
      <c r="AD41">
        <v>0</v>
      </c>
      <c r="AE41">
        <v>0</v>
      </c>
      <c r="AG41">
        <f>AD40</f>
        <v>-1100</v>
      </c>
      <c r="AH41">
        <f>AE40</f>
        <v>1100</v>
      </c>
    </row>
    <row r="42" spans="2:34" ht="15" thickBot="1" x14ac:dyDescent="0.4">
      <c r="V42" s="410"/>
      <c r="W42" s="411"/>
      <c r="X42" s="411"/>
      <c r="Y42" s="411"/>
      <c r="Z42" s="411"/>
      <c r="AA42" s="412"/>
      <c r="AD42">
        <v>0</v>
      </c>
      <c r="AE42">
        <f>AE38</f>
        <v>1000</v>
      </c>
      <c r="AG42">
        <v>0</v>
      </c>
      <c r="AH42">
        <f>AH39</f>
        <v>251.32740000000001</v>
      </c>
    </row>
    <row r="56" spans="22:34" ht="15" thickBot="1" x14ac:dyDescent="0.4"/>
    <row r="57" spans="22:34" x14ac:dyDescent="0.35">
      <c r="V57" s="404"/>
      <c r="W57" s="405"/>
      <c r="X57" s="405"/>
      <c r="Y57" s="405"/>
      <c r="Z57" s="405"/>
      <c r="AA57" s="406"/>
    </row>
    <row r="58" spans="22:34" x14ac:dyDescent="0.35">
      <c r="V58" s="407"/>
      <c r="AA58" s="408"/>
      <c r="AB58">
        <f>$H$20</f>
        <v>1000</v>
      </c>
      <c r="AC58" s="1" t="s">
        <v>882</v>
      </c>
      <c r="AD58">
        <v>0</v>
      </c>
      <c r="AE58">
        <f>IF($X$2=$R$2,AB58,0)</f>
        <v>1000</v>
      </c>
      <c r="AG58">
        <v>0</v>
      </c>
      <c r="AH58">
        <v>0</v>
      </c>
    </row>
    <row r="59" spans="22:34" x14ac:dyDescent="0.35">
      <c r="V59" s="407"/>
      <c r="X59" s="5" t="s">
        <v>872</v>
      </c>
      <c r="Z59" s="5" t="s">
        <v>871</v>
      </c>
      <c r="AA59" s="408"/>
      <c r="AB59">
        <f>$H$28</f>
        <v>1591.55</v>
      </c>
      <c r="AC59" s="1" t="s">
        <v>883</v>
      </c>
      <c r="AD59">
        <v>0</v>
      </c>
      <c r="AE59">
        <v>0</v>
      </c>
      <c r="AG59">
        <v>0</v>
      </c>
      <c r="AH59">
        <f>IF($X$2=$R$2,-AB59,0)</f>
        <v>-1591.55</v>
      </c>
    </row>
    <row r="60" spans="22:34" ht="18.5" x14ac:dyDescent="0.45">
      <c r="V60" s="407"/>
      <c r="X60" s="402" t="str">
        <f>$L$20</f>
        <v>R = 1kΩ</v>
      </c>
      <c r="Z60" s="403" t="str">
        <f>IF($X$2=$R$2,$L$25,_xlfn.CONCAT($C$25,"?"))</f>
        <v>ω = 6283.1853(1/s)</v>
      </c>
      <c r="AA60" s="408"/>
      <c r="AB60">
        <f>$H$29</f>
        <v>251.32740000000001</v>
      </c>
      <c r="AC60" s="1" t="s">
        <v>884</v>
      </c>
      <c r="AD60">
        <v>0</v>
      </c>
      <c r="AE60">
        <v>0</v>
      </c>
      <c r="AG60">
        <v>0</v>
      </c>
      <c r="AH60">
        <f>IF($X$2=$R$2,AB60,0)</f>
        <v>251.32740000000001</v>
      </c>
    </row>
    <row r="61" spans="22:34" ht="18.5" x14ac:dyDescent="0.45">
      <c r="V61" s="407"/>
      <c r="X61" s="402" t="str">
        <f>$L$22</f>
        <v>L = 40mH</v>
      </c>
      <c r="Z61" s="403" t="str">
        <f>IF($X$2=$R$2,$L$29,_xlfn.CONCAT($C$29,"?"))</f>
        <v>Blindwiderstand XL = 251.3274Ω</v>
      </c>
      <c r="AA61" s="408"/>
      <c r="AC61" s="1" t="s">
        <v>886</v>
      </c>
      <c r="AD61">
        <v>0</v>
      </c>
      <c r="AE61">
        <v>0</v>
      </c>
      <c r="AG61">
        <v>0</v>
      </c>
      <c r="AH61">
        <f>AH59+AH60</f>
        <v>-1340.2226000000001</v>
      </c>
    </row>
    <row r="62" spans="22:34" ht="18.5" x14ac:dyDescent="0.45">
      <c r="V62" s="407"/>
      <c r="X62" s="402" t="str">
        <f>$L$21</f>
        <v>C = 0.1µF</v>
      </c>
      <c r="Z62" s="403" t="str">
        <f>IF($X$2=$R$2,$L$28,_xlfn.CONCAT($C$28,"?"))</f>
        <v>Blindwiderstand XC = 1591.55Ω</v>
      </c>
      <c r="AA62" s="408"/>
      <c r="AC62" s="1"/>
    </row>
    <row r="63" spans="22:34" ht="18.5" x14ac:dyDescent="0.45">
      <c r="V63" s="407"/>
      <c r="X63" s="402" t="str">
        <f>$L$23</f>
        <v>f =1kHZ</v>
      </c>
      <c r="Z63" s="403" t="str">
        <f>IF($X$2=$R$2,$L$34,_xlfn.CONCAT($C$33,"?"))</f>
        <v>Scheinwiderstand ZRLC = 1672.18Ω</v>
      </c>
      <c r="AA63" s="408"/>
      <c r="AC63" s="1"/>
    </row>
    <row r="64" spans="22:34" ht="18.5" x14ac:dyDescent="0.45">
      <c r="V64" s="407"/>
      <c r="X64" s="403" t="str">
        <f>$B$34</f>
        <v>kapazitiv</v>
      </c>
      <c r="Z64" s="403" t="str">
        <f>IF($X$2=$R$2,$T$34,_xlfn.CONCAT($O$34,"?"))</f>
        <v>φ = -59.1°</v>
      </c>
      <c r="AA64" s="408"/>
      <c r="AC64" s="1" t="s">
        <v>887</v>
      </c>
      <c r="AD64">
        <v>0</v>
      </c>
      <c r="AE64">
        <f>AE58</f>
        <v>1000</v>
      </c>
      <c r="AG64">
        <v>0</v>
      </c>
      <c r="AH64">
        <f>AH61</f>
        <v>-1340.2226000000001</v>
      </c>
    </row>
    <row r="65" spans="22:34" x14ac:dyDescent="0.35">
      <c r="V65" s="407"/>
      <c r="AA65" s="408"/>
      <c r="AB65">
        <f>ABS(MAX(AB58:AB60))*1.1</f>
        <v>1750.7050000000002</v>
      </c>
      <c r="AC65" s="1" t="s">
        <v>885</v>
      </c>
      <c r="AD65">
        <f>-AB65</f>
        <v>-1750.7050000000002</v>
      </c>
      <c r="AE65">
        <f>AB65</f>
        <v>1750.7050000000002</v>
      </c>
      <c r="AG65">
        <v>0</v>
      </c>
      <c r="AH65">
        <v>0</v>
      </c>
    </row>
    <row r="66" spans="22:34" ht="15" thickBot="1" x14ac:dyDescent="0.4">
      <c r="V66" s="410"/>
      <c r="W66" s="411"/>
      <c r="X66" s="411"/>
      <c r="Y66" s="411"/>
      <c r="Z66" s="411"/>
      <c r="AA66" s="412"/>
      <c r="AD66">
        <v>0</v>
      </c>
      <c r="AE66">
        <v>0</v>
      </c>
      <c r="AG66">
        <f>AD65</f>
        <v>-1750.7050000000002</v>
      </c>
      <c r="AH66">
        <f>AE65</f>
        <v>1750.7050000000002</v>
      </c>
    </row>
    <row r="67" spans="22:34" x14ac:dyDescent="0.35">
      <c r="AD67">
        <v>0</v>
      </c>
      <c r="AE67">
        <f>AE59</f>
        <v>0</v>
      </c>
      <c r="AG67">
        <v>0</v>
      </c>
      <c r="AH67">
        <f>AH60</f>
        <v>251.32740000000001</v>
      </c>
    </row>
    <row r="88" spans="34:34" x14ac:dyDescent="0.35">
      <c r="AH88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896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870</v>
      </c>
      <c r="I4" s="4" t="s">
        <v>64</v>
      </c>
    </row>
    <row r="5" spans="2:19" ht="16.5" customHeight="1" x14ac:dyDescent="0.35">
      <c r="C5" s="424"/>
    </row>
    <row r="6" spans="2:19" ht="16.5" customHeight="1" x14ac:dyDescent="0.45">
      <c r="C6" s="8" t="s">
        <v>897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861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862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23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3">
        <f xml:space="preserve"> -D9 / LN(1 - D12/D6)</f>
        <v>17.999960274662833</v>
      </c>
    </row>
    <row r="12" spans="2:19" ht="18.5" x14ac:dyDescent="0.45">
      <c r="B12" s="420" t="s">
        <v>906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25" t="s">
        <v>906</v>
      </c>
      <c r="O12" s="339" t="str">
        <f>_xlfn.CONCAT("UC(t) = U0(1 - e^(-t/",Einheitenvorsätze!C56,"))")</f>
        <v>UC(t) = U0(1 - e^(-t/τ))</v>
      </c>
      <c r="R12" s="423">
        <f xml:space="preserve"> D6*(1 - EXP(-D9/D11))</f>
        <v>55</v>
      </c>
    </row>
    <row r="13" spans="2:19" ht="18.5" x14ac:dyDescent="0.45">
      <c r="B13" s="420" t="s">
        <v>907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25" t="s">
        <v>907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902</v>
      </c>
      <c r="O16" s="77">
        <f>-H9/H11</f>
        <v>-0.66666666666666674</v>
      </c>
      <c r="R16" s="421" t="str">
        <f>_xlfn.CONCAT("t / ", Einheitenvorsätze!C56)</f>
        <v>t / τ</v>
      </c>
      <c r="S16" s="421" t="s">
        <v>905</v>
      </c>
    </row>
    <row r="17" spans="2:26" x14ac:dyDescent="0.35">
      <c r="B17" s="407"/>
      <c r="L17" s="408"/>
      <c r="N17" s="8" t="s">
        <v>903</v>
      </c>
      <c r="O17" s="77">
        <f>EXP(O16)</f>
        <v>0.51341711903259202</v>
      </c>
      <c r="R17" s="95">
        <v>0</v>
      </c>
      <c r="S17" s="422">
        <f>1-EXP(-R17)</f>
        <v>0</v>
      </c>
    </row>
    <row r="18" spans="2:26" x14ac:dyDescent="0.35">
      <c r="B18" s="407"/>
      <c r="I18" s="5" t="s">
        <v>872</v>
      </c>
      <c r="K18" s="5" t="s">
        <v>871</v>
      </c>
      <c r="L18" s="408"/>
      <c r="N18" s="8" t="s">
        <v>904</v>
      </c>
      <c r="O18" s="77">
        <f>1-O17</f>
        <v>0.48658288096740798</v>
      </c>
      <c r="R18" s="95">
        <v>1</v>
      </c>
      <c r="S18" s="422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1500kΩ</v>
      </c>
      <c r="K19" s="403" t="str">
        <f>IF($I$4=$R$2,$L$11,_xlfn.CONCAT($C$11,"?"))</f>
        <v xml:space="preserve"> τ = 0.018s</v>
      </c>
      <c r="L19" s="408"/>
      <c r="R19" s="95">
        <v>2</v>
      </c>
      <c r="S19" s="422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26.7621V</v>
      </c>
      <c r="L20" s="447">
        <f>IF($I$4=$R$2,$H$12/$H$6,"")</f>
        <v>0.48658363636363638</v>
      </c>
      <c r="R20" s="95">
        <v>3</v>
      </c>
      <c r="S20" s="422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2">
        <f t="shared" si="11"/>
        <v>0.98168436111126578</v>
      </c>
    </row>
    <row r="22" spans="2:26" ht="18.5" x14ac:dyDescent="0.45">
      <c r="B22" s="407"/>
      <c r="I22" s="402" t="str">
        <f>$L$9</f>
        <v>t = 12ms</v>
      </c>
      <c r="K22" s="419"/>
      <c r="L22" s="408"/>
      <c r="R22" s="95">
        <v>5</v>
      </c>
      <c r="S22" s="422">
        <f t="shared" si="11"/>
        <v>0.99326205300091452</v>
      </c>
    </row>
    <row r="23" spans="2:26" x14ac:dyDescent="0.35">
      <c r="B23" s="407"/>
      <c r="L23" s="408"/>
      <c r="R23" s="95">
        <v>6</v>
      </c>
      <c r="S23" s="422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911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908</v>
      </c>
      <c r="B33" s="292" t="s">
        <v>898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909</v>
      </c>
      <c r="B34" s="292" t="s">
        <v>910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900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899</v>
      </c>
      <c r="J43" s="5"/>
      <c r="N43" s="8" t="s">
        <v>901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26" t="s">
        <v>913</v>
      </c>
      <c r="O44" s="427">
        <f>1-EXP(-O43)</f>
        <v>0</v>
      </c>
      <c r="P44" s="427">
        <f t="shared" ref="P44:Q44" si="17">1-EXP(-P43)</f>
        <v>0.63212055882855767</v>
      </c>
      <c r="Q44" s="427">
        <f t="shared" si="17"/>
        <v>0.8646647167633873</v>
      </c>
      <c r="R44" s="427">
        <f>1-EXP(-R43)</f>
        <v>0.95021293163213605</v>
      </c>
      <c r="S44" s="427">
        <f t="shared" ref="S44" si="18">1-EXP(-S43)</f>
        <v>0.98168436111126578</v>
      </c>
      <c r="T44" s="427">
        <f t="shared" ref="T44" si="19">1-EXP(-T43)</f>
        <v>0.99326205300091452</v>
      </c>
      <c r="U44" s="427">
        <f>1-EXP(-U43)</f>
        <v>0.99752124782333362</v>
      </c>
      <c r="V44" s="427">
        <f t="shared" ref="V44" si="20">1-EXP(-V43)</f>
        <v>0.99908811803444553</v>
      </c>
      <c r="W44" s="427">
        <f t="shared" ref="W44" si="21">1-EXP(-W43)</f>
        <v>0.99966453737209748</v>
      </c>
      <c r="X44" s="427">
        <f>1-EXP(-X43)</f>
        <v>0.99987659019591335</v>
      </c>
      <c r="Y44" s="427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8" t="s">
        <v>912</v>
      </c>
      <c r="O45" s="429">
        <f>EXP(-O43)</f>
        <v>1</v>
      </c>
      <c r="P45" s="429">
        <f t="shared" ref="P45:Y45" si="23">EXP(-P43)</f>
        <v>0.36787944117144233</v>
      </c>
      <c r="Q45" s="429">
        <f t="shared" si="23"/>
        <v>0.1353352832366127</v>
      </c>
      <c r="R45" s="429">
        <f t="shared" si="23"/>
        <v>4.9787068367863944E-2</v>
      </c>
      <c r="S45" s="429">
        <f t="shared" si="23"/>
        <v>1.8315638888734179E-2</v>
      </c>
      <c r="T45" s="429">
        <f t="shared" si="23"/>
        <v>6.737946999085467E-3</v>
      </c>
      <c r="U45" s="429">
        <f t="shared" si="23"/>
        <v>2.4787521766663585E-3</v>
      </c>
      <c r="V45" s="429">
        <f t="shared" si="23"/>
        <v>9.1188196555451624E-4</v>
      </c>
      <c r="W45" s="429">
        <f t="shared" si="23"/>
        <v>3.3546262790251185E-4</v>
      </c>
      <c r="X45" s="429">
        <f t="shared" si="23"/>
        <v>1.2340980408667956E-4</v>
      </c>
      <c r="Y45" s="429">
        <f t="shared" si="23"/>
        <v>4.5399929762484854E-5</v>
      </c>
    </row>
    <row r="72" spans="8:9" x14ac:dyDescent="0.35">
      <c r="H72" s="5" t="s">
        <v>900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899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B10" sqref="B10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848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>
      <selection activeCell="K105" sqref="K105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-2.2981333293569342</v>
      </c>
      <c r="BD4" s="212">
        <f>IF(MAX(AZ12:AZ17) &lt; 0,0,MAX(AZ12:AZ17))</f>
        <v>1.9283628290596184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918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4.2426406871192848</v>
      </c>
      <c r="BL11" s="77">
        <v>0</v>
      </c>
      <c r="BM11" s="77">
        <f>BK11</f>
        <v>4.2426406871192848</v>
      </c>
      <c r="BN11" s="77">
        <v>0</v>
      </c>
      <c r="BO11" s="77">
        <f>-BK11</f>
        <v>-4.2426406871192848</v>
      </c>
      <c r="BP11" s="77">
        <f>BM11</f>
        <v>4.2426406871192848</v>
      </c>
      <c r="BQ11" s="77">
        <v>0</v>
      </c>
      <c r="BR11" s="77">
        <f>BO11</f>
        <v>-4.2426406871192848</v>
      </c>
      <c r="BS11" s="77">
        <v>0</v>
      </c>
    </row>
    <row r="12" spans="3:71" ht="18.5" x14ac:dyDescent="0.45">
      <c r="C12" s="4">
        <v>3</v>
      </c>
      <c r="D12" s="4">
        <v>90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3 * sin(x + 90) =</v>
      </c>
      <c r="H12" s="212">
        <f>IF($AX$12=$L$3,$C$12*SIN(H11+RADIANS($D$12)),0)</f>
        <v>3</v>
      </c>
      <c r="I12" s="212">
        <f t="shared" ref="I12:AV12" si="3">IF($AX$12=$L$3,$C$12*SIN(I11+RADIANS($D$12)),0)</f>
        <v>2.9544232590366239</v>
      </c>
      <c r="J12" s="212">
        <f t="shared" si="3"/>
        <v>2.8190778623577253</v>
      </c>
      <c r="K12" s="212">
        <f t="shared" si="3"/>
        <v>2.598076211353316</v>
      </c>
      <c r="L12" s="212">
        <f t="shared" si="3"/>
        <v>2.2981333293569342</v>
      </c>
      <c r="M12" s="212">
        <f t="shared" si="3"/>
        <v>1.9283628290596184</v>
      </c>
      <c r="N12" s="212">
        <f t="shared" si="3"/>
        <v>1.5000000000000009</v>
      </c>
      <c r="O12" s="212">
        <f t="shared" si="3"/>
        <v>1.0260604299770066</v>
      </c>
      <c r="P12" s="212">
        <f t="shared" si="3"/>
        <v>0.5209445330007908</v>
      </c>
      <c r="Q12" s="212">
        <f t="shared" si="3"/>
        <v>3.67544536472586E-16</v>
      </c>
      <c r="R12" s="212">
        <f t="shared" si="3"/>
        <v>-0.52094453300079002</v>
      </c>
      <c r="S12" s="212">
        <f t="shared" si="3"/>
        <v>-1.026060429977006</v>
      </c>
      <c r="T12" s="212">
        <f t="shared" si="3"/>
        <v>-1.4999999999999991</v>
      </c>
      <c r="U12" s="212">
        <f t="shared" si="3"/>
        <v>-1.9283628290596178</v>
      </c>
      <c r="V12" s="212">
        <f t="shared" si="3"/>
        <v>-2.2981333293569337</v>
      </c>
      <c r="W12" s="212">
        <f t="shared" si="3"/>
        <v>-2.5980762113533165</v>
      </c>
      <c r="X12" s="212">
        <f t="shared" si="3"/>
        <v>-2.8190778623577253</v>
      </c>
      <c r="Y12" s="212">
        <f t="shared" si="3"/>
        <v>-2.9544232590366239</v>
      </c>
      <c r="Z12" s="212">
        <f t="shared" si="3"/>
        <v>-3</v>
      </c>
      <c r="AA12" s="212">
        <f t="shared" si="3"/>
        <v>-2.9544232590366244</v>
      </c>
      <c r="AB12" s="212">
        <f t="shared" si="3"/>
        <v>-2.8190778623577257</v>
      </c>
      <c r="AC12" s="212">
        <f t="shared" si="3"/>
        <v>-2.598076211353316</v>
      </c>
      <c r="AD12" s="212">
        <f t="shared" si="3"/>
        <v>-2.2981333293569346</v>
      </c>
      <c r="AE12" s="212">
        <f t="shared" si="3"/>
        <v>-1.9283628290596186</v>
      </c>
      <c r="AF12" s="212">
        <f t="shared" si="3"/>
        <v>-1.5000000000000013</v>
      </c>
      <c r="AG12" s="212">
        <f t="shared" si="3"/>
        <v>-1.0260604299770084</v>
      </c>
      <c r="AH12" s="212">
        <f t="shared" si="3"/>
        <v>-0.52094453300079113</v>
      </c>
      <c r="AI12" s="212">
        <f t="shared" si="3"/>
        <v>-7.3508907294517201E-16</v>
      </c>
      <c r="AJ12" s="212">
        <f t="shared" si="3"/>
        <v>0.5209445330007898</v>
      </c>
      <c r="AK12" s="212">
        <f t="shared" si="3"/>
        <v>1.0260604299770044</v>
      </c>
      <c r="AL12" s="212">
        <f t="shared" si="3"/>
        <v>1.5</v>
      </c>
      <c r="AM12" s="212">
        <f t="shared" si="3"/>
        <v>1.9283628290596173</v>
      </c>
      <c r="AN12" s="212">
        <f t="shared" si="3"/>
        <v>2.2981333293569333</v>
      </c>
      <c r="AO12" s="212">
        <f t="shared" si="3"/>
        <v>2.5980762113533151</v>
      </c>
      <c r="AP12" s="212">
        <f t="shared" si="3"/>
        <v>2.8190778623577253</v>
      </c>
      <c r="AQ12" s="212">
        <f t="shared" si="3"/>
        <v>2.9544232590366235</v>
      </c>
      <c r="AR12" s="212">
        <f t="shared" si="3"/>
        <v>3</v>
      </c>
      <c r="AS12" s="212">
        <f t="shared" si="3"/>
        <v>2.9544232590366244</v>
      </c>
      <c r="AT12" s="212">
        <f t="shared" si="3"/>
        <v>2.819077862357724</v>
      </c>
      <c r="AU12" s="212">
        <f t="shared" si="3"/>
        <v>2.5980762113533173</v>
      </c>
      <c r="AV12" s="212">
        <f t="shared" si="3"/>
        <v>2.2981333293569328</v>
      </c>
      <c r="AW12" s="99"/>
      <c r="AX12" s="318" t="s">
        <v>64</v>
      </c>
      <c r="AZ12" s="212">
        <f>IF($AX$12=$L$3,$C$12 * SIN(AZ11 + RADIANS($D$12)),0)</f>
        <v>1.9283628290596184</v>
      </c>
      <c r="BA12" s="5"/>
      <c r="BC12" s="77">
        <f>IF($AX$12=$L$3,$C12,0)</f>
        <v>3</v>
      </c>
      <c r="BD12" s="77">
        <f>$AZ$10+$D$12</f>
        <v>140</v>
      </c>
      <c r="BE12" s="311">
        <f>BC12*COS(RADIANS(BD12))</f>
        <v>-2.2981333293569337</v>
      </c>
      <c r="BF12" s="311">
        <f>BC12*SIN(RADIANS(BD12))</f>
        <v>1.9283628290596184</v>
      </c>
      <c r="BG12" s="311">
        <v>0</v>
      </c>
      <c r="BH12" s="311">
        <f>BE12</f>
        <v>-2.2981333293569337</v>
      </c>
      <c r="BI12" s="311">
        <v>0</v>
      </c>
      <c r="BJ12" s="311">
        <f>BF12</f>
        <v>1.9283628290596184</v>
      </c>
    </row>
    <row r="13" spans="3:71" ht="18.5" x14ac:dyDescent="0.45">
      <c r="C13" s="4">
        <v>3</v>
      </c>
      <c r="D13" s="4">
        <v>-270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3 * cos(x - 270) =</v>
      </c>
      <c r="H13" s="212">
        <f t="shared" ref="H13:AV13" si="4">IF($AX$13=$L$3,$C$13*COS(H11+RADIANS($D$13)),0)</f>
        <v>-5.51316804708879E-16</v>
      </c>
      <c r="I13" s="212">
        <f t="shared" si="4"/>
        <v>-0.52094453300079102</v>
      </c>
      <c r="J13" s="212">
        <f t="shared" si="4"/>
        <v>-1.0260604299770058</v>
      </c>
      <c r="K13" s="212">
        <f t="shared" si="4"/>
        <v>-1.5000000000000013</v>
      </c>
      <c r="L13" s="212">
        <f t="shared" si="4"/>
        <v>-1.9283628290596184</v>
      </c>
      <c r="M13" s="212">
        <f t="shared" si="4"/>
        <v>-2.2981333293569342</v>
      </c>
      <c r="N13" s="212">
        <f t="shared" si="4"/>
        <v>-2.598076211353316</v>
      </c>
      <c r="O13" s="212">
        <f t="shared" si="4"/>
        <v>-2.8190778623577253</v>
      </c>
      <c r="P13" s="212">
        <f t="shared" si="4"/>
        <v>-2.9544232590366244</v>
      </c>
      <c r="Q13" s="212">
        <f t="shared" si="4"/>
        <v>-3</v>
      </c>
      <c r="R13" s="212">
        <f t="shared" si="4"/>
        <v>-2.9544232590366239</v>
      </c>
      <c r="S13" s="212">
        <f t="shared" si="4"/>
        <v>-2.8190778623577248</v>
      </c>
      <c r="T13" s="212">
        <f t="shared" si="4"/>
        <v>-2.598076211353316</v>
      </c>
      <c r="U13" s="212">
        <f t="shared" si="4"/>
        <v>-2.2981333293569337</v>
      </c>
      <c r="V13" s="212">
        <f t="shared" si="4"/>
        <v>-1.9283628290596182</v>
      </c>
      <c r="W13" s="212">
        <f t="shared" si="4"/>
        <v>-1.4999999999999993</v>
      </c>
      <c r="X13" s="212">
        <f t="shared" si="4"/>
        <v>-1.0260604299770062</v>
      </c>
      <c r="Y13" s="212">
        <f t="shared" si="4"/>
        <v>-0.52094453300079024</v>
      </c>
      <c r="Z13" s="212">
        <f t="shared" si="4"/>
        <v>1.83772268236293E-16</v>
      </c>
      <c r="AA13" s="212">
        <f t="shared" si="4"/>
        <v>0.52094453300079191</v>
      </c>
      <c r="AB13" s="212">
        <f t="shared" si="4"/>
        <v>1.0260604299770064</v>
      </c>
      <c r="AC13" s="212">
        <f t="shared" si="4"/>
        <v>1.5000000000000009</v>
      </c>
      <c r="AD13" s="212">
        <f t="shared" si="4"/>
        <v>1.9283628290596184</v>
      </c>
      <c r="AE13" s="212">
        <f t="shared" si="4"/>
        <v>2.2981333293569342</v>
      </c>
      <c r="AF13" s="212">
        <f t="shared" si="4"/>
        <v>2.5980762113533156</v>
      </c>
      <c r="AG13" s="212">
        <f t="shared" si="4"/>
        <v>2.8190778623577248</v>
      </c>
      <c r="AH13" s="212">
        <f t="shared" si="4"/>
        <v>2.9544232590366244</v>
      </c>
      <c r="AI13" s="212">
        <f t="shared" si="4"/>
        <v>3</v>
      </c>
      <c r="AJ13" s="212">
        <f t="shared" si="4"/>
        <v>2.9544232590366244</v>
      </c>
      <c r="AK13" s="212">
        <f t="shared" si="4"/>
        <v>2.8190778623577257</v>
      </c>
      <c r="AL13" s="212">
        <f t="shared" si="4"/>
        <v>2.5980762113533156</v>
      </c>
      <c r="AM13" s="212">
        <f t="shared" si="4"/>
        <v>2.2981333293569342</v>
      </c>
      <c r="AN13" s="212">
        <f t="shared" si="4"/>
        <v>1.9283628290596184</v>
      </c>
      <c r="AO13" s="212">
        <f t="shared" si="4"/>
        <v>1.5000000000000009</v>
      </c>
      <c r="AP13" s="212">
        <f t="shared" si="4"/>
        <v>1.0260604299770051</v>
      </c>
      <c r="AQ13" s="212">
        <f t="shared" si="4"/>
        <v>0.52094453300079324</v>
      </c>
      <c r="AR13" s="212">
        <f t="shared" si="4"/>
        <v>1.83772268236293E-16</v>
      </c>
      <c r="AS13" s="212">
        <f t="shared" si="4"/>
        <v>-0.52094453300079024</v>
      </c>
      <c r="AT13" s="212">
        <f t="shared" si="4"/>
        <v>-1.0260604299770073</v>
      </c>
      <c r="AU13" s="212">
        <f t="shared" si="4"/>
        <v>-1.4999999999999982</v>
      </c>
      <c r="AV13" s="212">
        <f t="shared" si="4"/>
        <v>-1.9283628290596182</v>
      </c>
      <c r="AW13" s="99"/>
      <c r="AX13" s="318" t="s">
        <v>64</v>
      </c>
      <c r="AZ13" s="212">
        <f>IF($AX$13=$L$3,$C$13 * COS(AZ11+RADIANS(D13)),0)</f>
        <v>-2.2981333293569342</v>
      </c>
      <c r="BA13" s="5"/>
      <c r="BC13" s="77">
        <f>IF($AX$13=$L$3,$C13,0)</f>
        <v>3</v>
      </c>
      <c r="BD13" s="77">
        <f>$AZ$10+90+$D$13</f>
        <v>-130</v>
      </c>
      <c r="BE13" s="311">
        <f>BC13*COS(RADIANS(BD13))</f>
        <v>-1.9283628290596182</v>
      </c>
      <c r="BF13" s="311">
        <f>BC13*SIN(RADIANS(BD13))</f>
        <v>-2.2981333293569342</v>
      </c>
      <c r="BG13" s="311">
        <v>0</v>
      </c>
      <c r="BH13" s="311">
        <f>BE13</f>
        <v>-1.9283628290596182</v>
      </c>
      <c r="BI13" s="311">
        <v>0</v>
      </c>
      <c r="BJ13" s="311">
        <f>BF13</f>
        <v>-2.2981333293569342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2.9999999999999996</v>
      </c>
      <c r="I16" s="212">
        <f t="shared" ref="I16:AV16" si="5">IF($AX$16=$L$3,I12+I13,0)</f>
        <v>2.4334787260358328</v>
      </c>
      <c r="J16" s="212">
        <f t="shared" si="5"/>
        <v>1.7930174323807195</v>
      </c>
      <c r="K16" s="212">
        <f t="shared" si="5"/>
        <v>1.0980762113533147</v>
      </c>
      <c r="L16" s="212">
        <f t="shared" si="5"/>
        <v>0.36977050029731573</v>
      </c>
      <c r="M16" s="212">
        <f t="shared" si="5"/>
        <v>-0.36977050029731573</v>
      </c>
      <c r="N16" s="212">
        <f t="shared" si="5"/>
        <v>-1.0980762113533151</v>
      </c>
      <c r="O16" s="212">
        <f t="shared" si="5"/>
        <v>-1.7930174323807186</v>
      </c>
      <c r="P16" s="212">
        <f t="shared" si="5"/>
        <v>-2.4334787260358337</v>
      </c>
      <c r="Q16" s="212">
        <f t="shared" si="5"/>
        <v>-2.9999999999999996</v>
      </c>
      <c r="R16" s="212">
        <f t="shared" si="5"/>
        <v>-3.4753677920374137</v>
      </c>
      <c r="S16" s="212">
        <f t="shared" si="5"/>
        <v>-3.845138292334731</v>
      </c>
      <c r="T16" s="212">
        <f t="shared" si="5"/>
        <v>-4.0980762113533151</v>
      </c>
      <c r="U16" s="212">
        <f t="shared" si="5"/>
        <v>-4.2264961584165519</v>
      </c>
      <c r="V16" s="212">
        <f t="shared" si="5"/>
        <v>-4.2264961584165519</v>
      </c>
      <c r="W16" s="212">
        <f t="shared" si="5"/>
        <v>-4.098076211353316</v>
      </c>
      <c r="X16" s="212">
        <f t="shared" si="5"/>
        <v>-3.8451382923347315</v>
      </c>
      <c r="Y16" s="212">
        <f t="shared" si="5"/>
        <v>-3.4753677920374142</v>
      </c>
      <c r="Z16" s="212">
        <f t="shared" si="5"/>
        <v>-3</v>
      </c>
      <c r="AA16" s="212">
        <f t="shared" si="5"/>
        <v>-2.4334787260358324</v>
      </c>
      <c r="AB16" s="212">
        <f t="shared" si="5"/>
        <v>-1.7930174323807193</v>
      </c>
      <c r="AC16" s="212">
        <f t="shared" si="5"/>
        <v>-1.0980762113533151</v>
      </c>
      <c r="AD16" s="212">
        <f t="shared" si="5"/>
        <v>-0.36977050029731617</v>
      </c>
      <c r="AE16" s="212">
        <f t="shared" si="5"/>
        <v>0.36977050029731551</v>
      </c>
      <c r="AF16" s="212">
        <f t="shared" si="5"/>
        <v>1.0980762113533142</v>
      </c>
      <c r="AG16" s="212">
        <f t="shared" si="5"/>
        <v>1.7930174323807164</v>
      </c>
      <c r="AH16" s="212">
        <f t="shared" si="5"/>
        <v>2.4334787260358333</v>
      </c>
      <c r="AI16" s="212">
        <f t="shared" si="5"/>
        <v>2.9999999999999991</v>
      </c>
      <c r="AJ16" s="212">
        <f t="shared" si="5"/>
        <v>3.4753677920374142</v>
      </c>
      <c r="AK16" s="212">
        <f t="shared" si="5"/>
        <v>3.8451382923347301</v>
      </c>
      <c r="AL16" s="212">
        <f t="shared" si="5"/>
        <v>4.098076211353316</v>
      </c>
      <c r="AM16" s="212">
        <f t="shared" si="5"/>
        <v>4.2264961584165519</v>
      </c>
      <c r="AN16" s="212">
        <f t="shared" si="5"/>
        <v>4.2264961584165519</v>
      </c>
      <c r="AO16" s="212">
        <f t="shared" si="5"/>
        <v>4.098076211353316</v>
      </c>
      <c r="AP16" s="212">
        <f t="shared" si="5"/>
        <v>3.8451382923347301</v>
      </c>
      <c r="AQ16" s="212">
        <f t="shared" si="5"/>
        <v>3.4753677920374169</v>
      </c>
      <c r="AR16" s="212">
        <f t="shared" si="5"/>
        <v>3</v>
      </c>
      <c r="AS16" s="212">
        <f t="shared" si="5"/>
        <v>2.4334787260358341</v>
      </c>
      <c r="AT16" s="212">
        <f t="shared" si="5"/>
        <v>1.7930174323807166</v>
      </c>
      <c r="AU16" s="212">
        <f t="shared" si="5"/>
        <v>1.0980762113533191</v>
      </c>
      <c r="AV16" s="212">
        <f t="shared" si="5"/>
        <v>0.36977050029731462</v>
      </c>
      <c r="AW16" s="99"/>
      <c r="AX16" s="318" t="s">
        <v>64</v>
      </c>
      <c r="AZ16" s="212">
        <f>IF($AX$16=$L$3,AZ12+AZ13,0)</f>
        <v>-0.36977050029731573</v>
      </c>
      <c r="BC16" s="311">
        <f>SQRT(BE16^2+BF16^2)</f>
        <v>4.2426406871192848</v>
      </c>
      <c r="BD16" s="311">
        <f>IF($AX$16=$L$3,DEGREES(ATAN2(BE16,BF16)),0)</f>
        <v>-175</v>
      </c>
      <c r="BE16" s="311">
        <f>IF($AX$16=$L$3,BE12+BE13,0)</f>
        <v>-4.2264961584165519</v>
      </c>
      <c r="BF16" s="311">
        <f>IF($AX$16=$L$3,BF12+BF13,0)</f>
        <v>-0.36977050029731573</v>
      </c>
      <c r="BG16" s="311">
        <v>0</v>
      </c>
      <c r="BH16" s="311">
        <f>BE16</f>
        <v>-4.2264961584165519</v>
      </c>
      <c r="BI16" s="311">
        <v>0</v>
      </c>
      <c r="BJ16" s="322">
        <f>BF16</f>
        <v>-0.36977050029731573</v>
      </c>
      <c r="BK16" s="311">
        <f>IF($AX$16=$L$3,BE13,0)</f>
        <v>-1.9283628290596182</v>
      </c>
      <c r="BL16" s="311">
        <f>BE16</f>
        <v>-4.2264961584165519</v>
      </c>
      <c r="BM16" s="311">
        <f>IF($AX$16=$L$3,BF13,0)</f>
        <v>-2.2981333293569342</v>
      </c>
      <c r="BN16" s="311">
        <f>BF16</f>
        <v>-0.36977050029731573</v>
      </c>
      <c r="BO16" s="311">
        <f>BE12</f>
        <v>-2.2981333293569337</v>
      </c>
      <c r="BP16" s="311">
        <f>BL16</f>
        <v>-4.2264961584165519</v>
      </c>
      <c r="BQ16" s="311">
        <f>IF($AX$16=$L$3,BF12,0)</f>
        <v>1.9283628290596184</v>
      </c>
      <c r="BR16" s="311">
        <f>BN16</f>
        <v>-0.36977050029731573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52" t="s">
        <v>655</v>
      </c>
      <c r="N92" s="452"/>
      <c r="O92" s="452"/>
      <c r="P92" s="453"/>
      <c r="Q92" s="454" t="s">
        <v>64</v>
      </c>
      <c r="R92" s="455"/>
      <c r="S92" s="456"/>
    </row>
    <row r="93" spans="6:19" s="61" customFormat="1" ht="34" customHeight="1" x14ac:dyDescent="0.35">
      <c r="F93" s="347">
        <v>45</v>
      </c>
      <c r="G93" s="387" t="s">
        <v>298</v>
      </c>
      <c r="H93" s="388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9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87" t="s">
        <v>300</v>
      </c>
      <c r="H94" s="388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9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87" t="s">
        <v>300</v>
      </c>
      <c r="H95" s="388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9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87" t="s">
        <v>298</v>
      </c>
      <c r="H96" s="388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9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10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4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663</v>
      </c>
      <c r="G113" s="11">
        <v>6.2</v>
      </c>
      <c r="H113" s="11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1"/>
      <c r="F124" s="262" t="s">
        <v>824</v>
      </c>
      <c r="G124" s="382">
        <v>230</v>
      </c>
      <c r="H124" s="383" t="s">
        <v>316</v>
      </c>
    </row>
    <row r="125" spans="4:12" x14ac:dyDescent="0.35">
      <c r="D125" s="378"/>
      <c r="E125" s="432"/>
      <c r="F125" s="8" t="s">
        <v>825</v>
      </c>
      <c r="G125" s="75">
        <v>50</v>
      </c>
      <c r="H125" s="384" t="s">
        <v>744</v>
      </c>
    </row>
    <row r="126" spans="4:12" x14ac:dyDescent="0.35">
      <c r="D126" s="378"/>
      <c r="E126" s="432"/>
      <c r="F126" s="8" t="s">
        <v>826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2"/>
      <c r="F127" s="8" t="s">
        <v>827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2"/>
      <c r="F128" s="8" t="s">
        <v>828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2"/>
      <c r="F129" s="8" t="s">
        <v>820</v>
      </c>
      <c r="G129" s="212">
        <f>1/G128</f>
        <v>0.02</v>
      </c>
      <c r="H129" s="384" t="s">
        <v>741</v>
      </c>
    </row>
    <row r="130" spans="4:20" x14ac:dyDescent="0.35">
      <c r="D130" s="378"/>
      <c r="E130" s="432"/>
      <c r="F130" s="8" t="s">
        <v>821</v>
      </c>
      <c r="G130" s="212">
        <f>2*PI()*G125</f>
        <v>314.15926535897933</v>
      </c>
      <c r="H130" s="384" t="s">
        <v>829</v>
      </c>
    </row>
    <row r="131" spans="4:20" x14ac:dyDescent="0.35">
      <c r="D131" s="378"/>
      <c r="E131" s="432"/>
      <c r="F131" s="8" t="s">
        <v>822</v>
      </c>
      <c r="G131" s="212">
        <f>J131*G129</f>
        <v>6000000</v>
      </c>
      <c r="H131" s="384" t="s">
        <v>712</v>
      </c>
      <c r="J131" s="457">
        <f>3*10^8</f>
        <v>300000000</v>
      </c>
      <c r="K131" s="458"/>
      <c r="L131" s="381" t="s">
        <v>830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3"/>
      <c r="F132" s="380" t="s">
        <v>823</v>
      </c>
      <c r="G132" s="385">
        <f>G126*SIN(2*PI()*G125*J132)</f>
        <v>-7.9700591799201791E-14</v>
      </c>
      <c r="H132" s="371" t="str">
        <f>H124</f>
        <v>V</v>
      </c>
      <c r="J132" s="457">
        <v>0.02</v>
      </c>
      <c r="K132" s="458"/>
      <c r="L132" s="381" t="s">
        <v>831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topLeftCell="A3"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919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6">
        <f>PI()*J9/180</f>
        <v>0.17453292519943295</v>
      </c>
      <c r="K10" s="436">
        <f t="shared" ref="K10:AX10" si="2">PI()*K9/180</f>
        <v>0.3490658503988659</v>
      </c>
      <c r="L10" s="436">
        <f t="shared" si="2"/>
        <v>0.52359877559829882</v>
      </c>
      <c r="M10" s="436">
        <f t="shared" si="2"/>
        <v>0.69813170079773179</v>
      </c>
      <c r="N10" s="436">
        <f t="shared" si="2"/>
        <v>0.87266462599716477</v>
      </c>
      <c r="O10" s="436">
        <f>PI()*O9/180</f>
        <v>1.0471975511965976</v>
      </c>
      <c r="P10" s="436">
        <f t="shared" si="2"/>
        <v>1.2217304763960306</v>
      </c>
      <c r="Q10" s="436">
        <f t="shared" si="2"/>
        <v>1.3962634015954636</v>
      </c>
      <c r="R10" s="436">
        <f t="shared" si="2"/>
        <v>1.5707963267948966</v>
      </c>
      <c r="S10" s="436">
        <f t="shared" si="2"/>
        <v>1.7453292519943295</v>
      </c>
      <c r="T10" s="436">
        <f t="shared" si="2"/>
        <v>1.9198621771937625</v>
      </c>
      <c r="U10" s="436">
        <f t="shared" si="2"/>
        <v>2.0943951023931953</v>
      </c>
      <c r="V10" s="436">
        <f t="shared" si="2"/>
        <v>2.2689280275926285</v>
      </c>
      <c r="W10" s="436">
        <f t="shared" si="2"/>
        <v>2.4434609527920612</v>
      </c>
      <c r="X10" s="436">
        <f t="shared" si="2"/>
        <v>2.6179938779914944</v>
      </c>
      <c r="Y10" s="436">
        <f t="shared" si="2"/>
        <v>2.7925268031909272</v>
      </c>
      <c r="Z10" s="436">
        <f t="shared" si="2"/>
        <v>2.9670597283903604</v>
      </c>
      <c r="AA10" s="436">
        <f t="shared" si="2"/>
        <v>3.1415926535897931</v>
      </c>
      <c r="AB10" s="436">
        <f t="shared" si="2"/>
        <v>3.3161255787892263</v>
      </c>
      <c r="AC10" s="436">
        <f t="shared" si="2"/>
        <v>3.4906585039886591</v>
      </c>
      <c r="AD10" s="436">
        <f t="shared" si="2"/>
        <v>3.6651914291880923</v>
      </c>
      <c r="AE10" s="436">
        <f t="shared" si="2"/>
        <v>3.839724354387525</v>
      </c>
      <c r="AF10" s="436">
        <f t="shared" si="2"/>
        <v>4.0142572795869578</v>
      </c>
      <c r="AG10" s="436">
        <f t="shared" si="2"/>
        <v>4.1887902047863905</v>
      </c>
      <c r="AH10" s="436">
        <f t="shared" si="2"/>
        <v>4.3633231299858233</v>
      </c>
      <c r="AI10" s="436">
        <f t="shared" si="2"/>
        <v>4.5378560551852569</v>
      </c>
      <c r="AJ10" s="436">
        <f t="shared" si="2"/>
        <v>4.7123889803846897</v>
      </c>
      <c r="AK10" s="436">
        <f t="shared" si="2"/>
        <v>4.8869219055841224</v>
      </c>
      <c r="AL10" s="436">
        <f t="shared" si="2"/>
        <v>5.0614548307835552</v>
      </c>
      <c r="AM10" s="436">
        <f t="shared" si="2"/>
        <v>5.2359877559829888</v>
      </c>
      <c r="AN10" s="436">
        <f t="shared" si="2"/>
        <v>5.4105206811824216</v>
      </c>
      <c r="AO10" s="436">
        <f t="shared" si="2"/>
        <v>5.5850536063818543</v>
      </c>
      <c r="AP10" s="436">
        <f t="shared" si="2"/>
        <v>5.7595865315812871</v>
      </c>
      <c r="AQ10" s="436">
        <f t="shared" si="2"/>
        <v>5.9341194567807207</v>
      </c>
      <c r="AR10" s="436">
        <f t="shared" si="2"/>
        <v>6.1086523819801526</v>
      </c>
      <c r="AS10" s="436">
        <f t="shared" si="2"/>
        <v>6.2831853071795862</v>
      </c>
      <c r="AT10" s="436">
        <f t="shared" si="2"/>
        <v>6.457718232379019</v>
      </c>
      <c r="AU10" s="436">
        <f t="shared" si="2"/>
        <v>6.6322511575784526</v>
      </c>
      <c r="AV10" s="436">
        <f t="shared" si="2"/>
        <v>6.8067840827778845</v>
      </c>
      <c r="AW10" s="436">
        <f t="shared" si="2"/>
        <v>6.9813170079773181</v>
      </c>
      <c r="AX10" s="436">
        <f t="shared" si="2"/>
        <v>7.1558499331767509</v>
      </c>
    </row>
    <row r="11" spans="2:50" x14ac:dyDescent="0.35">
      <c r="H11" s="5" t="s">
        <v>920</v>
      </c>
      <c r="I11" s="95" t="s">
        <v>298</v>
      </c>
      <c r="J11" s="436">
        <f>IF($I$11=$M$3,J9,J10)</f>
        <v>10</v>
      </c>
      <c r="K11" s="436">
        <f t="shared" ref="K11:AX11" si="3">IF($I$11=$M$3,K9,K10)</f>
        <v>20</v>
      </c>
      <c r="L11" s="436">
        <f t="shared" si="3"/>
        <v>30</v>
      </c>
      <c r="M11" s="436">
        <f t="shared" si="3"/>
        <v>40</v>
      </c>
      <c r="N11" s="436">
        <f t="shared" si="3"/>
        <v>50</v>
      </c>
      <c r="O11" s="436">
        <f t="shared" si="3"/>
        <v>60</v>
      </c>
      <c r="P11" s="436">
        <f t="shared" si="3"/>
        <v>70</v>
      </c>
      <c r="Q11" s="436">
        <f t="shared" si="3"/>
        <v>80</v>
      </c>
      <c r="R11" s="436">
        <f t="shared" si="3"/>
        <v>90</v>
      </c>
      <c r="S11" s="436">
        <f t="shared" si="3"/>
        <v>100</v>
      </c>
      <c r="T11" s="436">
        <f t="shared" si="3"/>
        <v>110</v>
      </c>
      <c r="U11" s="436">
        <f t="shared" si="3"/>
        <v>120</v>
      </c>
      <c r="V11" s="436">
        <f t="shared" si="3"/>
        <v>130</v>
      </c>
      <c r="W11" s="436">
        <f t="shared" si="3"/>
        <v>140</v>
      </c>
      <c r="X11" s="436">
        <f t="shared" si="3"/>
        <v>150</v>
      </c>
      <c r="Y11" s="436">
        <f t="shared" si="3"/>
        <v>160</v>
      </c>
      <c r="Z11" s="436">
        <f t="shared" si="3"/>
        <v>170</v>
      </c>
      <c r="AA11" s="436">
        <f t="shared" si="3"/>
        <v>180</v>
      </c>
      <c r="AB11" s="436">
        <f t="shared" si="3"/>
        <v>190</v>
      </c>
      <c r="AC11" s="436">
        <f t="shared" si="3"/>
        <v>200</v>
      </c>
      <c r="AD11" s="436">
        <f t="shared" si="3"/>
        <v>210</v>
      </c>
      <c r="AE11" s="436">
        <f t="shared" si="3"/>
        <v>220</v>
      </c>
      <c r="AF11" s="436">
        <f t="shared" si="3"/>
        <v>230</v>
      </c>
      <c r="AG11" s="436">
        <f t="shared" si="3"/>
        <v>240</v>
      </c>
      <c r="AH11" s="436">
        <f t="shared" si="3"/>
        <v>250</v>
      </c>
      <c r="AI11" s="436">
        <f t="shared" si="3"/>
        <v>260</v>
      </c>
      <c r="AJ11" s="436">
        <f t="shared" si="3"/>
        <v>270</v>
      </c>
      <c r="AK11" s="436">
        <f t="shared" si="3"/>
        <v>280</v>
      </c>
      <c r="AL11" s="436">
        <f t="shared" si="3"/>
        <v>290</v>
      </c>
      <c r="AM11" s="436">
        <f t="shared" si="3"/>
        <v>300</v>
      </c>
      <c r="AN11" s="436">
        <f t="shared" si="3"/>
        <v>310</v>
      </c>
      <c r="AO11" s="436">
        <f t="shared" si="3"/>
        <v>320</v>
      </c>
      <c r="AP11" s="436">
        <f t="shared" si="3"/>
        <v>330</v>
      </c>
      <c r="AQ11" s="436">
        <f t="shared" si="3"/>
        <v>340</v>
      </c>
      <c r="AR11" s="436">
        <f t="shared" si="3"/>
        <v>350</v>
      </c>
      <c r="AS11" s="436">
        <f t="shared" si="3"/>
        <v>360</v>
      </c>
      <c r="AT11" s="436">
        <f t="shared" si="3"/>
        <v>370</v>
      </c>
      <c r="AU11" s="436">
        <f t="shared" si="3"/>
        <v>380</v>
      </c>
      <c r="AV11" s="436">
        <f t="shared" si="3"/>
        <v>390</v>
      </c>
      <c r="AW11" s="436">
        <f t="shared" si="3"/>
        <v>400</v>
      </c>
      <c r="AX11" s="436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921</v>
      </c>
      <c r="F12" s="5" t="s">
        <v>923</v>
      </c>
      <c r="G12" s="434" t="s">
        <v>922</v>
      </c>
      <c r="H12" s="437" t="str">
        <f>_xlfn.CONCAT("y1 = sin(",Einheitenvorsätze!C38,")")</f>
        <v>y1 = sin(α)</v>
      </c>
      <c r="I12" s="438" t="s">
        <v>63</v>
      </c>
      <c r="J12" s="436">
        <f>IF($I$12=$N$3,SIN(J10),0)</f>
        <v>0.17364817766693033</v>
      </c>
      <c r="K12" s="436">
        <f t="shared" ref="K12:AX12" si="4">IF($I$12=$N$3,SIN(K10),0)</f>
        <v>0.34202014332566871</v>
      </c>
      <c r="L12" s="436">
        <f t="shared" si="4"/>
        <v>0.49999999999999994</v>
      </c>
      <c r="M12" s="436">
        <f t="shared" si="4"/>
        <v>0.64278760968653925</v>
      </c>
      <c r="N12" s="436">
        <f t="shared" si="4"/>
        <v>0.76604444311897801</v>
      </c>
      <c r="O12" s="436">
        <f t="shared" si="4"/>
        <v>0.8660254037844386</v>
      </c>
      <c r="P12" s="436">
        <f t="shared" si="4"/>
        <v>0.93969262078590832</v>
      </c>
      <c r="Q12" s="436">
        <f t="shared" si="4"/>
        <v>0.98480775301220802</v>
      </c>
      <c r="R12" s="436">
        <f t="shared" si="4"/>
        <v>1</v>
      </c>
      <c r="S12" s="436">
        <f t="shared" si="4"/>
        <v>0.98480775301220802</v>
      </c>
      <c r="T12" s="436">
        <f t="shared" si="4"/>
        <v>0.93969262078590843</v>
      </c>
      <c r="U12" s="436">
        <f t="shared" si="4"/>
        <v>0.86602540378443871</v>
      </c>
      <c r="V12" s="436">
        <f t="shared" si="4"/>
        <v>0.76604444311897801</v>
      </c>
      <c r="W12" s="436">
        <f t="shared" si="4"/>
        <v>0.64278760968653947</v>
      </c>
      <c r="X12" s="436">
        <f t="shared" si="4"/>
        <v>0.49999999999999994</v>
      </c>
      <c r="Y12" s="436">
        <f t="shared" si="4"/>
        <v>0.34202014332566888</v>
      </c>
      <c r="Z12" s="436">
        <f t="shared" si="4"/>
        <v>0.17364817766693028</v>
      </c>
      <c r="AA12" s="436">
        <f t="shared" si="4"/>
        <v>1.22514845490862E-16</v>
      </c>
      <c r="AB12" s="436">
        <f t="shared" si="4"/>
        <v>-0.17364817766693047</v>
      </c>
      <c r="AC12" s="436">
        <f t="shared" si="4"/>
        <v>-0.34202014332566866</v>
      </c>
      <c r="AD12" s="436">
        <f t="shared" si="4"/>
        <v>-0.50000000000000011</v>
      </c>
      <c r="AE12" s="436">
        <f t="shared" si="4"/>
        <v>-0.64278760968653925</v>
      </c>
      <c r="AF12" s="436">
        <f t="shared" si="4"/>
        <v>-0.7660444431189779</v>
      </c>
      <c r="AG12" s="436">
        <f t="shared" si="4"/>
        <v>-0.86602540378443837</v>
      </c>
      <c r="AH12" s="436">
        <f t="shared" si="4"/>
        <v>-0.93969262078590821</v>
      </c>
      <c r="AI12" s="436">
        <f t="shared" si="4"/>
        <v>-0.98480775301220802</v>
      </c>
      <c r="AJ12" s="436">
        <f t="shared" si="4"/>
        <v>-1</v>
      </c>
      <c r="AK12" s="436">
        <f t="shared" si="4"/>
        <v>-0.98480775301220813</v>
      </c>
      <c r="AL12" s="436">
        <f t="shared" si="4"/>
        <v>-0.93969262078590854</v>
      </c>
      <c r="AM12" s="436">
        <f t="shared" si="4"/>
        <v>-0.8660254037844386</v>
      </c>
      <c r="AN12" s="436">
        <f t="shared" si="4"/>
        <v>-0.76604444311897812</v>
      </c>
      <c r="AO12" s="436">
        <f t="shared" si="4"/>
        <v>-0.64278760968653958</v>
      </c>
      <c r="AP12" s="436">
        <f t="shared" si="4"/>
        <v>-0.50000000000000044</v>
      </c>
      <c r="AQ12" s="436">
        <f t="shared" si="4"/>
        <v>-0.3420201433256686</v>
      </c>
      <c r="AR12" s="436">
        <f t="shared" si="4"/>
        <v>-0.17364817766693127</v>
      </c>
      <c r="AS12" s="436">
        <f t="shared" si="4"/>
        <v>-2.45029690981724E-16</v>
      </c>
      <c r="AT12" s="436">
        <f t="shared" si="4"/>
        <v>0.17364817766692991</v>
      </c>
      <c r="AU12" s="436">
        <f t="shared" si="4"/>
        <v>0.34202014332566893</v>
      </c>
      <c r="AV12" s="436">
        <f t="shared" si="4"/>
        <v>0.49999999999999928</v>
      </c>
      <c r="AW12" s="436">
        <f t="shared" si="4"/>
        <v>0.64278760968653914</v>
      </c>
      <c r="AX12" s="436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5">
        <v>3</v>
      </c>
      <c r="H13" s="439" t="str">
        <f>_xlfn.CONCAT("y2 = ",B13," * sin(",$G$13," * ",Einheitenvorsätze!C38," + ",_xlfn.CONCAT($C$13,MID($D$13,2,LEN($D$13)-2)),")")</f>
        <v>y2 = 5 * sin(3 * α + 90°)</v>
      </c>
      <c r="I13" s="440" t="s">
        <v>63</v>
      </c>
      <c r="J13" s="436">
        <f>IF($I$13=$N$3,$B$13*SIN($G$13*J10+$E$13),0)</f>
        <v>4.3301270189221936</v>
      </c>
      <c r="K13" s="436">
        <f>IF($I$13=$N$3,$B$13*SIN($G$13*K10+$E$13),0)</f>
        <v>2.5000000000000018</v>
      </c>
      <c r="L13" s="436">
        <f t="shared" ref="L13:AX13" si="5">IF($I$13=$N$3,$B$13*SIN($G$13*L10+$E$13),0)</f>
        <v>6.1257422745431001E-16</v>
      </c>
      <c r="M13" s="436">
        <f t="shared" si="5"/>
        <v>-2.4999999999999987</v>
      </c>
      <c r="N13" s="436">
        <f t="shared" si="5"/>
        <v>-4.3301270189221945</v>
      </c>
      <c r="O13" s="436">
        <f t="shared" si="5"/>
        <v>-5</v>
      </c>
      <c r="P13" s="436">
        <f t="shared" si="5"/>
        <v>-4.3301270189221954</v>
      </c>
      <c r="Q13" s="436">
        <f t="shared" si="5"/>
        <v>-2.5000000000000022</v>
      </c>
      <c r="R13" s="436">
        <f t="shared" si="5"/>
        <v>-1.22514845490862E-15</v>
      </c>
      <c r="S13" s="436">
        <f t="shared" si="5"/>
        <v>2.5</v>
      </c>
      <c r="T13" s="436">
        <f t="shared" si="5"/>
        <v>4.3301270189221945</v>
      </c>
      <c r="U13" s="436">
        <f t="shared" si="5"/>
        <v>5</v>
      </c>
      <c r="V13" s="436">
        <f t="shared" si="5"/>
        <v>4.330127018922191</v>
      </c>
      <c r="W13" s="436">
        <f t="shared" si="5"/>
        <v>2.4999999999999991</v>
      </c>
      <c r="X13" s="436">
        <f t="shared" si="5"/>
        <v>1.83772268236293E-15</v>
      </c>
      <c r="Y13" s="436">
        <f t="shared" si="5"/>
        <v>-2.499999999999996</v>
      </c>
      <c r="Z13" s="436">
        <f t="shared" si="5"/>
        <v>-4.3301270189221936</v>
      </c>
      <c r="AA13" s="436">
        <f t="shared" si="5"/>
        <v>-5</v>
      </c>
      <c r="AB13" s="436">
        <f t="shared" si="5"/>
        <v>-4.330127018922191</v>
      </c>
      <c r="AC13" s="436">
        <f t="shared" si="5"/>
        <v>-2.4999999999999996</v>
      </c>
      <c r="AD13" s="436">
        <f t="shared" si="5"/>
        <v>6.4314872871840123E-15</v>
      </c>
      <c r="AE13" s="436">
        <f t="shared" si="5"/>
        <v>2.5000000000000027</v>
      </c>
      <c r="AF13" s="436">
        <f t="shared" si="5"/>
        <v>4.3301270189221936</v>
      </c>
      <c r="AG13" s="436">
        <f t="shared" si="5"/>
        <v>5</v>
      </c>
      <c r="AH13" s="436">
        <f t="shared" si="5"/>
        <v>4.3301270189221963</v>
      </c>
      <c r="AI13" s="436">
        <f t="shared" si="5"/>
        <v>2.5</v>
      </c>
      <c r="AJ13" s="436">
        <f t="shared" si="5"/>
        <v>3.06287113727155E-15</v>
      </c>
      <c r="AK13" s="436">
        <f t="shared" si="5"/>
        <v>-2.4999999999999947</v>
      </c>
      <c r="AL13" s="436">
        <f t="shared" si="5"/>
        <v>-4.3301270189221883</v>
      </c>
      <c r="AM13" s="436">
        <f t="shared" si="5"/>
        <v>-5</v>
      </c>
      <c r="AN13" s="436">
        <f t="shared" si="5"/>
        <v>-4.3301270189221919</v>
      </c>
      <c r="AO13" s="436">
        <f t="shared" si="5"/>
        <v>-2.500000000000016</v>
      </c>
      <c r="AP13" s="436">
        <f t="shared" si="5"/>
        <v>-3.67544536472586E-15</v>
      </c>
      <c r="AQ13" s="436">
        <f t="shared" si="5"/>
        <v>2.5000000000000093</v>
      </c>
      <c r="AR13" s="436">
        <f t="shared" si="5"/>
        <v>4.3301270189221883</v>
      </c>
      <c r="AS13" s="436">
        <f t="shared" si="5"/>
        <v>5</v>
      </c>
      <c r="AT13" s="436">
        <f t="shared" si="5"/>
        <v>4.3301270189222016</v>
      </c>
      <c r="AU13" s="436">
        <f t="shared" si="5"/>
        <v>2.5000000000000009</v>
      </c>
      <c r="AV13" s="436">
        <f t="shared" si="5"/>
        <v>2.2051587986182675E-14</v>
      </c>
      <c r="AW13" s="436">
        <f t="shared" si="5"/>
        <v>-2.4999999999999938</v>
      </c>
      <c r="AX13" s="436">
        <f t="shared" si="5"/>
        <v>-4.3301270189221972</v>
      </c>
    </row>
    <row r="14" spans="2:50" x14ac:dyDescent="0.35">
      <c r="B14" s="1" t="s">
        <v>924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2">
        <f>IF($I$13=$N$3,$B$13*SIN($G$13*$E$14+$E$13),0)</f>
        <v>-2.5000000000000022</v>
      </c>
    </row>
    <row r="22" spans="4:10" x14ac:dyDescent="0.35">
      <c r="H22" t="s">
        <v>927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925</v>
      </c>
      <c r="E26" s="441">
        <f>$J$11</f>
        <v>10</v>
      </c>
      <c r="F26" s="441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926</v>
      </c>
      <c r="E29" s="441">
        <f>$J$11</f>
        <v>10</v>
      </c>
      <c r="F29" s="441">
        <f>E29</f>
        <v>10</v>
      </c>
      <c r="H29" t="str">
        <f>D26</f>
        <v>X-Achse:</v>
      </c>
    </row>
    <row r="30" spans="4:10" x14ac:dyDescent="0.35">
      <c r="E30" s="441">
        <f>MIN($J$12:$AX$13)</f>
        <v>-5</v>
      </c>
      <c r="F30" s="441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49" t="s">
        <v>216</v>
      </c>
      <c r="D12" s="449"/>
      <c r="E12" s="449"/>
      <c r="F12" s="449"/>
      <c r="G12" s="449"/>
      <c r="H12" s="56"/>
      <c r="I12" s="449" t="s">
        <v>217</v>
      </c>
      <c r="J12" s="449"/>
      <c r="K12" s="449" t="s">
        <v>212</v>
      </c>
      <c r="L12" s="449"/>
      <c r="M12" s="449" t="s">
        <v>218</v>
      </c>
      <c r="N12" s="449"/>
      <c r="O12" s="449"/>
      <c r="P12" s="448" t="s">
        <v>229</v>
      </c>
      <c r="Q12" s="448"/>
      <c r="R12" s="448"/>
      <c r="S12" s="448"/>
      <c r="T12" s="448" t="s">
        <v>261</v>
      </c>
      <c r="U12" s="448"/>
      <c r="V12" s="448"/>
      <c r="W12" s="448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X7" sqref="X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847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326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9" t="s">
        <v>413</v>
      </c>
      <c r="C13" s="458"/>
      <c r="D13" s="458"/>
      <c r="E13" s="458"/>
      <c r="F13" s="458"/>
      <c r="G13" s="458"/>
      <c r="H13" s="458"/>
      <c r="I13" s="458"/>
      <c r="L13" s="459" t="s">
        <v>414</v>
      </c>
      <c r="M13" s="460"/>
      <c r="N13" s="460"/>
      <c r="O13" s="460"/>
      <c r="Q13" s="459" t="s">
        <v>230</v>
      </c>
      <c r="R13" s="460"/>
      <c r="S13" s="460"/>
      <c r="T13" s="460"/>
      <c r="U13" s="460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46171.465231944443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842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839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839</v>
      </c>
    </row>
    <row r="25" spans="2:41" ht="21" x14ac:dyDescent="0.5">
      <c r="B25" s="245"/>
      <c r="H25" s="393" t="s">
        <v>836</v>
      </c>
      <c r="I25" s="392" t="s">
        <v>832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840</v>
      </c>
    </row>
    <row r="26" spans="2:41" ht="21" x14ac:dyDescent="0.5">
      <c r="B26" s="245"/>
      <c r="H26" s="393" t="s">
        <v>837</v>
      </c>
      <c r="I26" s="392" t="s">
        <v>833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838</v>
      </c>
      <c r="I27" s="392" t="s">
        <v>834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841</v>
      </c>
      <c r="I28" s="392" t="s">
        <v>835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849</v>
      </c>
      <c r="D2" s="394"/>
    </row>
    <row r="4" spans="2:26" x14ac:dyDescent="0.35">
      <c r="J4" t="s">
        <v>641</v>
      </c>
    </row>
    <row r="5" spans="2:26" x14ac:dyDescent="0.35">
      <c r="J5" t="s">
        <v>873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873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874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875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876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877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61" t="s">
        <v>892</v>
      </c>
      <c r="D3" s="461" t="s">
        <v>663</v>
      </c>
      <c r="E3" s="418">
        <v>4</v>
      </c>
      <c r="F3" s="418" t="s">
        <v>873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61" t="s">
        <v>21</v>
      </c>
      <c r="D4" s="461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61" t="s">
        <v>22</v>
      </c>
      <c r="D5" s="461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61" t="s">
        <v>878</v>
      </c>
      <c r="D6" s="461"/>
      <c r="E6" s="418">
        <v>50</v>
      </c>
      <c r="F6" s="418" t="s">
        <v>858</v>
      </c>
      <c r="G6" s="77">
        <f>IF(F6=H6,E6,E6*1000)</f>
        <v>50</v>
      </c>
      <c r="H6" s="5" t="str">
        <f>O6</f>
        <v>[m]</v>
      </c>
      <c r="N6" t="s">
        <v>893</v>
      </c>
      <c r="O6" t="s">
        <v>858</v>
      </c>
      <c r="P6" t="s">
        <v>873</v>
      </c>
    </row>
    <row r="7" spans="2:28" ht="15.65" customHeight="1" x14ac:dyDescent="0.35">
      <c r="N7" t="s">
        <v>23</v>
      </c>
      <c r="O7" t="s">
        <v>643</v>
      </c>
      <c r="P7" t="s">
        <v>894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62" t="s">
        <v>890</v>
      </c>
      <c r="D11" s="463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889</v>
      </c>
    </row>
    <row r="12" spans="2:28" ht="22.5" customHeight="1" x14ac:dyDescent="0.65">
      <c r="C12" s="462" t="s">
        <v>891</v>
      </c>
      <c r="D12" s="463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888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5" t="s">
        <v>1</v>
      </c>
      <c r="D18" s="466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4" t="s">
        <v>19</v>
      </c>
      <c r="D19" s="464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63" t="s">
        <v>24</v>
      </c>
      <c r="D20" s="463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63" t="s">
        <v>879</v>
      </c>
      <c r="D21" s="463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8" t="str">
        <f>$O$8</f>
        <v>Anfangs-Geschwindigkeit</v>
      </c>
      <c r="D6" s="479"/>
      <c r="E6" s="482" t="str">
        <f>$O$9</f>
        <v>Geschwindigkeit</v>
      </c>
      <c r="F6" s="479"/>
      <c r="G6" s="482" t="str">
        <f>$O$10</f>
        <v>Strecke</v>
      </c>
      <c r="H6" s="479"/>
      <c r="I6" s="482" t="str">
        <f>$O$11</f>
        <v>Zeit</v>
      </c>
      <c r="J6" s="479"/>
      <c r="K6" s="482" t="str">
        <f>$O$12</f>
        <v>Beschleunigung</v>
      </c>
      <c r="L6" s="483"/>
    </row>
    <row r="7" spans="1:19" ht="15" thickBot="1" x14ac:dyDescent="0.4">
      <c r="B7" s="13" t="s">
        <v>37</v>
      </c>
      <c r="C7" s="480" t="str">
        <f>$P$8</f>
        <v>v0 [m/s]</v>
      </c>
      <c r="D7" s="481"/>
      <c r="E7" s="484" t="str">
        <f>$P$9</f>
        <v>v [m/s]</v>
      </c>
      <c r="F7" s="481"/>
      <c r="G7" s="484" t="str">
        <f>$P$10</f>
        <v>s [m]</v>
      </c>
      <c r="H7" s="481"/>
      <c r="I7" s="484" t="str">
        <f>$P$11</f>
        <v>t [s]</v>
      </c>
      <c r="J7" s="481"/>
      <c r="K7" s="484" t="str">
        <f>$P$12</f>
        <v>a [m/s2]</v>
      </c>
      <c r="L7" s="485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72">
        <v>119</v>
      </c>
      <c r="H8" s="473"/>
      <c r="I8" s="472">
        <v>7</v>
      </c>
      <c r="J8" s="473"/>
      <c r="K8" s="472">
        <v>2</v>
      </c>
      <c r="L8" s="477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9">
        <v>24</v>
      </c>
      <c r="F9" s="470"/>
      <c r="G9" s="16" t="s">
        <v>75</v>
      </c>
      <c r="H9" s="16">
        <f>E9*I9 - K9*I9^2/2</f>
        <v>119</v>
      </c>
      <c r="I9" s="469">
        <v>7</v>
      </c>
      <c r="J9" s="470"/>
      <c r="K9" s="469">
        <v>2</v>
      </c>
      <c r="L9" s="475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9">
        <v>24</v>
      </c>
      <c r="F10" s="470"/>
      <c r="G10" s="469">
        <v>119</v>
      </c>
      <c r="H10" s="470"/>
      <c r="I10" s="16" t="s">
        <v>76</v>
      </c>
      <c r="J10" s="16">
        <f>(E10 - SQRT(E10^2 - 2*K10*G10))/K10</f>
        <v>7</v>
      </c>
      <c r="K10" s="469">
        <v>2</v>
      </c>
      <c r="L10" s="475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9">
        <v>24</v>
      </c>
      <c r="F11" s="470"/>
      <c r="G11" s="469">
        <v>119</v>
      </c>
      <c r="H11" s="470"/>
      <c r="I11" s="469">
        <v>7</v>
      </c>
      <c r="J11" s="470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4">
        <v>10</v>
      </c>
      <c r="D12" s="470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9">
        <v>7</v>
      </c>
      <c r="J12" s="470"/>
      <c r="K12" s="469">
        <v>2</v>
      </c>
      <c r="L12" s="475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4">
        <v>10</v>
      </c>
      <c r="D13" s="470"/>
      <c r="E13" s="16" t="s">
        <v>80</v>
      </c>
      <c r="F13" s="16">
        <f>SQRT(C13^2 + 2*K13*G13)</f>
        <v>24</v>
      </c>
      <c r="G13" s="469">
        <v>119</v>
      </c>
      <c r="H13" s="470"/>
      <c r="I13" s="22" t="s">
        <v>55</v>
      </c>
      <c r="J13" s="16">
        <f xml:space="preserve"> (-C13 + SQRT(C13^2 + 2*K13*G13))/K13</f>
        <v>7</v>
      </c>
      <c r="K13" s="467">
        <v>2</v>
      </c>
      <c r="L13" s="475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4">
        <v>10</v>
      </c>
      <c r="D14" s="470"/>
      <c r="E14" s="16" t="s">
        <v>81</v>
      </c>
      <c r="F14" s="16">
        <f>2*G14/I14 - C14</f>
        <v>24</v>
      </c>
      <c r="G14" s="469">
        <v>119</v>
      </c>
      <c r="H14" s="470"/>
      <c r="I14" s="469">
        <v>7</v>
      </c>
      <c r="J14" s="476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4">
        <v>10</v>
      </c>
      <c r="D15" s="470"/>
      <c r="E15" s="469">
        <v>24</v>
      </c>
      <c r="F15" s="470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9">
        <v>2</v>
      </c>
      <c r="L15" s="475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4">
        <v>10</v>
      </c>
      <c r="D16" s="470"/>
      <c r="E16" s="469">
        <v>24</v>
      </c>
      <c r="F16" s="470"/>
      <c r="G16" s="16" t="s">
        <v>83</v>
      </c>
      <c r="H16" s="16">
        <f>(C16+E16)*I16/2</f>
        <v>119</v>
      </c>
      <c r="I16" s="469">
        <v>7</v>
      </c>
      <c r="J16" s="470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71">
        <v>10</v>
      </c>
      <c r="D17" s="468"/>
      <c r="E17" s="467">
        <v>24</v>
      </c>
      <c r="F17" s="468"/>
      <c r="G17" s="467">
        <v>119</v>
      </c>
      <c r="H17" s="468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6" t="str">
        <f>P13</f>
        <v>ω0 [rad/s]</v>
      </c>
      <c r="D18" s="487"/>
      <c r="E18" s="488" t="str">
        <f>P14</f>
        <v>ω [rad/s]</v>
      </c>
      <c r="F18" s="487"/>
      <c r="G18" s="488" t="str">
        <f>P15</f>
        <v>φ [rad]</v>
      </c>
      <c r="H18" s="487"/>
      <c r="I18" s="488" t="str">
        <f>P16</f>
        <v>t [s]</v>
      </c>
      <c r="J18" s="487"/>
      <c r="K18" s="488" t="str">
        <f>P17</f>
        <v>α [rad/s2]</v>
      </c>
      <c r="L18" s="489"/>
    </row>
    <row r="19" spans="1:16" ht="29.15" customHeight="1" thickBot="1" x14ac:dyDescent="0.4">
      <c r="C19" s="490" t="str">
        <f>O13</f>
        <v>Anfangs-Winkelgeschwindigkeit</v>
      </c>
      <c r="D19" s="491"/>
      <c r="E19" s="492" t="str">
        <f>O14</f>
        <v>Winkelgeschwindigkeit</v>
      </c>
      <c r="F19" s="491"/>
      <c r="G19" s="492" t="str">
        <f>O15</f>
        <v>Winkel</v>
      </c>
      <c r="H19" s="491"/>
      <c r="I19" s="492" t="str">
        <f>O16</f>
        <v>Zeit</v>
      </c>
      <c r="J19" s="491"/>
      <c r="K19" s="492" t="str">
        <f>O17</f>
        <v>Winkelbeschleunigung</v>
      </c>
      <c r="L19" s="493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850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859</v>
      </c>
      <c r="C12" s="5"/>
      <c r="D12" s="337" t="s">
        <v>856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860</v>
      </c>
      <c r="C13" s="5"/>
      <c r="D13" s="337" t="s">
        <v>857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858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852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851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853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854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855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9"/>
      <c r="F44" s="399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63" t="s">
        <v>73</v>
      </c>
      <c r="V7" s="463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94"/>
      <c r="D11" s="494"/>
      <c r="E11" s="494"/>
      <c r="F11" s="494"/>
      <c r="G11" s="494"/>
      <c r="H11" s="494"/>
      <c r="I11" s="494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5" t="s">
        <v>437</v>
      </c>
      <c r="D12" s="495"/>
      <c r="E12" s="495"/>
      <c r="F12" s="495"/>
      <c r="G12" s="495"/>
      <c r="H12" s="495"/>
      <c r="I12" s="495"/>
      <c r="J12" s="32"/>
      <c r="K12" s="32"/>
      <c r="M12" s="42" t="s">
        <v>431</v>
      </c>
      <c r="N12" s="23">
        <v>50</v>
      </c>
      <c r="O12" s="496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7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8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63" t="s">
        <v>73</v>
      </c>
      <c r="S7" s="463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4"/>
      <c r="D11" s="494"/>
      <c r="E11" s="494"/>
      <c r="F11" s="494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5" t="s">
        <v>472</v>
      </c>
      <c r="D12" s="495"/>
      <c r="E12" s="495"/>
      <c r="F12" s="495"/>
      <c r="G12" s="32"/>
      <c r="H12" s="32"/>
      <c r="J12" s="42" t="s">
        <v>62</v>
      </c>
      <c r="K12" s="23">
        <v>60</v>
      </c>
      <c r="L12" s="496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8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59" t="s">
        <v>414</v>
      </c>
      <c r="N9" s="460"/>
      <c r="O9" s="460"/>
      <c r="P9" s="460"/>
      <c r="R9" s="459" t="s">
        <v>230</v>
      </c>
      <c r="S9" s="460"/>
      <c r="T9" s="460"/>
      <c r="U9" s="460"/>
      <c r="V9" s="460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29</vt:i4>
      </vt:variant>
    </vt:vector>
  </HeadingPairs>
  <TitlesOfParts>
    <vt:vector size="29" baseType="lpstr">
      <vt:lpstr>TOC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Leistung bei Wechselstrom</vt:lpstr>
      <vt:lpstr>Schiefeebene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2026-05-29T09:10:13Z</dcterms:modified>
</cp:coreProperties>
</file>