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ink/ink3.xml" ContentType="application/inkml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omments1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1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2.xml" ContentType="application/vnd.openxmlformats-officedocument.drawing+xml"/>
  <Override PartName="/xl/comments2.xml" ContentType="application/vnd.openxmlformats-officedocument.spreadsheetml.comments+xml"/>
  <Override PartName="/xl/drawings/drawing23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4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88B09995-24DA-4FA6-9791-640E30AE662F}" xr6:coauthVersionLast="47" xr6:coauthVersionMax="47" xr10:uidLastSave="{00000000-0000-0000-0000-000000000000}"/>
  <bookViews>
    <workbookView xWindow="-28920" yWindow="-5685" windowWidth="29040" windowHeight="16440" firstSheet="8" activeTab="12" xr2:uid="{00000000-000D-0000-FFFF-FFFF00000000}"/>
  </bookViews>
  <sheets>
    <sheet name="TOC" sheetId="13" r:id="rId1"/>
    <sheet name="Magnetismus" sheetId="38" r:id="rId2"/>
    <sheet name="Einheitenvorsätze" sheetId="32" r:id="rId3"/>
    <sheet name="Edizio_Bestellungen" sheetId="37" r:id="rId4"/>
    <sheet name="Elektronische Schaltzeichen" sheetId="30" r:id="rId5"/>
    <sheet name="LCR-Glieder" sheetId="35" r:id="rId6"/>
    <sheet name="Kondensator an Gleichspannung" sheetId="36" r:id="rId7"/>
    <sheet name="Quelle mit Innenwiderstand" sheetId="29" r:id="rId8"/>
    <sheet name="Leistung bei Wechselstrom" sheetId="28" r:id="rId9"/>
    <sheet name="Schiefeebene" sheetId="19" r:id="rId10"/>
    <sheet name="Schiefe-Ebene (alt)" sheetId="20" r:id="rId11"/>
    <sheet name="Sinus_Cosinus" sheetId="22" r:id="rId12"/>
    <sheet name="Sinuskurve" sheetId="39" r:id="rId13"/>
    <sheet name="Vektoroperationen" sheetId="18" r:id="rId14"/>
    <sheet name="VektorZeitbereich" sheetId="24" r:id="rId15"/>
    <sheet name="Geburtstagsliste" sheetId="17" r:id="rId16"/>
    <sheet name="Einheiten umrechnen" sheetId="16" r:id="rId17"/>
    <sheet name="Flächenberechnungen" sheetId="14" r:id="rId18"/>
    <sheet name="Kinematik_1" sheetId="4" r:id="rId19"/>
    <sheet name="Kinematik_1 (Weg-Zeit)" sheetId="33" r:id="rId20"/>
    <sheet name="Kinematik_2" sheetId="9" r:id="rId21"/>
    <sheet name="Kinematik_2_Berechnungen" sheetId="11" r:id="rId22"/>
    <sheet name="Kinematik_2 (Weg-Zeit)" sheetId="34" r:id="rId23"/>
    <sheet name="Fourierreihe" sheetId="12" r:id="rId24"/>
    <sheet name="Scheinleistung" sheetId="15" r:id="rId25"/>
    <sheet name="3-Phasenstrom" sheetId="25" r:id="rId26"/>
    <sheet name="Gemischte Schaltung" sheetId="23" r:id="rId27"/>
    <sheet name="Theoreme" sheetId="26" r:id="rId28"/>
    <sheet name="Fläche eines Polygones" sheetId="27" r:id="rId29"/>
  </sheets>
  <definedNames>
    <definedName name="_xlnm._FilterDatabase" localSheetId="15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39" l="1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8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D12" i="35"/>
  <c r="D15" i="35" s="1"/>
  <c r="C11" i="36"/>
  <c r="K20" i="36"/>
  <c r="K19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10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H7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H132" i="22"/>
  <c r="H128" i="22"/>
  <c r="H127" i="22"/>
  <c r="H126" i="22"/>
  <c r="J131" i="22"/>
  <c r="G130" i="22"/>
  <c r="G128" i="22"/>
  <c r="G129" i="22" s="1"/>
  <c r="G127" i="22"/>
  <c r="G126" i="22"/>
  <c r="J111" i="22"/>
  <c r="H118" i="22"/>
  <c r="J112" i="22"/>
  <c r="K112" i="22"/>
  <c r="L112" i="22"/>
  <c r="J113" i="22"/>
  <c r="K113" i="22"/>
  <c r="L113" i="22"/>
  <c r="F117" i="22" s="1"/>
  <c r="L111" i="22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J13" i="39" l="1"/>
  <c r="G15" i="39"/>
  <c r="K11" i="39"/>
  <c r="L11" i="39"/>
  <c r="N9" i="39"/>
  <c r="K10" i="39"/>
  <c r="L10" i="39"/>
  <c r="L12" i="39" s="1"/>
  <c r="M10" i="39"/>
  <c r="M12" i="39" s="1"/>
  <c r="D11" i="36"/>
  <c r="C34" i="36"/>
  <c r="C33" i="36"/>
  <c r="I74" i="36"/>
  <c r="H78" i="36" s="1"/>
  <c r="I78" i="36" s="1"/>
  <c r="L8" i="36"/>
  <c r="I20" i="36" s="1"/>
  <c r="N11" i="36"/>
  <c r="J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Z7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G132" i="22"/>
  <c r="G131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N23" i="24" s="1"/>
  <c r="M22" i="24"/>
  <c r="M23" i="24" s="1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K12" i="39" l="1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M25" i="24" s="1"/>
  <c r="K11" i="36"/>
  <c r="L11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H12" i="22"/>
  <c r="I95" i="22"/>
  <c r="I93" i="22"/>
  <c r="Z5" i="28"/>
  <c r="AA5" i="28"/>
  <c r="E8" i="4"/>
  <c r="M17" i="4"/>
  <c r="L18" i="4"/>
  <c r="D8" i="4"/>
  <c r="C8" i="4"/>
  <c r="I17" i="22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O10" i="39" l="1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B21" i="35"/>
  <c r="X51" i="35" s="1"/>
  <c r="AB47" i="35"/>
  <c r="AH47" i="35" s="1"/>
  <c r="AH54" i="35" s="1"/>
  <c r="K16" i="35"/>
  <c r="L16" i="35" s="1"/>
  <c r="Z2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AB27" i="35"/>
  <c r="AD27" i="35" s="1"/>
  <c r="AG28" i="35" s="1"/>
  <c r="Z8" i="35"/>
  <c r="Z49" i="35"/>
  <c r="P19" i="35"/>
  <c r="R19" i="35" s="1"/>
  <c r="T19" i="35" s="1"/>
  <c r="Z10" i="35" s="1"/>
  <c r="D21" i="35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P12" i="39" l="1"/>
  <c r="R9" i="39"/>
  <c r="R11" i="39" s="1"/>
  <c r="Q10" i="39"/>
  <c r="Q13" i="39" s="1"/>
  <c r="P23" i="24"/>
  <c r="P24" i="24"/>
  <c r="P25" i="24" s="1"/>
  <c r="R21" i="24"/>
  <c r="Q22" i="24"/>
  <c r="F17" i="24"/>
  <c r="D17" i="24" s="1"/>
  <c r="M17" i="24"/>
  <c r="C17" i="24"/>
  <c r="Q15" i="24"/>
  <c r="Q16" i="24" s="1"/>
  <c r="R15" i="24" s="1"/>
  <c r="H12" i="36"/>
  <c r="K12" i="36"/>
  <c r="L12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20" i="35"/>
  <c r="M20" i="35" s="1"/>
  <c r="K20" i="35"/>
  <c r="L20" i="35" s="1"/>
  <c r="Z27" i="35" s="1"/>
  <c r="G32" i="36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Q12" i="39" l="1"/>
  <c r="R10" i="39"/>
  <c r="R13" i="39" s="1"/>
  <c r="S9" i="39"/>
  <c r="S11" i="39" s="1"/>
  <c r="Q23" i="24"/>
  <c r="Q24" i="24"/>
  <c r="S16" i="24"/>
  <c r="T15" i="24"/>
  <c r="U16" i="24" s="1"/>
  <c r="S21" i="24"/>
  <c r="R22" i="24"/>
  <c r="L20" i="36"/>
  <c r="G31" i="36"/>
  <c r="G33" i="36" s="1"/>
  <c r="G34" i="36"/>
  <c r="U43" i="36"/>
  <c r="U45" i="36" s="1"/>
  <c r="T44" i="36"/>
  <c r="J16" i="22"/>
  <c r="H32" i="36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R12" i="39" l="1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S12" i="39" l="1"/>
  <c r="T10" i="39"/>
  <c r="T13" i="39" s="1"/>
  <c r="U9" i="39"/>
  <c r="U11" i="39" s="1"/>
  <c r="T22" i="24"/>
  <c r="U21" i="24"/>
  <c r="S23" i="24"/>
  <c r="S24" i="24"/>
  <c r="S25" i="24" s="1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T12" i="39" l="1"/>
  <c r="V9" i="39"/>
  <c r="V11" i="39" s="1"/>
  <c r="U10" i="39"/>
  <c r="U13" i="39" s="1"/>
  <c r="T23" i="24"/>
  <c r="T24" i="24"/>
  <c r="T25" i="24" s="1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U12" i="39" l="1"/>
  <c r="W9" i="39"/>
  <c r="W11" i="39" s="1"/>
  <c r="V10" i="39"/>
  <c r="V13" i="39" s="1"/>
  <c r="U23" i="24"/>
  <c r="U24" i="24"/>
  <c r="U25" i="24" s="1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V12" i="39" l="1"/>
  <c r="X9" i="39"/>
  <c r="X11" i="39" s="1"/>
  <c r="W10" i="39"/>
  <c r="W13" i="39" s="1"/>
  <c r="V23" i="24"/>
  <c r="V24" i="24"/>
  <c r="V25" i="24" s="1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W12" i="39" l="1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X12" i="39" l="1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Y12" i="39" l="1"/>
  <c r="Z10" i="39"/>
  <c r="Z13" i="39" s="1"/>
  <c r="AA9" i="39"/>
  <c r="AA11" i="39" s="1"/>
  <c r="Z22" i="24"/>
  <c r="AA21" i="24"/>
  <c r="Y23" i="24"/>
  <c r="Y24" i="24"/>
  <c r="Y25" i="24" s="1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Z12" i="39" l="1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AA12" i="39" l="1"/>
  <c r="AC9" i="39"/>
  <c r="AC11" i="39" s="1"/>
  <c r="AB10" i="39"/>
  <c r="AB13" i="39" s="1"/>
  <c r="Z25" i="24"/>
  <c r="AB22" i="24"/>
  <c r="AC21" i="24"/>
  <c r="AA23" i="24"/>
  <c r="AA24" i="24"/>
  <c r="AA25" i="24" s="1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B12" i="39" l="1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AC12" i="39" l="1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AD12" i="39" l="1"/>
  <c r="AF9" i="39"/>
  <c r="AF11" i="39" s="1"/>
  <c r="AE10" i="39"/>
  <c r="AE13" i="39" s="1"/>
  <c r="AC25" i="24"/>
  <c r="AD23" i="24"/>
  <c r="AD24" i="24"/>
  <c r="AD25" i="24" s="1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E12" i="39" l="1"/>
  <c r="AG9" i="39"/>
  <c r="AG11" i="39" s="1"/>
  <c r="AF10" i="39"/>
  <c r="AF13" i="39" s="1"/>
  <c r="AE23" i="24"/>
  <c r="AE24" i="24"/>
  <c r="AE25" i="24" s="1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F12" i="39" l="1"/>
  <c r="AH9" i="39"/>
  <c r="AH11" i="39" s="1"/>
  <c r="AG10" i="39"/>
  <c r="AG13" i="39" s="1"/>
  <c r="AF23" i="24"/>
  <c r="AF24" i="24"/>
  <c r="AF25" i="24" s="1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G12" i="39" l="1"/>
  <c r="AH10" i="39"/>
  <c r="AH13" i="39" s="1"/>
  <c r="AI9" i="39"/>
  <c r="AI11" i="39" s="1"/>
  <c r="AG23" i="24"/>
  <c r="AG24" i="24"/>
  <c r="AG25" i="24" s="1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H12" i="39" l="1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I12" i="39" l="1"/>
  <c r="AJ10" i="39"/>
  <c r="AJ13" i="39" s="1"/>
  <c r="AK9" i="39"/>
  <c r="AK11" i="39" s="1"/>
  <c r="AI23" i="24"/>
  <c r="AI24" i="24"/>
  <c r="AI25" i="24" s="1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J12" i="39" l="1"/>
  <c r="AL9" i="39"/>
  <c r="AL11" i="39" s="1"/>
  <c r="AK10" i="39"/>
  <c r="AK13" i="39" s="1"/>
  <c r="AK22" i="24"/>
  <c r="AL21" i="24"/>
  <c r="AJ23" i="24"/>
  <c r="AJ24" i="24"/>
  <c r="AJ25" i="24" s="1"/>
  <c r="AC17" i="22"/>
  <c r="AH18" i="4"/>
  <c r="AI17" i="4"/>
  <c r="AD12" i="22"/>
  <c r="AD13" i="22"/>
  <c r="AC16" i="22"/>
  <c r="AD61" i="22"/>
  <c r="AD62" i="22"/>
  <c r="AF10" i="22"/>
  <c r="AE11" i="22"/>
  <c r="AK12" i="39" l="1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L12" i="39" l="1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M12" i="39" l="1"/>
  <c r="AO9" i="39"/>
  <c r="AO11" i="39" s="1"/>
  <c r="AN10" i="39"/>
  <c r="AN13" i="39" s="1"/>
  <c r="AO21" i="24"/>
  <c r="AN22" i="24"/>
  <c r="AL25" i="24"/>
  <c r="AM23" i="24"/>
  <c r="AM24" i="24"/>
  <c r="AM25" i="24" s="1"/>
  <c r="AF17" i="22"/>
  <c r="AL17" i="4"/>
  <c r="AK18" i="4"/>
  <c r="AG13" i="22"/>
  <c r="AG12" i="22"/>
  <c r="AF16" i="22"/>
  <c r="AG61" i="22"/>
  <c r="AG62" i="22"/>
  <c r="AH11" i="22"/>
  <c r="AI10" i="22"/>
  <c r="AN12" i="39" l="1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O12" i="39" l="1"/>
  <c r="AP10" i="39"/>
  <c r="AP13" i="39" s="1"/>
  <c r="AQ9" i="39"/>
  <c r="AQ11" i="39" s="1"/>
  <c r="AO23" i="24"/>
  <c r="AO24" i="24"/>
  <c r="AO25" i="24" s="1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P12" i="39" l="1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Q12" i="39" l="1"/>
  <c r="AR10" i="39"/>
  <c r="AR13" i="39" s="1"/>
  <c r="AS9" i="39"/>
  <c r="AS11" i="39" s="1"/>
  <c r="AR22" i="24"/>
  <c r="AS21" i="24"/>
  <c r="AQ23" i="24"/>
  <c r="AQ24" i="24"/>
  <c r="AQ25" i="24" s="1"/>
  <c r="AP25" i="24"/>
  <c r="AJ17" i="22"/>
  <c r="AJ16" i="22"/>
  <c r="AK12" i="22"/>
  <c r="AK13" i="22"/>
  <c r="AK61" i="22"/>
  <c r="AK62" i="22"/>
  <c r="AL11" i="22"/>
  <c r="AM10" i="22"/>
  <c r="AR12" i="39" l="1"/>
  <c r="AT9" i="39"/>
  <c r="AT11" i="39" s="1"/>
  <c r="AS10" i="39"/>
  <c r="AS13" i="39" s="1"/>
  <c r="AS22" i="24"/>
  <c r="AT21" i="24"/>
  <c r="AR23" i="24"/>
  <c r="AR24" i="24"/>
  <c r="AR25" i="24" s="1"/>
  <c r="AK17" i="22"/>
  <c r="AL12" i="22"/>
  <c r="AL13" i="22"/>
  <c r="AK16" i="22"/>
  <c r="AL61" i="22"/>
  <c r="AL62" i="22"/>
  <c r="AM11" i="22"/>
  <c r="AN10" i="22"/>
  <c r="AS12" i="39" l="1"/>
  <c r="AU9" i="39"/>
  <c r="AU11" i="39" s="1"/>
  <c r="AT10" i="39"/>
  <c r="AT13" i="39" s="1"/>
  <c r="AS23" i="24"/>
  <c r="AS24" i="24"/>
  <c r="AS25" i="24" s="1"/>
  <c r="AT22" i="24"/>
  <c r="AU21" i="24"/>
  <c r="AL17" i="22"/>
  <c r="AM12" i="22"/>
  <c r="AM13" i="22"/>
  <c r="AL16" i="22"/>
  <c r="AM61" i="22"/>
  <c r="AM62" i="22"/>
  <c r="AO10" i="22"/>
  <c r="AN11" i="22"/>
  <c r="AT12" i="39" l="1"/>
  <c r="AV9" i="39"/>
  <c r="AV11" i="39" s="1"/>
  <c r="AU10" i="39"/>
  <c r="AU13" i="39" s="1"/>
  <c r="AT23" i="24"/>
  <c r="AT24" i="24"/>
  <c r="AT25" i="24" s="1"/>
  <c r="AV21" i="24"/>
  <c r="AU22" i="24"/>
  <c r="AM17" i="22"/>
  <c r="AN12" i="22"/>
  <c r="AN13" i="22"/>
  <c r="AM16" i="22"/>
  <c r="AN61" i="22"/>
  <c r="AN62" i="22"/>
  <c r="AO11" i="22"/>
  <c r="AP10" i="22"/>
  <c r="AU12" i="39" l="1"/>
  <c r="AW9" i="39"/>
  <c r="AW11" i="39" s="1"/>
  <c r="AV10" i="39"/>
  <c r="AV13" i="39" s="1"/>
  <c r="AU23" i="24"/>
  <c r="AU24" i="24"/>
  <c r="AU25" i="24" s="1"/>
  <c r="AW21" i="24"/>
  <c r="AW22" i="24" s="1"/>
  <c r="AV22" i="24"/>
  <c r="AN17" i="22"/>
  <c r="AO12" i="22"/>
  <c r="AO13" i="22"/>
  <c r="AN16" i="22"/>
  <c r="AO61" i="22"/>
  <c r="AO62" i="22"/>
  <c r="AP11" i="22"/>
  <c r="AQ10" i="22"/>
  <c r="AV12" i="39" l="1"/>
  <c r="AX9" i="39"/>
  <c r="AX11" i="39" s="1"/>
  <c r="F26" i="39" s="1"/>
  <c r="AW10" i="39"/>
  <c r="AW13" i="39" s="1"/>
  <c r="AV23" i="24"/>
  <c r="AV24" i="24"/>
  <c r="AV25" i="24" s="1"/>
  <c r="AW23" i="24"/>
  <c r="AW24" i="24"/>
  <c r="AW25" i="24" s="1"/>
  <c r="AO17" i="22"/>
  <c r="AP13" i="22"/>
  <c r="AP12" i="22"/>
  <c r="AO16" i="22"/>
  <c r="AP61" i="22"/>
  <c r="AP62" i="22"/>
  <c r="AQ11" i="22"/>
  <c r="AR10" i="22"/>
  <c r="AW12" i="39" l="1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<sst xmlns="http://schemas.openxmlformats.org/spreadsheetml/2006/main" count="1470" uniqueCount="937">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</sst>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</numFmts>
  <fonts count="1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5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10" fontId="0" fillId="0" borderId="7" xfId="0" applyNumberFormat="1" applyBorder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4" xfId="0" applyBorder="1"/>
    <xf numFmtId="0" fontId="0" fillId="0" borderId="22" xfId="0" applyBorder="1"/>
    <xf numFmtId="0" fontId="0" fillId="0" borderId="49" xfId="0" applyBorder="1"/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76" fontId="0" fillId="0" borderId="0" xfId="0" applyNumberFormat="1"/>
    <xf numFmtId="4" fontId="90" fillId="0" borderId="0" xfId="0" applyNumberFormat="1" applyFont="1"/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26.762058453207434</c:v>
                </c:pt>
                <c:pt idx="7">
                  <c:v>29.731579678024037</c:v>
                </c:pt>
                <c:pt idx="8">
                  <c:v>32.388824022104686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40.502157403635024</c:v>
                </c:pt>
                <c:pt idx="13">
                  <c:v>42.026760435786493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47.556559421986293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49.21616242479034</c:v>
                </c:pt>
                <c:pt idx="2">
                  <c:v>44.040557160424441</c:v>
                </c:pt>
                <c:pt idx="3">
                  <c:v>39.409222081558411</c:v>
                </c:pt>
                <c:pt idx="4">
                  <c:v>35.264921363647503</c:v>
                </c:pt>
                <c:pt idx="5">
                  <c:v>31.556438140558807</c:v>
                </c:pt>
                <c:pt idx="6">
                  <c:v>28.237941546792566</c:v>
                </c:pt>
                <c:pt idx="7">
                  <c:v>25.268420321975963</c:v>
                </c:pt>
                <c:pt idx="8">
                  <c:v>22.611175977895314</c:v>
                </c:pt>
                <c:pt idx="9">
                  <c:v>20.233369264429331</c:v>
                </c:pt>
                <c:pt idx="10">
                  <c:v>18.105614329434808</c:v>
                </c:pt>
                <c:pt idx="11">
                  <c:v>16.201615557055913</c:v>
                </c:pt>
                <c:pt idx="12">
                  <c:v>14.497842596364976</c:v>
                </c:pt>
                <c:pt idx="13">
                  <c:v>12.973239564213504</c:v>
                </c:pt>
                <c:pt idx="14">
                  <c:v>11.608964828509963</c:v>
                </c:pt>
                <c:pt idx="15">
                  <c:v>10.388158156065906</c:v>
                </c:pt>
                <c:pt idx="16">
                  <c:v>9.2957323473336366</c:v>
                </c:pt>
                <c:pt idx="17">
                  <c:v>8.3181867829772695</c:v>
                </c:pt>
                <c:pt idx="18">
                  <c:v>7.4434405780137016</c:v>
                </c:pt>
                <c:pt idx="19">
                  <c:v>6.6606832815781374</c:v>
                </c:pt>
                <c:pt idx="20">
                  <c:v>5.9602412772042754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2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0.34729635533386066</c:v>
                </c:pt>
                <c:pt idx="2">
                  <c:v>0.68404028665133743</c:v>
                </c:pt>
                <c:pt idx="3">
                  <c:v>0.99999999999999989</c:v>
                </c:pt>
                <c:pt idx="4">
                  <c:v>1.2855752193730785</c:v>
                </c:pt>
                <c:pt idx="5">
                  <c:v>1.532088886237956</c:v>
                </c:pt>
                <c:pt idx="6">
                  <c:v>1.7320508075688772</c:v>
                </c:pt>
                <c:pt idx="7">
                  <c:v>1.8793852415718166</c:v>
                </c:pt>
                <c:pt idx="8">
                  <c:v>1.969615506024416</c:v>
                </c:pt>
                <c:pt idx="9">
                  <c:v>2</c:v>
                </c:pt>
                <c:pt idx="10">
                  <c:v>1.969615506024416</c:v>
                </c:pt>
                <c:pt idx="11">
                  <c:v>1.8793852415718169</c:v>
                </c:pt>
                <c:pt idx="12">
                  <c:v>1.7320508075688774</c:v>
                </c:pt>
                <c:pt idx="13">
                  <c:v>1.532088886237956</c:v>
                </c:pt>
                <c:pt idx="14">
                  <c:v>1.2855752193730789</c:v>
                </c:pt>
                <c:pt idx="15">
                  <c:v>0.99999999999999989</c:v>
                </c:pt>
                <c:pt idx="16">
                  <c:v>0.68404028665133776</c:v>
                </c:pt>
                <c:pt idx="17">
                  <c:v>0.34729635533386055</c:v>
                </c:pt>
                <c:pt idx="18">
                  <c:v>2.45029690981724E-16</c:v>
                </c:pt>
                <c:pt idx="19">
                  <c:v>-0.34729635533386094</c:v>
                </c:pt>
                <c:pt idx="20">
                  <c:v>-0.68404028665133731</c:v>
                </c:pt>
                <c:pt idx="21">
                  <c:v>-1.0000000000000002</c:v>
                </c:pt>
                <c:pt idx="22">
                  <c:v>-1.2855752193730785</c:v>
                </c:pt>
                <c:pt idx="23">
                  <c:v>-1.5320888862379558</c:v>
                </c:pt>
                <c:pt idx="24">
                  <c:v>-1.7320508075688767</c:v>
                </c:pt>
                <c:pt idx="25">
                  <c:v>-1.8793852415718164</c:v>
                </c:pt>
                <c:pt idx="26">
                  <c:v>-1.969615506024416</c:v>
                </c:pt>
                <c:pt idx="27">
                  <c:v>-2</c:v>
                </c:pt>
                <c:pt idx="28">
                  <c:v>-1.9696155060244163</c:v>
                </c:pt>
                <c:pt idx="29">
                  <c:v>-1.8793852415718171</c:v>
                </c:pt>
                <c:pt idx="30">
                  <c:v>-1.7320508075688772</c:v>
                </c:pt>
                <c:pt idx="31">
                  <c:v>-1.5320888862379562</c:v>
                </c:pt>
                <c:pt idx="32">
                  <c:v>-1.2855752193730792</c:v>
                </c:pt>
                <c:pt idx="33">
                  <c:v>-1.0000000000000009</c:v>
                </c:pt>
                <c:pt idx="34">
                  <c:v>-0.6840402866513372</c:v>
                </c:pt>
                <c:pt idx="35">
                  <c:v>-0.34729635533386255</c:v>
                </c:pt>
                <c:pt idx="36">
                  <c:v>-4.90059381963448E-16</c:v>
                </c:pt>
                <c:pt idx="37">
                  <c:v>0.34729635533385983</c:v>
                </c:pt>
                <c:pt idx="38">
                  <c:v>0.68404028665133787</c:v>
                </c:pt>
                <c:pt idx="39">
                  <c:v>0.99999999999999856</c:v>
                </c:pt>
                <c:pt idx="40">
                  <c:v>1.2855752193730783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2 * cos(x)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1.2855752193730787</c:v>
                </c:pt>
                <c:pt idx="6">
                  <c:v>1.0000000000000002</c:v>
                </c:pt>
                <c:pt idx="7">
                  <c:v>0.68404028665133765</c:v>
                </c:pt>
                <c:pt idx="8">
                  <c:v>0.34729635533386083</c:v>
                </c:pt>
                <c:pt idx="9">
                  <c:v>1.22514845490862E-16</c:v>
                </c:pt>
                <c:pt idx="10">
                  <c:v>-0.34729635533386061</c:v>
                </c:pt>
                <c:pt idx="11">
                  <c:v>-0.68404028665133743</c:v>
                </c:pt>
                <c:pt idx="12">
                  <c:v>-0.99999999999999956</c:v>
                </c:pt>
                <c:pt idx="13">
                  <c:v>-1.2855752193730787</c:v>
                </c:pt>
                <c:pt idx="14">
                  <c:v>-1.5320888862379558</c:v>
                </c:pt>
                <c:pt idx="15">
                  <c:v>-1.7320508075688774</c:v>
                </c:pt>
                <c:pt idx="16">
                  <c:v>-1.8793852415718166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</c:v>
                </c:pt>
                <c:pt idx="20">
                  <c:v>-1.8793852415718169</c:v>
                </c:pt>
                <c:pt idx="21">
                  <c:v>-1.7320508075688772</c:v>
                </c:pt>
                <c:pt idx="22">
                  <c:v>-1.532088886237956</c:v>
                </c:pt>
                <c:pt idx="23">
                  <c:v>-1.2855752193730789</c:v>
                </c:pt>
                <c:pt idx="24">
                  <c:v>-1.0000000000000009</c:v>
                </c:pt>
                <c:pt idx="25">
                  <c:v>-0.68404028665133876</c:v>
                </c:pt>
                <c:pt idx="26">
                  <c:v>-0.34729635533386066</c:v>
                </c:pt>
                <c:pt idx="27">
                  <c:v>-3.67544536472586E-16</c:v>
                </c:pt>
                <c:pt idx="28">
                  <c:v>0.34729635533385994</c:v>
                </c:pt>
                <c:pt idx="29">
                  <c:v>0.68404028665133632</c:v>
                </c:pt>
                <c:pt idx="30">
                  <c:v>1.0000000000000002</c:v>
                </c:pt>
                <c:pt idx="31">
                  <c:v>1.2855752193730785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1.8793852415718166</c:v>
                </c:pt>
                <c:pt idx="39">
                  <c:v>1.7320508075688781</c:v>
                </c:pt>
                <c:pt idx="40">
                  <c:v>1.5320888862379562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1.9696155060244163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0.68404028665133731</c:v>
                </c:pt>
                <c:pt idx="2">
                  <c:v>1.2855752193730787</c:v>
                </c:pt>
                <c:pt idx="3">
                  <c:v>1.7320508075688772</c:v>
                </c:pt>
                <c:pt idx="4">
                  <c:v>1.9696155060244158</c:v>
                </c:pt>
                <c:pt idx="5">
                  <c:v>1.9696155060244163</c:v>
                </c:pt>
                <c:pt idx="6">
                  <c:v>1.7320508075688776</c:v>
                </c:pt>
                <c:pt idx="7">
                  <c:v>1.2855752193730789</c:v>
                </c:pt>
                <c:pt idx="8">
                  <c:v>0.68404028665133765</c:v>
                </c:pt>
                <c:pt idx="9">
                  <c:v>2.45029690981724E-16</c:v>
                </c:pt>
                <c:pt idx="10">
                  <c:v>-0.68404028665133731</c:v>
                </c:pt>
                <c:pt idx="11">
                  <c:v>-1.2855752193730787</c:v>
                </c:pt>
                <c:pt idx="12">
                  <c:v>-1.7320508075688767</c:v>
                </c:pt>
                <c:pt idx="13">
                  <c:v>-1.9696155060244163</c:v>
                </c:pt>
                <c:pt idx="14">
                  <c:v>-1.9696155060244163</c:v>
                </c:pt>
                <c:pt idx="15">
                  <c:v>-1.7320508075688772</c:v>
                </c:pt>
                <c:pt idx="16">
                  <c:v>-1.2855752193730792</c:v>
                </c:pt>
                <c:pt idx="17">
                  <c:v>-0.6840402866513372</c:v>
                </c:pt>
                <c:pt idx="18">
                  <c:v>-4.90059381963448E-16</c:v>
                </c:pt>
                <c:pt idx="19">
                  <c:v>0.68404028665133787</c:v>
                </c:pt>
                <c:pt idx="20">
                  <c:v>1.2855752193730785</c:v>
                </c:pt>
                <c:pt idx="21">
                  <c:v>1.7320508075688776</c:v>
                </c:pt>
                <c:pt idx="22">
                  <c:v>1.9696155060244158</c:v>
                </c:pt>
                <c:pt idx="23">
                  <c:v>1.9696155060244163</c:v>
                </c:pt>
                <c:pt idx="24">
                  <c:v>1.7320508075688783</c:v>
                </c:pt>
                <c:pt idx="25">
                  <c:v>1.2855752193730809</c:v>
                </c:pt>
                <c:pt idx="26">
                  <c:v>0.68404028665133731</c:v>
                </c:pt>
                <c:pt idx="27">
                  <c:v>7.3508907294517201E-16</c:v>
                </c:pt>
                <c:pt idx="28">
                  <c:v>-0.68404028665133598</c:v>
                </c:pt>
                <c:pt idx="29">
                  <c:v>-1.2855752193730767</c:v>
                </c:pt>
                <c:pt idx="30">
                  <c:v>-1.7320508075688776</c:v>
                </c:pt>
                <c:pt idx="31">
                  <c:v>-1.969615506024416</c:v>
                </c:pt>
                <c:pt idx="32">
                  <c:v>-1.9696155060244163</c:v>
                </c:pt>
                <c:pt idx="33">
                  <c:v>-1.7320508075688783</c:v>
                </c:pt>
                <c:pt idx="34">
                  <c:v>-1.2855752193730783</c:v>
                </c:pt>
                <c:pt idx="35">
                  <c:v>-0.68404028665134098</c:v>
                </c:pt>
                <c:pt idx="36">
                  <c:v>-9.8011876392689601E-16</c:v>
                </c:pt>
                <c:pt idx="37">
                  <c:v>0.68404028665133576</c:v>
                </c:pt>
                <c:pt idx="38">
                  <c:v>1.2855752193730794</c:v>
                </c:pt>
                <c:pt idx="39">
                  <c:v>1.7320508075688756</c:v>
                </c:pt>
                <c:pt idx="40">
                  <c:v>1.9696155060244158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1.2855752193730787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1.532088886237956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-1.5320888862379558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1.2855752193730789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-2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1.2855752193730787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2.xml"/><Relationship Id="rId1" Type="http://schemas.openxmlformats.org/officeDocument/2006/relationships/hyperlink" Target="#TOC!A1"/><Relationship Id="rId5" Type="http://schemas.openxmlformats.org/officeDocument/2006/relationships/image" Target="../media/image3.png"/><Relationship Id="rId4" Type="http://schemas.openxmlformats.org/officeDocument/2006/relationships/customXml" Target="../ink/ink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6.png"/><Relationship Id="rId7" Type="http://schemas.openxmlformats.org/officeDocument/2006/relationships/image" Target="../media/image8.png"/><Relationship Id="rId2" Type="http://schemas.openxmlformats.org/officeDocument/2006/relationships/image" Target="../media/image5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7.png"/><Relationship Id="rId4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Relationship Id="rId4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hyperlink" Target="#TOC!A1"/><Relationship Id="rId4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3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4" Type="http://schemas.openxmlformats.org/officeDocument/2006/relationships/chart" Target="../charts/chart28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9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chart" Target="../charts/chart30.xml"/><Relationship Id="rId1" Type="http://schemas.openxmlformats.org/officeDocument/2006/relationships/hyperlink" Target="#TOC!A1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chart" Target="../charts/chart33.xml"/><Relationship Id="rId4" Type="http://schemas.openxmlformats.org/officeDocument/2006/relationships/image" Target="../media/image1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8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png"/><Relationship Id="rId3" Type="http://schemas.openxmlformats.org/officeDocument/2006/relationships/image" Target="../media/image15.png"/><Relationship Id="rId7" Type="http://schemas.openxmlformats.org/officeDocument/2006/relationships/image" Target="../media/image19.png"/><Relationship Id="rId2" Type="http://schemas.openxmlformats.org/officeDocument/2006/relationships/image" Target="../media/image14.png"/><Relationship Id="rId1" Type="http://schemas.openxmlformats.org/officeDocument/2006/relationships/hyperlink" Target="#TOC!A1"/><Relationship Id="rId6" Type="http://schemas.openxmlformats.org/officeDocument/2006/relationships/image" Target="../media/image18.png"/><Relationship Id="rId5" Type="http://schemas.openxmlformats.org/officeDocument/2006/relationships/image" Target="../media/image17.png"/><Relationship Id="rId4" Type="http://schemas.openxmlformats.org/officeDocument/2006/relationships/image" Target="../media/image16.png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hyperlink" Target="#TOC!A1"/><Relationship Id="rId4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1896" y="2614543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25109" y="2993955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2008" y="3006655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1896" y="2047047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87836" y="2053397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45614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35461" y="2614543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38673" y="2993956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62398" y="3003480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20426" y="2966967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77844" y="3227012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22678" y="5458239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25891" y="5837651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52790" y="5850351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65061" y="606753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27401" y="7260397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679655" y="7247697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0305" y="104747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63044" y="11717131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5458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44740" y="11706087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12765" y="99584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15977" y="103378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39702" y="103473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10678" y="99584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13891" y="103378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40790" y="103505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1820022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939800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25682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C7" sqref="C7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46002</v>
      </c>
      <c r="C8" s="71" t="str">
        <f>Sinus_Cosinus!$F$2</f>
        <v>Sinus / Cosinus / Tangens</v>
      </c>
      <c r="D8" s="70">
        <v>45799</v>
      </c>
      <c r="E8" s="71" t="str">
        <f>'Gemischte Schaltung'!$C$2</f>
        <v>Gemischte Schaltungen</v>
      </c>
    </row>
    <row r="9" spans="2:7" x14ac:dyDescent="0.35">
      <c r="B9" s="70">
        <v>45772</v>
      </c>
      <c r="C9" s="71" t="s">
        <v>331</v>
      </c>
      <c r="D9" s="70">
        <v>45998</v>
      </c>
      <c r="E9" s="71" t="str">
        <f>'LCR-Glieder'!$C$2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L10" sqref="L10"/>
    </sheetView>
  </sheetViews>
  <sheetFormatPr baseColWidth="10" defaultRowHeight="14.5" x14ac:dyDescent="0.35"/>
  <sheetData>
    <row r="2" spans="3:3" ht="23.5" x14ac:dyDescent="0.55000000000000004">
      <c r="C2" s="9" t="s">
        <v>925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8" workbookViewId="0"/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31" t="s">
        <v>923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924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42">
        <v>1</v>
      </c>
      <c r="R17" s="442"/>
      <c r="T17" s="442">
        <v>1</v>
      </c>
      <c r="U17" s="442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43" t="s">
        <v>926</v>
      </c>
      <c r="N23" s="443"/>
      <c r="O23" s="174"/>
      <c r="P23" s="174"/>
      <c r="Q23" s="443">
        <v>3</v>
      </c>
      <c r="R23" s="443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zoomScale="115" zoomScaleNormal="115" workbookViewId="0">
      <selection activeCell="A15" sqref="A15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>
      <selection activeCell="D12" sqref="D12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1</v>
      </c>
      <c r="E7" s="4" t="s">
        <v>698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10³Ω</v>
      </c>
      <c r="K7" s="77" t="str">
        <f>IF(E7=Einheitenvorsätze!$A$19,_xlfn.CONCAT(D7,F7),_xlfn.CONCAT(D7,E7,F7))</f>
        <v>1kΩ</v>
      </c>
      <c r="L7" s="77" t="str">
        <f>_xlfn.CONCAT(I7,K7)</f>
        <v>R = 1kΩ</v>
      </c>
      <c r="M7" s="77" t="str">
        <f>_xlfn.CONCAT(I7,J7)</f>
        <v>R = 1 * 10³Ω</v>
      </c>
      <c r="V7" s="407"/>
      <c r="X7" s="402" t="str">
        <f>$L$7</f>
        <v>R = 1kΩ</v>
      </c>
      <c r="Z7" s="403" t="str">
        <f>IF($X$2=$R$2,$L$12,_xlfn.CONCAT($C$12,"?"))</f>
        <v>ω = 6283.1853(1/s)</v>
      </c>
      <c r="AA7" s="408"/>
      <c r="AB7">
        <f>$H$7</f>
        <v>1000</v>
      </c>
      <c r="AC7" s="1" t="s">
        <v>891</v>
      </c>
      <c r="AD7">
        <v>0</v>
      </c>
      <c r="AE7">
        <f>IF($X$2=$R$2,AB7,0)</f>
        <v>1000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0.1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9.9999999999999995E-8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0.1 * 10⁻⁶F</v>
      </c>
      <c r="K8" s="77" t="str">
        <f>IF(E8=Einheitenvorsätze!$A$19,_xlfn.CONCAT(D8,F8),_xlfn.CONCAT(D8,E8,F8))</f>
        <v>0.1µF</v>
      </c>
      <c r="L8" s="77" t="str">
        <f t="shared" ref="L8:L10" si="1">_xlfn.CONCAT(I8,K8)</f>
        <v>C = 0.1µF</v>
      </c>
      <c r="M8" s="77" t="str">
        <f t="shared" ref="M8:M10" si="2">_xlfn.CONCAT(I8,J8)</f>
        <v>C = 0.1 * 10⁻⁶F</v>
      </c>
      <c r="V8" s="407"/>
      <c r="X8" s="402" t="str">
        <f>$L$8</f>
        <v>C = 0.1µF</v>
      </c>
      <c r="Z8" s="403" t="str">
        <f>IF($X$2=$R$2,$L$15,_xlfn.CONCAT($C$15,"?"))</f>
        <v>XC = 1591.55Ω</v>
      </c>
      <c r="AA8" s="408"/>
      <c r="AB8">
        <f>$H$15</f>
        <v>1591.55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-1591.55</v>
      </c>
    </row>
    <row r="9" spans="3:34" ht="20.5" customHeight="1" x14ac:dyDescent="0.45">
      <c r="C9" s="8" t="s">
        <v>867</v>
      </c>
      <c r="D9" s="4">
        <v>40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0.04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40 * 10⁻³H</v>
      </c>
      <c r="K9" s="77" t="str">
        <f>IF(E9=Einheitenvorsätze!$A$19,_xlfn.CONCAT(D9,F9),_xlfn.CONCAT(D9,E9,F9))</f>
        <v>40mH</v>
      </c>
      <c r="L9" s="77" t="str">
        <f t="shared" si="1"/>
        <v>L = 40mH</v>
      </c>
      <c r="M9" s="77" t="str">
        <f t="shared" si="2"/>
        <v>L = 40 * 10⁻³H</v>
      </c>
      <c r="V9" s="407"/>
      <c r="X9" s="402" t="str">
        <f>$L$10</f>
        <v>f =1kHZ</v>
      </c>
      <c r="Z9" s="403" t="str">
        <f>IF($X$2=$R$2,$L$19,_xlfn.CONCAT($C$19,"?"))</f>
        <v>ZRC = 1879.64Ω</v>
      </c>
      <c r="AA9" s="409"/>
      <c r="AB9">
        <f>ABS(MAX(AB7:AB8))*1.1</f>
        <v>1750.7050000000002</v>
      </c>
      <c r="AC9" s="1" t="s">
        <v>894</v>
      </c>
      <c r="AD9">
        <f>-AB9</f>
        <v>-1750.7050000000002</v>
      </c>
      <c r="AE9">
        <f>AB9</f>
        <v>1750.7050000000002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-57.9°</v>
      </c>
      <c r="AA10" s="408"/>
      <c r="AD10">
        <v>0</v>
      </c>
      <c r="AE10">
        <v>0</v>
      </c>
      <c r="AG10">
        <f>AD9</f>
        <v>-1750.7050000000002</v>
      </c>
      <c r="AH10">
        <f>AE9</f>
        <v>1750.7050000000002</v>
      </c>
    </row>
    <row r="11" spans="3:34" ht="20.5" customHeight="1" x14ac:dyDescent="0.35">
      <c r="V11" s="407"/>
      <c r="AA11" s="408"/>
      <c r="AD11">
        <v>0</v>
      </c>
      <c r="AE11">
        <f>AE7</f>
        <v>1000</v>
      </c>
      <c r="AG11">
        <v>0</v>
      </c>
      <c r="AH11">
        <f>AH8</f>
        <v>-1591.55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1591.55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1591.55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1591.55Ω</v>
      </c>
      <c r="K15" s="77" t="str">
        <f>IF(E15=Einheitenvorsätze!$A$19,_xlfn.CONCAT(D15,F15),_xlfn.CONCAT(D15,E15,F15))</f>
        <v>1591.55Ω</v>
      </c>
      <c r="L15" s="77" t="str">
        <f t="shared" ref="L15:L16" si="7">_xlfn.CONCAT(I15,K15)</f>
        <v>XC = 1591.55Ω</v>
      </c>
      <c r="M15" s="77" t="str">
        <f t="shared" ref="M15:M16" si="8">_xlfn.CONCAT(I15,J15)</f>
        <v>XC = 1591.55Ω</v>
      </c>
    </row>
    <row r="16" spans="3:34" ht="20.5" customHeight="1" x14ac:dyDescent="0.45">
      <c r="C16" s="8" t="s">
        <v>873</v>
      </c>
      <c r="D16" s="77">
        <f>ROUND((((D12*D9)*10^(G12+G9))/10^G16),4)</f>
        <v>251.32740000000001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251.32740000000001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251.3274Ω</v>
      </c>
      <c r="K16" s="77" t="str">
        <f>IF(E16=Einheitenvorsätze!$A$19,_xlfn.CONCAT(D16,F16),_xlfn.CONCAT(D16,E16,F16))</f>
        <v>251.3274Ω</v>
      </c>
      <c r="L16" s="77" t="str">
        <f t="shared" si="7"/>
        <v>XL = 251.3274Ω</v>
      </c>
      <c r="M16" s="77" t="str">
        <f t="shared" si="8"/>
        <v>XL = 251.3274Ω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1879.64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1879.64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1879.64Ω</v>
      </c>
      <c r="K19" s="77" t="str">
        <f>IF(E19=Einheitenvorsätze!$A$19,_xlfn.CONCAT(D19,F19),_xlfn.CONCAT(D19,E19,F19))</f>
        <v>1879.64Ω</v>
      </c>
      <c r="L19" s="77" t="str">
        <f t="shared" ref="L19:L21" si="10">_xlfn.CONCAT(I19,K19)</f>
        <v>ZRC = 1879.64Ω</v>
      </c>
      <c r="M19" s="77" t="str">
        <f t="shared" ref="M19:M21" si="11">_xlfn.CONCAT(I19,J19)</f>
        <v>ZRC = 1879.64Ω</v>
      </c>
      <c r="O19" s="8" t="s">
        <v>878</v>
      </c>
      <c r="P19" s="77">
        <f>ATAN2(H7,-H15)</f>
        <v>-1.0098143717607519</v>
      </c>
      <c r="Q19" s="5" t="s">
        <v>202</v>
      </c>
      <c r="R19" s="77">
        <f>DEGREES(P19)</f>
        <v>-57.85810159354579</v>
      </c>
      <c r="S19" s="5" t="s">
        <v>201</v>
      </c>
      <c r="T19" s="77" t="str">
        <f>_xlfn.CONCAT(O19,ROUND(R19,1),S19)</f>
        <v>φ = -57.9°</v>
      </c>
    </row>
    <row r="20" spans="2:34" ht="16.5" x14ac:dyDescent="0.45">
      <c r="C20" s="8" t="s">
        <v>876</v>
      </c>
      <c r="D20" s="77">
        <f>ROUND(SQRT(H7^2 + H16^2)/10^G20,2)</f>
        <v>1031.0999999999999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1031.0999999999999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1031.1Ω</v>
      </c>
      <c r="K20" s="77" t="str">
        <f>IF(E20=Einheitenvorsätze!$A$19,_xlfn.CONCAT(D20,F20),_xlfn.CONCAT(D20,E20,F20))</f>
        <v>1031.1Ω</v>
      </c>
      <c r="L20" s="77" t="str">
        <f t="shared" si="10"/>
        <v>ZRL = 1031.1Ω</v>
      </c>
      <c r="M20" s="77" t="str">
        <f t="shared" si="11"/>
        <v>ZRL = 1031.1Ω</v>
      </c>
      <c r="O20" s="8" t="s">
        <v>878</v>
      </c>
      <c r="P20" s="77">
        <f>ATAN2(H7,H16)</f>
        <v>0.24622759004774283</v>
      </c>
      <c r="Q20" s="5" t="s">
        <v>202</v>
      </c>
      <c r="R20" s="77">
        <f>DEGREES(P20)</f>
        <v>14.107801709413097</v>
      </c>
      <c r="S20" s="5" t="s">
        <v>201</v>
      </c>
      <c r="T20" s="77" t="str">
        <f>_xlfn.CONCAT(O20,ROUND(R20,1),S20)</f>
        <v>φ = 14.1°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1672.18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1672.18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1672.18Ω</v>
      </c>
      <c r="K21" s="77" t="str">
        <f>IF(E21=Einheitenvorsätze!$A$19,_xlfn.CONCAT(D21,F21),_xlfn.CONCAT(D21,E21,F21))</f>
        <v>1672.18Ω</v>
      </c>
      <c r="L21" s="77" t="str">
        <f t="shared" si="10"/>
        <v>ZRLC = 1672.18Ω</v>
      </c>
      <c r="M21" s="77" t="str">
        <f t="shared" si="11"/>
        <v>ZRLC = 1672.18Ω</v>
      </c>
      <c r="O21" s="8" t="s">
        <v>878</v>
      </c>
      <c r="P21" s="77">
        <f>ATAN2(H7,IF(H19&gt;H20,-H21,H21))</f>
        <v>-1.0318326960693467</v>
      </c>
      <c r="Q21" s="5" t="s">
        <v>202</v>
      </c>
      <c r="R21" s="77">
        <f>DEGREES(P21)</f>
        <v>-59.119658648378575</v>
      </c>
      <c r="S21" s="5" t="s">
        <v>201</v>
      </c>
      <c r="T21" s="77" t="str">
        <f>_xlfn.CONCAT(O21,ROUND(R21,1),S21)</f>
        <v>φ = -59.1°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1kΩ</v>
      </c>
      <c r="Z25" s="403" t="str">
        <f>IF($X$2=$R$2,$L$12,_xlfn.CONCAT($C$12,"?"))</f>
        <v>ω = 6283.1853(1/s)</v>
      </c>
      <c r="AA25" s="408"/>
      <c r="AB25">
        <f>$H$7</f>
        <v>1000</v>
      </c>
      <c r="AC25" s="1" t="s">
        <v>891</v>
      </c>
      <c r="AD25">
        <v>0</v>
      </c>
      <c r="AE25">
        <f>IF($X$2=$R$2,AB25,0)</f>
        <v>1000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40mH</v>
      </c>
      <c r="Z26" s="403" t="str">
        <f>IF($X$2=$R$2,$L$16,_xlfn.CONCAT($C$16,"?"))</f>
        <v>XL = 251.3274Ω</v>
      </c>
      <c r="AA26" s="408"/>
      <c r="AB26">
        <f>$H$16</f>
        <v>251.32740000000001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251.32740000000001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1031.1Ω</v>
      </c>
      <c r="AA27" s="408"/>
      <c r="AB27">
        <f>ABS(MAX(AB25:AB26))*1.1</f>
        <v>1100</v>
      </c>
      <c r="AC27" s="1" t="s">
        <v>894</v>
      </c>
      <c r="AD27">
        <f>-AB27</f>
        <v>-1100</v>
      </c>
      <c r="AE27">
        <f>AB27</f>
        <v>1100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14.1°</v>
      </c>
      <c r="AA28" s="408"/>
      <c r="AD28">
        <v>0</v>
      </c>
      <c r="AE28">
        <v>0</v>
      </c>
      <c r="AG28">
        <f>AD27</f>
        <v>-1100</v>
      </c>
      <c r="AH28">
        <f>AE27</f>
        <v>1100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1000</v>
      </c>
      <c r="AG29">
        <v>0</v>
      </c>
      <c r="AH29">
        <f>AH26</f>
        <v>251.32740000000001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1000</v>
      </c>
      <c r="AC45" s="1" t="s">
        <v>891</v>
      </c>
      <c r="AD45">
        <v>0</v>
      </c>
      <c r="AE45">
        <f>IF($X$2=$R$2,AB45,0)</f>
        <v>1000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1591.55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-1591.55</v>
      </c>
    </row>
    <row r="47" spans="22:34" ht="18.5" x14ac:dyDescent="0.45">
      <c r="V47" s="407"/>
      <c r="X47" s="402" t="str">
        <f>$L$7</f>
        <v>R = 1kΩ</v>
      </c>
      <c r="Z47" s="403" t="str">
        <f>IF($X$2=$R$2,$L$12,_xlfn.CONCAT($C$12,"?"))</f>
        <v>ω = 6283.1853(1/s)</v>
      </c>
      <c r="AA47" s="408"/>
      <c r="AB47">
        <f>$H$16</f>
        <v>251.32740000000001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251.32740000000001</v>
      </c>
    </row>
    <row r="48" spans="22:34" ht="18.5" x14ac:dyDescent="0.45">
      <c r="V48" s="407"/>
      <c r="X48" s="402" t="str">
        <f>$L$9</f>
        <v>L = 40mH</v>
      </c>
      <c r="Z48" s="403" t="str">
        <f>IF($X$2=$R$2,$L$16,_xlfn.CONCAT($C$16,"?"))</f>
        <v>XL = 251.3274Ω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-1340.2226000000001</v>
      </c>
    </row>
    <row r="49" spans="22:34" ht="18.5" x14ac:dyDescent="0.45">
      <c r="V49" s="407"/>
      <c r="X49" s="402" t="str">
        <f>$L$8</f>
        <v>C = 0.1µF</v>
      </c>
      <c r="Z49" s="403" t="str">
        <f>IF($X$2=$R$2,$L$15,_xlfn.CONCAT($C$15,"?"))</f>
        <v>XC = 1591.55Ω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1672.18Ω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-59.1°</v>
      </c>
      <c r="AA51" s="408"/>
      <c r="AC51" s="1" t="s">
        <v>896</v>
      </c>
      <c r="AD51">
        <v>0</v>
      </c>
      <c r="AE51">
        <f>AE45</f>
        <v>1000</v>
      </c>
      <c r="AG51">
        <v>0</v>
      </c>
      <c r="AH51">
        <f>AH48</f>
        <v>-1340.2226000000001</v>
      </c>
    </row>
    <row r="52" spans="22:34" x14ac:dyDescent="0.35">
      <c r="V52" s="407"/>
      <c r="AA52" s="408"/>
      <c r="AB52">
        <f>ABS(MAX(AB45:AB47))*1.1</f>
        <v>1750.7050000000002</v>
      </c>
      <c r="AC52" s="1" t="s">
        <v>894</v>
      </c>
      <c r="AD52">
        <f>-AB52</f>
        <v>-1750.7050000000002</v>
      </c>
      <c r="AE52">
        <f>AB52</f>
        <v>1750.7050000000002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-1750.7050000000002</v>
      </c>
      <c r="AH53">
        <f>AE52</f>
        <v>1750.7050000000002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251.32740000000001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E8" sqref="E8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3.3632812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905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879</v>
      </c>
      <c r="I4" s="4" t="s">
        <v>65</v>
      </c>
    </row>
    <row r="5" spans="2:19" ht="16.5" customHeight="1" x14ac:dyDescent="0.35">
      <c r="C5" s="425"/>
    </row>
    <row r="6" spans="2:19" ht="16.5" customHeight="1" x14ac:dyDescent="0.45">
      <c r="C6" s="8" t="s">
        <v>906</v>
      </c>
      <c r="D6" s="4">
        <v>55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865</v>
      </c>
      <c r="D7" s="4">
        <v>1500</v>
      </c>
      <c r="E7" s="4" t="s">
        <v>822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6</v>
      </c>
      <c r="H7" s="77">
        <f>D7*VLOOKUP(E7, CHOOSE({1,2,3,4}, Einheitenvorsätze!A:A, Einheitenvorsätze!B:B, Einheitenvorsätze!C:C, Einheitenvorsätze!D:D), 3, FALSE)</f>
        <v>1500000000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10⁶Ω</v>
      </c>
      <c r="K7" s="77" t="str">
        <f>IF(E7=Einheitenvorsätze!$A$19,_xlfn.CONCAT(D7,F7),_xlfn.CONCAT(D7,E7,F7))</f>
        <v>1500MeΩ</v>
      </c>
      <c r="L7" s="77" t="str">
        <f>_xlfn.CONCAT(I7,K7)</f>
        <v>R = 1500MeΩ</v>
      </c>
      <c r="M7" s="77" t="str">
        <f>_xlfn.CONCAT(I7,J7)</f>
        <v>R = 1500 * 10⁶Ω</v>
      </c>
    </row>
    <row r="8" spans="2:19" ht="16.5" customHeight="1" x14ac:dyDescent="0.35">
      <c r="C8" s="8" t="s">
        <v>866</v>
      </c>
      <c r="D8" s="4">
        <v>12</v>
      </c>
      <c r="E8" s="4" t="s">
        <v>722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440</v>
      </c>
      <c r="D9" s="4">
        <v>15</v>
      </c>
      <c r="E9" s="4" t="s">
        <v>707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0</v>
      </c>
      <c r="H9" s="77">
        <f>D9*VLOOKUP(E9, CHOOSE({1,2,3,4}, Einheitenvorsätze!A:A, Einheitenvorsätze!B:B, Einheitenvorsätze!C:C, Einheitenvorsätze!D:D), 3, FALSE)</f>
        <v>15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15s</v>
      </c>
      <c r="K9" s="77" t="str">
        <f>IF(E9=Einheitenvorsätze!$A$19,_xlfn.CONCAT(D9,F9),_xlfn.CONCAT(D9,E9,F9))</f>
        <v>15s</v>
      </c>
      <c r="L9" s="77" t="str">
        <f>_xlfn.CONCAT(I9,K9)</f>
        <v>t = 15s</v>
      </c>
      <c r="M9" s="77" t="str">
        <f>_xlfn.CONCAT(I9,J9)</f>
        <v>t = 15s</v>
      </c>
      <c r="O9" s="339" t="str">
        <f>_xlfn.CONCAT(C9,"-",Einheitenvorsätze!C56," * ln(1 - UC/U0)")</f>
        <v>t = -τ * ln(1 - UC/U0)</v>
      </c>
      <c r="R9" s="424">
        <f xml:space="preserve"> -D11 * LN(1 - D12/D6)</f>
        <v>15.000001105389165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18</v>
      </c>
      <c r="E11" s="4" t="s">
        <v>707</v>
      </c>
      <c r="F11" s="5" t="s">
        <v>745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18</v>
      </c>
      <c r="I11" s="401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18s</v>
      </c>
      <c r="K11" s="77" t="str">
        <f>IF(E11=Einheitenvorsätze!$A$19,_xlfn.CONCAT(D11,F11),_xlfn.CONCAT(D11,E11,F11))</f>
        <v>18s</v>
      </c>
      <c r="L11" s="77" t="str">
        <f t="shared" ref="L11" si="3">_xlfn.CONCAT(I11,K11)</f>
        <v xml:space="preserve"> τ = 18s</v>
      </c>
      <c r="M11" s="77" t="str">
        <f t="shared" ref="M11" si="4">_xlfn.CONCAT(I11,J11)</f>
        <v xml:space="preserve"> τ = 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24">
        <f xml:space="preserve"> -D9 / LN(1 - D12/D6)</f>
        <v>17.999998673533099</v>
      </c>
    </row>
    <row r="12" spans="2:19" ht="18.5" x14ac:dyDescent="0.45">
      <c r="B12" s="421" t="s">
        <v>915</v>
      </c>
      <c r="C12" s="8" t="str">
        <f>_xlfn.CONCAT(" UC = ")</f>
        <v xml:space="preserve"> UC = </v>
      </c>
      <c r="D12" s="77">
        <f>ROUND(H6*(1-EXP(-H9/H11))/10^G12,4)</f>
        <v>31.097100000000001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31.097100000000001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31.0971V</v>
      </c>
      <c r="K12" s="77" t="str">
        <f>IF(E12=Einheitenvorsätze!$A$19,_xlfn.CONCAT(D12,F12),_xlfn.CONCAT(D12,E12,F12))</f>
        <v>31.0971V</v>
      </c>
      <c r="L12" s="77" t="str">
        <f t="shared" ref="L12" si="6">_xlfn.CONCAT(I12,K12)</f>
        <v xml:space="preserve"> UC = 31.0971V</v>
      </c>
      <c r="M12" s="77" t="str">
        <f t="shared" ref="M12" si="7">_xlfn.CONCAT(I12,J12)</f>
        <v xml:space="preserve"> UC = 31.0971V</v>
      </c>
      <c r="N12" s="426" t="s">
        <v>915</v>
      </c>
      <c r="O12" s="339" t="str">
        <f>_xlfn.CONCAT("UC(t) = U0(1 - e^(-t/",Einheitenvorsätze!C56,"))")</f>
        <v>UC(t) = U0(1 - e^(-t/τ))</v>
      </c>
      <c r="R12" s="424">
        <f xml:space="preserve"> D6*(1 - EXP(-D9/D11))</f>
        <v>31.097098532110699</v>
      </c>
    </row>
    <row r="13" spans="2:19" ht="18.5" x14ac:dyDescent="0.45">
      <c r="B13" s="421" t="s">
        <v>916</v>
      </c>
      <c r="C13" s="8" t="str">
        <f>_xlfn.CONCAT(" UC = ")</f>
        <v xml:space="preserve"> UC = </v>
      </c>
      <c r="D13" s="77">
        <f>ROUND(H6*(EXP(-H9/H11))/10^G12,4)</f>
        <v>23.902899999999999</v>
      </c>
      <c r="E13" s="4" t="s">
        <v>707</v>
      </c>
      <c r="F13" s="5" t="s">
        <v>320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23.902899999999999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23.9029V</v>
      </c>
      <c r="K13" s="77" t="str">
        <f>IF(E13=Einheitenvorsätze!$A$19,_xlfn.CONCAT(D13,F13),_xlfn.CONCAT(D13,E13,F13))</f>
        <v>23.9029V</v>
      </c>
      <c r="L13" s="77" t="str">
        <f t="shared" ref="L13" si="9">_xlfn.CONCAT(I13,K13)</f>
        <v xml:space="preserve"> UC = 23.9029V</v>
      </c>
      <c r="M13" s="77" t="str">
        <f t="shared" ref="M13" si="10">_xlfn.CONCAT(I13,J13)</f>
        <v xml:space="preserve"> UC = 23.9029V</v>
      </c>
      <c r="N13" s="426" t="s">
        <v>916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911</v>
      </c>
      <c r="O16" s="77">
        <f>-H9/H11</f>
        <v>-0.83333333333333337</v>
      </c>
      <c r="R16" s="422" t="str">
        <f>_xlfn.CONCAT("t / ", Einheitenvorsätze!C56)</f>
        <v>t / τ</v>
      </c>
      <c r="S16" s="422" t="s">
        <v>914</v>
      </c>
    </row>
    <row r="17" spans="2:26" x14ac:dyDescent="0.35">
      <c r="B17" s="407"/>
      <c r="L17" s="408"/>
      <c r="N17" s="8" t="s">
        <v>912</v>
      </c>
      <c r="O17" s="77">
        <f>EXP(O16)</f>
        <v>0.4345982085070782</v>
      </c>
      <c r="R17" s="95">
        <v>0</v>
      </c>
      <c r="S17" s="423">
        <f>1-EXP(-R17)</f>
        <v>0</v>
      </c>
    </row>
    <row r="18" spans="2:26" x14ac:dyDescent="0.35">
      <c r="B18" s="407"/>
      <c r="I18" s="5" t="s">
        <v>881</v>
      </c>
      <c r="K18" s="5" t="s">
        <v>880</v>
      </c>
      <c r="L18" s="408"/>
      <c r="N18" s="8" t="s">
        <v>913</v>
      </c>
      <c r="O18" s="77">
        <f>1-O17</f>
        <v>0.5654017914929218</v>
      </c>
      <c r="R18" s="95">
        <v>1</v>
      </c>
      <c r="S18" s="423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1500MeΩ</v>
      </c>
      <c r="K19" s="403" t="str">
        <f>IF($I$4=$R$2,$L$11,_xlfn.CONCAT($C$11,"?"))</f>
        <v xml:space="preserve"> τ = ?</v>
      </c>
      <c r="L19" s="408"/>
      <c r="R19" s="95">
        <v>2</v>
      </c>
      <c r="S19" s="423">
        <f t="shared" si="11"/>
        <v>0.8646647167633873</v>
      </c>
    </row>
    <row r="20" spans="2:26" ht="18.5" x14ac:dyDescent="0.45">
      <c r="B20" s="407"/>
      <c r="I20" s="402" t="str">
        <f>$L$8</f>
        <v>C = 12nF</v>
      </c>
      <c r="K20" s="403" t="str">
        <f>IF($I$4=$R$2,$L$12,_xlfn.CONCAT($C$12,"?"))</f>
        <v xml:space="preserve"> UC = ?</v>
      </c>
      <c r="L20" s="420">
        <f>$H$12/$H$6</f>
        <v>0.56540181818181823</v>
      </c>
      <c r="R20" s="95">
        <v>3</v>
      </c>
      <c r="S20" s="423">
        <f t="shared" si="11"/>
        <v>0.95021293163213605</v>
      </c>
    </row>
    <row r="21" spans="2:26" ht="18.5" x14ac:dyDescent="0.45">
      <c r="B21" s="407"/>
      <c r="I21" s="402" t="str">
        <f>$L$6</f>
        <v>U0 = 55V</v>
      </c>
      <c r="K21" s="419"/>
      <c r="L21" s="408"/>
      <c r="R21" s="95">
        <v>4</v>
      </c>
      <c r="S21" s="423">
        <f t="shared" si="11"/>
        <v>0.98168436111126578</v>
      </c>
    </row>
    <row r="22" spans="2:26" ht="18.5" x14ac:dyDescent="0.45">
      <c r="B22" s="407"/>
      <c r="I22" s="402" t="str">
        <f>$L$9</f>
        <v>t = 15s</v>
      </c>
      <c r="K22" s="419"/>
      <c r="L22" s="408"/>
      <c r="R22" s="95">
        <v>5</v>
      </c>
      <c r="S22" s="423">
        <f t="shared" si="11"/>
        <v>0.99326205300091452</v>
      </c>
    </row>
    <row r="23" spans="2:26" x14ac:dyDescent="0.35">
      <c r="B23" s="407"/>
      <c r="L23" s="408"/>
      <c r="R23" s="95">
        <v>6</v>
      </c>
      <c r="S23" s="423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s</v>
      </c>
      <c r="Y30" t="s">
        <v>920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</v>
      </c>
      <c r="E31" s="77">
        <f t="shared" si="12"/>
        <v>4</v>
      </c>
      <c r="F31" s="77">
        <f t="shared" si="12"/>
        <v>6</v>
      </c>
      <c r="G31" s="77">
        <f t="shared" si="12"/>
        <v>8</v>
      </c>
      <c r="H31" s="77">
        <f t="shared" si="12"/>
        <v>10</v>
      </c>
      <c r="I31" s="77">
        <f t="shared" si="12"/>
        <v>12</v>
      </c>
      <c r="J31" s="77">
        <f t="shared" si="12"/>
        <v>14</v>
      </c>
      <c r="K31" s="77">
        <f t="shared" si="12"/>
        <v>16</v>
      </c>
      <c r="L31" s="77">
        <f t="shared" si="12"/>
        <v>18</v>
      </c>
      <c r="M31" s="77">
        <f t="shared" si="12"/>
        <v>20</v>
      </c>
      <c r="N31" s="77">
        <f t="shared" si="12"/>
        <v>22</v>
      </c>
      <c r="O31" s="77">
        <f t="shared" si="12"/>
        <v>24</v>
      </c>
      <c r="P31" s="77">
        <f t="shared" si="12"/>
        <v>26</v>
      </c>
      <c r="Q31" s="77">
        <f t="shared" si="12"/>
        <v>28</v>
      </c>
      <c r="R31" s="77">
        <f t="shared" si="12"/>
        <v>30</v>
      </c>
      <c r="S31" s="77">
        <f t="shared" si="12"/>
        <v>32</v>
      </c>
      <c r="T31" s="77">
        <f t="shared" si="12"/>
        <v>34</v>
      </c>
      <c r="U31" s="77">
        <f t="shared" si="12"/>
        <v>36</v>
      </c>
      <c r="V31" s="77">
        <f t="shared" si="12"/>
        <v>38</v>
      </c>
      <c r="W31" s="77">
        <f t="shared" si="12"/>
        <v>40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917</v>
      </c>
      <c r="B33" s="292" t="s">
        <v>907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26.762058453207434</v>
      </c>
      <c r="J33" s="212">
        <f t="shared" si="14"/>
        <v>29.731579678024037</v>
      </c>
      <c r="K33" s="212">
        <f t="shared" si="14"/>
        <v>32.388824022104686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40.502157403635024</v>
      </c>
      <c r="P33" s="212">
        <f t="shared" si="14"/>
        <v>42.026760435786493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47.556559421986293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918</v>
      </c>
      <c r="B34" s="292" t="s">
        <v>919</v>
      </c>
      <c r="C34" s="212">
        <f>$D$6*EXP(-C32/($H$7*$H$8))</f>
        <v>55</v>
      </c>
      <c r="D34" s="212">
        <f t="shared" ref="D34:W34" si="15">$D$6*EXP(-D32/($H$7*$H$8))</f>
        <v>49.21616242479034</v>
      </c>
      <c r="E34" s="212">
        <f t="shared" si="15"/>
        <v>44.040557160424441</v>
      </c>
      <c r="F34" s="212">
        <f t="shared" si="15"/>
        <v>39.409222081558411</v>
      </c>
      <c r="G34" s="212">
        <f t="shared" si="15"/>
        <v>35.264921363647503</v>
      </c>
      <c r="H34" s="212">
        <f t="shared" si="15"/>
        <v>31.556438140558807</v>
      </c>
      <c r="I34" s="212">
        <f t="shared" si="15"/>
        <v>28.237941546792566</v>
      </c>
      <c r="J34" s="212">
        <f t="shared" si="15"/>
        <v>25.268420321975963</v>
      </c>
      <c r="K34" s="212">
        <f t="shared" si="15"/>
        <v>22.611175977895314</v>
      </c>
      <c r="L34" s="212">
        <f t="shared" si="15"/>
        <v>20.233369264429331</v>
      </c>
      <c r="M34" s="212">
        <f t="shared" si="15"/>
        <v>18.105614329434808</v>
      </c>
      <c r="N34" s="212">
        <f t="shared" si="15"/>
        <v>16.201615557055913</v>
      </c>
      <c r="O34" s="212">
        <f t="shared" si="15"/>
        <v>14.497842596364976</v>
      </c>
      <c r="P34" s="212">
        <f t="shared" si="15"/>
        <v>12.973239564213504</v>
      </c>
      <c r="Q34" s="212">
        <f t="shared" si="15"/>
        <v>11.608964828509963</v>
      </c>
      <c r="R34" s="212">
        <f t="shared" si="15"/>
        <v>10.388158156065906</v>
      </c>
      <c r="S34" s="212">
        <f t="shared" si="15"/>
        <v>9.2957323473336366</v>
      </c>
      <c r="T34" s="212">
        <f t="shared" si="15"/>
        <v>8.3181867829772695</v>
      </c>
      <c r="U34" s="212">
        <f t="shared" si="15"/>
        <v>7.4434405780137016</v>
      </c>
      <c r="V34" s="212">
        <f t="shared" si="15"/>
        <v>6.6606832815781374</v>
      </c>
      <c r="W34" s="212">
        <f t="shared" si="15"/>
        <v>5.9602412772042754</v>
      </c>
    </row>
    <row r="39" spans="1:25" x14ac:dyDescent="0.35">
      <c r="I39" s="5" t="s">
        <v>909</v>
      </c>
      <c r="J39" s="5"/>
    </row>
    <row r="40" spans="1:25" x14ac:dyDescent="0.35">
      <c r="I40" s="5">
        <f>H11/10^G11</f>
        <v>18</v>
      </c>
      <c r="J40" s="5">
        <f>I40</f>
        <v>18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317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908</v>
      </c>
      <c r="J43" s="5"/>
      <c r="N43" s="8" t="s">
        <v>910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18</v>
      </c>
      <c r="N44" s="427" t="s">
        <v>922</v>
      </c>
      <c r="O44" s="428">
        <f>1-EXP(-O43)</f>
        <v>0</v>
      </c>
      <c r="P44" s="428">
        <f t="shared" ref="P44:Q44" si="17">1-EXP(-P43)</f>
        <v>0.63212055882855767</v>
      </c>
      <c r="Q44" s="428">
        <f t="shared" si="17"/>
        <v>0.8646647167633873</v>
      </c>
      <c r="R44" s="428">
        <f>1-EXP(-R43)</f>
        <v>0.95021293163213605</v>
      </c>
      <c r="S44" s="428">
        <f t="shared" ref="S44" si="18">1-EXP(-S43)</f>
        <v>0.98168436111126578</v>
      </c>
      <c r="T44" s="428">
        <f t="shared" ref="T44" si="19">1-EXP(-T43)</f>
        <v>0.99326205300091452</v>
      </c>
      <c r="U44" s="428">
        <f>1-EXP(-U43)</f>
        <v>0.99752124782333362</v>
      </c>
      <c r="V44" s="428">
        <f t="shared" ref="V44" si="20">1-EXP(-V43)</f>
        <v>0.99908811803444553</v>
      </c>
      <c r="W44" s="428">
        <f t="shared" ref="W44" si="21">1-EXP(-W43)</f>
        <v>0.99966453737209748</v>
      </c>
      <c r="X44" s="428">
        <f>1-EXP(-X43)</f>
        <v>0.99987659019591335</v>
      </c>
      <c r="Y44" s="428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9" t="s">
        <v>921</v>
      </c>
      <c r="O45" s="430">
        <f>EXP(-O43)</f>
        <v>1</v>
      </c>
      <c r="P45" s="430">
        <f t="shared" ref="P45:Y45" si="23">EXP(-P43)</f>
        <v>0.36787944117144233</v>
      </c>
      <c r="Q45" s="430">
        <f t="shared" si="23"/>
        <v>0.1353352832366127</v>
      </c>
      <c r="R45" s="430">
        <f t="shared" si="23"/>
        <v>4.9787068367863944E-2</v>
      </c>
      <c r="S45" s="430">
        <f t="shared" si="23"/>
        <v>1.8315638888734179E-2</v>
      </c>
      <c r="T45" s="430">
        <f t="shared" si="23"/>
        <v>6.737946999085467E-3</v>
      </c>
      <c r="U45" s="430">
        <f t="shared" si="23"/>
        <v>2.4787521766663585E-3</v>
      </c>
      <c r="V45" s="430">
        <f t="shared" si="23"/>
        <v>9.1188196555451624E-4</v>
      </c>
      <c r="W45" s="430">
        <f t="shared" si="23"/>
        <v>3.3546262790251185E-4</v>
      </c>
      <c r="X45" s="430">
        <f t="shared" si="23"/>
        <v>1.2340980408667956E-4</v>
      </c>
      <c r="Y45" s="430">
        <f t="shared" si="23"/>
        <v>4.5399929762484854E-5</v>
      </c>
    </row>
    <row r="72" spans="8:9" x14ac:dyDescent="0.35">
      <c r="H72" s="5" t="s">
        <v>909</v>
      </c>
      <c r="I72" s="5"/>
    </row>
    <row r="73" spans="8:9" x14ac:dyDescent="0.35">
      <c r="H73" s="77">
        <f>H11/10^G11</f>
        <v>18</v>
      </c>
      <c r="I73" s="77">
        <f>H73</f>
        <v>18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908</v>
      </c>
      <c r="I76" s="5"/>
    </row>
    <row r="77" spans="8:9" x14ac:dyDescent="0.35">
      <c r="H77" s="77">
        <v>0</v>
      </c>
      <c r="I77" s="77">
        <f>I73</f>
        <v>18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>
      <selection activeCell="C2" sqref="C2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115" zoomScaleNormal="115" workbookViewId="0">
      <selection activeCell="L3" sqref="L3:M4"/>
    </sheetView>
  </sheetViews>
  <sheetFormatPr baseColWidth="10" defaultRowHeight="14.5" x14ac:dyDescent="0.35"/>
  <cols>
    <col min="1" max="1" width="2.453125" customWidth="1"/>
    <col min="2" max="5" width="16.1796875" customWidth="1"/>
    <col min="6" max="6" width="13.54296875" customWidth="1"/>
    <col min="7" max="7" width="18.54296875" customWidth="1"/>
    <col min="8" max="8" width="9.453125" customWidth="1"/>
    <col min="9" max="11" width="9.5429687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315</v>
      </c>
      <c r="BC2" s="310" t="s">
        <v>616</v>
      </c>
      <c r="BD2" s="310"/>
    </row>
    <row r="3" spans="3:71" x14ac:dyDescent="0.35">
      <c r="L3" s="5" t="s">
        <v>64</v>
      </c>
      <c r="M3" s="5" t="s">
        <v>298</v>
      </c>
      <c r="BC3" s="77">
        <f>AZ10</f>
        <v>50</v>
      </c>
      <c r="BD3" s="77">
        <f>BC3</f>
        <v>50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1.9696155060244163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317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615</v>
      </c>
      <c r="BA9" s="5"/>
      <c r="BC9" s="5" t="s">
        <v>195</v>
      </c>
      <c r="BD9" s="5"/>
      <c r="BE9" s="5"/>
      <c r="BF9" s="5"/>
      <c r="BG9" s="5" t="s">
        <v>621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617</v>
      </c>
      <c r="D10" s="5"/>
      <c r="E10" s="5"/>
      <c r="F10" s="8" t="s">
        <v>415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50</v>
      </c>
      <c r="BA10" s="113" t="s">
        <v>298</v>
      </c>
      <c r="BC10" s="5" t="s">
        <v>206</v>
      </c>
      <c r="BD10" s="5" t="s">
        <v>207</v>
      </c>
      <c r="BE10" s="8" t="s">
        <v>415</v>
      </c>
      <c r="BF10" s="8" t="s">
        <v>416</v>
      </c>
      <c r="BG10" s="95" t="s">
        <v>619</v>
      </c>
      <c r="BH10" s="95" t="s">
        <v>620</v>
      </c>
      <c r="BI10" s="95" t="s">
        <v>622</v>
      </c>
      <c r="BJ10" s="95" t="s">
        <v>227</v>
      </c>
      <c r="BK10" s="95" t="s">
        <v>623</v>
      </c>
      <c r="BL10" s="95" t="s">
        <v>619</v>
      </c>
      <c r="BM10" s="95" t="s">
        <v>620</v>
      </c>
      <c r="BN10" s="95" t="s">
        <v>624</v>
      </c>
      <c r="BO10" s="95" t="s">
        <v>625</v>
      </c>
      <c r="BP10" s="95" t="s">
        <v>622</v>
      </c>
      <c r="BQ10" s="95" t="s">
        <v>626</v>
      </c>
      <c r="BR10" s="95" t="s">
        <v>627</v>
      </c>
      <c r="BS10" s="95" t="s">
        <v>628</v>
      </c>
    </row>
    <row r="11" spans="3:71" x14ac:dyDescent="0.35">
      <c r="C11" s="5" t="s">
        <v>618</v>
      </c>
      <c r="D11" s="5" t="s">
        <v>629</v>
      </c>
      <c r="E11" s="5" t="s">
        <v>927</v>
      </c>
      <c r="F11" s="8" t="s">
        <v>415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632</v>
      </c>
      <c r="AZ11" s="309">
        <f>IF($BA$10=$M$3,AZ10*PI()/180,H10)</f>
        <v>0.87266462599716477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2</v>
      </c>
      <c r="BL11" s="77">
        <v>0</v>
      </c>
      <c r="BM11" s="77">
        <f>BK11</f>
        <v>2</v>
      </c>
      <c r="BN11" s="77">
        <v>0</v>
      </c>
      <c r="BO11" s="77">
        <f>-BK11</f>
        <v>-2</v>
      </c>
      <c r="BP11" s="77">
        <f>BM11</f>
        <v>2</v>
      </c>
      <c r="BQ11" s="77">
        <v>0</v>
      </c>
      <c r="BR11" s="77">
        <f>BO11</f>
        <v>-2</v>
      </c>
      <c r="BS11" s="77">
        <v>0</v>
      </c>
    </row>
    <row r="12" spans="3:71" ht="18.5" x14ac:dyDescent="0.45">
      <c r="C12" s="4">
        <v>2</v>
      </c>
      <c r="D12" s="4">
        <v>0</v>
      </c>
      <c r="E12" s="4"/>
      <c r="F12" s="279" t="s">
        <v>316</v>
      </c>
      <c r="G12" s="279" t="str">
        <f>_xlfn.CONCAT(C12, IF(D12=0," * sin(x) =",IF(D12&lt;0,_xlfn.CONCAT(" * sin(x - ",ABS(D12),") ="),_xlfn.CONCAT(" * sin(x + ",D12,") ="))))</f>
        <v>2 * sin(x) =</v>
      </c>
      <c r="H12" s="212">
        <f t="shared" ref="H12:AV12" si="3">IF($AX$12=$L$3,$C$12*SIN(H11+RADIANS($D$12)),0)</f>
        <v>0</v>
      </c>
      <c r="I12" s="212">
        <f t="shared" si="3"/>
        <v>0.34729635533386066</v>
      </c>
      <c r="J12" s="212">
        <f t="shared" si="3"/>
        <v>0.68404028665133743</v>
      </c>
      <c r="K12" s="212">
        <f t="shared" si="3"/>
        <v>0.99999999999999989</v>
      </c>
      <c r="L12" s="212">
        <f t="shared" si="3"/>
        <v>1.2855752193730785</v>
      </c>
      <c r="M12" s="212">
        <f t="shared" si="3"/>
        <v>1.532088886237956</v>
      </c>
      <c r="N12" s="212">
        <f t="shared" si="3"/>
        <v>1.7320508075688772</v>
      </c>
      <c r="O12" s="212">
        <f t="shared" si="3"/>
        <v>1.8793852415718166</v>
      </c>
      <c r="P12" s="212">
        <f t="shared" si="3"/>
        <v>1.969615506024416</v>
      </c>
      <c r="Q12" s="212">
        <f t="shared" si="3"/>
        <v>2</v>
      </c>
      <c r="R12" s="212">
        <f t="shared" si="3"/>
        <v>1.969615506024416</v>
      </c>
      <c r="S12" s="212">
        <f t="shared" si="3"/>
        <v>1.8793852415718169</v>
      </c>
      <c r="T12" s="212">
        <f t="shared" si="3"/>
        <v>1.7320508075688774</v>
      </c>
      <c r="U12" s="212">
        <f t="shared" si="3"/>
        <v>1.532088886237956</v>
      </c>
      <c r="V12" s="212">
        <f t="shared" si="3"/>
        <v>1.2855752193730789</v>
      </c>
      <c r="W12" s="212">
        <f t="shared" si="3"/>
        <v>0.99999999999999989</v>
      </c>
      <c r="X12" s="212">
        <f t="shared" si="3"/>
        <v>0.68404028665133776</v>
      </c>
      <c r="Y12" s="212">
        <f t="shared" si="3"/>
        <v>0.34729635533386055</v>
      </c>
      <c r="Z12" s="212">
        <f t="shared" si="3"/>
        <v>2.45029690981724E-16</v>
      </c>
      <c r="AA12" s="212">
        <f t="shared" si="3"/>
        <v>-0.34729635533386094</v>
      </c>
      <c r="AB12" s="212">
        <f t="shared" si="3"/>
        <v>-0.68404028665133731</v>
      </c>
      <c r="AC12" s="212">
        <f t="shared" si="3"/>
        <v>-1.0000000000000002</v>
      </c>
      <c r="AD12" s="212">
        <f t="shared" si="3"/>
        <v>-1.2855752193730785</v>
      </c>
      <c r="AE12" s="212">
        <f t="shared" si="3"/>
        <v>-1.5320888862379558</v>
      </c>
      <c r="AF12" s="212">
        <f t="shared" si="3"/>
        <v>-1.7320508075688767</v>
      </c>
      <c r="AG12" s="212">
        <f t="shared" si="3"/>
        <v>-1.8793852415718164</v>
      </c>
      <c r="AH12" s="212">
        <f t="shared" si="3"/>
        <v>-1.969615506024416</v>
      </c>
      <c r="AI12" s="212">
        <f t="shared" si="3"/>
        <v>-2</v>
      </c>
      <c r="AJ12" s="212">
        <f t="shared" si="3"/>
        <v>-1.9696155060244163</v>
      </c>
      <c r="AK12" s="212">
        <f t="shared" si="3"/>
        <v>-1.8793852415718171</v>
      </c>
      <c r="AL12" s="212">
        <f t="shared" si="3"/>
        <v>-1.7320508075688772</v>
      </c>
      <c r="AM12" s="212">
        <f t="shared" si="3"/>
        <v>-1.5320888862379562</v>
      </c>
      <c r="AN12" s="212">
        <f t="shared" si="3"/>
        <v>-1.2855752193730792</v>
      </c>
      <c r="AO12" s="212">
        <f t="shared" si="3"/>
        <v>-1.0000000000000009</v>
      </c>
      <c r="AP12" s="212">
        <f t="shared" si="3"/>
        <v>-0.6840402866513372</v>
      </c>
      <c r="AQ12" s="212">
        <f t="shared" si="3"/>
        <v>-0.34729635533386255</v>
      </c>
      <c r="AR12" s="212">
        <f t="shared" si="3"/>
        <v>-4.90059381963448E-16</v>
      </c>
      <c r="AS12" s="212">
        <f t="shared" si="3"/>
        <v>0.34729635533385983</v>
      </c>
      <c r="AT12" s="212">
        <f t="shared" si="3"/>
        <v>0.68404028665133787</v>
      </c>
      <c r="AU12" s="212">
        <f t="shared" si="3"/>
        <v>0.99999999999999856</v>
      </c>
      <c r="AV12" s="212">
        <f t="shared" si="3"/>
        <v>1.2855752193730783</v>
      </c>
      <c r="AW12" s="99"/>
      <c r="AX12" s="318" t="s">
        <v>64</v>
      </c>
      <c r="AZ12" s="212">
        <f>IF($AX$12=$L$3,$C$12 * SIN(AZ11 + RADIANS($D$12)),0)</f>
        <v>1.532088886237956</v>
      </c>
      <c r="BA12" s="5"/>
      <c r="BC12" s="77">
        <f>IF($AX$12=$L$3,$C12,0)</f>
        <v>2</v>
      </c>
      <c r="BD12" s="77">
        <f>$AZ$10+$D$12</f>
        <v>50</v>
      </c>
      <c r="BE12" s="311">
        <f>BC12*COS(RADIANS(BD12))</f>
        <v>1.2855752193730787</v>
      </c>
      <c r="BF12" s="311">
        <f>BC12*SIN(RADIANS(BD12))</f>
        <v>1.532088886237956</v>
      </c>
      <c r="BG12" s="311">
        <v>0</v>
      </c>
      <c r="BH12" s="311">
        <f>BE12</f>
        <v>1.2855752193730787</v>
      </c>
      <c r="BI12" s="311">
        <v>0</v>
      </c>
      <c r="BJ12" s="311">
        <f>BF12</f>
        <v>1.532088886237956</v>
      </c>
    </row>
    <row r="13" spans="3:71" ht="18.5" x14ac:dyDescent="0.45">
      <c r="C13" s="4">
        <v>2</v>
      </c>
      <c r="D13" s="4">
        <v>0</v>
      </c>
      <c r="E13" s="4"/>
      <c r="F13" s="317" t="s">
        <v>319</v>
      </c>
      <c r="G13" s="317" t="str">
        <f>_xlfn.CONCAT(C13, IF(D13=0," * cos(x) =",IF(D13&lt;0,_xlfn.CONCAT(" * cos(x - ",ABS(D13),") ="),_xlfn.CONCAT(" * cos(x + ",D13,") ="))))</f>
        <v>2 * cos(x) =</v>
      </c>
      <c r="H13" s="212">
        <f t="shared" ref="H13:AV13" si="4">IF($AX$13=$L$3,$C$13*COS(H11+RADIANS($D$13)),0)</f>
        <v>2</v>
      </c>
      <c r="I13" s="212">
        <f t="shared" si="4"/>
        <v>1.969615506024416</v>
      </c>
      <c r="J13" s="212">
        <f t="shared" si="4"/>
        <v>1.8793852415718169</v>
      </c>
      <c r="K13" s="212">
        <f t="shared" si="4"/>
        <v>1.7320508075688774</v>
      </c>
      <c r="L13" s="212">
        <f t="shared" si="4"/>
        <v>1.532088886237956</v>
      </c>
      <c r="M13" s="212">
        <f t="shared" si="4"/>
        <v>1.2855752193730787</v>
      </c>
      <c r="N13" s="212">
        <f t="shared" si="4"/>
        <v>1.0000000000000002</v>
      </c>
      <c r="O13" s="212">
        <f t="shared" si="4"/>
        <v>0.68404028665133765</v>
      </c>
      <c r="P13" s="212">
        <f t="shared" si="4"/>
        <v>0.34729635533386083</v>
      </c>
      <c r="Q13" s="212">
        <f t="shared" si="4"/>
        <v>1.22514845490862E-16</v>
      </c>
      <c r="R13" s="212">
        <f t="shared" si="4"/>
        <v>-0.34729635533386061</v>
      </c>
      <c r="S13" s="212">
        <f t="shared" si="4"/>
        <v>-0.68404028665133743</v>
      </c>
      <c r="T13" s="212">
        <f t="shared" si="4"/>
        <v>-0.99999999999999956</v>
      </c>
      <c r="U13" s="212">
        <f t="shared" si="4"/>
        <v>-1.2855752193730787</v>
      </c>
      <c r="V13" s="212">
        <f t="shared" si="4"/>
        <v>-1.5320888862379558</v>
      </c>
      <c r="W13" s="212">
        <f t="shared" si="4"/>
        <v>-1.7320508075688774</v>
      </c>
      <c r="X13" s="212">
        <f t="shared" si="4"/>
        <v>-1.8793852415718166</v>
      </c>
      <c r="Y13" s="212">
        <f t="shared" si="4"/>
        <v>-1.969615506024416</v>
      </c>
      <c r="Z13" s="212">
        <f t="shared" si="4"/>
        <v>-2</v>
      </c>
      <c r="AA13" s="212">
        <f t="shared" si="4"/>
        <v>-1.969615506024416</v>
      </c>
      <c r="AB13" s="212">
        <f t="shared" si="4"/>
        <v>-1.8793852415718169</v>
      </c>
      <c r="AC13" s="212">
        <f t="shared" si="4"/>
        <v>-1.7320508075688772</v>
      </c>
      <c r="AD13" s="212">
        <f t="shared" si="4"/>
        <v>-1.532088886237956</v>
      </c>
      <c r="AE13" s="212">
        <f t="shared" si="4"/>
        <v>-1.2855752193730789</v>
      </c>
      <c r="AF13" s="212">
        <f t="shared" si="4"/>
        <v>-1.0000000000000009</v>
      </c>
      <c r="AG13" s="212">
        <f t="shared" si="4"/>
        <v>-0.68404028665133876</v>
      </c>
      <c r="AH13" s="212">
        <f t="shared" si="4"/>
        <v>-0.34729635533386066</v>
      </c>
      <c r="AI13" s="212">
        <f t="shared" si="4"/>
        <v>-3.67544536472586E-16</v>
      </c>
      <c r="AJ13" s="212">
        <f t="shared" si="4"/>
        <v>0.34729635533385994</v>
      </c>
      <c r="AK13" s="212">
        <f t="shared" si="4"/>
        <v>0.68404028665133632</v>
      </c>
      <c r="AL13" s="212">
        <f t="shared" si="4"/>
        <v>1.0000000000000002</v>
      </c>
      <c r="AM13" s="212">
        <f t="shared" si="4"/>
        <v>1.2855752193730785</v>
      </c>
      <c r="AN13" s="212">
        <f t="shared" si="4"/>
        <v>1.5320888862379556</v>
      </c>
      <c r="AO13" s="212">
        <f t="shared" si="4"/>
        <v>1.7320508075688767</v>
      </c>
      <c r="AP13" s="212">
        <f t="shared" si="4"/>
        <v>1.8793852415718169</v>
      </c>
      <c r="AQ13" s="212">
        <f t="shared" si="4"/>
        <v>1.9696155060244158</v>
      </c>
      <c r="AR13" s="212">
        <f t="shared" si="4"/>
        <v>2</v>
      </c>
      <c r="AS13" s="212">
        <f t="shared" si="4"/>
        <v>1.9696155060244163</v>
      </c>
      <c r="AT13" s="212">
        <f t="shared" si="4"/>
        <v>1.8793852415718166</v>
      </c>
      <c r="AU13" s="212">
        <f t="shared" si="4"/>
        <v>1.7320508075688781</v>
      </c>
      <c r="AV13" s="212">
        <f t="shared" si="4"/>
        <v>1.5320888862379562</v>
      </c>
      <c r="AW13" s="99"/>
      <c r="AX13" s="318" t="s">
        <v>64</v>
      </c>
      <c r="AZ13" s="212">
        <f>IF($AX$13=$L$3,$C$13 * COS(AZ11+RADIANS(D13)),0)</f>
        <v>1.2855752193730787</v>
      </c>
      <c r="BA13" s="5"/>
      <c r="BC13" s="77">
        <f>IF($AX$13=$L$3,$C13,0)</f>
        <v>2</v>
      </c>
      <c r="BD13" s="77">
        <f>$AZ$10+90+$D$13</f>
        <v>140</v>
      </c>
      <c r="BE13" s="311">
        <f>BC13*COS(RADIANS(BD13))</f>
        <v>-1.5320888862379558</v>
      </c>
      <c r="BF13" s="311">
        <f>BC13*SIN(RADIANS(BD13))</f>
        <v>1.2855752193730789</v>
      </c>
      <c r="BG13" s="311">
        <v>0</v>
      </c>
      <c r="BH13" s="311">
        <f>BE13</f>
        <v>-1.5320888862379558</v>
      </c>
      <c r="BI13" s="311">
        <v>0</v>
      </c>
      <c r="BJ13" s="311">
        <f>BF13</f>
        <v>1.2855752193730789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637</v>
      </c>
      <c r="BL15" s="5"/>
      <c r="BM15" s="5"/>
      <c r="BN15" s="5"/>
      <c r="BO15" s="5" t="s">
        <v>638</v>
      </c>
      <c r="BP15" s="5"/>
      <c r="BQ15" s="5"/>
      <c r="BR15" s="5"/>
    </row>
    <row r="16" spans="3:71" ht="18.5" x14ac:dyDescent="0.45">
      <c r="D16" s="321"/>
      <c r="E16" s="321"/>
      <c r="F16" s="319" t="s">
        <v>635</v>
      </c>
      <c r="G16" s="319" t="s">
        <v>631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1.2855752193730787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5" x14ac:dyDescent="0.45">
      <c r="D17" s="321"/>
      <c r="E17" s="321"/>
      <c r="F17" s="320" t="s">
        <v>635</v>
      </c>
      <c r="G17" s="320" t="s">
        <v>636</v>
      </c>
      <c r="H17" s="212">
        <f>IF($AX$17=$L$3,H12*H13,0)</f>
        <v>0</v>
      </c>
      <c r="I17" s="212">
        <f t="shared" ref="I17:AV17" si="6">IF($AX$17=$L$3,I12*I13,0)</f>
        <v>0.68404028665133731</v>
      </c>
      <c r="J17" s="212">
        <f t="shared" si="6"/>
        <v>1.2855752193730787</v>
      </c>
      <c r="K17" s="212">
        <f t="shared" si="6"/>
        <v>1.7320508075688772</v>
      </c>
      <c r="L17" s="212">
        <f t="shared" si="6"/>
        <v>1.9696155060244158</v>
      </c>
      <c r="M17" s="212">
        <f t="shared" si="6"/>
        <v>1.9696155060244163</v>
      </c>
      <c r="N17" s="212">
        <f t="shared" si="6"/>
        <v>1.7320508075688776</v>
      </c>
      <c r="O17" s="212">
        <f t="shared" si="6"/>
        <v>1.2855752193730789</v>
      </c>
      <c r="P17" s="212">
        <f t="shared" si="6"/>
        <v>0.68404028665133765</v>
      </c>
      <c r="Q17" s="212">
        <f t="shared" si="6"/>
        <v>2.45029690981724E-16</v>
      </c>
      <c r="R17" s="212">
        <f t="shared" si="6"/>
        <v>-0.68404028665133731</v>
      </c>
      <c r="S17" s="212">
        <f t="shared" si="6"/>
        <v>-1.2855752193730787</v>
      </c>
      <c r="T17" s="212">
        <f t="shared" si="6"/>
        <v>-1.7320508075688767</v>
      </c>
      <c r="U17" s="212">
        <f t="shared" si="6"/>
        <v>-1.9696155060244163</v>
      </c>
      <c r="V17" s="212">
        <f t="shared" si="6"/>
        <v>-1.9696155060244163</v>
      </c>
      <c r="W17" s="212">
        <f t="shared" si="6"/>
        <v>-1.7320508075688772</v>
      </c>
      <c r="X17" s="212">
        <f t="shared" si="6"/>
        <v>-1.2855752193730792</v>
      </c>
      <c r="Y17" s="212">
        <f t="shared" si="6"/>
        <v>-0.6840402866513372</v>
      </c>
      <c r="Z17" s="212">
        <f t="shared" si="6"/>
        <v>-4.90059381963448E-16</v>
      </c>
      <c r="AA17" s="212">
        <f t="shared" si="6"/>
        <v>0.68404028665133787</v>
      </c>
      <c r="AB17" s="212">
        <f t="shared" si="6"/>
        <v>1.2855752193730785</v>
      </c>
      <c r="AC17" s="212">
        <f t="shared" si="6"/>
        <v>1.7320508075688776</v>
      </c>
      <c r="AD17" s="212">
        <f t="shared" si="6"/>
        <v>1.9696155060244158</v>
      </c>
      <c r="AE17" s="212">
        <f t="shared" si="6"/>
        <v>1.9696155060244163</v>
      </c>
      <c r="AF17" s="212">
        <f t="shared" si="6"/>
        <v>1.7320508075688783</v>
      </c>
      <c r="AG17" s="212">
        <f t="shared" si="6"/>
        <v>1.2855752193730809</v>
      </c>
      <c r="AH17" s="212">
        <f t="shared" si="6"/>
        <v>0.68404028665133731</v>
      </c>
      <c r="AI17" s="212">
        <f t="shared" si="6"/>
        <v>7.3508907294517201E-16</v>
      </c>
      <c r="AJ17" s="212">
        <f t="shared" si="6"/>
        <v>-0.68404028665133598</v>
      </c>
      <c r="AK17" s="212">
        <f t="shared" si="6"/>
        <v>-1.2855752193730767</v>
      </c>
      <c r="AL17" s="212">
        <f t="shared" si="6"/>
        <v>-1.7320508075688776</v>
      </c>
      <c r="AM17" s="212">
        <f t="shared" si="6"/>
        <v>-1.969615506024416</v>
      </c>
      <c r="AN17" s="212">
        <f t="shared" si="6"/>
        <v>-1.9696155060244163</v>
      </c>
      <c r="AO17" s="212">
        <f t="shared" si="6"/>
        <v>-1.7320508075688783</v>
      </c>
      <c r="AP17" s="212">
        <f t="shared" si="6"/>
        <v>-1.2855752193730783</v>
      </c>
      <c r="AQ17" s="212">
        <f t="shared" si="6"/>
        <v>-0.68404028665134098</v>
      </c>
      <c r="AR17" s="212">
        <f t="shared" si="6"/>
        <v>-9.8011876392689601E-16</v>
      </c>
      <c r="AS17" s="212">
        <f t="shared" si="6"/>
        <v>0.68404028665133576</v>
      </c>
      <c r="AT17" s="212">
        <f t="shared" si="6"/>
        <v>1.2855752193730794</v>
      </c>
      <c r="AU17" s="212">
        <f t="shared" si="6"/>
        <v>1.7320508075688756</v>
      </c>
      <c r="AV17" s="212">
        <f t="shared" si="6"/>
        <v>1.9696155060244158</v>
      </c>
      <c r="AW17" s="99"/>
      <c r="AX17" s="318" t="s">
        <v>64</v>
      </c>
      <c r="AZ17" s="212">
        <f>IF($AX$17=$L$3,AZ12*AZ13,0)</f>
        <v>1.9696155060244163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633</v>
      </c>
      <c r="G61" s="273" t="s">
        <v>318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634</v>
      </c>
      <c r="G62" s="279" t="s">
        <v>630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86" t="s">
        <v>653</v>
      </c>
      <c r="G92" s="350" t="s">
        <v>652</v>
      </c>
      <c r="H92" s="350" t="s">
        <v>658</v>
      </c>
      <c r="I92" s="350" t="s">
        <v>654</v>
      </c>
      <c r="J92" s="350" t="s">
        <v>655</v>
      </c>
      <c r="K92" s="350" t="s">
        <v>656</v>
      </c>
      <c r="L92" s="350" t="s">
        <v>663</v>
      </c>
      <c r="M92" s="444" t="s">
        <v>659</v>
      </c>
      <c r="N92" s="444"/>
      <c r="O92" s="444"/>
      <c r="P92" s="445"/>
      <c r="Q92" s="446" t="s">
        <v>65</v>
      </c>
      <c r="R92" s="447"/>
      <c r="S92" s="448"/>
    </row>
    <row r="93" spans="6:19" s="61" customFormat="1" ht="34" customHeight="1" x14ac:dyDescent="0.35">
      <c r="F93" s="347">
        <v>45</v>
      </c>
      <c r="G93" s="387" t="s">
        <v>298</v>
      </c>
      <c r="H93" s="388" t="str">
        <f>IF($Q$92=$L$3,IF(G93=$M$3,RADIANS(F93),F93),"")</f>
        <v/>
      </c>
      <c r="I93" s="348" t="str">
        <f>IF($Q$92=$L$3,SIN(H93),"")</f>
        <v/>
      </c>
      <c r="J93" s="348" t="str">
        <f>IF($Q$92=$L$3,COS(H93),"")</f>
        <v/>
      </c>
      <c r="K93" s="348" t="str">
        <f>IF($Q$92=$L$3,TAN(H93),"")</f>
        <v/>
      </c>
      <c r="L93" s="389" t="str">
        <f>IF($Q$92=$L$3,IF(G93=$M$4,DEGREES(F93),F93),"")</f>
        <v/>
      </c>
    </row>
    <row r="94" spans="6:19" s="61" customFormat="1" ht="34" customHeight="1" x14ac:dyDescent="0.35">
      <c r="F94" s="347" t="s">
        <v>657</v>
      </c>
      <c r="G94" s="387" t="s">
        <v>300</v>
      </c>
      <c r="H94" s="388" t="str">
        <f>IF($Q$92=$L$3,2*PI(),"")</f>
        <v/>
      </c>
      <c r="I94" s="348" t="str">
        <f t="shared" ref="I94:I96" si="9">IF($Q$92=$L$3,SIN(H94),"")</f>
        <v/>
      </c>
      <c r="J94" s="348" t="str">
        <f t="shared" ref="J94:J96" si="10">IF($Q$92=$L$3,COS(H94),"")</f>
        <v/>
      </c>
      <c r="K94" s="348" t="str">
        <f t="shared" ref="K94:K96" si="11">IF($Q$92=$L$3,TAN(H94),"")</f>
        <v/>
      </c>
      <c r="L94" s="389" t="str">
        <f>IF($Q$92=$L$3,IF(G94=$M$4,DEGREES(2*PI()),2*PI()),"")</f>
        <v/>
      </c>
    </row>
    <row r="95" spans="6:19" s="61" customFormat="1" ht="34" customHeight="1" x14ac:dyDescent="0.35">
      <c r="F95" s="347">
        <v>-3.14</v>
      </c>
      <c r="G95" s="387" t="s">
        <v>300</v>
      </c>
      <c r="H95" s="388" t="str">
        <f>IF($Q$92=$L$3,IF(G95=$M$3,RADIANS(F95),F95),"")</f>
        <v/>
      </c>
      <c r="I95" s="348" t="str">
        <f t="shared" si="9"/>
        <v/>
      </c>
      <c r="J95" s="348" t="str">
        <f t="shared" si="10"/>
        <v/>
      </c>
      <c r="K95" s="348" t="str">
        <f t="shared" si="11"/>
        <v/>
      </c>
      <c r="L95" s="389" t="str">
        <f t="shared" ref="L95:L96" si="12">IF($Q$92=$L$3,IF(G95=$M$4,DEGREES(F95),F95),"")</f>
        <v/>
      </c>
    </row>
    <row r="96" spans="6:19" s="61" customFormat="1" ht="34" customHeight="1" x14ac:dyDescent="0.35">
      <c r="F96" s="347">
        <v>-30</v>
      </c>
      <c r="G96" s="387" t="s">
        <v>298</v>
      </c>
      <c r="H96" s="388" t="str">
        <f>IF($Q$92=$L$3,IF(G96=$M$3,RADIANS(F96),F96),"")</f>
        <v/>
      </c>
      <c r="I96" s="348" t="str">
        <f t="shared" si="9"/>
        <v/>
      </c>
      <c r="J96" s="348" t="str">
        <f t="shared" si="10"/>
        <v/>
      </c>
      <c r="K96" s="348" t="str">
        <f t="shared" si="11"/>
        <v/>
      </c>
      <c r="L96" s="389" t="str">
        <f t="shared" si="12"/>
        <v/>
      </c>
    </row>
    <row r="100" spans="6:12" ht="30" customHeight="1" x14ac:dyDescent="0.35">
      <c r="F100" s="92"/>
      <c r="G100" s="92"/>
      <c r="H100" s="349" t="s">
        <v>663</v>
      </c>
      <c r="I100" s="349" t="s">
        <v>658</v>
      </c>
    </row>
    <row r="101" spans="6:12" ht="32.5" customHeight="1" x14ac:dyDescent="0.35">
      <c r="F101" s="350" t="s">
        <v>660</v>
      </c>
      <c r="G101" s="347">
        <v>0.25</v>
      </c>
      <c r="H101" s="352" t="str">
        <f>IF($Q$92=$L$3,DEGREES(ASIN(G101)),"")</f>
        <v/>
      </c>
      <c r="I101" s="351" t="str">
        <f>IF($Q$92=$L$3,ASIN(G101),"")</f>
        <v/>
      </c>
    </row>
    <row r="102" spans="6:12" ht="32.5" customHeight="1" x14ac:dyDescent="0.35">
      <c r="F102" s="350" t="s">
        <v>660</v>
      </c>
      <c r="G102" s="347">
        <v>-0.5</v>
      </c>
      <c r="H102" s="352" t="str">
        <f>IF($Q$92=$L$3,DEGREES(ASIN(G102)),"")</f>
        <v/>
      </c>
      <c r="I102" s="351" t="str">
        <f>IF($Q$92=$L$3,ASIN(G102),"")</f>
        <v/>
      </c>
    </row>
    <row r="103" spans="6:12" ht="32.5" customHeight="1" x14ac:dyDescent="0.35">
      <c r="F103" s="350" t="s">
        <v>661</v>
      </c>
      <c r="G103" s="347">
        <v>-0.5</v>
      </c>
      <c r="H103" s="352" t="str">
        <f>IF($Q$92=$L$3,DEGREES(ACOS(G103)),"")</f>
        <v/>
      </c>
      <c r="I103" s="351" t="str">
        <f>IF($Q$92=$L$3,ACOS(G103),"")</f>
        <v/>
      </c>
    </row>
    <row r="104" spans="6:12" ht="32.5" customHeight="1" x14ac:dyDescent="0.35">
      <c r="F104" s="350" t="s">
        <v>661</v>
      </c>
      <c r="G104" s="347">
        <f>1/SQRT(2)</f>
        <v>0.70710678118654746</v>
      </c>
      <c r="H104" s="352" t="str">
        <f>IF($Q$92=$L$3,DEGREES(ACOS(G104)),"")</f>
        <v/>
      </c>
      <c r="I104" s="351" t="str">
        <f>IF($Q$92=$L$3,ACOS(G104),"")</f>
        <v/>
      </c>
    </row>
    <row r="105" spans="6:12" ht="32.5" customHeight="1" x14ac:dyDescent="0.35">
      <c r="F105" s="350" t="s">
        <v>662</v>
      </c>
      <c r="G105" s="347">
        <v>50</v>
      </c>
      <c r="H105" s="352" t="str">
        <f>IF($Q$92=$L$3,DEGREES(ATAN(G105)),"")</f>
        <v/>
      </c>
      <c r="I105" s="351" t="str">
        <f>IF($Q$92=$L$3,ATAN(G105),"")</f>
        <v/>
      </c>
    </row>
    <row r="106" spans="6:12" ht="32.5" customHeight="1" x14ac:dyDescent="0.35">
      <c r="F106" s="350" t="s">
        <v>662</v>
      </c>
      <c r="G106" s="347">
        <v>0.25</v>
      </c>
      <c r="H106" s="352" t="str">
        <f>IF($Q$92=$L$3,DEGREES(ATAN(G106)),"")</f>
        <v/>
      </c>
      <c r="I106" s="351" t="str">
        <f>IF($Q$92=$L$3,ATAN(G106),"")</f>
        <v/>
      </c>
    </row>
    <row r="110" spans="6:12" ht="26.5" thickBot="1" x14ac:dyDescent="0.65">
      <c r="F110" s="353" t="s">
        <v>664</v>
      </c>
      <c r="G110" s="353"/>
      <c r="I110" s="354" t="s">
        <v>821</v>
      </c>
    </row>
    <row r="111" spans="6:12" x14ac:dyDescent="0.35">
      <c r="F111" s="366" t="s">
        <v>665</v>
      </c>
      <c r="G111" s="10">
        <v>5</v>
      </c>
      <c r="H111" s="10" t="s">
        <v>713</v>
      </c>
      <c r="I111" s="10" t="s">
        <v>716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666</v>
      </c>
      <c r="G112" s="4">
        <v>0.6</v>
      </c>
      <c r="H112" s="4" t="s">
        <v>707</v>
      </c>
      <c r="I112" s="4" t="s">
        <v>748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2" ht="15" thickBot="1" x14ac:dyDescent="0.4">
      <c r="F113" s="369" t="s">
        <v>667</v>
      </c>
      <c r="G113" s="11">
        <v>6.2</v>
      </c>
      <c r="H113" s="11" t="s">
        <v>707</v>
      </c>
      <c r="I113" s="11" t="s">
        <v>745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2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2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2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3" spans="4:12" ht="15" thickBot="1" x14ac:dyDescent="0.4"/>
    <row r="124" spans="4:12" x14ac:dyDescent="0.35">
      <c r="D124" s="261"/>
      <c r="E124" s="432"/>
      <c r="F124" s="262" t="s">
        <v>828</v>
      </c>
      <c r="G124" s="382">
        <v>230</v>
      </c>
      <c r="H124" s="383" t="s">
        <v>320</v>
      </c>
    </row>
    <row r="125" spans="4:12" x14ac:dyDescent="0.35">
      <c r="D125" s="378"/>
      <c r="E125" s="433"/>
      <c r="F125" s="8" t="s">
        <v>829</v>
      </c>
      <c r="G125" s="75">
        <v>50</v>
      </c>
      <c r="H125" s="384" t="s">
        <v>748</v>
      </c>
    </row>
    <row r="126" spans="4:12" x14ac:dyDescent="0.35">
      <c r="D126" s="378"/>
      <c r="E126" s="433"/>
      <c r="F126" s="8" t="s">
        <v>830</v>
      </c>
      <c r="G126" s="212">
        <f>G124*SQRT(2)</f>
        <v>325.26911934581187</v>
      </c>
      <c r="H126" s="268" t="str">
        <f>H124</f>
        <v>V</v>
      </c>
    </row>
    <row r="127" spans="4:12" x14ac:dyDescent="0.35">
      <c r="D127" s="378"/>
      <c r="E127" s="433"/>
      <c r="F127" s="8" t="s">
        <v>831</v>
      </c>
      <c r="G127" s="212">
        <f>G124</f>
        <v>230</v>
      </c>
      <c r="H127" s="268" t="str">
        <f>H124</f>
        <v>V</v>
      </c>
    </row>
    <row r="128" spans="4:12" x14ac:dyDescent="0.35">
      <c r="D128" s="378"/>
      <c r="E128" s="433"/>
      <c r="F128" s="8" t="s">
        <v>832</v>
      </c>
      <c r="G128" s="212">
        <f>G125</f>
        <v>50</v>
      </c>
      <c r="H128" s="384" t="str">
        <f>H125</f>
        <v>Hz</v>
      </c>
    </row>
    <row r="129" spans="4:20" x14ac:dyDescent="0.35">
      <c r="D129" s="378"/>
      <c r="E129" s="433"/>
      <c r="F129" s="8" t="s">
        <v>824</v>
      </c>
      <c r="G129" s="212">
        <f>1/G128</f>
        <v>0.02</v>
      </c>
      <c r="H129" s="384" t="s">
        <v>745</v>
      </c>
    </row>
    <row r="130" spans="4:20" x14ac:dyDescent="0.35">
      <c r="D130" s="378"/>
      <c r="E130" s="433"/>
      <c r="F130" s="8" t="s">
        <v>825</v>
      </c>
      <c r="G130" s="212">
        <f>2*PI()*G125</f>
        <v>314.15926535897933</v>
      </c>
      <c r="H130" s="384" t="s">
        <v>833</v>
      </c>
    </row>
    <row r="131" spans="4:20" x14ac:dyDescent="0.35">
      <c r="D131" s="378"/>
      <c r="E131" s="433"/>
      <c r="F131" s="8" t="s">
        <v>826</v>
      </c>
      <c r="G131" s="212">
        <f>J131*G129</f>
        <v>6000000</v>
      </c>
      <c r="H131" s="384" t="s">
        <v>716</v>
      </c>
      <c r="J131" s="449">
        <f>3*10^8</f>
        <v>300000000</v>
      </c>
      <c r="K131" s="450"/>
      <c r="L131" s="381" t="s">
        <v>834</v>
      </c>
      <c r="M131" s="5"/>
      <c r="N131" s="5"/>
      <c r="O131" s="5"/>
      <c r="P131" s="5"/>
      <c r="Q131" s="5"/>
      <c r="R131" s="5"/>
      <c r="S131" s="5"/>
      <c r="T131" s="5"/>
    </row>
    <row r="132" spans="4:20" ht="15" thickBot="1" x14ac:dyDescent="0.4">
      <c r="D132" s="379"/>
      <c r="E132" s="434"/>
      <c r="F132" s="380" t="s">
        <v>827</v>
      </c>
      <c r="G132" s="385">
        <f>G126*SIN(2*PI()*G125*J132)</f>
        <v>-7.9700591799201791E-14</v>
      </c>
      <c r="H132" s="371" t="str">
        <f>H124</f>
        <v>V</v>
      </c>
      <c r="J132" s="449">
        <v>0.02</v>
      </c>
      <c r="K132" s="450"/>
      <c r="L132" s="381" t="s">
        <v>835</v>
      </c>
      <c r="M132" s="5"/>
      <c r="N132" s="5"/>
      <c r="O132" s="5"/>
      <c r="P132" s="5"/>
      <c r="Q132" s="5"/>
      <c r="R132" s="5"/>
      <c r="S132" s="5"/>
      <c r="T132" s="5"/>
    </row>
  </sheetData>
  <mergeCells count="4">
    <mergeCell ref="M92:P92"/>
    <mergeCell ref="Q92:S92"/>
    <mergeCell ref="J131:K131"/>
    <mergeCell ref="J132:K132"/>
  </mergeCells>
  <dataValidations count="3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D16:E17 Q92:S92 AX16:AX17 AX12:AX13" xr:uid="{8FB8006F-A5AB-41B5-B544-F9B479F8D761}">
      <formula1>$L$3:$L$4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tabSelected="1" topLeftCell="A6" workbookViewId="0">
      <selection activeCell="N16" sqref="N16"/>
    </sheetView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928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37">
        <f>PI()*J9/180</f>
        <v>0.17453292519943295</v>
      </c>
      <c r="K10" s="437">
        <f t="shared" ref="K10:AX10" si="2">PI()*K9/180</f>
        <v>0.3490658503988659</v>
      </c>
      <c r="L10" s="437">
        <f t="shared" si="2"/>
        <v>0.52359877559829882</v>
      </c>
      <c r="M10" s="437">
        <f t="shared" si="2"/>
        <v>0.69813170079773179</v>
      </c>
      <c r="N10" s="437">
        <f t="shared" si="2"/>
        <v>0.87266462599716477</v>
      </c>
      <c r="O10" s="437">
        <f>PI()*O9/180</f>
        <v>1.0471975511965976</v>
      </c>
      <c r="P10" s="437">
        <f t="shared" si="2"/>
        <v>1.2217304763960306</v>
      </c>
      <c r="Q10" s="437">
        <f t="shared" si="2"/>
        <v>1.3962634015954636</v>
      </c>
      <c r="R10" s="437">
        <f t="shared" si="2"/>
        <v>1.5707963267948966</v>
      </c>
      <c r="S10" s="437">
        <f t="shared" si="2"/>
        <v>1.7453292519943295</v>
      </c>
      <c r="T10" s="437">
        <f t="shared" si="2"/>
        <v>1.9198621771937625</v>
      </c>
      <c r="U10" s="437">
        <f t="shared" si="2"/>
        <v>2.0943951023931953</v>
      </c>
      <c r="V10" s="437">
        <f t="shared" si="2"/>
        <v>2.2689280275926285</v>
      </c>
      <c r="W10" s="437">
        <f t="shared" si="2"/>
        <v>2.4434609527920612</v>
      </c>
      <c r="X10" s="437">
        <f t="shared" si="2"/>
        <v>2.6179938779914944</v>
      </c>
      <c r="Y10" s="437">
        <f t="shared" si="2"/>
        <v>2.7925268031909272</v>
      </c>
      <c r="Z10" s="437">
        <f t="shared" si="2"/>
        <v>2.9670597283903604</v>
      </c>
      <c r="AA10" s="437">
        <f t="shared" si="2"/>
        <v>3.1415926535897931</v>
      </c>
      <c r="AB10" s="437">
        <f t="shared" si="2"/>
        <v>3.3161255787892263</v>
      </c>
      <c r="AC10" s="437">
        <f t="shared" si="2"/>
        <v>3.4906585039886591</v>
      </c>
      <c r="AD10" s="437">
        <f t="shared" si="2"/>
        <v>3.6651914291880923</v>
      </c>
      <c r="AE10" s="437">
        <f t="shared" si="2"/>
        <v>3.839724354387525</v>
      </c>
      <c r="AF10" s="437">
        <f t="shared" si="2"/>
        <v>4.0142572795869578</v>
      </c>
      <c r="AG10" s="437">
        <f t="shared" si="2"/>
        <v>4.1887902047863905</v>
      </c>
      <c r="AH10" s="437">
        <f t="shared" si="2"/>
        <v>4.3633231299858233</v>
      </c>
      <c r="AI10" s="437">
        <f t="shared" si="2"/>
        <v>4.5378560551852569</v>
      </c>
      <c r="AJ10" s="437">
        <f t="shared" si="2"/>
        <v>4.7123889803846897</v>
      </c>
      <c r="AK10" s="437">
        <f t="shared" si="2"/>
        <v>4.8869219055841224</v>
      </c>
      <c r="AL10" s="437">
        <f t="shared" si="2"/>
        <v>5.0614548307835552</v>
      </c>
      <c r="AM10" s="437">
        <f t="shared" si="2"/>
        <v>5.2359877559829888</v>
      </c>
      <c r="AN10" s="437">
        <f t="shared" si="2"/>
        <v>5.4105206811824216</v>
      </c>
      <c r="AO10" s="437">
        <f t="shared" si="2"/>
        <v>5.5850536063818543</v>
      </c>
      <c r="AP10" s="437">
        <f t="shared" si="2"/>
        <v>5.7595865315812871</v>
      </c>
      <c r="AQ10" s="437">
        <f t="shared" si="2"/>
        <v>5.9341194567807207</v>
      </c>
      <c r="AR10" s="437">
        <f t="shared" si="2"/>
        <v>6.1086523819801526</v>
      </c>
      <c r="AS10" s="437">
        <f t="shared" si="2"/>
        <v>6.2831853071795862</v>
      </c>
      <c r="AT10" s="437">
        <f t="shared" si="2"/>
        <v>6.457718232379019</v>
      </c>
      <c r="AU10" s="437">
        <f t="shared" si="2"/>
        <v>6.6322511575784526</v>
      </c>
      <c r="AV10" s="437">
        <f t="shared" si="2"/>
        <v>6.8067840827778845</v>
      </c>
      <c r="AW10" s="437">
        <f t="shared" si="2"/>
        <v>6.9813170079773181</v>
      </c>
      <c r="AX10" s="437">
        <f t="shared" si="2"/>
        <v>7.1558499331767509</v>
      </c>
    </row>
    <row r="11" spans="2:50" x14ac:dyDescent="0.35">
      <c r="H11" s="5" t="s">
        <v>929</v>
      </c>
      <c r="I11" s="95" t="s">
        <v>298</v>
      </c>
      <c r="J11" s="437">
        <f>IF($I$11=$M$3,J9,J10)</f>
        <v>10</v>
      </c>
      <c r="K11" s="437">
        <f t="shared" ref="K11:AX11" si="3">IF($I$11=$M$3,K9,K10)</f>
        <v>20</v>
      </c>
      <c r="L11" s="437">
        <f t="shared" si="3"/>
        <v>30</v>
      </c>
      <c r="M11" s="437">
        <f t="shared" si="3"/>
        <v>40</v>
      </c>
      <c r="N11" s="437">
        <f t="shared" si="3"/>
        <v>50</v>
      </c>
      <c r="O11" s="437">
        <f t="shared" si="3"/>
        <v>60</v>
      </c>
      <c r="P11" s="437">
        <f t="shared" si="3"/>
        <v>70</v>
      </c>
      <c r="Q11" s="437">
        <f t="shared" si="3"/>
        <v>80</v>
      </c>
      <c r="R11" s="437">
        <f t="shared" si="3"/>
        <v>90</v>
      </c>
      <c r="S11" s="437">
        <f t="shared" si="3"/>
        <v>100</v>
      </c>
      <c r="T11" s="437">
        <f t="shared" si="3"/>
        <v>110</v>
      </c>
      <c r="U11" s="437">
        <f t="shared" si="3"/>
        <v>120</v>
      </c>
      <c r="V11" s="437">
        <f t="shared" si="3"/>
        <v>130</v>
      </c>
      <c r="W11" s="437">
        <f t="shared" si="3"/>
        <v>140</v>
      </c>
      <c r="X11" s="437">
        <f t="shared" si="3"/>
        <v>150</v>
      </c>
      <c r="Y11" s="437">
        <f t="shared" si="3"/>
        <v>160</v>
      </c>
      <c r="Z11" s="437">
        <f t="shared" si="3"/>
        <v>170</v>
      </c>
      <c r="AA11" s="437">
        <f t="shared" si="3"/>
        <v>180</v>
      </c>
      <c r="AB11" s="437">
        <f t="shared" si="3"/>
        <v>190</v>
      </c>
      <c r="AC11" s="437">
        <f t="shared" si="3"/>
        <v>200</v>
      </c>
      <c r="AD11" s="437">
        <f t="shared" si="3"/>
        <v>210</v>
      </c>
      <c r="AE11" s="437">
        <f t="shared" si="3"/>
        <v>220</v>
      </c>
      <c r="AF11" s="437">
        <f t="shared" si="3"/>
        <v>230</v>
      </c>
      <c r="AG11" s="437">
        <f t="shared" si="3"/>
        <v>240</v>
      </c>
      <c r="AH11" s="437">
        <f t="shared" si="3"/>
        <v>250</v>
      </c>
      <c r="AI11" s="437">
        <f t="shared" si="3"/>
        <v>260</v>
      </c>
      <c r="AJ11" s="437">
        <f t="shared" si="3"/>
        <v>270</v>
      </c>
      <c r="AK11" s="437">
        <f t="shared" si="3"/>
        <v>280</v>
      </c>
      <c r="AL11" s="437">
        <f t="shared" si="3"/>
        <v>290</v>
      </c>
      <c r="AM11" s="437">
        <f t="shared" si="3"/>
        <v>300</v>
      </c>
      <c r="AN11" s="437">
        <f t="shared" si="3"/>
        <v>310</v>
      </c>
      <c r="AO11" s="437">
        <f t="shared" si="3"/>
        <v>320</v>
      </c>
      <c r="AP11" s="437">
        <f t="shared" si="3"/>
        <v>330</v>
      </c>
      <c r="AQ11" s="437">
        <f t="shared" si="3"/>
        <v>340</v>
      </c>
      <c r="AR11" s="437">
        <f t="shared" si="3"/>
        <v>350</v>
      </c>
      <c r="AS11" s="437">
        <f t="shared" si="3"/>
        <v>360</v>
      </c>
      <c r="AT11" s="437">
        <f t="shared" si="3"/>
        <v>370</v>
      </c>
      <c r="AU11" s="437">
        <f t="shared" si="3"/>
        <v>380</v>
      </c>
      <c r="AV11" s="437">
        <f t="shared" si="3"/>
        <v>390</v>
      </c>
      <c r="AW11" s="437">
        <f t="shared" si="3"/>
        <v>400</v>
      </c>
      <c r="AX11" s="437">
        <f t="shared" si="3"/>
        <v>410</v>
      </c>
    </row>
    <row r="12" spans="2:50" x14ac:dyDescent="0.35">
      <c r="B12" s="5" t="s">
        <v>618</v>
      </c>
      <c r="C12" s="5" t="str">
        <f>Einheitenvorsätze!C58</f>
        <v>φ</v>
      </c>
      <c r="D12" s="5" t="s">
        <v>414</v>
      </c>
      <c r="E12" s="5" t="s">
        <v>930</v>
      </c>
      <c r="F12" s="5" t="s">
        <v>932</v>
      </c>
      <c r="G12" s="435" t="s">
        <v>931</v>
      </c>
      <c r="H12" s="438" t="str">
        <f>_xlfn.CONCAT("y1 = sin(",Einheitenvorsätze!C38,")")</f>
        <v>y1 = sin(α)</v>
      </c>
      <c r="I12" s="439" t="s">
        <v>63</v>
      </c>
      <c r="J12" s="437">
        <f>IF($I$12=$N$3,SIN(J10),0)</f>
        <v>0.17364817766693033</v>
      </c>
      <c r="K12" s="437">
        <f t="shared" ref="K12:AX12" si="4">IF($I$12=$N$3,SIN(K10),0)</f>
        <v>0.34202014332566871</v>
      </c>
      <c r="L12" s="437">
        <f t="shared" si="4"/>
        <v>0.49999999999999994</v>
      </c>
      <c r="M12" s="437">
        <f t="shared" si="4"/>
        <v>0.64278760968653925</v>
      </c>
      <c r="N12" s="437">
        <f t="shared" si="4"/>
        <v>0.76604444311897801</v>
      </c>
      <c r="O12" s="437">
        <f t="shared" si="4"/>
        <v>0.8660254037844386</v>
      </c>
      <c r="P12" s="437">
        <f t="shared" si="4"/>
        <v>0.93969262078590832</v>
      </c>
      <c r="Q12" s="437">
        <f t="shared" si="4"/>
        <v>0.98480775301220802</v>
      </c>
      <c r="R12" s="437">
        <f t="shared" si="4"/>
        <v>1</v>
      </c>
      <c r="S12" s="437">
        <f t="shared" si="4"/>
        <v>0.98480775301220802</v>
      </c>
      <c r="T12" s="437">
        <f t="shared" si="4"/>
        <v>0.93969262078590843</v>
      </c>
      <c r="U12" s="437">
        <f t="shared" si="4"/>
        <v>0.86602540378443871</v>
      </c>
      <c r="V12" s="437">
        <f t="shared" si="4"/>
        <v>0.76604444311897801</v>
      </c>
      <c r="W12" s="437">
        <f t="shared" si="4"/>
        <v>0.64278760968653947</v>
      </c>
      <c r="X12" s="437">
        <f t="shared" si="4"/>
        <v>0.49999999999999994</v>
      </c>
      <c r="Y12" s="437">
        <f t="shared" si="4"/>
        <v>0.34202014332566888</v>
      </c>
      <c r="Z12" s="437">
        <f t="shared" si="4"/>
        <v>0.17364817766693028</v>
      </c>
      <c r="AA12" s="437">
        <f t="shared" si="4"/>
        <v>1.22514845490862E-16</v>
      </c>
      <c r="AB12" s="437">
        <f t="shared" si="4"/>
        <v>-0.17364817766693047</v>
      </c>
      <c r="AC12" s="437">
        <f t="shared" si="4"/>
        <v>-0.34202014332566866</v>
      </c>
      <c r="AD12" s="437">
        <f t="shared" si="4"/>
        <v>-0.50000000000000011</v>
      </c>
      <c r="AE12" s="437">
        <f t="shared" si="4"/>
        <v>-0.64278760968653925</v>
      </c>
      <c r="AF12" s="437">
        <f t="shared" si="4"/>
        <v>-0.7660444431189779</v>
      </c>
      <c r="AG12" s="437">
        <f t="shared" si="4"/>
        <v>-0.86602540378443837</v>
      </c>
      <c r="AH12" s="437">
        <f t="shared" si="4"/>
        <v>-0.93969262078590821</v>
      </c>
      <c r="AI12" s="437">
        <f t="shared" si="4"/>
        <v>-0.98480775301220802</v>
      </c>
      <c r="AJ12" s="437">
        <f t="shared" si="4"/>
        <v>-1</v>
      </c>
      <c r="AK12" s="437">
        <f t="shared" si="4"/>
        <v>-0.98480775301220813</v>
      </c>
      <c r="AL12" s="437">
        <f t="shared" si="4"/>
        <v>-0.93969262078590854</v>
      </c>
      <c r="AM12" s="437">
        <f t="shared" si="4"/>
        <v>-0.8660254037844386</v>
      </c>
      <c r="AN12" s="437">
        <f t="shared" si="4"/>
        <v>-0.76604444311897812</v>
      </c>
      <c r="AO12" s="437">
        <f t="shared" si="4"/>
        <v>-0.64278760968653958</v>
      </c>
      <c r="AP12" s="437">
        <f t="shared" si="4"/>
        <v>-0.50000000000000044</v>
      </c>
      <c r="AQ12" s="437">
        <f t="shared" si="4"/>
        <v>-0.3420201433256686</v>
      </c>
      <c r="AR12" s="437">
        <f t="shared" si="4"/>
        <v>-0.17364817766693127</v>
      </c>
      <c r="AS12" s="437">
        <f t="shared" si="4"/>
        <v>-2.45029690981724E-16</v>
      </c>
      <c r="AT12" s="437">
        <f t="shared" si="4"/>
        <v>0.17364817766692991</v>
      </c>
      <c r="AU12" s="437">
        <f t="shared" si="4"/>
        <v>0.34202014332566893</v>
      </c>
      <c r="AV12" s="437">
        <f t="shared" si="4"/>
        <v>0.49999999999999928</v>
      </c>
      <c r="AW12" s="437">
        <f t="shared" si="4"/>
        <v>0.64278760968653914</v>
      </c>
      <c r="AX12" s="437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36">
        <v>3</v>
      </c>
      <c r="H13" s="440" t="str">
        <f>_xlfn.CONCAT("y2 = ",B13," * sin(",$G$13," * ",Einheitenvorsätze!C38," + ",_xlfn.CONCAT($C$13,MID($D$13,2,LEN($D$13)-2)),")")</f>
        <v>y2 = 5 * sin(3 * α + 90°)</v>
      </c>
      <c r="I13" s="441" t="s">
        <v>63</v>
      </c>
      <c r="J13" s="437">
        <f>IF($I$13=$N$3,$B$13*SIN($G$13*J10+$E$13),0)</f>
        <v>4.3301270189221936</v>
      </c>
      <c r="K13" s="437">
        <f>IF($I$13=$N$3,$B$13*SIN($G$13*K10+$E$13),0)</f>
        <v>2.5000000000000018</v>
      </c>
      <c r="L13" s="437">
        <f t="shared" ref="L13:AX13" si="5">IF($I$13=$N$3,$B$13*SIN($G$13*L10+$E$13),0)</f>
        <v>6.1257422745431001E-16</v>
      </c>
      <c r="M13" s="437">
        <f t="shared" si="5"/>
        <v>-2.4999999999999987</v>
      </c>
      <c r="N13" s="437">
        <f t="shared" si="5"/>
        <v>-4.3301270189221945</v>
      </c>
      <c r="O13" s="437">
        <f t="shared" si="5"/>
        <v>-5</v>
      </c>
      <c r="P13" s="437">
        <f t="shared" si="5"/>
        <v>-4.3301270189221954</v>
      </c>
      <c r="Q13" s="437">
        <f t="shared" si="5"/>
        <v>-2.5000000000000022</v>
      </c>
      <c r="R13" s="437">
        <f t="shared" si="5"/>
        <v>-1.22514845490862E-15</v>
      </c>
      <c r="S13" s="437">
        <f t="shared" si="5"/>
        <v>2.5</v>
      </c>
      <c r="T13" s="437">
        <f t="shared" si="5"/>
        <v>4.3301270189221945</v>
      </c>
      <c r="U13" s="437">
        <f t="shared" si="5"/>
        <v>5</v>
      </c>
      <c r="V13" s="437">
        <f t="shared" si="5"/>
        <v>4.330127018922191</v>
      </c>
      <c r="W13" s="437">
        <f t="shared" si="5"/>
        <v>2.4999999999999991</v>
      </c>
      <c r="X13" s="437">
        <f t="shared" si="5"/>
        <v>1.83772268236293E-15</v>
      </c>
      <c r="Y13" s="437">
        <f t="shared" si="5"/>
        <v>-2.499999999999996</v>
      </c>
      <c r="Z13" s="437">
        <f t="shared" si="5"/>
        <v>-4.3301270189221936</v>
      </c>
      <c r="AA13" s="437">
        <f t="shared" si="5"/>
        <v>-5</v>
      </c>
      <c r="AB13" s="437">
        <f t="shared" si="5"/>
        <v>-4.330127018922191</v>
      </c>
      <c r="AC13" s="437">
        <f t="shared" si="5"/>
        <v>-2.4999999999999996</v>
      </c>
      <c r="AD13" s="437">
        <f t="shared" si="5"/>
        <v>6.4314872871840123E-15</v>
      </c>
      <c r="AE13" s="437">
        <f t="shared" si="5"/>
        <v>2.5000000000000027</v>
      </c>
      <c r="AF13" s="437">
        <f t="shared" si="5"/>
        <v>4.3301270189221936</v>
      </c>
      <c r="AG13" s="437">
        <f t="shared" si="5"/>
        <v>5</v>
      </c>
      <c r="AH13" s="437">
        <f t="shared" si="5"/>
        <v>4.3301270189221963</v>
      </c>
      <c r="AI13" s="437">
        <f t="shared" si="5"/>
        <v>2.5</v>
      </c>
      <c r="AJ13" s="437">
        <f t="shared" si="5"/>
        <v>3.06287113727155E-15</v>
      </c>
      <c r="AK13" s="437">
        <f t="shared" si="5"/>
        <v>-2.4999999999999947</v>
      </c>
      <c r="AL13" s="437">
        <f t="shared" si="5"/>
        <v>-4.3301270189221883</v>
      </c>
      <c r="AM13" s="437">
        <f t="shared" si="5"/>
        <v>-5</v>
      </c>
      <c r="AN13" s="437">
        <f t="shared" si="5"/>
        <v>-4.3301270189221919</v>
      </c>
      <c r="AO13" s="437">
        <f t="shared" si="5"/>
        <v>-2.500000000000016</v>
      </c>
      <c r="AP13" s="437">
        <f t="shared" si="5"/>
        <v>-3.67544536472586E-15</v>
      </c>
      <c r="AQ13" s="437">
        <f t="shared" si="5"/>
        <v>2.5000000000000093</v>
      </c>
      <c r="AR13" s="437">
        <f t="shared" si="5"/>
        <v>4.3301270189221883</v>
      </c>
      <c r="AS13" s="437">
        <f t="shared" si="5"/>
        <v>5</v>
      </c>
      <c r="AT13" s="437">
        <f t="shared" si="5"/>
        <v>4.3301270189222016</v>
      </c>
      <c r="AU13" s="437">
        <f t="shared" si="5"/>
        <v>2.5000000000000009</v>
      </c>
      <c r="AV13" s="437">
        <f t="shared" si="5"/>
        <v>2.2051587986182675E-14</v>
      </c>
      <c r="AW13" s="437">
        <f t="shared" si="5"/>
        <v>-2.4999999999999938</v>
      </c>
      <c r="AX13" s="437">
        <f t="shared" si="5"/>
        <v>-4.3301270189221972</v>
      </c>
    </row>
    <row r="14" spans="2:50" x14ac:dyDescent="0.35">
      <c r="B14" s="1" t="s">
        <v>933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94">
        <f>IF($I$13=$N$3,$B$13*SIN($G$13*$E$14+$E$13),0)</f>
        <v>-2.5000000000000022</v>
      </c>
    </row>
    <row r="22" spans="4:10" x14ac:dyDescent="0.35">
      <c r="H22" t="s">
        <v>936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934</v>
      </c>
      <c r="E26" s="493">
        <f>$J$11</f>
        <v>10</v>
      </c>
      <c r="F26" s="493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935</v>
      </c>
      <c r="E29" s="493">
        <f>$J$11</f>
        <v>10</v>
      </c>
      <c r="F29" s="493">
        <f>E29</f>
        <v>10</v>
      </c>
      <c r="H29" t="str">
        <f>D26</f>
        <v>X-Achse:</v>
      </c>
    </row>
    <row r="30" spans="4:10" x14ac:dyDescent="0.35">
      <c r="E30" s="493">
        <f>MIN($J$12:$AX$13)</f>
        <v>-5</v>
      </c>
      <c r="F30" s="493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52" t="s">
        <v>216</v>
      </c>
      <c r="D12" s="452"/>
      <c r="E12" s="452"/>
      <c r="F12" s="452"/>
      <c r="G12" s="452"/>
      <c r="H12" s="56"/>
      <c r="I12" s="452" t="s">
        <v>217</v>
      </c>
      <c r="J12" s="452"/>
      <c r="K12" s="452" t="s">
        <v>212</v>
      </c>
      <c r="L12" s="452"/>
      <c r="M12" s="452" t="s">
        <v>218</v>
      </c>
      <c r="N12" s="452"/>
      <c r="O12" s="452"/>
      <c r="P12" s="451" t="s">
        <v>229</v>
      </c>
      <c r="Q12" s="451"/>
      <c r="R12" s="451"/>
      <c r="S12" s="451"/>
      <c r="T12" s="451" t="s">
        <v>261</v>
      </c>
      <c r="U12" s="451"/>
      <c r="V12" s="451"/>
      <c r="W12" s="451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/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53" t="s">
        <v>417</v>
      </c>
      <c r="C13" s="450"/>
      <c r="D13" s="450"/>
      <c r="E13" s="450"/>
      <c r="F13" s="450"/>
      <c r="G13" s="450"/>
      <c r="H13" s="450"/>
      <c r="I13" s="450"/>
      <c r="L13" s="453" t="s">
        <v>418</v>
      </c>
      <c r="M13" s="454"/>
      <c r="N13" s="454"/>
      <c r="O13" s="454"/>
      <c r="Q13" s="453" t="s">
        <v>230</v>
      </c>
      <c r="R13" s="454"/>
      <c r="S13" s="454"/>
      <c r="T13" s="454"/>
      <c r="U13" s="454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46121.517373726849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46122</v>
      </c>
      <c r="E21" s="94">
        <f t="shared" ca="1" si="4"/>
        <v>25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Noch kein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58" t="s">
        <v>901</v>
      </c>
      <c r="D3" s="458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58" t="s">
        <v>21</v>
      </c>
      <c r="D4" s="458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58" t="s">
        <v>22</v>
      </c>
      <c r="D5" s="458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58" t="s">
        <v>887</v>
      </c>
      <c r="D6" s="458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59" t="s">
        <v>899</v>
      </c>
      <c r="D11" s="455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59" t="s">
        <v>900</v>
      </c>
      <c r="D12" s="455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56" t="s">
        <v>1</v>
      </c>
      <c r="D18" s="457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60" t="s">
        <v>19</v>
      </c>
      <c r="D19" s="460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55" t="s">
        <v>24</v>
      </c>
      <c r="D20" s="455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55" t="s">
        <v>888</v>
      </c>
      <c r="D21" s="455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3:D3"/>
    <mergeCell ref="C11:D11"/>
    <mergeCell ref="C12:D12"/>
    <mergeCell ref="C19:D19"/>
    <mergeCell ref="C20:D20"/>
    <mergeCell ref="C21:D21"/>
    <mergeCell ref="C18:D18"/>
    <mergeCell ref="C4:D4"/>
    <mergeCell ref="C5:D5"/>
    <mergeCell ref="C6:D6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69" t="str">
        <f>$O$8</f>
        <v>Anfangs-Geschwindigkeit</v>
      </c>
      <c r="D6" s="470"/>
      <c r="E6" s="473" t="str">
        <f>$O$9</f>
        <v>Geschwindigkeit</v>
      </c>
      <c r="F6" s="470"/>
      <c r="G6" s="473" t="str">
        <f>$O$10</f>
        <v>Strecke</v>
      </c>
      <c r="H6" s="470"/>
      <c r="I6" s="473" t="str">
        <f>$O$11</f>
        <v>Zeit</v>
      </c>
      <c r="J6" s="470"/>
      <c r="K6" s="473" t="str">
        <f>$O$12</f>
        <v>Beschleunigung</v>
      </c>
      <c r="L6" s="474"/>
    </row>
    <row r="7" spans="1:19" ht="15" thickBot="1" x14ac:dyDescent="0.4">
      <c r="B7" s="13" t="s">
        <v>37</v>
      </c>
      <c r="C7" s="471" t="str">
        <f>$P$8</f>
        <v>v0 [m/s]</v>
      </c>
      <c r="D7" s="472"/>
      <c r="E7" s="475" t="str">
        <f>$P$9</f>
        <v>v [m/s]</v>
      </c>
      <c r="F7" s="472"/>
      <c r="G7" s="475" t="str">
        <f>$P$10</f>
        <v>s [m]</v>
      </c>
      <c r="H7" s="472"/>
      <c r="I7" s="475" t="str">
        <f>$P$11</f>
        <v>t [s]</v>
      </c>
      <c r="J7" s="472"/>
      <c r="K7" s="475" t="str">
        <f>$P$12</f>
        <v>a [m/s2]</v>
      </c>
      <c r="L7" s="476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77">
        <v>119</v>
      </c>
      <c r="H8" s="482"/>
      <c r="I8" s="477">
        <v>7</v>
      </c>
      <c r="J8" s="482"/>
      <c r="K8" s="477">
        <v>2</v>
      </c>
      <c r="L8" s="478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79">
        <v>24</v>
      </c>
      <c r="F9" s="483"/>
      <c r="G9" s="16" t="s">
        <v>75</v>
      </c>
      <c r="H9" s="16">
        <f>E9*I9 - K9*I9^2/2</f>
        <v>119</v>
      </c>
      <c r="I9" s="479">
        <v>7</v>
      </c>
      <c r="J9" s="483"/>
      <c r="K9" s="479">
        <v>2</v>
      </c>
      <c r="L9" s="480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79">
        <v>24</v>
      </c>
      <c r="F10" s="483"/>
      <c r="G10" s="479">
        <v>119</v>
      </c>
      <c r="H10" s="483"/>
      <c r="I10" s="16" t="s">
        <v>76</v>
      </c>
      <c r="J10" s="16">
        <f>(E10 - SQRT(E10^2 - 2*K10*G10))/K10</f>
        <v>7</v>
      </c>
      <c r="K10" s="479">
        <v>2</v>
      </c>
      <c r="L10" s="480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79">
        <v>24</v>
      </c>
      <c r="F11" s="483"/>
      <c r="G11" s="479">
        <v>119</v>
      </c>
      <c r="H11" s="483"/>
      <c r="I11" s="479">
        <v>7</v>
      </c>
      <c r="J11" s="483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85">
        <v>10</v>
      </c>
      <c r="D12" s="483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79">
        <v>7</v>
      </c>
      <c r="J12" s="483"/>
      <c r="K12" s="479">
        <v>2</v>
      </c>
      <c r="L12" s="480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85">
        <v>10</v>
      </c>
      <c r="D13" s="483"/>
      <c r="E13" s="16" t="s">
        <v>80</v>
      </c>
      <c r="F13" s="16">
        <f>SQRT(C13^2 + 2*K13*G13)</f>
        <v>24</v>
      </c>
      <c r="G13" s="479">
        <v>119</v>
      </c>
      <c r="H13" s="483"/>
      <c r="I13" s="22" t="s">
        <v>55</v>
      </c>
      <c r="J13" s="16">
        <f xml:space="preserve"> (-C13 + SQRT(C13^2 + 2*K13*G13))/K13</f>
        <v>7</v>
      </c>
      <c r="K13" s="481">
        <v>2</v>
      </c>
      <c r="L13" s="480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85">
        <v>10</v>
      </c>
      <c r="D14" s="483"/>
      <c r="E14" s="16" t="s">
        <v>81</v>
      </c>
      <c r="F14" s="16">
        <f>2*G14/I14 - C14</f>
        <v>24</v>
      </c>
      <c r="G14" s="479">
        <v>119</v>
      </c>
      <c r="H14" s="483"/>
      <c r="I14" s="479">
        <v>7</v>
      </c>
      <c r="J14" s="484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85">
        <v>10</v>
      </c>
      <c r="D15" s="483"/>
      <c r="E15" s="479">
        <v>24</v>
      </c>
      <c r="F15" s="483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79">
        <v>2</v>
      </c>
      <c r="L15" s="480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85">
        <v>10</v>
      </c>
      <c r="D16" s="483"/>
      <c r="E16" s="479">
        <v>24</v>
      </c>
      <c r="F16" s="483"/>
      <c r="G16" s="16" t="s">
        <v>83</v>
      </c>
      <c r="H16" s="16">
        <f>(C16+E16)*I16/2</f>
        <v>119</v>
      </c>
      <c r="I16" s="479">
        <v>7</v>
      </c>
      <c r="J16" s="483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87">
        <v>10</v>
      </c>
      <c r="D17" s="486"/>
      <c r="E17" s="481">
        <v>24</v>
      </c>
      <c r="F17" s="486"/>
      <c r="G17" s="481">
        <v>119</v>
      </c>
      <c r="H17" s="486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65" t="str">
        <f>P13</f>
        <v>ω0 [rad/s]</v>
      </c>
      <c r="D18" s="466"/>
      <c r="E18" s="467" t="str">
        <f>P14</f>
        <v>ω [rad/s]</v>
      </c>
      <c r="F18" s="466"/>
      <c r="G18" s="467" t="str">
        <f>P15</f>
        <v>φ [rad]</v>
      </c>
      <c r="H18" s="466"/>
      <c r="I18" s="467" t="str">
        <f>P16</f>
        <v>t [s]</v>
      </c>
      <c r="J18" s="466"/>
      <c r="K18" s="467" t="str">
        <f>P17</f>
        <v>α [rad/s2]</v>
      </c>
      <c r="L18" s="468"/>
    </row>
    <row r="19" spans="1:16" ht="29.15" customHeight="1" thickBot="1" x14ac:dyDescent="0.4">
      <c r="C19" s="461" t="str">
        <f>O13</f>
        <v>Anfangs-Winkelgeschwindigkeit</v>
      </c>
      <c r="D19" s="462"/>
      <c r="E19" s="463" t="str">
        <f>O14</f>
        <v>Winkelgeschwindigkeit</v>
      </c>
      <c r="F19" s="462"/>
      <c r="G19" s="463" t="str">
        <f>O15</f>
        <v>Winkel</v>
      </c>
      <c r="H19" s="462"/>
      <c r="I19" s="463" t="str">
        <f>O16</f>
        <v>Zeit</v>
      </c>
      <c r="J19" s="462"/>
      <c r="K19" s="463" t="str">
        <f>O17</f>
        <v>Winkelbeschleunigung</v>
      </c>
      <c r="L19" s="464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55" t="s">
        <v>73</v>
      </c>
      <c r="V7" s="455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88"/>
      <c r="D11" s="488"/>
      <c r="E11" s="488"/>
      <c r="F11" s="488"/>
      <c r="G11" s="488"/>
      <c r="H11" s="488"/>
      <c r="I11" s="488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89" t="s">
        <v>441</v>
      </c>
      <c r="D12" s="489"/>
      <c r="E12" s="489"/>
      <c r="F12" s="489"/>
      <c r="G12" s="489"/>
      <c r="H12" s="489"/>
      <c r="I12" s="489"/>
      <c r="J12" s="32"/>
      <c r="K12" s="32"/>
      <c r="M12" s="42" t="s">
        <v>435</v>
      </c>
      <c r="N12" s="23">
        <v>50</v>
      </c>
      <c r="O12" s="490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91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92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55" t="s">
        <v>73</v>
      </c>
      <c r="S7" s="455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88"/>
      <c r="D11" s="488"/>
      <c r="E11" s="488"/>
      <c r="F11" s="488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89" t="s">
        <v>476</v>
      </c>
      <c r="D12" s="489"/>
      <c r="E12" s="489"/>
      <c r="F12" s="489"/>
      <c r="G12" s="32"/>
      <c r="H12" s="32"/>
      <c r="J12" s="42" t="s">
        <v>62</v>
      </c>
      <c r="K12" s="23">
        <v>60</v>
      </c>
      <c r="L12" s="490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2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53" t="s">
        <v>418</v>
      </c>
      <c r="N9" s="454"/>
      <c r="O9" s="454"/>
      <c r="P9" s="454"/>
      <c r="R9" s="453" t="s">
        <v>230</v>
      </c>
      <c r="S9" s="454"/>
      <c r="T9" s="454"/>
      <c r="U9" s="454"/>
      <c r="V9" s="454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29</vt:i4>
      </vt:variant>
    </vt:vector>
  </HeadingPairs>
  <TitlesOfParts>
    <vt:vector size="29" baseType="lpstr">
      <vt:lpstr>TOC</vt:lpstr>
      <vt:lpstr>Magnetismus</vt:lpstr>
      <vt:lpstr>Einheitenvorsätze</vt:lpstr>
      <vt:lpstr>Edizio_Bestellungen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2026-04-09T10:27:27Z</dcterms:modified>
</cp:coreProperties>
</file>