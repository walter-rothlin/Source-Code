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2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3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2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23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4.xml" ContentType="application/vnd.openxmlformats-officedocument.drawing+xml"/>
  <Override PartName="/xl/comments3.xml" ContentType="application/vnd.openxmlformats-officedocument.spreadsheetml.comments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4F7367D3-DC20-4936-9A76-EBF3119C7D0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OC" sheetId="13" r:id="rId1"/>
    <sheet name="Einheitenvorsätze" sheetId="32" r:id="rId2"/>
    <sheet name="Edizio_Bestellungen" sheetId="37" r:id="rId3"/>
    <sheet name="Elektronische Schaltzeichen" sheetId="30" r:id="rId4"/>
    <sheet name="LCR-Glieder" sheetId="35" r:id="rId5"/>
    <sheet name="Kondensator an Gleichspannung" sheetId="36" r:id="rId6"/>
    <sheet name="Quelle mit Innenwiderstand" sheetId="29" r:id="rId7"/>
    <sheet name="Leistung bei Wechselstrom" sheetId="28" r:id="rId8"/>
    <sheet name="Schiefeebene" sheetId="19" r:id="rId9"/>
    <sheet name="Schiefe-Ebene (alt)" sheetId="20" r:id="rId10"/>
    <sheet name="Sinus_Cosinus" sheetId="22" r:id="rId11"/>
    <sheet name="Vektoroperationen" sheetId="18" r:id="rId12"/>
    <sheet name="VektorZeitbereich" sheetId="24" r:id="rId13"/>
    <sheet name="Geburtstagsliste" sheetId="17" r:id="rId14"/>
    <sheet name="Einheiten umrechnen" sheetId="16" r:id="rId15"/>
    <sheet name="Flächenberechnungen" sheetId="14" r:id="rId16"/>
    <sheet name="Kinematik_1" sheetId="4" r:id="rId17"/>
    <sheet name="Kinematik_1 (Weg-Zeit)" sheetId="33" r:id="rId18"/>
    <sheet name="Kinematik_2" sheetId="9" r:id="rId19"/>
    <sheet name="Kinematik_2_Berechnungen" sheetId="11" r:id="rId20"/>
    <sheet name="Kinematik_2 (Weg-Zeit)" sheetId="34" r:id="rId21"/>
    <sheet name="Fourierreihe" sheetId="12" r:id="rId22"/>
    <sheet name="Scheinleistung" sheetId="15" r:id="rId23"/>
    <sheet name="3-Phasenstrom" sheetId="25" r:id="rId24"/>
    <sheet name="Gemischte Schaltung" sheetId="23" r:id="rId25"/>
    <sheet name="Theoreme" sheetId="26" r:id="rId26"/>
    <sheet name="Fläche eines Polygones" sheetId="27" r:id="rId27"/>
  </sheets>
  <definedNames>
    <definedName name="_xlnm._FilterDatabase" localSheetId="13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36" l="1"/>
  <c r="K20" i="36"/>
  <c r="K19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Z7" i="35"/>
  <c r="J9" i="36"/>
  <c r="H8" i="36"/>
  <c r="G11" i="36"/>
  <c r="G10" i="35"/>
  <c r="D15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E10" i="13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54" i="35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7" i="35"/>
  <c r="I19" i="32"/>
  <c r="H19" i="32"/>
  <c r="I17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H7" i="35"/>
  <c r="L12" i="32"/>
  <c r="E9" i="13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23" i="13"/>
  <c r="C45" i="34"/>
  <c r="J45" i="34" s="1"/>
  <c r="I48" i="34" s="1"/>
  <c r="J48" i="34" s="1"/>
  <c r="C23" i="34"/>
  <c r="G18" i="34"/>
  <c r="H11" i="34"/>
  <c r="I11" i="34" s="1"/>
  <c r="J11" i="34" s="1"/>
  <c r="C19" i="13"/>
  <c r="E18" i="13"/>
  <c r="C7" i="13"/>
  <c r="C9" i="13"/>
  <c r="C6" i="13"/>
  <c r="E8" i="13"/>
  <c r="C18" i="13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K94" i="22"/>
  <c r="K95" i="22"/>
  <c r="K96" i="22"/>
  <c r="K93" i="22"/>
  <c r="G132" i="22"/>
  <c r="G128" i="22"/>
  <c r="G127" i="22"/>
  <c r="G126" i="22"/>
  <c r="I131" i="22"/>
  <c r="F130" i="22"/>
  <c r="F128" i="22"/>
  <c r="F129" i="22" s="1"/>
  <c r="F127" i="22"/>
  <c r="F126" i="22"/>
  <c r="I111" i="22"/>
  <c r="G118" i="22"/>
  <c r="I112" i="22"/>
  <c r="J112" i="22"/>
  <c r="K112" i="22"/>
  <c r="I113" i="22"/>
  <c r="J113" i="22"/>
  <c r="K113" i="22"/>
  <c r="E117" i="22" s="1"/>
  <c r="K111" i="22"/>
  <c r="I18" i="32"/>
  <c r="I16" i="32"/>
  <c r="J111" i="22"/>
  <c r="M12" i="32"/>
  <c r="E5" i="13"/>
  <c r="F104" i="22"/>
  <c r="G104" i="22" s="1"/>
  <c r="G106" i="22"/>
  <c r="H106" i="22"/>
  <c r="G102" i="22"/>
  <c r="H102" i="22"/>
  <c r="G105" i="22"/>
  <c r="H105" i="22"/>
  <c r="H103" i="22"/>
  <c r="G103" i="22"/>
  <c r="H101" i="22"/>
  <c r="G101" i="22"/>
  <c r="G93" i="22"/>
  <c r="J93" i="22" s="1"/>
  <c r="D11" i="36" l="1"/>
  <c r="C34" i="36"/>
  <c r="C33" i="36"/>
  <c r="I74" i="36"/>
  <c r="H78" i="36" s="1"/>
  <c r="I78" i="36" s="1"/>
  <c r="L8" i="36"/>
  <c r="I20" i="36" s="1"/>
  <c r="N11" i="36"/>
  <c r="J11" i="36"/>
  <c r="Q43" i="36"/>
  <c r="Q45" i="36" s="1"/>
  <c r="D12" i="35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27" i="35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M8" i="35"/>
  <c r="J12" i="35"/>
  <c r="M12" i="35" s="1"/>
  <c r="M10" i="35"/>
  <c r="K12" i="35"/>
  <c r="L12" i="35" s="1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I93" i="22"/>
  <c r="F132" i="22"/>
  <c r="F131" i="22"/>
  <c r="E116" i="22"/>
  <c r="E118" i="22"/>
  <c r="F116" i="22"/>
  <c r="F117" i="22"/>
  <c r="F118" i="22"/>
  <c r="H104" i="22"/>
  <c r="G96" i="22"/>
  <c r="G95" i="22"/>
  <c r="G94" i="22"/>
  <c r="H94" i="22" s="1"/>
  <c r="F17" i="28"/>
  <c r="F12" i="22"/>
  <c r="BB13" i="22"/>
  <c r="BB12" i="22"/>
  <c r="BC13" i="22"/>
  <c r="BC12" i="22"/>
  <c r="F13" i="22"/>
  <c r="BB3" i="22"/>
  <c r="BC3" i="22" s="1"/>
  <c r="AZ11" i="22"/>
  <c r="AY11" i="22"/>
  <c r="AY12" i="22" s="1"/>
  <c r="G11" i="22"/>
  <c r="G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AW25" i="24"/>
  <c r="AV25" i="24"/>
  <c r="AU25" i="24"/>
  <c r="AT25" i="24"/>
  <c r="AS25" i="24"/>
  <c r="AR25" i="24"/>
  <c r="AQ25" i="24"/>
  <c r="AP25" i="24"/>
  <c r="AO25" i="24"/>
  <c r="AN25" i="24"/>
  <c r="AM25" i="24"/>
  <c r="AL25" i="24"/>
  <c r="AK25" i="24"/>
  <c r="AJ25" i="24"/>
  <c r="AI25" i="24"/>
  <c r="AH25" i="24"/>
  <c r="AG25" i="24"/>
  <c r="AF25" i="24"/>
  <c r="AE25" i="24"/>
  <c r="AD25" i="24"/>
  <c r="AC25" i="24"/>
  <c r="AB25" i="24"/>
  <c r="AA25" i="24"/>
  <c r="Z25" i="24"/>
  <c r="Y25" i="24"/>
  <c r="X25" i="24"/>
  <c r="W25" i="24"/>
  <c r="V25" i="24"/>
  <c r="U25" i="24"/>
  <c r="T25" i="24"/>
  <c r="S25" i="24"/>
  <c r="R25" i="24"/>
  <c r="Q25" i="24"/>
  <c r="P25" i="24"/>
  <c r="O25" i="24"/>
  <c r="N25" i="24"/>
  <c r="M25" i="24"/>
  <c r="AW24" i="24"/>
  <c r="AV24" i="24"/>
  <c r="AU24" i="24"/>
  <c r="AT24" i="24"/>
  <c r="AS24" i="24"/>
  <c r="AR24" i="24"/>
  <c r="AQ24" i="24"/>
  <c r="AP24" i="24"/>
  <c r="AO24" i="24"/>
  <c r="AN24" i="24"/>
  <c r="AM24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P24" i="24"/>
  <c r="O24" i="24"/>
  <c r="N24" i="24"/>
  <c r="M24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I18" i="24"/>
  <c r="H18" i="24"/>
  <c r="G18" i="24"/>
  <c r="F18" i="24"/>
  <c r="E18" i="24"/>
  <c r="D18" i="24"/>
  <c r="C18" i="24"/>
  <c r="O17" i="24"/>
  <c r="M17" i="24"/>
  <c r="I17" i="24"/>
  <c r="H17" i="24"/>
  <c r="G17" i="24"/>
  <c r="F17" i="24"/>
  <c r="E17" i="24"/>
  <c r="D17" i="24"/>
  <c r="C17" i="24"/>
  <c r="U16" i="24"/>
  <c r="S16" i="24"/>
  <c r="Q16" i="24"/>
  <c r="O16" i="24"/>
  <c r="M16" i="24"/>
  <c r="G16" i="24"/>
  <c r="F16" i="24"/>
  <c r="E16" i="24"/>
  <c r="D16" i="24"/>
  <c r="C16" i="24"/>
  <c r="T15" i="24"/>
  <c r="R15" i="24"/>
  <c r="Q15" i="24"/>
  <c r="O15" i="24"/>
  <c r="M15" i="24"/>
  <c r="I15" i="24"/>
  <c r="H15" i="24"/>
  <c r="G15" i="24"/>
  <c r="F15" i="24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H10" i="22"/>
  <c r="H11" i="22" s="1"/>
  <c r="H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E6" i="13"/>
  <c r="E7" i="13"/>
  <c r="E16" i="13"/>
  <c r="C11" i="13"/>
  <c r="C10" i="13"/>
  <c r="E17" i="13"/>
  <c r="E15" i="13"/>
  <c r="K11" i="36" l="1"/>
  <c r="L11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16" i="35"/>
  <c r="H16" i="35" s="1"/>
  <c r="AB26" i="35" s="1"/>
  <c r="AH26" i="35" s="1"/>
  <c r="AH29" i="35" s="1"/>
  <c r="H12" i="35"/>
  <c r="G19" i="9"/>
  <c r="AE45" i="35"/>
  <c r="AE51" i="35" s="1"/>
  <c r="Z47" i="35"/>
  <c r="Z25" i="35"/>
  <c r="X26" i="35"/>
  <c r="X48" i="35"/>
  <c r="X47" i="35"/>
  <c r="X7" i="35"/>
  <c r="X25" i="35"/>
  <c r="AE25" i="35"/>
  <c r="AE29" i="35" s="1"/>
  <c r="X8" i="35"/>
  <c r="X49" i="35"/>
  <c r="W15" i="18"/>
  <c r="F20" i="35"/>
  <c r="F19" i="35"/>
  <c r="K15" i="35"/>
  <c r="L15" i="35" s="1"/>
  <c r="J15" i="35"/>
  <c r="M15" i="35" s="1"/>
  <c r="H15" i="35"/>
  <c r="J46" i="34"/>
  <c r="L11" i="34"/>
  <c r="K18" i="34"/>
  <c r="K18" i="4"/>
  <c r="I43" i="33"/>
  <c r="I40" i="33"/>
  <c r="J11" i="33"/>
  <c r="I12" i="33"/>
  <c r="I14" i="33"/>
  <c r="J94" i="22"/>
  <c r="I94" i="22"/>
  <c r="J95" i="22"/>
  <c r="I95" i="22"/>
  <c r="H96" i="22"/>
  <c r="J96" i="22"/>
  <c r="I96" i="22"/>
  <c r="G13" i="22"/>
  <c r="H13" i="22"/>
  <c r="H12" i="22"/>
  <c r="G12" i="22"/>
  <c r="H95" i="22"/>
  <c r="H93" i="22"/>
  <c r="Z5" i="28"/>
  <c r="AA5" i="28"/>
  <c r="E8" i="4"/>
  <c r="M17" i="4"/>
  <c r="L18" i="4"/>
  <c r="D8" i="4"/>
  <c r="C8" i="4"/>
  <c r="H17" i="22"/>
  <c r="AY13" i="22"/>
  <c r="AY16" i="22" s="1"/>
  <c r="G62" i="22"/>
  <c r="H62" i="22"/>
  <c r="BE13" i="22"/>
  <c r="BL16" i="22" s="1"/>
  <c r="BD13" i="22"/>
  <c r="BJ16" i="22" s="1"/>
  <c r="BD12" i="22"/>
  <c r="BE12" i="22"/>
  <c r="BP16" i="22" s="1"/>
  <c r="I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H73" i="36" l="1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B21" i="35"/>
  <c r="X51" i="35" s="1"/>
  <c r="AB47" i="35"/>
  <c r="AH47" i="35" s="1"/>
  <c r="AH54" i="35" s="1"/>
  <c r="K16" i="35"/>
  <c r="L16" i="35" s="1"/>
  <c r="Z26" i="35" s="1"/>
  <c r="D20" i="35"/>
  <c r="H20" i="35" s="1"/>
  <c r="P20" i="35"/>
  <c r="R20" i="35" s="1"/>
  <c r="T20" i="35" s="1"/>
  <c r="Z28" i="35" s="1"/>
  <c r="J16" i="35"/>
  <c r="M16" i="35" s="1"/>
  <c r="G21" i="9"/>
  <c r="G20" i="9"/>
  <c r="H19" i="9"/>
  <c r="D19" i="35"/>
  <c r="H19" i="35" s="1"/>
  <c r="AB46" i="35"/>
  <c r="AB52" i="35" s="1"/>
  <c r="AB8" i="35"/>
  <c r="AH8" i="35" s="1"/>
  <c r="AH11" i="35" s="1"/>
  <c r="Z48" i="35"/>
  <c r="AB27" i="35"/>
  <c r="AD27" i="35" s="1"/>
  <c r="AG28" i="35" s="1"/>
  <c r="Z8" i="35"/>
  <c r="Z49" i="35"/>
  <c r="P19" i="35"/>
  <c r="R19" i="35" s="1"/>
  <c r="T19" i="35" s="1"/>
  <c r="Z10" i="35" s="1"/>
  <c r="D21" i="35"/>
  <c r="L18" i="34"/>
  <c r="M11" i="34"/>
  <c r="J14" i="33"/>
  <c r="J12" i="33"/>
  <c r="K11" i="33"/>
  <c r="G16" i="22"/>
  <c r="H16" i="22"/>
  <c r="G17" i="22"/>
  <c r="N17" i="4"/>
  <c r="M18" i="4"/>
  <c r="AY17" i="22"/>
  <c r="BB4" i="22" s="1"/>
  <c r="BG13" i="22"/>
  <c r="BI13" i="22"/>
  <c r="BE16" i="22"/>
  <c r="BM16" i="22" s="1"/>
  <c r="BQ16" i="22" s="1"/>
  <c r="BD16" i="22"/>
  <c r="BN16" i="22"/>
  <c r="BG12" i="22"/>
  <c r="BI12" i="22"/>
  <c r="K8" i="17"/>
  <c r="I11" i="22"/>
  <c r="J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H12" i="36" l="1"/>
  <c r="K12" i="36"/>
  <c r="L12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20" i="35"/>
  <c r="M20" i="35" s="1"/>
  <c r="K20" i="35"/>
  <c r="L20" i="35" s="1"/>
  <c r="Z27" i="35" s="1"/>
  <c r="G32" i="36"/>
  <c r="H20" i="9"/>
  <c r="H21" i="9"/>
  <c r="I19" i="9"/>
  <c r="AB9" i="35"/>
  <c r="AE9" i="35" s="1"/>
  <c r="AH10" i="35" s="1"/>
  <c r="AH46" i="35"/>
  <c r="AH48" i="35" s="1"/>
  <c r="AH51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I12" i="22"/>
  <c r="I13" i="22"/>
  <c r="BC4" i="22"/>
  <c r="O17" i="4"/>
  <c r="N18" i="4"/>
  <c r="BC16" i="22"/>
  <c r="BK16" i="22"/>
  <c r="BO16" i="22" s="1"/>
  <c r="BI16" i="22"/>
  <c r="BG16" i="22"/>
  <c r="BB16" i="22"/>
  <c r="BJ11" i="22" s="1" a="1"/>
  <c r="BJ11" i="22" s="1"/>
  <c r="I61" i="22"/>
  <c r="I62" i="22"/>
  <c r="J11" i="22"/>
  <c r="K10" i="22"/>
  <c r="L20" i="36" l="1"/>
  <c r="G31" i="36"/>
  <c r="G33" i="36" s="1"/>
  <c r="G34" i="36"/>
  <c r="U43" i="36"/>
  <c r="U45" i="36" s="1"/>
  <c r="T44" i="36"/>
  <c r="I16" i="22"/>
  <c r="H32" i="36"/>
  <c r="I21" i="9"/>
  <c r="I20" i="9"/>
  <c r="J19" i="9"/>
  <c r="AD52" i="35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I17" i="22"/>
  <c r="P17" i="4"/>
  <c r="O18" i="4"/>
  <c r="BN11" i="22"/>
  <c r="BQ11" i="22" s="1"/>
  <c r="BL11" i="22"/>
  <c r="BO11" i="22" s="1"/>
  <c r="J12" i="22"/>
  <c r="J13" i="22"/>
  <c r="J61" i="22"/>
  <c r="J62" i="22"/>
  <c r="K11" i="22"/>
  <c r="L10" i="22"/>
  <c r="H31" i="36" l="1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J17" i="22"/>
  <c r="P18" i="4"/>
  <c r="Q17" i="4"/>
  <c r="J16" i="22"/>
  <c r="K12" i="22"/>
  <c r="K13" i="22"/>
  <c r="K61" i="22"/>
  <c r="K62" i="22"/>
  <c r="L11" i="22"/>
  <c r="M10" i="22"/>
  <c r="I31" i="36" l="1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K17" i="22"/>
  <c r="R17" i="4"/>
  <c r="Q18" i="4"/>
  <c r="L12" i="22"/>
  <c r="L13" i="22"/>
  <c r="K16" i="22"/>
  <c r="L61" i="22"/>
  <c r="L62" i="22"/>
  <c r="M11" i="22"/>
  <c r="N10" i="22"/>
  <c r="J31" i="36" l="1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L17" i="22"/>
  <c r="S17" i="4"/>
  <c r="R18" i="4"/>
  <c r="M12" i="22"/>
  <c r="M13" i="22"/>
  <c r="L16" i="22"/>
  <c r="M61" i="22"/>
  <c r="M62" i="22"/>
  <c r="O10" i="22"/>
  <c r="N11" i="22"/>
  <c r="K31" i="36" l="1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M17" i="22"/>
  <c r="T17" i="4"/>
  <c r="S18" i="4"/>
  <c r="N12" i="22"/>
  <c r="N13" i="22"/>
  <c r="M16" i="22"/>
  <c r="N61" i="22"/>
  <c r="N62" i="22"/>
  <c r="O11" i="22"/>
  <c r="P10" i="22"/>
  <c r="Y44" i="36" l="1"/>
  <c r="Y45" i="36"/>
  <c r="L31" i="36"/>
  <c r="L33" i="36" s="1"/>
  <c r="L34" i="36"/>
  <c r="N17" i="22"/>
  <c r="M32" i="36"/>
  <c r="N20" i="9"/>
  <c r="N21" i="9"/>
  <c r="O19" i="9"/>
  <c r="S18" i="34"/>
  <c r="T11" i="34"/>
  <c r="R11" i="33"/>
  <c r="Q12" i="33"/>
  <c r="Q14" i="33"/>
  <c r="U17" i="4"/>
  <c r="T18" i="4"/>
  <c r="O12" i="22"/>
  <c r="O13" i="22"/>
  <c r="N16" i="22"/>
  <c r="O61" i="22"/>
  <c r="O62" i="22"/>
  <c r="P11" i="22"/>
  <c r="Q10" i="22"/>
  <c r="M31" i="36" l="1"/>
  <c r="M33" i="36" s="1"/>
  <c r="M34" i="36"/>
  <c r="O17" i="22"/>
  <c r="N32" i="36"/>
  <c r="O20" i="9"/>
  <c r="O21" i="9"/>
  <c r="P19" i="9"/>
  <c r="U11" i="34"/>
  <c r="T18" i="34"/>
  <c r="R14" i="33"/>
  <c r="R12" i="33"/>
  <c r="S11" i="33"/>
  <c r="V17" i="4"/>
  <c r="U18" i="4"/>
  <c r="P13" i="22"/>
  <c r="P12" i="22"/>
  <c r="O16" i="22"/>
  <c r="P61" i="22"/>
  <c r="P62" i="22"/>
  <c r="R10" i="22"/>
  <c r="Q11" i="22"/>
  <c r="N31" i="36" l="1"/>
  <c r="N33" i="36" s="1"/>
  <c r="N34" i="36"/>
  <c r="O32" i="36"/>
  <c r="P20" i="9"/>
  <c r="P21" i="9"/>
  <c r="Q19" i="9"/>
  <c r="U18" i="34"/>
  <c r="V11" i="34"/>
  <c r="S14" i="33"/>
  <c r="S12" i="33"/>
  <c r="T11" i="33"/>
  <c r="P16" i="22"/>
  <c r="P17" i="22"/>
  <c r="W17" i="4"/>
  <c r="V18" i="4"/>
  <c r="Q13" i="22"/>
  <c r="Q12" i="22"/>
  <c r="Q61" i="22"/>
  <c r="Q62" i="22"/>
  <c r="R11" i="22"/>
  <c r="S10" i="22"/>
  <c r="O31" i="36" l="1"/>
  <c r="O33" i="36" s="1"/>
  <c r="O34" i="36"/>
  <c r="P32" i="36"/>
  <c r="Q20" i="9"/>
  <c r="Q21" i="9"/>
  <c r="R19" i="9"/>
  <c r="V18" i="34"/>
  <c r="W11" i="34"/>
  <c r="T12" i="33"/>
  <c r="U11" i="33"/>
  <c r="T14" i="33"/>
  <c r="Q16" i="22"/>
  <c r="Q17" i="22"/>
  <c r="X17" i="4"/>
  <c r="W18" i="4"/>
  <c r="R12" i="22"/>
  <c r="R13" i="22"/>
  <c r="R61" i="22"/>
  <c r="R62" i="22"/>
  <c r="S11" i="22"/>
  <c r="T10" i="22"/>
  <c r="P31" i="36" l="1"/>
  <c r="P33" i="36" s="1"/>
  <c r="P34" i="36"/>
  <c r="Q32" i="36"/>
  <c r="R21" i="9"/>
  <c r="R20" i="9"/>
  <c r="S19" i="9"/>
  <c r="X11" i="34"/>
  <c r="W18" i="34"/>
  <c r="U12" i="33"/>
  <c r="U14" i="33"/>
  <c r="V11" i="33"/>
  <c r="R17" i="22"/>
  <c r="X18" i="4"/>
  <c r="Y17" i="4"/>
  <c r="S12" i="22"/>
  <c r="S13" i="22"/>
  <c r="R16" i="22"/>
  <c r="S61" i="22"/>
  <c r="S62" i="22"/>
  <c r="U10" i="22"/>
  <c r="T11" i="22"/>
  <c r="Q31" i="36" l="1"/>
  <c r="Q33" i="36" s="1"/>
  <c r="Q34" i="36"/>
  <c r="S17" i="22"/>
  <c r="R32" i="36"/>
  <c r="S20" i="9"/>
  <c r="S21" i="9"/>
  <c r="T19" i="9"/>
  <c r="X18" i="34"/>
  <c r="Y11" i="34"/>
  <c r="V14" i="33"/>
  <c r="W11" i="33"/>
  <c r="V12" i="33"/>
  <c r="Y18" i="4"/>
  <c r="Z17" i="4"/>
  <c r="T12" i="22"/>
  <c r="T13" i="22"/>
  <c r="S16" i="22"/>
  <c r="T61" i="22"/>
  <c r="T62" i="22"/>
  <c r="U11" i="22"/>
  <c r="V10" i="22"/>
  <c r="R31" i="36" l="1"/>
  <c r="R33" i="36" s="1"/>
  <c r="R34" i="36"/>
  <c r="T17" i="22"/>
  <c r="S32" i="36"/>
  <c r="T20" i="9"/>
  <c r="T21" i="9"/>
  <c r="U19" i="9"/>
  <c r="Z11" i="34"/>
  <c r="Y18" i="34"/>
  <c r="W14" i="33"/>
  <c r="W12" i="33"/>
  <c r="X11" i="33"/>
  <c r="Z18" i="4"/>
  <c r="AA17" i="4"/>
  <c r="U12" i="22"/>
  <c r="U13" i="22"/>
  <c r="T16" i="22"/>
  <c r="U61" i="22"/>
  <c r="U62" i="22"/>
  <c r="V11" i="22"/>
  <c r="W10" i="22"/>
  <c r="S31" i="36" l="1"/>
  <c r="S33" i="36" s="1"/>
  <c r="S34" i="36"/>
  <c r="T32" i="36"/>
  <c r="U20" i="9"/>
  <c r="U21" i="9"/>
  <c r="V19" i="9"/>
  <c r="AA11" i="34"/>
  <c r="Z18" i="34"/>
  <c r="X14" i="33"/>
  <c r="Y11" i="33"/>
  <c r="X12" i="33"/>
  <c r="U17" i="22"/>
  <c r="AB17" i="4"/>
  <c r="AA18" i="4"/>
  <c r="U16" i="22"/>
  <c r="V12" i="22"/>
  <c r="V13" i="22"/>
  <c r="V61" i="22"/>
  <c r="V62" i="22"/>
  <c r="X10" i="22"/>
  <c r="W11" i="22"/>
  <c r="T31" i="36" l="1"/>
  <c r="T33" i="36" s="1"/>
  <c r="T34" i="36"/>
  <c r="U32" i="36"/>
  <c r="V21" i="9"/>
  <c r="V20" i="9"/>
  <c r="W19" i="9"/>
  <c r="AA18" i="34"/>
  <c r="Z11" i="33"/>
  <c r="Y12" i="33"/>
  <c r="Y14" i="33"/>
  <c r="V17" i="22"/>
  <c r="AC17" i="4"/>
  <c r="AB18" i="4"/>
  <c r="V16" i="22"/>
  <c r="W12" i="22"/>
  <c r="W13" i="22"/>
  <c r="W61" i="22"/>
  <c r="W62" i="22"/>
  <c r="Y10" i="22"/>
  <c r="X11" i="22"/>
  <c r="U31" i="36" l="1"/>
  <c r="U33" i="36" s="1"/>
  <c r="U34" i="36"/>
  <c r="V32" i="36"/>
  <c r="W20" i="9"/>
  <c r="W21" i="9"/>
  <c r="X19" i="9"/>
  <c r="Z14" i="33"/>
  <c r="Z12" i="33"/>
  <c r="W17" i="22"/>
  <c r="AD17" i="4"/>
  <c r="AC18" i="4"/>
  <c r="X12" i="22"/>
  <c r="X13" i="22"/>
  <c r="W16" i="22"/>
  <c r="X61" i="22"/>
  <c r="X62" i="22"/>
  <c r="Z10" i="22"/>
  <c r="Y11" i="22"/>
  <c r="V31" i="36" l="1"/>
  <c r="V33" i="36" s="1"/>
  <c r="V34" i="36"/>
  <c r="X17" i="22"/>
  <c r="W32" i="36"/>
  <c r="Z31" i="36" s="1"/>
  <c r="X20" i="9"/>
  <c r="X21" i="9"/>
  <c r="Y19" i="9"/>
  <c r="AE17" i="4"/>
  <c r="AD18" i="4"/>
  <c r="Y12" i="22"/>
  <c r="Y13" i="22"/>
  <c r="X16" i="22"/>
  <c r="Y61" i="22"/>
  <c r="Y62" i="22"/>
  <c r="Z11" i="22"/>
  <c r="AA10" i="22"/>
  <c r="W31" i="36" l="1"/>
  <c r="W33" i="36" s="1"/>
  <c r="W34" i="36"/>
  <c r="Y20" i="9"/>
  <c r="Y21" i="9"/>
  <c r="Z19" i="9"/>
  <c r="Y17" i="22"/>
  <c r="AF17" i="4"/>
  <c r="AE18" i="4"/>
  <c r="Z12" i="22"/>
  <c r="Z13" i="22"/>
  <c r="Y16" i="22"/>
  <c r="Z61" i="22"/>
  <c r="Z62" i="22"/>
  <c r="AA11" i="22"/>
  <c r="AB10" i="22"/>
  <c r="Z17" i="22" l="1"/>
  <c r="Z21" i="9"/>
  <c r="Z20" i="9"/>
  <c r="AA19" i="9"/>
  <c r="AF18" i="4"/>
  <c r="AG17" i="4"/>
  <c r="Z16" i="22"/>
  <c r="AA13" i="22"/>
  <c r="AA12" i="22"/>
  <c r="AA61" i="22"/>
  <c r="AA62" i="22"/>
  <c r="AB11" i="22"/>
  <c r="AC10" i="22"/>
  <c r="AA21" i="9" l="1"/>
  <c r="AA20" i="9"/>
  <c r="AA16" i="22"/>
  <c r="AA17" i="22"/>
  <c r="AG18" i="4"/>
  <c r="AH17" i="4"/>
  <c r="AB12" i="22"/>
  <c r="AB13" i="22"/>
  <c r="AB61" i="22"/>
  <c r="AB62" i="22"/>
  <c r="AC11" i="22"/>
  <c r="AD10" i="22"/>
  <c r="AB17" i="22" l="1"/>
  <c r="AH18" i="4"/>
  <c r="AI17" i="4"/>
  <c r="AC12" i="22"/>
  <c r="AC13" i="22"/>
  <c r="AB16" i="22"/>
  <c r="AC61" i="22"/>
  <c r="AC62" i="22"/>
  <c r="AE10" i="22"/>
  <c r="AD11" i="22"/>
  <c r="AC17" i="22" l="1"/>
  <c r="AJ17" i="4"/>
  <c r="AI18" i="4"/>
  <c r="AD12" i="22"/>
  <c r="AD13" i="22"/>
  <c r="AC16" i="22"/>
  <c r="AD61" i="22"/>
  <c r="AD62" i="22"/>
  <c r="AE11" i="22"/>
  <c r="AF10" i="22"/>
  <c r="AD17" i="22" l="1"/>
  <c r="AK17" i="4"/>
  <c r="AJ18" i="4"/>
  <c r="AE12" i="22"/>
  <c r="AE13" i="22"/>
  <c r="AD16" i="22"/>
  <c r="AE61" i="22"/>
  <c r="AE62" i="22"/>
  <c r="AF11" i="22"/>
  <c r="AG10" i="22"/>
  <c r="AE17" i="22" l="1"/>
  <c r="AL17" i="4"/>
  <c r="AK18" i="4"/>
  <c r="AF13" i="22"/>
  <c r="AF12" i="22"/>
  <c r="AE16" i="22"/>
  <c r="AF61" i="22"/>
  <c r="AF62" i="22"/>
  <c r="AG11" i="22"/>
  <c r="AH10" i="22"/>
  <c r="AF16" i="22" l="1"/>
  <c r="AF17" i="22"/>
  <c r="AM17" i="4"/>
  <c r="AL18" i="4"/>
  <c r="AG12" i="22"/>
  <c r="AG13" i="22"/>
  <c r="AG61" i="22"/>
  <c r="AG62" i="22"/>
  <c r="AH11" i="22"/>
  <c r="AI10" i="22"/>
  <c r="AG17" i="22" l="1"/>
  <c r="AN17" i="4"/>
  <c r="AM18" i="4"/>
  <c r="AH12" i="22"/>
  <c r="AH13" i="22"/>
  <c r="AG16" i="22"/>
  <c r="AH61" i="22"/>
  <c r="AH62" i="22"/>
  <c r="AI11" i="22"/>
  <c r="AJ10" i="22"/>
  <c r="AH17" i="22" l="1"/>
  <c r="AN18" i="4"/>
  <c r="AO17" i="4"/>
  <c r="AO18" i="4" s="1"/>
  <c r="AI13" i="22"/>
  <c r="AI12" i="22"/>
  <c r="AH16" i="22"/>
  <c r="AI61" i="22"/>
  <c r="AI62" i="22"/>
  <c r="AK10" i="22"/>
  <c r="AJ11" i="22"/>
  <c r="AI17" i="22" l="1"/>
  <c r="AI16" i="22"/>
  <c r="AJ12" i="22"/>
  <c r="AJ13" i="22"/>
  <c r="AJ61" i="22"/>
  <c r="AJ62" i="22"/>
  <c r="AK11" i="22"/>
  <c r="AL10" i="22"/>
  <c r="AJ17" i="22" l="1"/>
  <c r="AK12" i="22"/>
  <c r="AK13" i="22"/>
  <c r="AJ16" i="22"/>
  <c r="AK61" i="22"/>
  <c r="AK62" i="22"/>
  <c r="AL11" i="22"/>
  <c r="AM10" i="22"/>
  <c r="AK17" i="22" l="1"/>
  <c r="AL12" i="22"/>
  <c r="AL13" i="22"/>
  <c r="AK16" i="22"/>
  <c r="AL61" i="22"/>
  <c r="AL62" i="22"/>
  <c r="AN10" i="22"/>
  <c r="AM11" i="22"/>
  <c r="AL17" i="22" l="1"/>
  <c r="AM12" i="22"/>
  <c r="AM13" i="22"/>
  <c r="AL16" i="22"/>
  <c r="AM61" i="22"/>
  <c r="AM62" i="22"/>
  <c r="AN11" i="22"/>
  <c r="AO10" i="22"/>
  <c r="AM17" i="22" l="1"/>
  <c r="AN12" i="22"/>
  <c r="AN13" i="22"/>
  <c r="AM16" i="22"/>
  <c r="AN61" i="22"/>
  <c r="AN62" i="22"/>
  <c r="AO11" i="22"/>
  <c r="AP10" i="22"/>
  <c r="AN17" i="22" l="1"/>
  <c r="AO13" i="22"/>
  <c r="AO12" i="22"/>
  <c r="AN16" i="22"/>
  <c r="AO61" i="22"/>
  <c r="AO62" i="22"/>
  <c r="AP11" i="22"/>
  <c r="AQ10" i="22"/>
  <c r="AO16" i="22" l="1"/>
  <c r="AO17" i="22"/>
  <c r="AP12" i="22"/>
  <c r="AP13" i="22"/>
  <c r="AP61" i="22"/>
  <c r="AP62" i="22"/>
  <c r="AQ11" i="22"/>
  <c r="AR10" i="22"/>
  <c r="AP17" i="22" l="1"/>
  <c r="AQ12" i="22"/>
  <c r="AQ13" i="22"/>
  <c r="AP16" i="22"/>
  <c r="AQ61" i="22"/>
  <c r="AQ62" i="22"/>
  <c r="AR11" i="22"/>
  <c r="AS10" i="22"/>
  <c r="AQ17" i="22" l="1"/>
  <c r="AR12" i="22"/>
  <c r="AR13" i="22"/>
  <c r="AQ16" i="22"/>
  <c r="AR61" i="22"/>
  <c r="AR62" i="22"/>
  <c r="AT10" i="22"/>
  <c r="AS11" i="22"/>
  <c r="AR17" i="22" l="1"/>
  <c r="AR16" i="22"/>
  <c r="AS12" i="22"/>
  <c r="AS13" i="22"/>
  <c r="AS17" i="22" s="1"/>
  <c r="AS61" i="22"/>
  <c r="AS62" i="22"/>
  <c r="AT11" i="22"/>
  <c r="AU10" i="22"/>
  <c r="AU11" i="22" s="1"/>
  <c r="AS16" i="22" l="1"/>
  <c r="AU12" i="22"/>
  <c r="AU13" i="22"/>
  <c r="AT12" i="22"/>
  <c r="AT13" i="22"/>
  <c r="AU61" i="22"/>
  <c r="AU62" i="22"/>
  <c r="AT61" i="22"/>
  <c r="AT62" i="22"/>
  <c r="AT17" i="22" l="1"/>
  <c r="AU17" i="22"/>
  <c r="AU16" i="22"/>
  <c r="AT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<sst xmlns="http://schemas.openxmlformats.org/spreadsheetml/2006/main" count="1444" uniqueCount="925">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</sst>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</numFmts>
  <fonts count="11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82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10" fontId="0" fillId="0" borderId="7" xfId="0" applyNumberFormat="1" applyBorder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2" borderId="19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1879.64Ω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1031.1Ω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26.762058453207434</c:v>
                </c:pt>
                <c:pt idx="7">
                  <c:v>29.731579678024037</c:v>
                </c:pt>
                <c:pt idx="8">
                  <c:v>32.388824022104686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40.502157403635024</c:v>
                </c:pt>
                <c:pt idx="13">
                  <c:v>42.026760435786493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47.556559421986293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49.21616242479034</c:v>
                </c:pt>
                <c:pt idx="2">
                  <c:v>44.040557160424441</c:v>
                </c:pt>
                <c:pt idx="3">
                  <c:v>39.409222081558411</c:v>
                </c:pt>
                <c:pt idx="4">
                  <c:v>35.264921363647503</c:v>
                </c:pt>
                <c:pt idx="5">
                  <c:v>31.556438140558807</c:v>
                </c:pt>
                <c:pt idx="6">
                  <c:v>28.237941546792566</c:v>
                </c:pt>
                <c:pt idx="7">
                  <c:v>25.268420321975963</c:v>
                </c:pt>
                <c:pt idx="8">
                  <c:v>22.611175977895314</c:v>
                </c:pt>
                <c:pt idx="9">
                  <c:v>20.233369264429331</c:v>
                </c:pt>
                <c:pt idx="10">
                  <c:v>18.105614329434808</c:v>
                </c:pt>
                <c:pt idx="11">
                  <c:v>16.201615557055913</c:v>
                </c:pt>
                <c:pt idx="12">
                  <c:v>14.497842596364976</c:v>
                </c:pt>
                <c:pt idx="13">
                  <c:v>12.973239564213504</c:v>
                </c:pt>
                <c:pt idx="14">
                  <c:v>11.608964828509963</c:v>
                </c:pt>
                <c:pt idx="15">
                  <c:v>10.388158156065906</c:v>
                </c:pt>
                <c:pt idx="16">
                  <c:v>9.2957323473336366</c:v>
                </c:pt>
                <c:pt idx="17">
                  <c:v>8.3181867829772695</c:v>
                </c:pt>
                <c:pt idx="18">
                  <c:v>7.4434405780137016</c:v>
                </c:pt>
                <c:pt idx="19">
                  <c:v>6.6606832815781374</c:v>
                </c:pt>
                <c:pt idx="20">
                  <c:v>5.9602412772042754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1 * sin(x + 180)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Sinus_Cosinus!$G$12:$AU$12</c:f>
              <c:numCache>
                <c:formatCode>#,##0.00</c:formatCode>
                <c:ptCount val="41"/>
                <c:pt idx="0">
                  <c:v>1.22514845490862E-16</c:v>
                </c:pt>
                <c:pt idx="1">
                  <c:v>-0.17364817766693003</c:v>
                </c:pt>
                <c:pt idx="2">
                  <c:v>-0.34202014332566866</c:v>
                </c:pt>
                <c:pt idx="3">
                  <c:v>-0.49999999999999972</c:v>
                </c:pt>
                <c:pt idx="4">
                  <c:v>-0.64278760968653925</c:v>
                </c:pt>
                <c:pt idx="5">
                  <c:v>-0.7660444431189779</c:v>
                </c:pt>
                <c:pt idx="6">
                  <c:v>-0.86602540378443837</c:v>
                </c:pt>
                <c:pt idx="7">
                  <c:v>-0.93969262078590843</c:v>
                </c:pt>
                <c:pt idx="8">
                  <c:v>-0.98480775301220802</c:v>
                </c:pt>
                <c:pt idx="9">
                  <c:v>-1</c:v>
                </c:pt>
                <c:pt idx="10">
                  <c:v>-0.98480775301220813</c:v>
                </c:pt>
                <c:pt idx="11">
                  <c:v>-0.93969262078590854</c:v>
                </c:pt>
                <c:pt idx="12">
                  <c:v>-0.86602540378443904</c:v>
                </c:pt>
                <c:pt idx="13">
                  <c:v>-0.76604444311897812</c:v>
                </c:pt>
                <c:pt idx="14">
                  <c:v>-0.64278760968653958</c:v>
                </c:pt>
                <c:pt idx="15">
                  <c:v>-0.49999999999999967</c:v>
                </c:pt>
                <c:pt idx="16">
                  <c:v>-0.3420201433256686</c:v>
                </c:pt>
                <c:pt idx="17">
                  <c:v>-0.17364817766693039</c:v>
                </c:pt>
                <c:pt idx="18">
                  <c:v>-2.45029690981724E-16</c:v>
                </c:pt>
                <c:pt idx="19">
                  <c:v>0.17364817766692991</c:v>
                </c:pt>
                <c:pt idx="20">
                  <c:v>0.3420201433256681</c:v>
                </c:pt>
                <c:pt idx="21">
                  <c:v>0.5</c:v>
                </c:pt>
                <c:pt idx="22">
                  <c:v>0.64278760968653914</c:v>
                </c:pt>
                <c:pt idx="23">
                  <c:v>0.76604444311897779</c:v>
                </c:pt>
                <c:pt idx="24">
                  <c:v>0.86602540378443837</c:v>
                </c:pt>
                <c:pt idx="25">
                  <c:v>0.93969262078590809</c:v>
                </c:pt>
                <c:pt idx="26">
                  <c:v>0.98480775301220802</c:v>
                </c:pt>
                <c:pt idx="27">
                  <c:v>1</c:v>
                </c:pt>
                <c:pt idx="28">
                  <c:v>0.98480775301220813</c:v>
                </c:pt>
                <c:pt idx="29">
                  <c:v>0.93969262078590865</c:v>
                </c:pt>
                <c:pt idx="30">
                  <c:v>0.86602540378443826</c:v>
                </c:pt>
                <c:pt idx="31">
                  <c:v>0.76604444311897757</c:v>
                </c:pt>
                <c:pt idx="32">
                  <c:v>0.64278760968653903</c:v>
                </c:pt>
                <c:pt idx="33">
                  <c:v>0.49999999999999978</c:v>
                </c:pt>
                <c:pt idx="34">
                  <c:v>0.34202014332566871</c:v>
                </c:pt>
                <c:pt idx="35">
                  <c:v>0.1736481776669305</c:v>
                </c:pt>
                <c:pt idx="36">
                  <c:v>3.67544536472586E-16</c:v>
                </c:pt>
                <c:pt idx="37">
                  <c:v>-0.17364817766692978</c:v>
                </c:pt>
                <c:pt idx="38">
                  <c:v>-0.34202014332566799</c:v>
                </c:pt>
                <c:pt idx="39">
                  <c:v>-0.49999999999999917</c:v>
                </c:pt>
                <c:pt idx="40">
                  <c:v>-0.64278760968653836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2 * cos(x)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Sinus_Cosinus!$G$13:$AU$13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1.2855752193730787</c:v>
                </c:pt>
                <c:pt idx="6">
                  <c:v>1.0000000000000002</c:v>
                </c:pt>
                <c:pt idx="7">
                  <c:v>0.68404028665133765</c:v>
                </c:pt>
                <c:pt idx="8">
                  <c:v>0.34729635533386083</c:v>
                </c:pt>
                <c:pt idx="9">
                  <c:v>1.22514845490862E-16</c:v>
                </c:pt>
                <c:pt idx="10">
                  <c:v>-0.34729635533386061</c:v>
                </c:pt>
                <c:pt idx="11">
                  <c:v>-0.68404028665133743</c:v>
                </c:pt>
                <c:pt idx="12">
                  <c:v>-0.99999999999999956</c:v>
                </c:pt>
                <c:pt idx="13">
                  <c:v>-1.2855752193730787</c:v>
                </c:pt>
                <c:pt idx="14">
                  <c:v>-1.5320888862379558</c:v>
                </c:pt>
                <c:pt idx="15">
                  <c:v>-1.7320508075688774</c:v>
                </c:pt>
                <c:pt idx="16">
                  <c:v>-1.8793852415718166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</c:v>
                </c:pt>
                <c:pt idx="20">
                  <c:v>-1.8793852415718169</c:v>
                </c:pt>
                <c:pt idx="21">
                  <c:v>-1.7320508075688772</c:v>
                </c:pt>
                <c:pt idx="22">
                  <c:v>-1.532088886237956</c:v>
                </c:pt>
                <c:pt idx="23">
                  <c:v>-1.2855752193730789</c:v>
                </c:pt>
                <c:pt idx="24">
                  <c:v>-1.0000000000000009</c:v>
                </c:pt>
                <c:pt idx="25">
                  <c:v>-0.68404028665133876</c:v>
                </c:pt>
                <c:pt idx="26">
                  <c:v>-0.34729635533386066</c:v>
                </c:pt>
                <c:pt idx="27">
                  <c:v>-3.67544536472586E-16</c:v>
                </c:pt>
                <c:pt idx="28">
                  <c:v>0.34729635533385994</c:v>
                </c:pt>
                <c:pt idx="29">
                  <c:v>0.68404028665133632</c:v>
                </c:pt>
                <c:pt idx="30">
                  <c:v>1.0000000000000002</c:v>
                </c:pt>
                <c:pt idx="31">
                  <c:v>1.2855752193730785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1.8793852415718166</c:v>
                </c:pt>
                <c:pt idx="39">
                  <c:v>1.7320508075688781</c:v>
                </c:pt>
                <c:pt idx="40">
                  <c:v>1.5320888862379562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Sinus_Cosinus!$AY$9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Sinus_Cosinus!$BB$3:$BC$3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Sinus_Cosinus!$BB$4:$BC$4</c:f>
              <c:numCache>
                <c:formatCode>#,##0.00</c:formatCode>
                <c:ptCount val="2"/>
                <c:pt idx="0">
                  <c:v>-0.98480775301220791</c:v>
                </c:pt>
                <c:pt idx="1">
                  <c:v>1.2855752193730787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Sinus_Cosinus!$G$16:$AU$16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Sinus_Cosinus!$F$17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Sinus_Cosinus!$G$17:$AU$17</c:f>
              <c:numCache>
                <c:formatCode>#,##0.00</c:formatCode>
                <c:ptCount val="41"/>
                <c:pt idx="0">
                  <c:v>2.45029690981724E-16</c:v>
                </c:pt>
                <c:pt idx="1">
                  <c:v>-0.3420201433256681</c:v>
                </c:pt>
                <c:pt idx="2">
                  <c:v>-0.64278760968653925</c:v>
                </c:pt>
                <c:pt idx="3">
                  <c:v>-0.86602540378443826</c:v>
                </c:pt>
                <c:pt idx="4">
                  <c:v>-0.98480775301220791</c:v>
                </c:pt>
                <c:pt idx="5">
                  <c:v>-0.98480775301220791</c:v>
                </c:pt>
                <c:pt idx="6">
                  <c:v>-0.8660254037844386</c:v>
                </c:pt>
                <c:pt idx="7">
                  <c:v>-0.64278760968653947</c:v>
                </c:pt>
                <c:pt idx="8">
                  <c:v>-0.34202014332566882</c:v>
                </c:pt>
                <c:pt idx="9">
                  <c:v>-1.22514845490862E-16</c:v>
                </c:pt>
                <c:pt idx="10">
                  <c:v>0.34202014332566866</c:v>
                </c:pt>
                <c:pt idx="11">
                  <c:v>0.64278760968653936</c:v>
                </c:pt>
                <c:pt idx="12">
                  <c:v>0.86602540378443871</c:v>
                </c:pt>
                <c:pt idx="13">
                  <c:v>0.98480775301220824</c:v>
                </c:pt>
                <c:pt idx="14">
                  <c:v>0.98480775301220824</c:v>
                </c:pt>
                <c:pt idx="15">
                  <c:v>0.86602540378443815</c:v>
                </c:pt>
                <c:pt idx="16">
                  <c:v>0.64278760968653903</c:v>
                </c:pt>
                <c:pt idx="17">
                  <c:v>0.34202014332566877</c:v>
                </c:pt>
                <c:pt idx="18">
                  <c:v>4.90059381963448E-16</c:v>
                </c:pt>
                <c:pt idx="19">
                  <c:v>-0.34202014332566788</c:v>
                </c:pt>
                <c:pt idx="20">
                  <c:v>-0.64278760968653814</c:v>
                </c:pt>
                <c:pt idx="21">
                  <c:v>-0.8660254037844386</c:v>
                </c:pt>
                <c:pt idx="22">
                  <c:v>-0.9848077530122078</c:v>
                </c:pt>
                <c:pt idx="23">
                  <c:v>-0.98480775301220802</c:v>
                </c:pt>
                <c:pt idx="24">
                  <c:v>-0.86602540378443915</c:v>
                </c:pt>
                <c:pt idx="25">
                  <c:v>-0.64278760968654036</c:v>
                </c:pt>
                <c:pt idx="26">
                  <c:v>-0.34202014332566866</c:v>
                </c:pt>
                <c:pt idx="27">
                  <c:v>-3.67544536472586E-16</c:v>
                </c:pt>
                <c:pt idx="28">
                  <c:v>0.34202014332566799</c:v>
                </c:pt>
                <c:pt idx="29">
                  <c:v>0.64278760968653847</c:v>
                </c:pt>
                <c:pt idx="30">
                  <c:v>0.86602540378443849</c:v>
                </c:pt>
                <c:pt idx="31">
                  <c:v>0.98480775301220735</c:v>
                </c:pt>
                <c:pt idx="32">
                  <c:v>0.98480775301220724</c:v>
                </c:pt>
                <c:pt idx="33">
                  <c:v>0.86602540378443804</c:v>
                </c:pt>
                <c:pt idx="34">
                  <c:v>0.64278760968653936</c:v>
                </c:pt>
                <c:pt idx="35">
                  <c:v>0.34202014332566899</c:v>
                </c:pt>
                <c:pt idx="36">
                  <c:v>7.3508907294517201E-16</c:v>
                </c:pt>
                <c:pt idx="37">
                  <c:v>-0.3420201433256676</c:v>
                </c:pt>
                <c:pt idx="38">
                  <c:v>-0.64278760968653792</c:v>
                </c:pt>
                <c:pt idx="39">
                  <c:v>-0.8660254037844376</c:v>
                </c:pt>
                <c:pt idx="40">
                  <c:v>-0.98480775301220669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Sinus_Cosinus!$E$12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Sinus_Cosinus!$BF$12:$BG$12</c:f>
              <c:numCache>
                <c:formatCode>0.000</c:formatCode>
                <c:ptCount val="2"/>
                <c:pt idx="0">
                  <c:v>0</c:v>
                </c:pt>
                <c:pt idx="1">
                  <c:v>-0.64278760968653947</c:v>
                </c:pt>
              </c:numCache>
            </c:numRef>
          </c:xVal>
          <c:yVal>
            <c:numRef>
              <c:f>Sinus_Cosinus!$BH$12:$BI$12</c:f>
              <c:numCache>
                <c:formatCode>0.000</c:formatCode>
                <c:ptCount val="2"/>
                <c:pt idx="0">
                  <c:v>0</c:v>
                </c:pt>
                <c:pt idx="1">
                  <c:v>-0.7660444431189779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Sinus_Cosinus!$E$13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Sinus_Cosinus!$BF$13:$BG$13</c:f>
              <c:numCache>
                <c:formatCode>0.000</c:formatCode>
                <c:ptCount val="2"/>
                <c:pt idx="0">
                  <c:v>0</c:v>
                </c:pt>
                <c:pt idx="1">
                  <c:v>-1.5320888862379558</c:v>
                </c:pt>
              </c:numCache>
            </c:numRef>
          </c:xVal>
          <c:yVal>
            <c:numRef>
              <c:f>Sinus_Cosinus!$BH$13:$BI$13</c:f>
              <c:numCache>
                <c:formatCode>0.000</c:formatCode>
                <c:ptCount val="2"/>
                <c:pt idx="0">
                  <c:v>0</c:v>
                </c:pt>
                <c:pt idx="1">
                  <c:v>1.2855752193730789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Sinus_Cosinus!$BJ$9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Sinus_Cosinus!$BK$11:$BN$11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-2</c:v>
                </c:pt>
              </c:numCache>
            </c:numRef>
          </c:xVal>
          <c:yVal>
            <c:numRef>
              <c:f>Sinus_Cosinus!$BO$11:$BR$11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-2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Sinus_Cosinus!$F$16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Sinus_Cosinus!$BF$16:$BG$16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Sinus_Cosinus!$BH$16:$BI$16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Sinus_Cosinus!$BJ$15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Sinus_Cosinus!$BJ$16:$BK$16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Sinus_Cosinus!$BL$16:$BM$16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Sinus_Cosinus!$BN$15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Sinus_Cosinus!$BN$16:$BO$16</c:f>
              <c:numCache>
                <c:formatCode>0.000</c:formatCode>
                <c:ptCount val="2"/>
                <c:pt idx="0">
                  <c:v>-0.64278760968653947</c:v>
                </c:pt>
                <c:pt idx="1">
                  <c:v>0</c:v>
                </c:pt>
              </c:numCache>
            </c:numRef>
          </c:xVal>
          <c:yVal>
            <c:numRef>
              <c:f>Sinus_Cosinus!$BP$16:$BQ$16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Sinus_Cosinus!$F$61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Sinus_Cosinus!$G$61:$AU$61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Sinus_Cosinus!$F$62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Sinus_Cosinus!$G$10:$AU$10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Sinus_Cosinus!$G$62:$AU$62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4.png"/><Relationship Id="rId7" Type="http://schemas.openxmlformats.org/officeDocument/2006/relationships/image" Target="../media/image6.png"/><Relationship Id="rId2" Type="http://schemas.openxmlformats.org/officeDocument/2006/relationships/image" Target="../media/image3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5.png"/><Relationship Id="rId4" Type="http://schemas.openxmlformats.org/officeDocument/2006/relationships/chart" Target="../charts/chart1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Relationship Id="rId4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hyperlink" Target="#TOC!A1"/><Relationship Id="rId4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0.xml"/><Relationship Id="rId1" Type="http://schemas.openxmlformats.org/officeDocument/2006/relationships/chart" Target="../charts/chart19.xml"/><Relationship Id="rId4" Type="http://schemas.openxmlformats.org/officeDocument/2006/relationships/chart" Target="../charts/chart21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4" Type="http://schemas.openxmlformats.org/officeDocument/2006/relationships/chart" Target="../charts/chart26.xml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7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chart" Target="../charts/chart28.xml"/><Relationship Id="rId1" Type="http://schemas.openxmlformats.org/officeDocument/2006/relationships/hyperlink" Target="#TOC!A1"/><Relationship Id="rId5" Type="http://schemas.openxmlformats.org/officeDocument/2006/relationships/image" Target="../media/image10.png"/><Relationship Id="rId4" Type="http://schemas.openxmlformats.org/officeDocument/2006/relationships/image" Target="../media/image9.png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2" Type="http://schemas.openxmlformats.org/officeDocument/2006/relationships/chart" Target="../charts/chart29.xml"/><Relationship Id="rId1" Type="http://schemas.openxmlformats.org/officeDocument/2006/relationships/hyperlink" Target="#TOC!A1"/><Relationship Id="rId5" Type="http://schemas.openxmlformats.org/officeDocument/2006/relationships/chart" Target="../charts/chart31.xml"/><Relationship Id="rId4" Type="http://schemas.openxmlformats.org/officeDocument/2006/relationships/image" Target="../media/image1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image" Target="../media/image13.png"/><Relationship Id="rId7" Type="http://schemas.openxmlformats.org/officeDocument/2006/relationships/image" Target="../media/image17.png"/><Relationship Id="rId2" Type="http://schemas.openxmlformats.org/officeDocument/2006/relationships/image" Target="../media/image12.png"/><Relationship Id="rId1" Type="http://schemas.openxmlformats.org/officeDocument/2006/relationships/hyperlink" Target="#TOC!A1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image" Target="../media/image14.png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.png"/><Relationship Id="rId2" Type="http://schemas.openxmlformats.org/officeDocument/2006/relationships/image" Target="../media/image19.png"/><Relationship Id="rId1" Type="http://schemas.openxmlformats.org/officeDocument/2006/relationships/hyperlink" Target="#TOC!A1"/><Relationship Id="rId4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5855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704849</xdr:colOff>
      <xdr:row>1</xdr:row>
      <xdr:rowOff>3174</xdr:rowOff>
    </xdr:from>
    <xdr:to>
      <xdr:col>1</xdr:col>
      <xdr:colOff>546099</xdr:colOff>
      <xdr:row>2</xdr:row>
      <xdr:rowOff>157405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6B8650E-F871-46C6-920C-5CFC63BCFB01}"/>
            </a:ext>
          </a:extLst>
        </xdr:cNvPr>
        <xdr:cNvSpPr/>
      </xdr:nvSpPr>
      <xdr:spPr>
        <a:xfrm rot="10800000">
          <a:off x="704849" y="187324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29350" y="2628900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32563" y="3008312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9462" y="3021012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29350" y="2060575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97775" y="2066925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61075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45400" y="2628900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48612" y="3008313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72337" y="3017837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32850" y="2981324"/>
          <a:ext cx="42862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87783" y="3241369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34550" y="5473700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37763" y="5853112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64662" y="5865812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76933" y="6082994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39825" y="7223125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942974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60700" y="65436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13</xdr:row>
      <xdr:rowOff>377825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59150" y="68072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12</xdr:col>
      <xdr:colOff>1816847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942975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28857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70188" y="3438525"/>
          <a:ext cx="4222851" cy="1904303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46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49</xdr:col>
      <xdr:colOff>231323</xdr:colOff>
      <xdr:row>21</xdr:row>
      <xdr:rowOff>122464</xdr:rowOff>
    </xdr:from>
    <xdr:to>
      <xdr:col>56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46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3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tabSelected="1" workbookViewId="0"/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Einheitenvorsätze!C2</f>
        <v>Einheiten-Vorsätze</v>
      </c>
      <c r="F5" s="70">
        <v>45758</v>
      </c>
      <c r="G5" s="71" t="str">
        <f ca="1">Geburtstagsliste!C2</f>
        <v>Geburtstagsliste für 2026</v>
      </c>
    </row>
    <row r="6" spans="2:7" x14ac:dyDescent="0.35">
      <c r="B6" s="70">
        <v>45730</v>
      </c>
      <c r="C6" s="71" t="str">
        <f>Flächenberechnungen!C2</f>
        <v>Flächenberechnungen</v>
      </c>
      <c r="D6" s="70">
        <v>45944</v>
      </c>
      <c r="E6" s="71" t="str">
        <f>'Elektronische Schaltzeichen'!C2</f>
        <v>Elektronische Schaltzeichen</v>
      </c>
    </row>
    <row r="7" spans="2:7" x14ac:dyDescent="0.35">
      <c r="B7" s="70">
        <v>46002</v>
      </c>
      <c r="C7" s="71" t="str">
        <f>Sinus_Cosinus!E2</f>
        <v>Sinus / Cosinus / Tangens</v>
      </c>
      <c r="D7" s="70">
        <v>45932</v>
      </c>
      <c r="E7" s="71" t="str">
        <f>'Quelle mit Innenwiderstand'!C2</f>
        <v>Quelle mit Innenwiderstand</v>
      </c>
    </row>
    <row r="8" spans="2:7" x14ac:dyDescent="0.35">
      <c r="B8" s="70">
        <v>45772</v>
      </c>
      <c r="C8" s="71" t="s">
        <v>331</v>
      </c>
      <c r="D8" s="70">
        <v>45799</v>
      </c>
      <c r="E8" s="71" t="str">
        <f>'Gemischte Schaltung'!C2</f>
        <v>Gemischte Schaltungen</v>
      </c>
    </row>
    <row r="9" spans="2:7" x14ac:dyDescent="0.35">
      <c r="B9" s="70">
        <v>45870</v>
      </c>
      <c r="C9" s="71" t="str">
        <f>VektorZeitbereich!C2</f>
        <v>Sinusförmige Signale im Zeitbereich / Vektoren</v>
      </c>
      <c r="D9" s="70">
        <v>45998</v>
      </c>
      <c r="E9" s="71" t="str">
        <f>'LCR-Glieder'!C2</f>
        <v>RCL-Glieder (Serieschaltung) an Wechselspannung</v>
      </c>
    </row>
    <row r="10" spans="2:7" x14ac:dyDescent="0.35">
      <c r="B10" s="70">
        <v>45873</v>
      </c>
      <c r="C10" s="71" t="str">
        <f>Theoreme!$C$2</f>
        <v>Trigonometrischen Theoreme und Identitäten</v>
      </c>
      <c r="D10" s="70">
        <v>46035</v>
      </c>
      <c r="E10" s="71" t="str">
        <f>'Kondensator an Gleichspannung'!C2</f>
        <v>Kondensator an Gleichspannung</v>
      </c>
    </row>
    <row r="11" spans="2:7" x14ac:dyDescent="0.35">
      <c r="B11" s="70">
        <v>45873</v>
      </c>
      <c r="C11" s="71" t="str">
        <f>'Fläche eines Polygones'!C2</f>
        <v>Polygone-Fläche</v>
      </c>
    </row>
    <row r="12" spans="2:7" x14ac:dyDescent="0.35">
      <c r="B12" s="90"/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Scheinleistung!C2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Wechselstrom'!C2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'3-Phasenstrom'!C2</f>
        <v>3-Phasenstrom (Verkettete Spannung)</v>
      </c>
    </row>
    <row r="18" spans="2:5" x14ac:dyDescent="0.35">
      <c r="B18" s="70">
        <v>45979</v>
      </c>
      <c r="C18" s="71" t="str">
        <f>Kinematik_1!C2</f>
        <v>Kinematik I</v>
      </c>
      <c r="D18" s="70">
        <v>45870</v>
      </c>
      <c r="E18" s="71" t="str">
        <f>Fourierreihe!C2</f>
        <v>Fourierreihe</v>
      </c>
    </row>
    <row r="19" spans="2:5" x14ac:dyDescent="0.35">
      <c r="B19" s="70">
        <v>45998</v>
      </c>
      <c r="C19" s="71" t="str">
        <f>'Kinematik_1 (Weg-Zeit)'!C2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(Weg-Zeit)'!C2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8" location="Vektoroperationen!A1" display="Vektoroperationen" xr:uid="{898F9560-9AB3-43EE-B105-DB9C3B6E61A9}"/>
    <hyperlink ref="C25" location="Schiefeebene!A1" display="Schiefe Ebene" xr:uid="{ED253B79-5E32-4C6D-BC31-035CD76A77DC}"/>
    <hyperlink ref="C7" location="Sinus_Cosinus!A1" display="Sinus/Cosinus/Tangens" xr:uid="{9C72A74A-3681-4E08-BF54-03C3D64D9F80}"/>
    <hyperlink ref="C9" location="VektorZeitbereich!A1" display="VektorZeitbereich!A1" xr:uid="{1D9A0842-7145-4C54-B55F-840F1885E41F}"/>
    <hyperlink ref="E17" location="'3-Phasenstrom'!A1" display="Verkettete Spannung (3-Phasenstrom)" xr:uid="{F0D6490D-D7FD-40F5-9193-AEF7266C201A}"/>
    <hyperlink ref="C10" location="Theoreme!A1" display="Theoreme!A1" xr:uid="{0BE171A1-EFB5-45EC-AE54-5B69665FAB10}"/>
    <hyperlink ref="C11" location="'Fläche eines Polygones'!A1" display="'Fläche eines Polygones'!A1" xr:uid="{FA6D782C-8632-4E5B-97A4-90B6A18392EC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  <hyperlink ref="E10" location="'Kondensator an Gleichspannung'!A1" display="'Kondensator an Gleichspannung'!A1" xr:uid="{2C41B8A5-F5DB-4A56-99E8-E0A145E6BC8E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2" workbookViewId="0"/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17"/>
  <sheetViews>
    <sheetView topLeftCell="G9" workbookViewId="0">
      <selection activeCell="M13" sqref="M13:U17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3" width="20.08984375" customWidth="1"/>
    <col min="14" max="14" width="9.6328125" customWidth="1"/>
    <col min="15" max="15" width="20.089843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31" t="s">
        <v>923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924</v>
      </c>
    </row>
    <row r="12" spans="3:21" ht="14" customHeight="1" x14ac:dyDescent="0.35"/>
    <row r="13" spans="3:21" ht="91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1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32">
        <v>1</v>
      </c>
      <c r="R17" s="432"/>
      <c r="T17" s="432">
        <v>1</v>
      </c>
      <c r="U17" s="432"/>
    </row>
  </sheetData>
  <mergeCells count="2">
    <mergeCell ref="Q17:R17"/>
    <mergeCell ref="T17:U17"/>
  </mergeCells>
  <pageMargins left="0.7" right="0.7" top="0.78740157499999996" bottom="0.78740157499999996" header="0.3" footer="0.3"/>
  <pageSetup paperSize="9" scale="37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zoomScale="115" zoomScaleNormal="115" workbookViewId="0">
      <selection activeCell="A15" sqref="A15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zoomScale="85" zoomScaleNormal="85" workbookViewId="0">
      <selection activeCell="X55" sqref="X55:X56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8" max="9" width="10.906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21.453125" customWidth="1"/>
  </cols>
  <sheetData>
    <row r="2" spans="3:34" ht="23.5" x14ac:dyDescent="0.55000000000000004">
      <c r="C2" s="9" t="s">
        <v>904</v>
      </c>
      <c r="R2" t="s">
        <v>64</v>
      </c>
      <c r="W2" s="8" t="s">
        <v>879</v>
      </c>
      <c r="X2" s="4" t="s">
        <v>64</v>
      </c>
    </row>
    <row r="3" spans="3:34" ht="15" thickBot="1" x14ac:dyDescent="0.4">
      <c r="R3" t="s">
        <v>65</v>
      </c>
    </row>
    <row r="4" spans="3:34" x14ac:dyDescent="0.35">
      <c r="V4" s="404"/>
      <c r="W4" s="405"/>
      <c r="X4" s="405"/>
      <c r="Y4" s="405"/>
      <c r="Z4" s="405"/>
      <c r="AA4" s="406"/>
    </row>
    <row r="5" spans="3:34" x14ac:dyDescent="0.35">
      <c r="V5" s="407"/>
      <c r="AA5" s="408"/>
    </row>
    <row r="6" spans="3:34" x14ac:dyDescent="0.35">
      <c r="V6" s="407"/>
      <c r="X6" s="5" t="s">
        <v>881</v>
      </c>
      <c r="Z6" s="5" t="s">
        <v>880</v>
      </c>
      <c r="AA6" s="408"/>
    </row>
    <row r="7" spans="3:34" ht="20.5" customHeight="1" x14ac:dyDescent="0.45">
      <c r="C7" s="8" t="s">
        <v>865</v>
      </c>
      <c r="D7" s="4">
        <v>1</v>
      </c>
      <c r="E7" s="4" t="s">
        <v>698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 * 10³Ω</v>
      </c>
      <c r="K7" s="77" t="str">
        <f>IF(E7=Einheitenvorsätze!$A$19,_xlfn.CONCAT(D7,F7),_xlfn.CONCAT(D7,E7,F7))</f>
        <v>1kΩ</v>
      </c>
      <c r="L7" s="77" t="str">
        <f>_xlfn.CONCAT(I7,K7)</f>
        <v>R = 1kΩ</v>
      </c>
      <c r="M7" s="77" t="str">
        <f>_xlfn.CONCAT(I7,J7)</f>
        <v>R = 1 * 10³Ω</v>
      </c>
      <c r="V7" s="407"/>
      <c r="X7" s="402" t="str">
        <f>$L$7</f>
        <v>R = 1kΩ</v>
      </c>
      <c r="Z7" s="403" t="str">
        <f>IF($X$2=$R$2,$L$12,_xlfn.CONCAT($C$12,"?"))</f>
        <v>ω = 6283.1853(1/s)</v>
      </c>
      <c r="AA7" s="408"/>
      <c r="AB7">
        <f>$H$7</f>
        <v>1000</v>
      </c>
      <c r="AC7" s="1" t="s">
        <v>891</v>
      </c>
      <c r="AD7">
        <v>0</v>
      </c>
      <c r="AE7">
        <f>IF($X$2=$R$2,AB7,0)</f>
        <v>1000</v>
      </c>
      <c r="AG7">
        <v>0</v>
      </c>
      <c r="AH7">
        <v>0</v>
      </c>
    </row>
    <row r="8" spans="3:34" ht="20.5" customHeight="1" x14ac:dyDescent="0.45">
      <c r="C8" s="8" t="s">
        <v>866</v>
      </c>
      <c r="D8" s="4">
        <v>0.1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9.9999999999999995E-8</v>
      </c>
      <c r="I8" s="401" t="str">
        <f t="shared" ref="I8:I10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0.1 * 10⁻⁶F</v>
      </c>
      <c r="K8" s="77" t="str">
        <f>IF(E8=Einheitenvorsätze!$A$19,_xlfn.CONCAT(D8,F8),_xlfn.CONCAT(D8,E8,F8))</f>
        <v>0.1µF</v>
      </c>
      <c r="L8" s="77" t="str">
        <f t="shared" ref="L8:L10" si="1">_xlfn.CONCAT(I8,K8)</f>
        <v>C = 0.1µF</v>
      </c>
      <c r="M8" s="77" t="str">
        <f t="shared" ref="M8:M10" si="2">_xlfn.CONCAT(I8,J8)</f>
        <v>C = 0.1 * 10⁻⁶F</v>
      </c>
      <c r="V8" s="407"/>
      <c r="X8" s="402" t="str">
        <f>$L$8</f>
        <v>C = 0.1µF</v>
      </c>
      <c r="Z8" s="403" t="str">
        <f>IF($X$2=$R$2,$L$15,_xlfn.CONCAT($C$15,"?"))</f>
        <v>XC = 1591.55Ω</v>
      </c>
      <c r="AA8" s="408"/>
      <c r="AB8">
        <f>$H$15</f>
        <v>1591.55</v>
      </c>
      <c r="AC8" s="1" t="s">
        <v>892</v>
      </c>
      <c r="AD8">
        <v>0</v>
      </c>
      <c r="AE8">
        <v>0</v>
      </c>
      <c r="AG8">
        <v>0</v>
      </c>
      <c r="AH8">
        <f>IF($X$2=$R$2,-AB8,0)</f>
        <v>-1591.55</v>
      </c>
    </row>
    <row r="9" spans="3:34" ht="20.5" customHeight="1" x14ac:dyDescent="0.45">
      <c r="C9" s="8" t="s">
        <v>867</v>
      </c>
      <c r="D9" s="4">
        <v>40</v>
      </c>
      <c r="E9" s="4" t="s">
        <v>716</v>
      </c>
      <c r="F9" s="5" t="s">
        <v>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0.04</v>
      </c>
      <c r="I9" s="401" t="str">
        <f t="shared" si="0"/>
        <v xml:space="preserve">L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40 * 10⁻³H</v>
      </c>
      <c r="K9" s="77" t="str">
        <f>IF(E9=Einheitenvorsätze!$A$19,_xlfn.CONCAT(D9,F9),_xlfn.CONCAT(D9,E9,F9))</f>
        <v>40mH</v>
      </c>
      <c r="L9" s="77" t="str">
        <f t="shared" si="1"/>
        <v>L = 40mH</v>
      </c>
      <c r="M9" s="77" t="str">
        <f t="shared" si="2"/>
        <v>L = 40 * 10⁻³H</v>
      </c>
      <c r="V9" s="407"/>
      <c r="X9" s="402" t="str">
        <f>$L$10</f>
        <v>f =1kHZ</v>
      </c>
      <c r="Z9" s="403" t="str">
        <f>IF($X$2=$R$2,$L$19,_xlfn.CONCAT($C$19,"?"))</f>
        <v>ZRC = 1879.64Ω</v>
      </c>
      <c r="AA9" s="409"/>
      <c r="AB9">
        <f>ABS(MAX(AB7:AB8))*1.1</f>
        <v>1750.7050000000002</v>
      </c>
      <c r="AC9" s="1" t="s">
        <v>894</v>
      </c>
      <c r="AD9">
        <f>-AB9</f>
        <v>-1750.7050000000002</v>
      </c>
      <c r="AE9">
        <f>AB9</f>
        <v>1750.7050000000002</v>
      </c>
      <c r="AG9">
        <v>0</v>
      </c>
      <c r="AH9">
        <v>0</v>
      </c>
    </row>
    <row r="10" spans="3:34" ht="20.5" customHeight="1" x14ac:dyDescent="0.45">
      <c r="C10" s="8" t="s">
        <v>868</v>
      </c>
      <c r="D10" s="4">
        <v>1</v>
      </c>
      <c r="E10" s="4" t="s">
        <v>698</v>
      </c>
      <c r="F10" s="5" t="s">
        <v>869</v>
      </c>
      <c r="G10" s="77">
        <f>VLOOKUP(E10, CHOOSE({1,2,3,4,5}, Einheitenvorsätze!A:A, Einheitenvorsätze!B:B, Einheitenvorsätze!C:C, Einheitenvorsätze!D:D, Einheitenvorsätze!E:E), 5, FALSE)</f>
        <v>3</v>
      </c>
      <c r="H10" s="77">
        <f>D10*VLOOKUP(E10, CHOOSE({1,2,3,4}, Einheitenvorsätze!A:A, Einheitenvorsätze!B:B, Einheitenvorsätze!C:C, Einheitenvorsätze!D:D), 3, FALSE)</f>
        <v>1000</v>
      </c>
      <c r="I10" s="401" t="str">
        <f t="shared" si="0"/>
        <v>f =</v>
      </c>
      <c r="J10" s="77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77" t="str">
        <f>IF(E10=Einheitenvorsätze!$A$19,_xlfn.CONCAT(D10,F10),_xlfn.CONCAT(D10,E10,F10))</f>
        <v>1kHZ</v>
      </c>
      <c r="L10" s="77" t="str">
        <f t="shared" si="1"/>
        <v>f =1kHZ</v>
      </c>
      <c r="M10" s="77" t="str">
        <f t="shared" si="2"/>
        <v>f =1 * 10³HZ</v>
      </c>
      <c r="V10" s="407"/>
      <c r="Z10" s="403" t="str">
        <f>IF($X$2=$R$2,$T$19,_xlfn.CONCAT($O$19,"?"))</f>
        <v>φ = -57.9°</v>
      </c>
      <c r="AA10" s="408"/>
      <c r="AD10">
        <v>0</v>
      </c>
      <c r="AE10">
        <v>0</v>
      </c>
      <c r="AG10">
        <f>AD9</f>
        <v>-1750.7050000000002</v>
      </c>
      <c r="AH10">
        <f>AE9</f>
        <v>1750.7050000000002</v>
      </c>
    </row>
    <row r="11" spans="3:34" ht="20.5" customHeight="1" x14ac:dyDescent="0.35">
      <c r="V11" s="407"/>
      <c r="AA11" s="408"/>
      <c r="AD11">
        <v>0</v>
      </c>
      <c r="AE11">
        <f>AE7</f>
        <v>1000</v>
      </c>
      <c r="AG11">
        <v>0</v>
      </c>
      <c r="AH11">
        <f>AH8</f>
        <v>-1591.55</v>
      </c>
    </row>
    <row r="12" spans="3:34" ht="20.5" customHeight="1" thickBot="1" x14ac:dyDescent="0.4">
      <c r="C12" s="8" t="s">
        <v>870</v>
      </c>
      <c r="D12" s="77">
        <f>ROUND((2*PI()*H10 / 10^G12),4)</f>
        <v>6283.1853000000001</v>
      </c>
      <c r="E12" s="4" t="s">
        <v>707</v>
      </c>
      <c r="F12" s="5" t="s">
        <v>871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6283.1853000000001</v>
      </c>
      <c r="I12" s="401" t="str">
        <f t="shared" ref="I12" si="3">C12</f>
        <v xml:space="preserve">ω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6283.1853(1/s)</v>
      </c>
      <c r="K12" s="77" t="str">
        <f>IF(E12=Einheitenvorsätze!$A$19,_xlfn.CONCAT(D12,F12),_xlfn.CONCAT(D12,E12,F12))</f>
        <v>6283.1853(1/s)</v>
      </c>
      <c r="L12" s="77" t="str">
        <f t="shared" ref="L12" si="4">_xlfn.CONCAT(I12,K12)</f>
        <v>ω = 6283.1853(1/s)</v>
      </c>
      <c r="M12" s="77" t="str">
        <f t="shared" ref="M12" si="5">_xlfn.CONCAT(I12,J12)</f>
        <v>ω = 6283.1853(1/s)</v>
      </c>
      <c r="V12" s="410"/>
      <c r="W12" s="411"/>
      <c r="X12" s="411"/>
      <c r="Y12" s="411"/>
      <c r="Z12" s="411"/>
      <c r="AA12" s="412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872</v>
      </c>
      <c r="D15" s="77">
        <f>ROUND((1/((D12*D8)*10^(G12+G8)))/10^G15,2)</f>
        <v>1591.55</v>
      </c>
      <c r="E15" s="4" t="s">
        <v>707</v>
      </c>
      <c r="F15" s="5" t="str">
        <f>F7</f>
        <v>Ω</v>
      </c>
      <c r="G15" s="77">
        <f>VLOOKUP(E15, CHOOSE({1,2,3,4,5}, Einheitenvorsätze!A:A, Einheitenvorsätze!B:B, Einheitenvorsätze!C:C, Einheitenvorsätze!D:D, Einheitenvorsätze!E:E), 5, FALSE)</f>
        <v>0</v>
      </c>
      <c r="H15" s="77">
        <f>D15*VLOOKUP(E15, CHOOSE({1,2,3,4}, Einheitenvorsätze!A:A, Einheitenvorsätze!B:B, Einheitenvorsätze!C:C, Einheitenvorsätze!D:D), 3, FALSE)</f>
        <v>1591.55</v>
      </c>
      <c r="I15" s="401" t="str">
        <f t="shared" ref="I15:I16" si="6">C15</f>
        <v xml:space="preserve">XC = </v>
      </c>
      <c r="J15" s="77" t="str">
        <f>IF(E15=Einheitenvorsätze!$A$19,_xlfn.CONCAT(D15,F15),_xlfn.CONCAT(D15," * ",VLOOKUP(E15, CHOOSE({1,2,3,4}, Einheitenvorsätze!A:A, Einheitenvorsätze!B:B, Einheitenvorsätze!C:C, Einheitenvorsätze!D:D), 4, FALSE),F15))</f>
        <v>1591.55Ω</v>
      </c>
      <c r="K15" s="77" t="str">
        <f>IF(E15=Einheitenvorsätze!$A$19,_xlfn.CONCAT(D15,F15),_xlfn.CONCAT(D15,E15,F15))</f>
        <v>1591.55Ω</v>
      </c>
      <c r="L15" s="77" t="str">
        <f t="shared" ref="L15:L16" si="7">_xlfn.CONCAT(I15,K15)</f>
        <v>XC = 1591.55Ω</v>
      </c>
      <c r="M15" s="77" t="str">
        <f t="shared" ref="M15:M16" si="8">_xlfn.CONCAT(I15,J15)</f>
        <v>XC = 1591.55Ω</v>
      </c>
    </row>
    <row r="16" spans="3:34" ht="20.5" customHeight="1" x14ac:dyDescent="0.45">
      <c r="C16" s="8" t="s">
        <v>873</v>
      </c>
      <c r="D16" s="77">
        <f>ROUND((((D12*D9)*10^(G12+G9))/10^G16),4)</f>
        <v>251.32740000000001</v>
      </c>
      <c r="E16" s="4" t="s">
        <v>707</v>
      </c>
      <c r="F16" s="5" t="str">
        <f>F7</f>
        <v>Ω</v>
      </c>
      <c r="G16" s="77">
        <f>VLOOKUP(E16, CHOOSE({1,2,3,4,5}, Einheitenvorsätze!A:A, Einheitenvorsätze!B:B, Einheitenvorsätze!C:C, Einheitenvorsätze!D:D, Einheitenvorsätze!E:E), 5, FALSE)</f>
        <v>0</v>
      </c>
      <c r="H16" s="77">
        <f>D16*VLOOKUP(E16, CHOOSE({1,2,3,4}, Einheitenvorsätze!A:A, Einheitenvorsätze!B:B, Einheitenvorsätze!C:C, Einheitenvorsätze!D:D), 3, FALSE)</f>
        <v>251.32740000000001</v>
      </c>
      <c r="I16" s="401" t="str">
        <f t="shared" si="6"/>
        <v xml:space="preserve">XL = </v>
      </c>
      <c r="J16" s="77" t="str">
        <f>IF(E16=Einheitenvorsätze!$A$19,_xlfn.CONCAT(D16,F16),_xlfn.CONCAT(D16," * ",VLOOKUP(E16, CHOOSE({1,2,3,4}, Einheitenvorsätze!A:A, Einheitenvorsätze!B:B, Einheitenvorsätze!C:C, Einheitenvorsätze!D:D), 4, FALSE),F16))</f>
        <v>251.3274Ω</v>
      </c>
      <c r="K16" s="77" t="str">
        <f>IF(E16=Einheitenvorsätze!$A$19,_xlfn.CONCAT(D16,F16),_xlfn.CONCAT(D16,E16,F16))</f>
        <v>251.3274Ω</v>
      </c>
      <c r="L16" s="77" t="str">
        <f t="shared" si="7"/>
        <v>XL = 251.3274Ω</v>
      </c>
      <c r="M16" s="77" t="str">
        <f t="shared" si="8"/>
        <v>XL = 251.3274Ω</v>
      </c>
    </row>
    <row r="18" spans="2:34" x14ac:dyDescent="0.35">
      <c r="C18" t="s">
        <v>875</v>
      </c>
    </row>
    <row r="19" spans="2:34" ht="16.5" x14ac:dyDescent="0.45">
      <c r="C19" s="8" t="s">
        <v>874</v>
      </c>
      <c r="D19" s="77">
        <f>ROUND(SQRT(H7^2 + H15^2) / 10^G19,2)</f>
        <v>1879.64</v>
      </c>
      <c r="E19" s="4" t="s">
        <v>707</v>
      </c>
      <c r="F19" s="5" t="str">
        <f>F16</f>
        <v>Ω</v>
      </c>
      <c r="G19" s="77">
        <f>VLOOKUP(E19, CHOOSE({1,2,3,4,5}, Einheitenvorsätze!A:A, Einheitenvorsätze!B:B, Einheitenvorsätze!C:C, Einheitenvorsätze!D:D, Einheitenvorsätze!E:E), 5, FALSE)</f>
        <v>0</v>
      </c>
      <c r="H19" s="77">
        <f>D19*VLOOKUP(E19, CHOOSE({1,2,3,4}, Einheitenvorsätze!A:A, Einheitenvorsätze!B:B, Einheitenvorsätze!C:C, Einheitenvorsätze!D:D), 3, FALSE)</f>
        <v>1879.64</v>
      </c>
      <c r="I19" s="401" t="str">
        <f t="shared" ref="I19:I21" si="9">C19</f>
        <v xml:space="preserve">ZRC = </v>
      </c>
      <c r="J19" s="77" t="str">
        <f>IF(E19=Einheitenvorsätze!$A$19,_xlfn.CONCAT(D19,F19),_xlfn.CONCAT(D19," * ",VLOOKUP(E19, CHOOSE({1,2,3,4}, Einheitenvorsätze!A:A, Einheitenvorsätze!B:B, Einheitenvorsätze!C:C, Einheitenvorsätze!D:D), 4, FALSE),F19))</f>
        <v>1879.64Ω</v>
      </c>
      <c r="K19" s="77" t="str">
        <f>IF(E19=Einheitenvorsätze!$A$19,_xlfn.CONCAT(D19,F19),_xlfn.CONCAT(D19,E19,F19))</f>
        <v>1879.64Ω</v>
      </c>
      <c r="L19" s="77" t="str">
        <f t="shared" ref="L19:L21" si="10">_xlfn.CONCAT(I19,K19)</f>
        <v>ZRC = 1879.64Ω</v>
      </c>
      <c r="M19" s="77" t="str">
        <f t="shared" ref="M19:M21" si="11">_xlfn.CONCAT(I19,J19)</f>
        <v>ZRC = 1879.64Ω</v>
      </c>
      <c r="O19" s="8" t="s">
        <v>878</v>
      </c>
      <c r="P19" s="77">
        <f>ATAN2(H7,-H15)</f>
        <v>-1.0098143717607519</v>
      </c>
      <c r="Q19" s="5" t="s">
        <v>202</v>
      </c>
      <c r="R19" s="77">
        <f>DEGREES(P19)</f>
        <v>-57.85810159354579</v>
      </c>
      <c r="S19" s="5" t="s">
        <v>201</v>
      </c>
      <c r="T19" s="77" t="str">
        <f>_xlfn.CONCAT(O19,ROUND(R19,1),S19)</f>
        <v>φ = -57.9°</v>
      </c>
    </row>
    <row r="20" spans="2:34" ht="16.5" x14ac:dyDescent="0.45">
      <c r="C20" s="8" t="s">
        <v>876</v>
      </c>
      <c r="D20" s="77">
        <f>ROUND(SQRT(H7^2 + H16^2)/10^G20,2)</f>
        <v>1031.0999999999999</v>
      </c>
      <c r="E20" s="4" t="s">
        <v>707</v>
      </c>
      <c r="F20" s="5" t="str">
        <f>F16</f>
        <v>Ω</v>
      </c>
      <c r="G20" s="77">
        <f>VLOOKUP(E20, CHOOSE({1,2,3,4,5}, Einheitenvorsätze!A:A, Einheitenvorsätze!B:B, Einheitenvorsätze!C:C, Einheitenvorsätze!D:D, Einheitenvorsätze!E:E), 5, FALSE)</f>
        <v>0</v>
      </c>
      <c r="H20" s="77">
        <f>D20*VLOOKUP(E20, CHOOSE({1,2,3,4}, Einheitenvorsätze!A:A, Einheitenvorsätze!B:B, Einheitenvorsätze!C:C, Einheitenvorsätze!D:D), 3, FALSE)</f>
        <v>1031.0999999999999</v>
      </c>
      <c r="I20" s="401" t="str">
        <f t="shared" si="9"/>
        <v xml:space="preserve">ZRL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1031.1Ω</v>
      </c>
      <c r="K20" s="77" t="str">
        <f>IF(E20=Einheitenvorsätze!$A$19,_xlfn.CONCAT(D20,F20),_xlfn.CONCAT(D20,E20,F20))</f>
        <v>1031.1Ω</v>
      </c>
      <c r="L20" s="77" t="str">
        <f t="shared" si="10"/>
        <v>ZRL = 1031.1Ω</v>
      </c>
      <c r="M20" s="77" t="str">
        <f t="shared" si="11"/>
        <v>ZRL = 1031.1Ω</v>
      </c>
      <c r="O20" s="8" t="s">
        <v>878</v>
      </c>
      <c r="P20" s="77">
        <f>ATAN2(H7,H16)</f>
        <v>0.24622759004774283</v>
      </c>
      <c r="Q20" s="5" t="s">
        <v>202</v>
      </c>
      <c r="R20" s="77">
        <f>DEGREES(P20)</f>
        <v>14.107801709413097</v>
      </c>
      <c r="S20" s="5" t="s">
        <v>201</v>
      </c>
      <c r="T20" s="77" t="str">
        <f>_xlfn.CONCAT(O20,ROUND(R20,1),S20)</f>
        <v>φ = 14.1°</v>
      </c>
    </row>
    <row r="21" spans="2:34" ht="16.5" x14ac:dyDescent="0.45">
      <c r="B21" s="55" t="str">
        <f>IF(D15=D16,"ohmsch",IF(D15&gt;D16,"kapazitiv","induktiv"))</f>
        <v>kapazitiv</v>
      </c>
      <c r="C21" s="8" t="s">
        <v>877</v>
      </c>
      <c r="D21" s="77">
        <f>ROUND(SQRT(H7^2 + (H15-H16)^2)/10^G21,2)</f>
        <v>1672.18</v>
      </c>
      <c r="E21" s="4" t="s">
        <v>707</v>
      </c>
      <c r="F21" s="5" t="str">
        <f>F15</f>
        <v>Ω</v>
      </c>
      <c r="G21" s="77">
        <f>VLOOKUP(E21, CHOOSE({1,2,3,4,5}, Einheitenvorsätze!A:A, Einheitenvorsätze!B:B, Einheitenvorsätze!C:C, Einheitenvorsätze!D:D, Einheitenvorsätze!E:E), 5, FALSE)</f>
        <v>0</v>
      </c>
      <c r="H21" s="77">
        <f>D21*VLOOKUP(E21, CHOOSE({1,2,3,4}, Einheitenvorsätze!A:A, Einheitenvorsätze!B:B, Einheitenvorsätze!C:C, Einheitenvorsätze!D:D), 3, FALSE)</f>
        <v>1672.18</v>
      </c>
      <c r="I21" s="401" t="str">
        <f t="shared" si="9"/>
        <v xml:space="preserve">ZRLC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1672.18Ω</v>
      </c>
      <c r="K21" s="77" t="str">
        <f>IF(E21=Einheitenvorsätze!$A$19,_xlfn.CONCAT(D21,F21),_xlfn.CONCAT(D21,E21,F21))</f>
        <v>1672.18Ω</v>
      </c>
      <c r="L21" s="77" t="str">
        <f t="shared" si="10"/>
        <v>ZRLC = 1672.18Ω</v>
      </c>
      <c r="M21" s="77" t="str">
        <f t="shared" si="11"/>
        <v>ZRLC = 1672.18Ω</v>
      </c>
      <c r="O21" s="8" t="s">
        <v>878</v>
      </c>
      <c r="P21" s="77">
        <f>ATAN2(H7,IF(H19&gt;H20,-H21,H21))</f>
        <v>-1.0318326960693467</v>
      </c>
      <c r="Q21" s="5" t="s">
        <v>202</v>
      </c>
      <c r="R21" s="77">
        <f>DEGREES(P21)</f>
        <v>-59.119658648378575</v>
      </c>
      <c r="S21" s="5" t="s">
        <v>201</v>
      </c>
      <c r="T21" s="77" t="str">
        <f>_xlfn.CONCAT(O21,ROUND(R21,1),S21)</f>
        <v>φ = -59.1°</v>
      </c>
    </row>
    <row r="22" spans="2:34" ht="15" thickBot="1" x14ac:dyDescent="0.4"/>
    <row r="23" spans="2:34" ht="23.5" x14ac:dyDescent="0.55000000000000004">
      <c r="V23" s="413"/>
      <c r="W23" s="414"/>
      <c r="X23" s="405"/>
      <c r="Y23" s="405"/>
      <c r="Z23" s="405"/>
      <c r="AA23" s="406"/>
    </row>
    <row r="24" spans="2:34" ht="23.5" x14ac:dyDescent="0.55000000000000004">
      <c r="V24" s="415"/>
      <c r="W24" s="245"/>
      <c r="X24" s="5" t="s">
        <v>881</v>
      </c>
      <c r="Z24" s="5" t="s">
        <v>880</v>
      </c>
      <c r="AA24" s="408"/>
    </row>
    <row r="25" spans="2:34" ht="18.5" x14ac:dyDescent="0.45">
      <c r="V25" s="407"/>
      <c r="X25" s="402" t="str">
        <f>$L$7</f>
        <v>R = 1kΩ</v>
      </c>
      <c r="Z25" s="403" t="str">
        <f>IF($X$2=$R$2,$L$12,_xlfn.CONCAT($C$12,"?"))</f>
        <v>ω = 6283.1853(1/s)</v>
      </c>
      <c r="AA25" s="408"/>
      <c r="AB25">
        <f>$H$7</f>
        <v>1000</v>
      </c>
      <c r="AC25" s="1" t="s">
        <v>891</v>
      </c>
      <c r="AD25">
        <v>0</v>
      </c>
      <c r="AE25">
        <f>IF($X$2=$R$2,AB25,0)</f>
        <v>1000</v>
      </c>
      <c r="AG25">
        <v>0</v>
      </c>
      <c r="AH25">
        <v>0</v>
      </c>
    </row>
    <row r="26" spans="2:34" ht="18.5" x14ac:dyDescent="0.45">
      <c r="V26" s="407"/>
      <c r="X26" s="402" t="str">
        <f>$L$9</f>
        <v>L = 40mH</v>
      </c>
      <c r="Z26" s="403" t="str">
        <f>IF($X$2=$R$2,$L$16,_xlfn.CONCAT($C$16,"?"))</f>
        <v>XL = 251.3274Ω</v>
      </c>
      <c r="AA26" s="408"/>
      <c r="AB26">
        <f>$H$16</f>
        <v>251.32740000000001</v>
      </c>
      <c r="AC26" s="1" t="s">
        <v>893</v>
      </c>
      <c r="AD26">
        <v>0</v>
      </c>
      <c r="AE26">
        <v>0</v>
      </c>
      <c r="AG26">
        <v>0</v>
      </c>
      <c r="AH26">
        <f>IF($X$2=$R$2,AB26,0)</f>
        <v>251.32740000000001</v>
      </c>
    </row>
    <row r="27" spans="2:34" ht="18.5" x14ac:dyDescent="0.45">
      <c r="V27" s="407"/>
      <c r="X27" s="402" t="str">
        <f>$L$10</f>
        <v>f =1kHZ</v>
      </c>
      <c r="Z27" s="403" t="str">
        <f>IF($X$2=$R$2,$L$20,_xlfn.CONCAT($C$20,"?"))</f>
        <v>ZRL = 1031.1Ω</v>
      </c>
      <c r="AA27" s="408"/>
      <c r="AB27">
        <f>ABS(MAX(AB25:AB26))*1.1</f>
        <v>1100</v>
      </c>
      <c r="AC27" s="1" t="s">
        <v>894</v>
      </c>
      <c r="AD27">
        <f>-AB27</f>
        <v>-1100</v>
      </c>
      <c r="AE27">
        <f>AB27</f>
        <v>1100</v>
      </c>
      <c r="AG27">
        <v>0</v>
      </c>
      <c r="AH27">
        <v>0</v>
      </c>
    </row>
    <row r="28" spans="2:34" ht="18.5" x14ac:dyDescent="0.45">
      <c r="V28" s="407"/>
      <c r="Z28" s="403" t="str">
        <f>IF($X$2=$R$2,$T$20,_xlfn.CONCAT($O$20,"?"))</f>
        <v>φ = 14.1°</v>
      </c>
      <c r="AA28" s="408"/>
      <c r="AD28">
        <v>0</v>
      </c>
      <c r="AE28">
        <v>0</v>
      </c>
      <c r="AG28">
        <f>AD27</f>
        <v>-1100</v>
      </c>
      <c r="AH28">
        <f>AE27</f>
        <v>1100</v>
      </c>
    </row>
    <row r="29" spans="2:34" ht="15" thickBot="1" x14ac:dyDescent="0.4">
      <c r="V29" s="410"/>
      <c r="W29" s="411"/>
      <c r="X29" s="411"/>
      <c r="Y29" s="411"/>
      <c r="Z29" s="411"/>
      <c r="AA29" s="412"/>
      <c r="AD29">
        <v>0</v>
      </c>
      <c r="AE29">
        <f>AE25</f>
        <v>1000</v>
      </c>
      <c r="AG29">
        <v>0</v>
      </c>
      <c r="AH29">
        <f>AH26</f>
        <v>251.32740000000001</v>
      </c>
    </row>
    <row r="43" spans="22:34" ht="15" thickBot="1" x14ac:dyDescent="0.4"/>
    <row r="44" spans="22:34" x14ac:dyDescent="0.35">
      <c r="V44" s="404"/>
      <c r="W44" s="405"/>
      <c r="X44" s="405"/>
      <c r="Y44" s="405"/>
      <c r="Z44" s="405"/>
      <c r="AA44" s="406"/>
    </row>
    <row r="45" spans="22:34" x14ac:dyDescent="0.35">
      <c r="V45" s="407"/>
      <c r="AA45" s="408"/>
      <c r="AB45">
        <f>$H$7</f>
        <v>1000</v>
      </c>
      <c r="AC45" s="1" t="s">
        <v>891</v>
      </c>
      <c r="AD45">
        <v>0</v>
      </c>
      <c r="AE45">
        <f>IF($X$2=$R$2,AB45,0)</f>
        <v>1000</v>
      </c>
      <c r="AG45">
        <v>0</v>
      </c>
      <c r="AH45">
        <v>0</v>
      </c>
    </row>
    <row r="46" spans="22:34" x14ac:dyDescent="0.35">
      <c r="V46" s="407"/>
      <c r="X46" s="5" t="s">
        <v>881</v>
      </c>
      <c r="Z46" s="5" t="s">
        <v>880</v>
      </c>
      <c r="AA46" s="408"/>
      <c r="AB46">
        <f>$H$15</f>
        <v>1591.55</v>
      </c>
      <c r="AC46" s="1" t="s">
        <v>892</v>
      </c>
      <c r="AD46">
        <v>0</v>
      </c>
      <c r="AE46">
        <v>0</v>
      </c>
      <c r="AG46">
        <v>0</v>
      </c>
      <c r="AH46">
        <f>IF($X$2=$R$2,-AB46,0)</f>
        <v>-1591.55</v>
      </c>
    </row>
    <row r="47" spans="22:34" ht="18.5" x14ac:dyDescent="0.45">
      <c r="V47" s="407"/>
      <c r="X47" s="402" t="str">
        <f>$L$7</f>
        <v>R = 1kΩ</v>
      </c>
      <c r="Z47" s="403" t="str">
        <f>IF($X$2=$R$2,$L$12,_xlfn.CONCAT($C$12,"?"))</f>
        <v>ω = 6283.1853(1/s)</v>
      </c>
      <c r="AA47" s="408"/>
      <c r="AB47">
        <f>$H$16</f>
        <v>251.32740000000001</v>
      </c>
      <c r="AC47" s="1" t="s">
        <v>893</v>
      </c>
      <c r="AD47">
        <v>0</v>
      </c>
      <c r="AE47">
        <v>0</v>
      </c>
      <c r="AG47">
        <v>0</v>
      </c>
      <c r="AH47">
        <f>IF($X$2=$R$2,AB47,0)</f>
        <v>251.32740000000001</v>
      </c>
    </row>
    <row r="48" spans="22:34" ht="18.5" x14ac:dyDescent="0.45">
      <c r="V48" s="407"/>
      <c r="X48" s="402" t="str">
        <f>$L$9</f>
        <v>L = 40mH</v>
      </c>
      <c r="Z48" s="403" t="str">
        <f>IF($X$2=$R$2,$L$16,_xlfn.CONCAT($C$16,"?"))</f>
        <v>XL = 251.3274Ω</v>
      </c>
      <c r="AA48" s="408"/>
      <c r="AC48" s="1" t="s">
        <v>895</v>
      </c>
      <c r="AD48">
        <v>0</v>
      </c>
      <c r="AE48">
        <v>0</v>
      </c>
      <c r="AG48">
        <v>0</v>
      </c>
      <c r="AH48">
        <f>AH46+AH47</f>
        <v>-1340.2226000000001</v>
      </c>
    </row>
    <row r="49" spans="22:34" ht="18.5" x14ac:dyDescent="0.45">
      <c r="V49" s="407"/>
      <c r="X49" s="402" t="str">
        <f>$L$8</f>
        <v>C = 0.1µF</v>
      </c>
      <c r="Z49" s="403" t="str">
        <f>IF($X$2=$R$2,$L$15,_xlfn.CONCAT($C$15,"?"))</f>
        <v>XC = 1591.55Ω</v>
      </c>
      <c r="AA49" s="408"/>
      <c r="AC49" s="1"/>
    </row>
    <row r="50" spans="22:34" ht="18.5" x14ac:dyDescent="0.45">
      <c r="V50" s="407"/>
      <c r="X50" s="402" t="str">
        <f>$L$10</f>
        <v>f =1kHZ</v>
      </c>
      <c r="Z50" s="403" t="str">
        <f>IF($X$2=$R$2,$L$21,_xlfn.CONCAT($C$20,"?"))</f>
        <v>ZRLC = 1672.18Ω</v>
      </c>
      <c r="AA50" s="408"/>
      <c r="AC50" s="1"/>
    </row>
    <row r="51" spans="22:34" ht="18.5" x14ac:dyDescent="0.45">
      <c r="V51" s="407"/>
      <c r="X51" s="403" t="str">
        <f>$B$21</f>
        <v>kapazitiv</v>
      </c>
      <c r="Z51" s="403" t="str">
        <f>IF($X$2=$R$2,$T$21,_xlfn.CONCAT($O$21,"?"))</f>
        <v>φ = -59.1°</v>
      </c>
      <c r="AA51" s="408"/>
      <c r="AC51" s="1" t="s">
        <v>896</v>
      </c>
      <c r="AD51">
        <v>0</v>
      </c>
      <c r="AE51">
        <f>AE45</f>
        <v>1000</v>
      </c>
      <c r="AG51">
        <v>0</v>
      </c>
      <c r="AH51">
        <f>AH48</f>
        <v>-1340.2226000000001</v>
      </c>
    </row>
    <row r="52" spans="22:34" x14ac:dyDescent="0.35">
      <c r="V52" s="407"/>
      <c r="AA52" s="408"/>
      <c r="AB52">
        <f>ABS(MAX(AB45:AB47))*1.1</f>
        <v>1750.7050000000002</v>
      </c>
      <c r="AC52" s="1" t="s">
        <v>894</v>
      </c>
      <c r="AD52">
        <f>-AB52</f>
        <v>-1750.7050000000002</v>
      </c>
      <c r="AE52">
        <f>AB52</f>
        <v>1750.7050000000002</v>
      </c>
      <c r="AG52">
        <v>0</v>
      </c>
      <c r="AH52">
        <v>0</v>
      </c>
    </row>
    <row r="53" spans="22:34" ht="15" thickBot="1" x14ac:dyDescent="0.4">
      <c r="V53" s="410"/>
      <c r="W53" s="411"/>
      <c r="X53" s="411"/>
      <c r="Y53" s="411"/>
      <c r="Z53" s="411"/>
      <c r="AA53" s="412"/>
      <c r="AD53">
        <v>0</v>
      </c>
      <c r="AE53">
        <v>0</v>
      </c>
      <c r="AG53">
        <f>AD52</f>
        <v>-1750.7050000000002</v>
      </c>
      <c r="AH53">
        <f>AE52</f>
        <v>1750.7050000000002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251.32740000000001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E8" sqref="E8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3.3632812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905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879</v>
      </c>
      <c r="I4" s="4" t="s">
        <v>65</v>
      </c>
    </row>
    <row r="5" spans="2:19" ht="16.5" customHeight="1" x14ac:dyDescent="0.35">
      <c r="C5" s="425"/>
    </row>
    <row r="6" spans="2:19" ht="16.5" customHeight="1" x14ac:dyDescent="0.45">
      <c r="C6" s="8" t="s">
        <v>906</v>
      </c>
      <c r="D6" s="4">
        <v>55</v>
      </c>
      <c r="E6" s="4" t="s">
        <v>707</v>
      </c>
      <c r="F6" s="5" t="s">
        <v>320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865</v>
      </c>
      <c r="D7" s="4">
        <v>1500</v>
      </c>
      <c r="E7" s="4" t="s">
        <v>822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6</v>
      </c>
      <c r="H7" s="77">
        <f>D7*VLOOKUP(E7, CHOOSE({1,2,3,4}, Einheitenvorsätze!A:A, Einheitenvorsätze!B:B, Einheitenvorsätze!C:C, Einheitenvorsätze!D:D), 3, FALSE)</f>
        <v>1500000000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10⁶Ω</v>
      </c>
      <c r="K7" s="77" t="str">
        <f>IF(E7=Einheitenvorsätze!$A$19,_xlfn.CONCAT(D7,F7),_xlfn.CONCAT(D7,E7,F7))</f>
        <v>1500MeΩ</v>
      </c>
      <c r="L7" s="77" t="str">
        <f>_xlfn.CONCAT(I7,K7)</f>
        <v>R = 1500MeΩ</v>
      </c>
      <c r="M7" s="77" t="str">
        <f>_xlfn.CONCAT(I7,J7)</f>
        <v>R = 1500 * 10⁶Ω</v>
      </c>
    </row>
    <row r="8" spans="2:19" ht="16.5" customHeight="1" x14ac:dyDescent="0.35">
      <c r="C8" s="8" t="s">
        <v>866</v>
      </c>
      <c r="D8" s="4">
        <v>12</v>
      </c>
      <c r="E8" s="4" t="s">
        <v>722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440</v>
      </c>
      <c r="D9" s="4">
        <v>15</v>
      </c>
      <c r="E9" s="4" t="s">
        <v>707</v>
      </c>
      <c r="F9" s="5" t="s">
        <v>745</v>
      </c>
      <c r="G9" s="77">
        <f>VLOOKUP(E9, CHOOSE({1,2,3,4,5}, Einheitenvorsätze!A:A, Einheitenvorsätze!B:B, Einheitenvorsätze!C:C, Einheitenvorsätze!D:D, Einheitenvorsätze!E:E), 5, FALSE)</f>
        <v>0</v>
      </c>
      <c r="H9" s="77">
        <f>D9*VLOOKUP(E9, CHOOSE({1,2,3,4}, Einheitenvorsätze!A:A, Einheitenvorsätze!B:B, Einheitenvorsätze!C:C, Einheitenvorsätze!D:D), 3, FALSE)</f>
        <v>15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15s</v>
      </c>
      <c r="K9" s="77" t="str">
        <f>IF(E9=Einheitenvorsätze!$A$19,_xlfn.CONCAT(D9,F9),_xlfn.CONCAT(D9,E9,F9))</f>
        <v>15s</v>
      </c>
      <c r="L9" s="77" t="str">
        <f>_xlfn.CONCAT(I9,K9)</f>
        <v>t = 15s</v>
      </c>
      <c r="M9" s="77" t="str">
        <f>_xlfn.CONCAT(I9,J9)</f>
        <v>t = 15s</v>
      </c>
      <c r="O9" s="339" t="str">
        <f>_xlfn.CONCAT(C9,"-",Einheitenvorsätze!C56," * ln(1 - UC/U0)")</f>
        <v>t = -τ * ln(1 - UC/U0)</v>
      </c>
      <c r="R9" s="424">
        <f xml:space="preserve"> -D11 * LN(1 - D12/D6)</f>
        <v>15.000001105389165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18</v>
      </c>
      <c r="E11" s="4" t="s">
        <v>707</v>
      </c>
      <c r="F11" s="5" t="s">
        <v>745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18</v>
      </c>
      <c r="I11" s="401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18s</v>
      </c>
      <c r="K11" s="77" t="str">
        <f>IF(E11=Einheitenvorsätze!$A$19,_xlfn.CONCAT(D11,F11),_xlfn.CONCAT(D11,E11,F11))</f>
        <v>18s</v>
      </c>
      <c r="L11" s="77" t="str">
        <f t="shared" ref="L11" si="3">_xlfn.CONCAT(I11,K11)</f>
        <v xml:space="preserve"> τ = 18s</v>
      </c>
      <c r="M11" s="77" t="str">
        <f t="shared" ref="M11" si="4">_xlfn.CONCAT(I11,J11)</f>
        <v xml:space="preserve"> τ = 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24">
        <f xml:space="preserve"> -D9 / LN(1 - D12/D6)</f>
        <v>17.999998673533099</v>
      </c>
    </row>
    <row r="12" spans="2:19" ht="18.5" x14ac:dyDescent="0.45">
      <c r="B12" s="421" t="s">
        <v>915</v>
      </c>
      <c r="C12" s="8" t="str">
        <f>_xlfn.CONCAT(" UC = ")</f>
        <v xml:space="preserve"> UC = </v>
      </c>
      <c r="D12" s="77">
        <f>ROUND(H6*(1-EXP(-H9/H11))/10^G12,4)</f>
        <v>31.097100000000001</v>
      </c>
      <c r="E12" s="4" t="s">
        <v>707</v>
      </c>
      <c r="F12" s="5" t="s">
        <v>320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31.097100000000001</v>
      </c>
      <c r="I12" s="401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31.0971V</v>
      </c>
      <c r="K12" s="77" t="str">
        <f>IF(E12=Einheitenvorsätze!$A$19,_xlfn.CONCAT(D12,F12),_xlfn.CONCAT(D12,E12,F12))</f>
        <v>31.0971V</v>
      </c>
      <c r="L12" s="77" t="str">
        <f t="shared" ref="L12" si="6">_xlfn.CONCAT(I12,K12)</f>
        <v xml:space="preserve"> UC = 31.0971V</v>
      </c>
      <c r="M12" s="77" t="str">
        <f t="shared" ref="M12" si="7">_xlfn.CONCAT(I12,J12)</f>
        <v xml:space="preserve"> UC = 31.0971V</v>
      </c>
      <c r="N12" s="426" t="s">
        <v>915</v>
      </c>
      <c r="O12" s="339" t="str">
        <f>_xlfn.CONCAT("UC(t) = U0(1 - e^(-t/",Einheitenvorsätze!C56,"))")</f>
        <v>UC(t) = U0(1 - e^(-t/τ))</v>
      </c>
      <c r="R12" s="424">
        <f xml:space="preserve"> D6*(1 - EXP(-D9/D11))</f>
        <v>31.097098532110699</v>
      </c>
    </row>
    <row r="13" spans="2:19" ht="18.5" x14ac:dyDescent="0.45">
      <c r="B13" s="421" t="s">
        <v>916</v>
      </c>
      <c r="C13" s="8" t="str">
        <f>_xlfn.CONCAT(" UC = ")</f>
        <v xml:space="preserve"> UC = </v>
      </c>
      <c r="D13" s="77">
        <f>ROUND(H6*(EXP(-H9/H11))/10^G12,4)</f>
        <v>23.902899999999999</v>
      </c>
      <c r="E13" s="4" t="s">
        <v>707</v>
      </c>
      <c r="F13" s="5" t="s">
        <v>320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23.902899999999999</v>
      </c>
      <c r="I13" s="401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23.9029V</v>
      </c>
      <c r="K13" s="77" t="str">
        <f>IF(E13=Einheitenvorsätze!$A$19,_xlfn.CONCAT(D13,F13),_xlfn.CONCAT(D13,E13,F13))</f>
        <v>23.9029V</v>
      </c>
      <c r="L13" s="77" t="str">
        <f t="shared" ref="L13" si="9">_xlfn.CONCAT(I13,K13)</f>
        <v xml:space="preserve"> UC = 23.9029V</v>
      </c>
      <c r="M13" s="77" t="str">
        <f t="shared" ref="M13" si="10">_xlfn.CONCAT(I13,J13)</f>
        <v xml:space="preserve"> UC = 23.9029V</v>
      </c>
      <c r="N13" s="426" t="s">
        <v>916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404"/>
      <c r="C16" s="405"/>
      <c r="D16" s="405"/>
      <c r="E16" s="405"/>
      <c r="F16" s="405"/>
      <c r="G16" s="405"/>
      <c r="H16" s="405"/>
      <c r="I16" s="405"/>
      <c r="J16" s="405"/>
      <c r="K16" s="405"/>
      <c r="L16" s="406"/>
      <c r="N16" s="8" t="s">
        <v>911</v>
      </c>
      <c r="O16" s="77">
        <f>-H9/H11</f>
        <v>-0.83333333333333337</v>
      </c>
      <c r="R16" s="422" t="str">
        <f>_xlfn.CONCAT("t / ", Einheitenvorsätze!C56)</f>
        <v>t / τ</v>
      </c>
      <c r="S16" s="422" t="s">
        <v>914</v>
      </c>
    </row>
    <row r="17" spans="2:26" x14ac:dyDescent="0.35">
      <c r="B17" s="407"/>
      <c r="L17" s="408"/>
      <c r="N17" s="8" t="s">
        <v>912</v>
      </c>
      <c r="O17" s="77">
        <f>EXP(O16)</f>
        <v>0.4345982085070782</v>
      </c>
      <c r="R17" s="95">
        <v>0</v>
      </c>
      <c r="S17" s="423">
        <f>1-EXP(-R17)</f>
        <v>0</v>
      </c>
    </row>
    <row r="18" spans="2:26" x14ac:dyDescent="0.35">
      <c r="B18" s="407"/>
      <c r="I18" s="5" t="s">
        <v>881</v>
      </c>
      <c r="K18" s="5" t="s">
        <v>880</v>
      </c>
      <c r="L18" s="408"/>
      <c r="N18" s="8" t="s">
        <v>913</v>
      </c>
      <c r="O18" s="77">
        <f>1-O17</f>
        <v>0.5654017914929218</v>
      </c>
      <c r="R18" s="95">
        <v>1</v>
      </c>
      <c r="S18" s="423">
        <f t="shared" ref="S18:S23" si="11">1-EXP(-R18)</f>
        <v>0.63212055882855767</v>
      </c>
    </row>
    <row r="19" spans="2:26" ht="18.5" x14ac:dyDescent="0.45">
      <c r="B19" s="407"/>
      <c r="I19" s="402" t="str">
        <f>$L$7</f>
        <v>R = 1500MeΩ</v>
      </c>
      <c r="K19" s="403" t="str">
        <f>IF($I$4=$R$2,$L$11,_xlfn.CONCAT($C$11,"?"))</f>
        <v xml:space="preserve"> τ = ?</v>
      </c>
      <c r="L19" s="408"/>
      <c r="R19" s="95">
        <v>2</v>
      </c>
      <c r="S19" s="423">
        <f t="shared" si="11"/>
        <v>0.8646647167633873</v>
      </c>
    </row>
    <row r="20" spans="2:26" ht="18.5" x14ac:dyDescent="0.45">
      <c r="B20" s="407"/>
      <c r="I20" s="402" t="str">
        <f>$L$8</f>
        <v>C = 12nF</v>
      </c>
      <c r="K20" s="403" t="str">
        <f>IF($I$4=$R$2,$L$12,_xlfn.CONCAT($C$12,"?"))</f>
        <v xml:space="preserve"> UC = ?</v>
      </c>
      <c r="L20" s="420">
        <f>$H$12/$H$6</f>
        <v>0.56540181818181823</v>
      </c>
      <c r="R20" s="95">
        <v>3</v>
      </c>
      <c r="S20" s="423">
        <f t="shared" si="11"/>
        <v>0.95021293163213605</v>
      </c>
    </row>
    <row r="21" spans="2:26" ht="18.5" x14ac:dyDescent="0.45">
      <c r="B21" s="407"/>
      <c r="I21" s="402" t="str">
        <f>$L$6</f>
        <v>U0 = 55V</v>
      </c>
      <c r="K21" s="419"/>
      <c r="L21" s="408"/>
      <c r="R21" s="95">
        <v>4</v>
      </c>
      <c r="S21" s="423">
        <f t="shared" si="11"/>
        <v>0.98168436111126578</v>
      </c>
    </row>
    <row r="22" spans="2:26" ht="18.5" x14ac:dyDescent="0.45">
      <c r="B22" s="407"/>
      <c r="I22" s="402" t="str">
        <f>$L$9</f>
        <v>t = 15s</v>
      </c>
      <c r="K22" s="419"/>
      <c r="L22" s="408"/>
      <c r="R22" s="95">
        <v>5</v>
      </c>
      <c r="S22" s="423">
        <f t="shared" si="11"/>
        <v>0.99326205300091452</v>
      </c>
    </row>
    <row r="23" spans="2:26" x14ac:dyDescent="0.35">
      <c r="B23" s="407"/>
      <c r="L23" s="408"/>
      <c r="R23" s="95">
        <v>6</v>
      </c>
      <c r="S23" s="423">
        <f t="shared" si="11"/>
        <v>0.99752124782333362</v>
      </c>
    </row>
    <row r="24" spans="2:26" x14ac:dyDescent="0.35">
      <c r="B24" s="407"/>
      <c r="L24" s="408"/>
    </row>
    <row r="25" spans="2:26" ht="15" thickBot="1" x14ac:dyDescent="0.4">
      <c r="B25" s="410"/>
      <c r="C25" s="411"/>
      <c r="D25" s="411"/>
      <c r="E25" s="411"/>
      <c r="F25" s="411"/>
      <c r="G25" s="411"/>
      <c r="H25" s="411"/>
      <c r="I25" s="411"/>
      <c r="J25" s="411"/>
      <c r="K25" s="411"/>
      <c r="L25" s="412"/>
    </row>
    <row r="30" spans="2:26" x14ac:dyDescent="0.35">
      <c r="B30" s="8" t="s">
        <v>1</v>
      </c>
      <c r="C30" s="77">
        <v>2</v>
      </c>
      <c r="D30" s="77" t="str">
        <f>_xlfn.CONCAT(IF(E9="–","",E9),F9)</f>
        <v>s</v>
      </c>
      <c r="Y30" t="s">
        <v>920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</v>
      </c>
      <c r="E31" s="77">
        <f t="shared" si="12"/>
        <v>4</v>
      </c>
      <c r="F31" s="77">
        <f t="shared" si="12"/>
        <v>6</v>
      </c>
      <c r="G31" s="77">
        <f t="shared" si="12"/>
        <v>8</v>
      </c>
      <c r="H31" s="77">
        <f t="shared" si="12"/>
        <v>10</v>
      </c>
      <c r="I31" s="77">
        <f t="shared" si="12"/>
        <v>12</v>
      </c>
      <c r="J31" s="77">
        <f t="shared" si="12"/>
        <v>14</v>
      </c>
      <c r="K31" s="77">
        <f t="shared" si="12"/>
        <v>16</v>
      </c>
      <c r="L31" s="77">
        <f t="shared" si="12"/>
        <v>18</v>
      </c>
      <c r="M31" s="77">
        <f t="shared" si="12"/>
        <v>20</v>
      </c>
      <c r="N31" s="77">
        <f t="shared" si="12"/>
        <v>22</v>
      </c>
      <c r="O31" s="77">
        <f t="shared" si="12"/>
        <v>24</v>
      </c>
      <c r="P31" s="77">
        <f t="shared" si="12"/>
        <v>26</v>
      </c>
      <c r="Q31" s="77">
        <f t="shared" si="12"/>
        <v>28</v>
      </c>
      <c r="R31" s="77">
        <f t="shared" si="12"/>
        <v>30</v>
      </c>
      <c r="S31" s="77">
        <f t="shared" si="12"/>
        <v>32</v>
      </c>
      <c r="T31" s="77">
        <f t="shared" si="12"/>
        <v>34</v>
      </c>
      <c r="U31" s="77">
        <f t="shared" si="12"/>
        <v>36</v>
      </c>
      <c r="V31" s="77">
        <f t="shared" si="12"/>
        <v>38</v>
      </c>
      <c r="W31" s="77">
        <f t="shared" si="12"/>
        <v>40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917</v>
      </c>
      <c r="B33" s="292" t="s">
        <v>907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26.762058453207434</v>
      </c>
      <c r="J33" s="212">
        <f t="shared" si="14"/>
        <v>29.731579678024037</v>
      </c>
      <c r="K33" s="212">
        <f t="shared" si="14"/>
        <v>32.388824022104686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40.502157403635024</v>
      </c>
      <c r="P33" s="212">
        <f t="shared" si="14"/>
        <v>42.026760435786493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47.556559421986293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918</v>
      </c>
      <c r="B34" s="292" t="s">
        <v>919</v>
      </c>
      <c r="C34" s="212">
        <f>$D$6*EXP(-C32/($H$7*$H$8))</f>
        <v>55</v>
      </c>
      <c r="D34" s="212">
        <f t="shared" ref="D34:W34" si="15">$D$6*EXP(-D32/($H$7*$H$8))</f>
        <v>49.21616242479034</v>
      </c>
      <c r="E34" s="212">
        <f t="shared" si="15"/>
        <v>44.040557160424441</v>
      </c>
      <c r="F34" s="212">
        <f t="shared" si="15"/>
        <v>39.409222081558411</v>
      </c>
      <c r="G34" s="212">
        <f t="shared" si="15"/>
        <v>35.264921363647503</v>
      </c>
      <c r="H34" s="212">
        <f t="shared" si="15"/>
        <v>31.556438140558807</v>
      </c>
      <c r="I34" s="212">
        <f t="shared" si="15"/>
        <v>28.237941546792566</v>
      </c>
      <c r="J34" s="212">
        <f t="shared" si="15"/>
        <v>25.268420321975963</v>
      </c>
      <c r="K34" s="212">
        <f t="shared" si="15"/>
        <v>22.611175977895314</v>
      </c>
      <c r="L34" s="212">
        <f t="shared" si="15"/>
        <v>20.233369264429331</v>
      </c>
      <c r="M34" s="212">
        <f t="shared" si="15"/>
        <v>18.105614329434808</v>
      </c>
      <c r="N34" s="212">
        <f t="shared" si="15"/>
        <v>16.201615557055913</v>
      </c>
      <c r="O34" s="212">
        <f t="shared" si="15"/>
        <v>14.497842596364976</v>
      </c>
      <c r="P34" s="212">
        <f t="shared" si="15"/>
        <v>12.973239564213504</v>
      </c>
      <c r="Q34" s="212">
        <f t="shared" si="15"/>
        <v>11.608964828509963</v>
      </c>
      <c r="R34" s="212">
        <f t="shared" si="15"/>
        <v>10.388158156065906</v>
      </c>
      <c r="S34" s="212">
        <f t="shared" si="15"/>
        <v>9.2957323473336366</v>
      </c>
      <c r="T34" s="212">
        <f t="shared" si="15"/>
        <v>8.3181867829772695</v>
      </c>
      <c r="U34" s="212">
        <f t="shared" si="15"/>
        <v>7.4434405780137016</v>
      </c>
      <c r="V34" s="212">
        <f t="shared" si="15"/>
        <v>6.6606832815781374</v>
      </c>
      <c r="W34" s="212">
        <f t="shared" si="15"/>
        <v>5.9602412772042754</v>
      </c>
    </row>
    <row r="39" spans="1:25" x14ac:dyDescent="0.35">
      <c r="I39" s="5" t="s">
        <v>909</v>
      </c>
      <c r="J39" s="5"/>
    </row>
    <row r="40" spans="1:25" x14ac:dyDescent="0.35">
      <c r="I40" s="5">
        <f>H11/10^G11</f>
        <v>18</v>
      </c>
      <c r="J40" s="5">
        <f>I40</f>
        <v>18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317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908</v>
      </c>
      <c r="J43" s="5"/>
      <c r="N43" s="8" t="s">
        <v>910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18</v>
      </c>
      <c r="N44" s="427" t="s">
        <v>922</v>
      </c>
      <c r="O44" s="428">
        <f>1-EXP(-O43)</f>
        <v>0</v>
      </c>
      <c r="P44" s="428">
        <f t="shared" ref="P44:Q44" si="17">1-EXP(-P43)</f>
        <v>0.63212055882855767</v>
      </c>
      <c r="Q44" s="428">
        <f t="shared" si="17"/>
        <v>0.8646647167633873</v>
      </c>
      <c r="R44" s="428">
        <f>1-EXP(-R43)</f>
        <v>0.95021293163213605</v>
      </c>
      <c r="S44" s="428">
        <f t="shared" ref="S44" si="18">1-EXP(-S43)</f>
        <v>0.98168436111126578</v>
      </c>
      <c r="T44" s="428">
        <f t="shared" ref="T44" si="19">1-EXP(-T43)</f>
        <v>0.99326205300091452</v>
      </c>
      <c r="U44" s="428">
        <f>1-EXP(-U43)</f>
        <v>0.99752124782333362</v>
      </c>
      <c r="V44" s="428">
        <f t="shared" ref="V44" si="20">1-EXP(-V43)</f>
        <v>0.99908811803444553</v>
      </c>
      <c r="W44" s="428">
        <f t="shared" ref="W44" si="21">1-EXP(-W43)</f>
        <v>0.99966453737209748</v>
      </c>
      <c r="X44" s="428">
        <f>1-EXP(-X43)</f>
        <v>0.99987659019591335</v>
      </c>
      <c r="Y44" s="428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9" t="s">
        <v>921</v>
      </c>
      <c r="O45" s="430">
        <f>EXP(-O43)</f>
        <v>1</v>
      </c>
      <c r="P45" s="430">
        <f t="shared" ref="P45:Y45" si="23">EXP(-P43)</f>
        <v>0.36787944117144233</v>
      </c>
      <c r="Q45" s="430">
        <f t="shared" si="23"/>
        <v>0.1353352832366127</v>
      </c>
      <c r="R45" s="430">
        <f t="shared" si="23"/>
        <v>4.9787068367863944E-2</v>
      </c>
      <c r="S45" s="430">
        <f t="shared" si="23"/>
        <v>1.8315638888734179E-2</v>
      </c>
      <c r="T45" s="430">
        <f t="shared" si="23"/>
        <v>6.737946999085467E-3</v>
      </c>
      <c r="U45" s="430">
        <f t="shared" si="23"/>
        <v>2.4787521766663585E-3</v>
      </c>
      <c r="V45" s="430">
        <f t="shared" si="23"/>
        <v>9.1188196555451624E-4</v>
      </c>
      <c r="W45" s="430">
        <f t="shared" si="23"/>
        <v>3.3546262790251185E-4</v>
      </c>
      <c r="X45" s="430">
        <f t="shared" si="23"/>
        <v>1.2340980408667956E-4</v>
      </c>
      <c r="Y45" s="430">
        <f t="shared" si="23"/>
        <v>4.5399929762484854E-5</v>
      </c>
    </row>
    <row r="72" spans="8:9" x14ac:dyDescent="0.35">
      <c r="H72" s="5" t="s">
        <v>909</v>
      </c>
      <c r="I72" s="5"/>
    </row>
    <row r="73" spans="8:9" x14ac:dyDescent="0.35">
      <c r="H73" s="77">
        <f>H11/10^G11</f>
        <v>18</v>
      </c>
      <c r="I73" s="77">
        <f>H73</f>
        <v>18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908</v>
      </c>
      <c r="I76" s="5"/>
    </row>
    <row r="77" spans="8:9" x14ac:dyDescent="0.35">
      <c r="H77" s="77">
        <v>0</v>
      </c>
      <c r="I77" s="77">
        <f>I73</f>
        <v>18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R132"/>
  <sheetViews>
    <sheetView showGridLines="0" zoomScale="115" zoomScaleNormal="115" workbookViewId="0">
      <selection activeCell="D13" sqref="D13"/>
    </sheetView>
  </sheetViews>
  <sheetFormatPr baseColWidth="10" defaultRowHeight="14.5" x14ac:dyDescent="0.35"/>
  <cols>
    <col min="1" max="1" width="2.453125" customWidth="1"/>
    <col min="2" max="4" width="16.1796875" customWidth="1"/>
    <col min="5" max="5" width="13.54296875" customWidth="1"/>
    <col min="6" max="6" width="18.54296875" customWidth="1"/>
    <col min="7" max="7" width="9.453125" customWidth="1"/>
    <col min="8" max="10" width="9.54296875" customWidth="1"/>
    <col min="11" max="11" width="11.7265625" customWidth="1"/>
    <col min="12" max="12" width="7.453125" customWidth="1"/>
    <col min="13" max="45" width="2.1796875" customWidth="1"/>
    <col min="46" max="48" width="4.7265625" customWidth="1"/>
    <col min="49" max="49" width="9.1796875" customWidth="1"/>
    <col min="55" max="55" width="14.81640625" customWidth="1"/>
    <col min="56" max="56" width="14.54296875" customWidth="1"/>
    <col min="57" max="57" width="15.1796875" customWidth="1"/>
  </cols>
  <sheetData>
    <row r="1" spans="3:70" ht="38.15" customHeight="1" x14ac:dyDescent="0.35"/>
    <row r="2" spans="3:70" ht="26" x14ac:dyDescent="0.6">
      <c r="E2" s="29" t="s">
        <v>315</v>
      </c>
      <c r="BB2" s="310" t="s">
        <v>616</v>
      </c>
      <c r="BC2" s="310"/>
    </row>
    <row r="3" spans="3:70" x14ac:dyDescent="0.35">
      <c r="K3" s="5" t="s">
        <v>64</v>
      </c>
      <c r="L3" s="5" t="s">
        <v>298</v>
      </c>
      <c r="BB3" s="77">
        <f>AY10</f>
        <v>50</v>
      </c>
      <c r="BC3" s="77">
        <f>BB3</f>
        <v>50</v>
      </c>
    </row>
    <row r="4" spans="3:70" x14ac:dyDescent="0.35">
      <c r="K4" s="5" t="s">
        <v>65</v>
      </c>
      <c r="L4" s="5" t="s">
        <v>300</v>
      </c>
      <c r="BB4" s="212">
        <f>IF(MIN(AY12:AY17)&gt;0,0,MIN(AY12:AY17))</f>
        <v>-0.98480775301220791</v>
      </c>
      <c r="BC4" s="212">
        <f>IF(MAX(AY12:AY17) &lt; 0,0,MAX(AY12:AY17))</f>
        <v>1.2855752193730787</v>
      </c>
    </row>
    <row r="5" spans="3:70" x14ac:dyDescent="0.35">
      <c r="BB5" s="99"/>
      <c r="BC5" s="99"/>
    </row>
    <row r="6" spans="3:70" x14ac:dyDescent="0.35">
      <c r="BB6" s="99"/>
      <c r="BC6" s="99"/>
    </row>
    <row r="7" spans="3:70" x14ac:dyDescent="0.35">
      <c r="BB7" s="99"/>
      <c r="BC7" s="99"/>
    </row>
    <row r="9" spans="3:70" x14ac:dyDescent="0.35">
      <c r="C9" s="5"/>
      <c r="D9" s="5"/>
      <c r="E9" s="5"/>
      <c r="F9" s="8" t="s">
        <v>317</v>
      </c>
      <c r="G9" s="4">
        <v>10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Y9" s="5" t="s">
        <v>615</v>
      </c>
      <c r="AZ9" s="5"/>
      <c r="BB9" s="5" t="s">
        <v>195</v>
      </c>
      <c r="BC9" s="5"/>
      <c r="BD9" s="5"/>
      <c r="BE9" s="5"/>
      <c r="BF9" s="5" t="s">
        <v>621</v>
      </c>
      <c r="BG9" s="5"/>
      <c r="BH9" s="5"/>
      <c r="BI9" s="5"/>
      <c r="BJ9" s="5" t="s">
        <v>230</v>
      </c>
      <c r="BK9" s="5"/>
      <c r="BL9" s="5"/>
      <c r="BM9" s="5"/>
      <c r="BN9" s="5"/>
      <c r="BO9" s="5"/>
      <c r="BP9" s="5"/>
      <c r="BQ9" s="5"/>
      <c r="BR9" s="5"/>
    </row>
    <row r="10" spans="3:70" ht="16.5" x14ac:dyDescent="0.45">
      <c r="C10" s="5" t="s">
        <v>617</v>
      </c>
      <c r="D10" s="5"/>
      <c r="E10" s="8" t="s">
        <v>415</v>
      </c>
      <c r="F10" s="225" t="s">
        <v>298</v>
      </c>
      <c r="G10" s="225">
        <v>0</v>
      </c>
      <c r="H10" s="77">
        <f>G10+$G$9</f>
        <v>10</v>
      </c>
      <c r="I10" s="77">
        <f t="shared" ref="I10:AU10" si="0">H10+$G$9</f>
        <v>20</v>
      </c>
      <c r="J10" s="77">
        <f t="shared" si="0"/>
        <v>30</v>
      </c>
      <c r="K10" s="77">
        <f t="shared" si="0"/>
        <v>40</v>
      </c>
      <c r="L10" s="77">
        <f t="shared" si="0"/>
        <v>50</v>
      </c>
      <c r="M10" s="77">
        <f t="shared" si="0"/>
        <v>60</v>
      </c>
      <c r="N10" s="77">
        <f t="shared" si="0"/>
        <v>70</v>
      </c>
      <c r="O10" s="77">
        <f t="shared" si="0"/>
        <v>80</v>
      </c>
      <c r="P10" s="77">
        <f t="shared" si="0"/>
        <v>90</v>
      </c>
      <c r="Q10" s="77">
        <f t="shared" si="0"/>
        <v>100</v>
      </c>
      <c r="R10" s="77">
        <f t="shared" si="0"/>
        <v>110</v>
      </c>
      <c r="S10" s="77">
        <f t="shared" si="0"/>
        <v>120</v>
      </c>
      <c r="T10" s="77">
        <f t="shared" si="0"/>
        <v>130</v>
      </c>
      <c r="U10" s="77">
        <f t="shared" si="0"/>
        <v>140</v>
      </c>
      <c r="V10" s="77">
        <f t="shared" si="0"/>
        <v>150</v>
      </c>
      <c r="W10" s="77">
        <f t="shared" si="0"/>
        <v>160</v>
      </c>
      <c r="X10" s="77">
        <f t="shared" si="0"/>
        <v>170</v>
      </c>
      <c r="Y10" s="77">
        <f t="shared" si="0"/>
        <v>180</v>
      </c>
      <c r="Z10" s="77">
        <f t="shared" si="0"/>
        <v>190</v>
      </c>
      <c r="AA10" s="77">
        <f t="shared" si="0"/>
        <v>200</v>
      </c>
      <c r="AB10" s="77">
        <f t="shared" si="0"/>
        <v>210</v>
      </c>
      <c r="AC10" s="77">
        <f t="shared" si="0"/>
        <v>220</v>
      </c>
      <c r="AD10" s="77">
        <f t="shared" si="0"/>
        <v>230</v>
      </c>
      <c r="AE10" s="77">
        <f t="shared" si="0"/>
        <v>240</v>
      </c>
      <c r="AF10" s="77">
        <f t="shared" si="0"/>
        <v>250</v>
      </c>
      <c r="AG10" s="77">
        <f t="shared" si="0"/>
        <v>260</v>
      </c>
      <c r="AH10" s="77">
        <f t="shared" si="0"/>
        <v>270</v>
      </c>
      <c r="AI10" s="77">
        <f t="shared" si="0"/>
        <v>280</v>
      </c>
      <c r="AJ10" s="77">
        <f t="shared" si="0"/>
        <v>290</v>
      </c>
      <c r="AK10" s="77">
        <f t="shared" si="0"/>
        <v>300</v>
      </c>
      <c r="AL10" s="77">
        <f t="shared" si="0"/>
        <v>310</v>
      </c>
      <c r="AM10" s="77">
        <f t="shared" si="0"/>
        <v>320</v>
      </c>
      <c r="AN10" s="77">
        <f t="shared" si="0"/>
        <v>330</v>
      </c>
      <c r="AO10" s="77">
        <f t="shared" si="0"/>
        <v>340</v>
      </c>
      <c r="AP10" s="77">
        <f t="shared" si="0"/>
        <v>350</v>
      </c>
      <c r="AQ10" s="77">
        <f t="shared" si="0"/>
        <v>360</v>
      </c>
      <c r="AR10" s="77">
        <f t="shared" si="0"/>
        <v>370</v>
      </c>
      <c r="AS10" s="77">
        <f t="shared" si="0"/>
        <v>380</v>
      </c>
      <c r="AT10" s="77">
        <f t="shared" si="0"/>
        <v>390</v>
      </c>
      <c r="AU10" s="77">
        <f t="shared" si="0"/>
        <v>400</v>
      </c>
      <c r="AY10" s="4">
        <v>50</v>
      </c>
      <c r="AZ10" s="113" t="s">
        <v>298</v>
      </c>
      <c r="BB10" s="5" t="s">
        <v>206</v>
      </c>
      <c r="BC10" s="5" t="s">
        <v>207</v>
      </c>
      <c r="BD10" s="8" t="s">
        <v>415</v>
      </c>
      <c r="BE10" s="8" t="s">
        <v>416</v>
      </c>
      <c r="BF10" s="95" t="s">
        <v>619</v>
      </c>
      <c r="BG10" s="95" t="s">
        <v>620</v>
      </c>
      <c r="BH10" s="95" t="s">
        <v>622</v>
      </c>
      <c r="BI10" s="95" t="s">
        <v>227</v>
      </c>
      <c r="BJ10" s="95" t="s">
        <v>623</v>
      </c>
      <c r="BK10" s="95" t="s">
        <v>619</v>
      </c>
      <c r="BL10" s="95" t="s">
        <v>620</v>
      </c>
      <c r="BM10" s="95" t="s">
        <v>624</v>
      </c>
      <c r="BN10" s="95" t="s">
        <v>625</v>
      </c>
      <c r="BO10" s="95" t="s">
        <v>622</v>
      </c>
      <c r="BP10" s="95" t="s">
        <v>626</v>
      </c>
      <c r="BQ10" s="95" t="s">
        <v>627</v>
      </c>
      <c r="BR10" s="95" t="s">
        <v>628</v>
      </c>
    </row>
    <row r="11" spans="3:70" x14ac:dyDescent="0.35">
      <c r="C11" s="5" t="s">
        <v>618</v>
      </c>
      <c r="D11" s="5" t="s">
        <v>629</v>
      </c>
      <c r="E11" s="8" t="s">
        <v>415</v>
      </c>
      <c r="F11" s="8" t="s">
        <v>300</v>
      </c>
      <c r="G11" s="212">
        <f>IF($F$10=$L$3,G10*PI()/180,G10)</f>
        <v>0</v>
      </c>
      <c r="H11" s="212">
        <f t="shared" ref="H11:P11" si="1">IF($F$10=$L$3,H10*PI()/180,H10)</f>
        <v>0.17453292519943295</v>
      </c>
      <c r="I11" s="212">
        <f t="shared" si="1"/>
        <v>0.3490658503988659</v>
      </c>
      <c r="J11" s="212">
        <f t="shared" si="1"/>
        <v>0.52359877559829882</v>
      </c>
      <c r="K11" s="212">
        <f t="shared" si="1"/>
        <v>0.69813170079773179</v>
      </c>
      <c r="L11" s="212">
        <f t="shared" si="1"/>
        <v>0.87266462599716477</v>
      </c>
      <c r="M11" s="212">
        <f t="shared" si="1"/>
        <v>1.0471975511965976</v>
      </c>
      <c r="N11" s="212">
        <f t="shared" si="1"/>
        <v>1.2217304763960306</v>
      </c>
      <c r="O11" s="212">
        <f t="shared" si="1"/>
        <v>1.3962634015954636</v>
      </c>
      <c r="P11" s="212">
        <f t="shared" si="1"/>
        <v>1.5707963267948966</v>
      </c>
      <c r="Q11" s="212">
        <f t="shared" ref="Q11:AU11" si="2">IF($F$10=$L$3,Q10*PI()/180,Q10)</f>
        <v>1.7453292519943295</v>
      </c>
      <c r="R11" s="212">
        <f t="shared" si="2"/>
        <v>1.9198621771937625</v>
      </c>
      <c r="S11" s="212">
        <f t="shared" si="2"/>
        <v>2.0943951023931953</v>
      </c>
      <c r="T11" s="212">
        <f t="shared" si="2"/>
        <v>2.2689280275926285</v>
      </c>
      <c r="U11" s="212">
        <f t="shared" si="2"/>
        <v>2.4434609527920612</v>
      </c>
      <c r="V11" s="212">
        <f t="shared" si="2"/>
        <v>2.6179938779914944</v>
      </c>
      <c r="W11" s="212">
        <f t="shared" si="2"/>
        <v>2.7925268031909272</v>
      </c>
      <c r="X11" s="212">
        <f t="shared" si="2"/>
        <v>2.9670597283903604</v>
      </c>
      <c r="Y11" s="212">
        <f t="shared" si="2"/>
        <v>3.1415926535897931</v>
      </c>
      <c r="Z11" s="212">
        <f t="shared" si="2"/>
        <v>3.3161255787892263</v>
      </c>
      <c r="AA11" s="212">
        <f t="shared" si="2"/>
        <v>3.4906585039886591</v>
      </c>
      <c r="AB11" s="212">
        <f t="shared" si="2"/>
        <v>3.6651914291880923</v>
      </c>
      <c r="AC11" s="212">
        <f t="shared" si="2"/>
        <v>3.839724354387525</v>
      </c>
      <c r="AD11" s="212">
        <f t="shared" si="2"/>
        <v>4.0142572795869578</v>
      </c>
      <c r="AE11" s="212">
        <f t="shared" si="2"/>
        <v>4.1887902047863905</v>
      </c>
      <c r="AF11" s="212">
        <f t="shared" si="2"/>
        <v>4.3633231299858233</v>
      </c>
      <c r="AG11" s="212">
        <f t="shared" si="2"/>
        <v>4.5378560551852569</v>
      </c>
      <c r="AH11" s="212">
        <f t="shared" si="2"/>
        <v>4.7123889803846897</v>
      </c>
      <c r="AI11" s="212">
        <f t="shared" si="2"/>
        <v>4.8869219055841224</v>
      </c>
      <c r="AJ11" s="212">
        <f t="shared" si="2"/>
        <v>5.0614548307835552</v>
      </c>
      <c r="AK11" s="212">
        <f t="shared" si="2"/>
        <v>5.2359877559829888</v>
      </c>
      <c r="AL11" s="212">
        <f t="shared" si="2"/>
        <v>5.4105206811824216</v>
      </c>
      <c r="AM11" s="212">
        <f t="shared" si="2"/>
        <v>5.5850536063818543</v>
      </c>
      <c r="AN11" s="212">
        <f t="shared" si="2"/>
        <v>5.7595865315812871</v>
      </c>
      <c r="AO11" s="212">
        <f t="shared" si="2"/>
        <v>5.9341194567807207</v>
      </c>
      <c r="AP11" s="212">
        <f t="shared" si="2"/>
        <v>6.1086523819801526</v>
      </c>
      <c r="AQ11" s="212">
        <f t="shared" si="2"/>
        <v>6.2831853071795862</v>
      </c>
      <c r="AR11" s="212">
        <f t="shared" si="2"/>
        <v>6.457718232379019</v>
      </c>
      <c r="AS11" s="212">
        <f t="shared" si="2"/>
        <v>6.6322511575784526</v>
      </c>
      <c r="AT11" s="212">
        <f t="shared" si="2"/>
        <v>6.8067840827778845</v>
      </c>
      <c r="AU11" s="212">
        <f t="shared" si="2"/>
        <v>6.9813170079773181</v>
      </c>
      <c r="AV11" s="99"/>
      <c r="AW11" s="1" t="s">
        <v>632</v>
      </c>
      <c r="AY11" s="309">
        <f>IF($AZ$10=$L$3,AY10*PI()/180,G10)</f>
        <v>0.87266462599716477</v>
      </c>
      <c r="AZ11" s="5" t="str">
        <f>L4</f>
        <v>[rad]</v>
      </c>
      <c r="BB11" s="5"/>
      <c r="BC11" s="5"/>
      <c r="BD11" s="5"/>
      <c r="BE11" s="5"/>
      <c r="BF11" s="5"/>
      <c r="BG11" s="5"/>
      <c r="BH11" s="5"/>
      <c r="BI11" s="5"/>
      <c r="BJ11" s="77" cm="1">
        <f t="array" ref="BJ11">MAX(ABS(BB12:BB16))</f>
        <v>2</v>
      </c>
      <c r="BK11" s="77">
        <v>0</v>
      </c>
      <c r="BL11" s="77">
        <f>BJ11</f>
        <v>2</v>
      </c>
      <c r="BM11" s="77">
        <v>0</v>
      </c>
      <c r="BN11" s="77">
        <f>-BJ11</f>
        <v>-2</v>
      </c>
      <c r="BO11" s="77">
        <f>BL11</f>
        <v>2</v>
      </c>
      <c r="BP11" s="77">
        <v>0</v>
      </c>
      <c r="BQ11" s="77">
        <f>BN11</f>
        <v>-2</v>
      </c>
      <c r="BR11" s="77">
        <v>0</v>
      </c>
    </row>
    <row r="12" spans="3:70" ht="18.5" x14ac:dyDescent="0.45">
      <c r="C12" s="4">
        <v>1</v>
      </c>
      <c r="D12" s="4">
        <v>180</v>
      </c>
      <c r="E12" s="279" t="s">
        <v>316</v>
      </c>
      <c r="F12" s="279" t="str">
        <f>_xlfn.CONCAT(C12, IF(D12=0," * sin(x) =",IF(D12&lt;0,_xlfn.CONCAT(" * sin(x - ",ABS(D12),") ="),_xlfn.CONCAT(" * sin(x + ",D12,") ="))))</f>
        <v>1 * sin(x + 180) =</v>
      </c>
      <c r="G12" s="212">
        <f>IF($AW$12=$K$3,$C$12*SIN(G11+RADIANS($D$12)),0)</f>
        <v>1.22514845490862E-16</v>
      </c>
      <c r="H12" s="212">
        <f t="shared" ref="H12:AU12" si="3">IF($AW$12=$K$3,$C$12*SIN(H11+RADIANS($D$12)),0)</f>
        <v>-0.17364817766693003</v>
      </c>
      <c r="I12" s="212">
        <f t="shared" si="3"/>
        <v>-0.34202014332566866</v>
      </c>
      <c r="J12" s="212">
        <f t="shared" si="3"/>
        <v>-0.49999999999999972</v>
      </c>
      <c r="K12" s="212">
        <f t="shared" si="3"/>
        <v>-0.64278760968653925</v>
      </c>
      <c r="L12" s="212">
        <f t="shared" si="3"/>
        <v>-0.7660444431189779</v>
      </c>
      <c r="M12" s="212">
        <f t="shared" si="3"/>
        <v>-0.86602540378443837</v>
      </c>
      <c r="N12" s="212">
        <f t="shared" si="3"/>
        <v>-0.93969262078590843</v>
      </c>
      <c r="O12" s="212">
        <f t="shared" si="3"/>
        <v>-0.98480775301220802</v>
      </c>
      <c r="P12" s="212">
        <f t="shared" si="3"/>
        <v>-1</v>
      </c>
      <c r="Q12" s="212">
        <f t="shared" si="3"/>
        <v>-0.98480775301220813</v>
      </c>
      <c r="R12" s="212">
        <f t="shared" si="3"/>
        <v>-0.93969262078590854</v>
      </c>
      <c r="S12" s="212">
        <f t="shared" si="3"/>
        <v>-0.86602540378443904</v>
      </c>
      <c r="T12" s="212">
        <f t="shared" si="3"/>
        <v>-0.76604444311897812</v>
      </c>
      <c r="U12" s="212">
        <f t="shared" si="3"/>
        <v>-0.64278760968653958</v>
      </c>
      <c r="V12" s="212">
        <f t="shared" si="3"/>
        <v>-0.49999999999999967</v>
      </c>
      <c r="W12" s="212">
        <f t="shared" si="3"/>
        <v>-0.3420201433256686</v>
      </c>
      <c r="X12" s="212">
        <f t="shared" si="3"/>
        <v>-0.17364817766693039</v>
      </c>
      <c r="Y12" s="212">
        <f t="shared" si="3"/>
        <v>-2.45029690981724E-16</v>
      </c>
      <c r="Z12" s="212">
        <f t="shared" si="3"/>
        <v>0.17364817766692991</v>
      </c>
      <c r="AA12" s="212">
        <f t="shared" si="3"/>
        <v>0.3420201433256681</v>
      </c>
      <c r="AB12" s="212">
        <f t="shared" si="3"/>
        <v>0.5</v>
      </c>
      <c r="AC12" s="212">
        <f t="shared" si="3"/>
        <v>0.64278760968653914</v>
      </c>
      <c r="AD12" s="212">
        <f t="shared" si="3"/>
        <v>0.76604444311897779</v>
      </c>
      <c r="AE12" s="212">
        <f t="shared" si="3"/>
        <v>0.86602540378443837</v>
      </c>
      <c r="AF12" s="212">
        <f t="shared" si="3"/>
        <v>0.93969262078590809</v>
      </c>
      <c r="AG12" s="212">
        <f t="shared" si="3"/>
        <v>0.98480775301220802</v>
      </c>
      <c r="AH12" s="212">
        <f t="shared" si="3"/>
        <v>1</v>
      </c>
      <c r="AI12" s="212">
        <f t="shared" si="3"/>
        <v>0.98480775301220813</v>
      </c>
      <c r="AJ12" s="212">
        <f t="shared" si="3"/>
        <v>0.93969262078590865</v>
      </c>
      <c r="AK12" s="212">
        <f t="shared" si="3"/>
        <v>0.86602540378443826</v>
      </c>
      <c r="AL12" s="212">
        <f t="shared" si="3"/>
        <v>0.76604444311897757</v>
      </c>
      <c r="AM12" s="212">
        <f t="shared" si="3"/>
        <v>0.64278760968653903</v>
      </c>
      <c r="AN12" s="212">
        <f t="shared" si="3"/>
        <v>0.49999999999999978</v>
      </c>
      <c r="AO12" s="212">
        <f t="shared" si="3"/>
        <v>0.34202014332566871</v>
      </c>
      <c r="AP12" s="212">
        <f t="shared" si="3"/>
        <v>0.1736481776669305</v>
      </c>
      <c r="AQ12" s="212">
        <f t="shared" si="3"/>
        <v>3.67544536472586E-16</v>
      </c>
      <c r="AR12" s="212">
        <f t="shared" si="3"/>
        <v>-0.17364817766692978</v>
      </c>
      <c r="AS12" s="212">
        <f t="shared" si="3"/>
        <v>-0.34202014332566799</v>
      </c>
      <c r="AT12" s="212">
        <f t="shared" si="3"/>
        <v>-0.49999999999999917</v>
      </c>
      <c r="AU12" s="212">
        <f t="shared" si="3"/>
        <v>-0.64278760968653836</v>
      </c>
      <c r="AV12" s="99"/>
      <c r="AW12" s="318" t="s">
        <v>64</v>
      </c>
      <c r="AY12" s="212">
        <f>IF($AW$12=$K$3,$C$12 * SIN(AY11 + RADIANS($D$12)),0)</f>
        <v>-0.7660444431189779</v>
      </c>
      <c r="AZ12" s="5"/>
      <c r="BB12" s="77">
        <f>IF($AW$12=$K$3,$C12,0)</f>
        <v>1</v>
      </c>
      <c r="BC12" s="77">
        <f>$AY$10+$D$12</f>
        <v>230</v>
      </c>
      <c r="BD12" s="311">
        <f>BB12*COS(RADIANS(BC12))</f>
        <v>-0.64278760968653947</v>
      </c>
      <c r="BE12" s="311">
        <f>BB12*SIN(RADIANS(BC12))</f>
        <v>-0.7660444431189779</v>
      </c>
      <c r="BF12" s="311">
        <v>0</v>
      </c>
      <c r="BG12" s="311">
        <f>BD12</f>
        <v>-0.64278760968653947</v>
      </c>
      <c r="BH12" s="311">
        <v>0</v>
      </c>
      <c r="BI12" s="311">
        <f>BE12</f>
        <v>-0.7660444431189779</v>
      </c>
    </row>
    <row r="13" spans="3:70" ht="18.5" x14ac:dyDescent="0.45">
      <c r="C13" s="4">
        <v>2</v>
      </c>
      <c r="D13" s="4">
        <v>0</v>
      </c>
      <c r="E13" s="317" t="s">
        <v>319</v>
      </c>
      <c r="F13" s="317" t="str">
        <f>_xlfn.CONCAT(C13, IF(D13=0," * cos(x) =",IF(D13&lt;0,_xlfn.CONCAT(" * cos(x - ",ABS(D13),") ="),_xlfn.CONCAT(" * cos(x + ",D13,") ="))))</f>
        <v>2 * cos(x) =</v>
      </c>
      <c r="G13" s="212">
        <f>IF($AW$13=$K$3,$C$13*COS(G11+RADIANS($D$13)),0)</f>
        <v>2</v>
      </c>
      <c r="H13" s="212">
        <f t="shared" ref="H13:AU13" si="4">IF($AW$13=$K$3,$C$13*COS(H11+RADIANS($D$13)),0)</f>
        <v>1.969615506024416</v>
      </c>
      <c r="I13" s="212">
        <f t="shared" si="4"/>
        <v>1.8793852415718169</v>
      </c>
      <c r="J13" s="212">
        <f t="shared" si="4"/>
        <v>1.7320508075688774</v>
      </c>
      <c r="K13" s="212">
        <f t="shared" si="4"/>
        <v>1.532088886237956</v>
      </c>
      <c r="L13" s="212">
        <f t="shared" si="4"/>
        <v>1.2855752193730787</v>
      </c>
      <c r="M13" s="212">
        <f t="shared" si="4"/>
        <v>1.0000000000000002</v>
      </c>
      <c r="N13" s="212">
        <f t="shared" si="4"/>
        <v>0.68404028665133765</v>
      </c>
      <c r="O13" s="212">
        <f t="shared" si="4"/>
        <v>0.34729635533386083</v>
      </c>
      <c r="P13" s="212">
        <f t="shared" si="4"/>
        <v>1.22514845490862E-16</v>
      </c>
      <c r="Q13" s="212">
        <f t="shared" si="4"/>
        <v>-0.34729635533386061</v>
      </c>
      <c r="R13" s="212">
        <f t="shared" si="4"/>
        <v>-0.68404028665133743</v>
      </c>
      <c r="S13" s="212">
        <f t="shared" si="4"/>
        <v>-0.99999999999999956</v>
      </c>
      <c r="T13" s="212">
        <f t="shared" si="4"/>
        <v>-1.2855752193730787</v>
      </c>
      <c r="U13" s="212">
        <f t="shared" si="4"/>
        <v>-1.5320888862379558</v>
      </c>
      <c r="V13" s="212">
        <f t="shared" si="4"/>
        <v>-1.7320508075688774</v>
      </c>
      <c r="W13" s="212">
        <f t="shared" si="4"/>
        <v>-1.8793852415718166</v>
      </c>
      <c r="X13" s="212">
        <f t="shared" si="4"/>
        <v>-1.969615506024416</v>
      </c>
      <c r="Y13" s="212">
        <f t="shared" si="4"/>
        <v>-2</v>
      </c>
      <c r="Z13" s="212">
        <f t="shared" si="4"/>
        <v>-1.969615506024416</v>
      </c>
      <c r="AA13" s="212">
        <f t="shared" si="4"/>
        <v>-1.8793852415718169</v>
      </c>
      <c r="AB13" s="212">
        <f t="shared" si="4"/>
        <v>-1.7320508075688772</v>
      </c>
      <c r="AC13" s="212">
        <f t="shared" si="4"/>
        <v>-1.532088886237956</v>
      </c>
      <c r="AD13" s="212">
        <f t="shared" si="4"/>
        <v>-1.2855752193730789</v>
      </c>
      <c r="AE13" s="212">
        <f t="shared" si="4"/>
        <v>-1.0000000000000009</v>
      </c>
      <c r="AF13" s="212">
        <f t="shared" si="4"/>
        <v>-0.68404028665133876</v>
      </c>
      <c r="AG13" s="212">
        <f t="shared" si="4"/>
        <v>-0.34729635533386066</v>
      </c>
      <c r="AH13" s="212">
        <f t="shared" si="4"/>
        <v>-3.67544536472586E-16</v>
      </c>
      <c r="AI13" s="212">
        <f t="shared" si="4"/>
        <v>0.34729635533385994</v>
      </c>
      <c r="AJ13" s="212">
        <f t="shared" si="4"/>
        <v>0.68404028665133632</v>
      </c>
      <c r="AK13" s="212">
        <f t="shared" si="4"/>
        <v>1.0000000000000002</v>
      </c>
      <c r="AL13" s="212">
        <f t="shared" si="4"/>
        <v>1.2855752193730785</v>
      </c>
      <c r="AM13" s="212">
        <f t="shared" si="4"/>
        <v>1.5320888862379556</v>
      </c>
      <c r="AN13" s="212">
        <f t="shared" si="4"/>
        <v>1.7320508075688767</v>
      </c>
      <c r="AO13" s="212">
        <f t="shared" si="4"/>
        <v>1.8793852415718169</v>
      </c>
      <c r="AP13" s="212">
        <f t="shared" si="4"/>
        <v>1.9696155060244158</v>
      </c>
      <c r="AQ13" s="212">
        <f t="shared" si="4"/>
        <v>2</v>
      </c>
      <c r="AR13" s="212">
        <f t="shared" si="4"/>
        <v>1.9696155060244163</v>
      </c>
      <c r="AS13" s="212">
        <f t="shared" si="4"/>
        <v>1.8793852415718166</v>
      </c>
      <c r="AT13" s="212">
        <f t="shared" si="4"/>
        <v>1.7320508075688781</v>
      </c>
      <c r="AU13" s="212">
        <f t="shared" si="4"/>
        <v>1.5320888862379562</v>
      </c>
      <c r="AV13" s="99"/>
      <c r="AW13" s="318" t="s">
        <v>64</v>
      </c>
      <c r="AY13" s="212">
        <f>IF($AW$13=$K$3,$C$13 * COS(AY11+RADIANS(D13)),0)</f>
        <v>1.2855752193730787</v>
      </c>
      <c r="AZ13" s="5"/>
      <c r="BB13" s="77">
        <f>IF($AW$13=$K$3,$C13,0)</f>
        <v>2</v>
      </c>
      <c r="BC13" s="77">
        <f>$AY$10+90+$D$13</f>
        <v>140</v>
      </c>
      <c r="BD13" s="311">
        <f>BB13*COS(RADIANS(BC13))</f>
        <v>-1.5320888862379558</v>
      </c>
      <c r="BE13" s="311">
        <f>BB13*SIN(RADIANS(BC13))</f>
        <v>1.2855752193730789</v>
      </c>
      <c r="BF13" s="311">
        <v>0</v>
      </c>
      <c r="BG13" s="311">
        <f>BD13</f>
        <v>-1.5320888862379558</v>
      </c>
      <c r="BH13" s="311">
        <v>0</v>
      </c>
      <c r="BI13" s="311">
        <f>BE13</f>
        <v>1.2855752193730789</v>
      </c>
    </row>
    <row r="14" spans="3:70" ht="18.5" x14ac:dyDescent="0.45">
      <c r="E14" s="316"/>
      <c r="F14" s="316"/>
      <c r="G14" s="99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Y14" s="99"/>
      <c r="BD14" s="313"/>
      <c r="BE14" s="313"/>
      <c r="BF14" s="313"/>
      <c r="BG14" s="313"/>
      <c r="BH14" s="313"/>
      <c r="BI14" s="313"/>
    </row>
    <row r="15" spans="3:70" ht="18.5" x14ac:dyDescent="0.45">
      <c r="D15" s="1"/>
      <c r="E15" s="316"/>
      <c r="F15" s="316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Y15" s="99"/>
      <c r="BD15" s="313"/>
      <c r="BE15" s="313"/>
      <c r="BF15" s="313"/>
      <c r="BG15" s="313"/>
      <c r="BH15" s="313"/>
      <c r="BI15" s="313"/>
      <c r="BJ15" s="5" t="s">
        <v>637</v>
      </c>
      <c r="BK15" s="5"/>
      <c r="BL15" s="5"/>
      <c r="BM15" s="5"/>
      <c r="BN15" s="5" t="s">
        <v>638</v>
      </c>
      <c r="BO15" s="5"/>
      <c r="BP15" s="5"/>
      <c r="BQ15" s="5"/>
    </row>
    <row r="16" spans="3:70" ht="18.5" x14ac:dyDescent="0.45">
      <c r="D16" s="321"/>
      <c r="E16" s="319" t="s">
        <v>635</v>
      </c>
      <c r="F16" s="319" t="s">
        <v>631</v>
      </c>
      <c r="G16" s="212">
        <f>IF($AW$16=$K$3,G12+G13,0)</f>
        <v>0</v>
      </c>
      <c r="H16" s="212">
        <f t="shared" ref="H16:AU16" si="5">IF($AW$16=$K$3,H12+H13,0)</f>
        <v>0</v>
      </c>
      <c r="I16" s="212">
        <f t="shared" si="5"/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99"/>
      <c r="AW16" s="318" t="s">
        <v>65</v>
      </c>
      <c r="AY16" s="212">
        <f>IF($AW$16=$K$3,AY12+AY13,0)</f>
        <v>0</v>
      </c>
      <c r="BB16" s="311">
        <f>SQRT(BD16^2+BE16^2)</f>
        <v>0</v>
      </c>
      <c r="BC16" s="311">
        <f>IF($AW$16=$K$3,DEGREES(ATAN2(BD16,BE16)),0)</f>
        <v>0</v>
      </c>
      <c r="BD16" s="311">
        <f>IF($AW$16=$K$3,BD12+BD13,0)</f>
        <v>0</v>
      </c>
      <c r="BE16" s="311">
        <f>IF($AW$16=$K$3,BE12+BE13,0)</f>
        <v>0</v>
      </c>
      <c r="BF16" s="311">
        <v>0</v>
      </c>
      <c r="BG16" s="311">
        <f>BD16</f>
        <v>0</v>
      </c>
      <c r="BH16" s="311">
        <v>0</v>
      </c>
      <c r="BI16" s="322">
        <f>BE16</f>
        <v>0</v>
      </c>
      <c r="BJ16" s="311">
        <f>IF($AW$16=$K$3,BD13,0)</f>
        <v>0</v>
      </c>
      <c r="BK16" s="311">
        <f>BD16</f>
        <v>0</v>
      </c>
      <c r="BL16" s="311">
        <f>IF($AW$16=$K$3,BE13,0)</f>
        <v>0</v>
      </c>
      <c r="BM16" s="311">
        <f>BE16</f>
        <v>0</v>
      </c>
      <c r="BN16" s="311">
        <f>BD12</f>
        <v>-0.64278760968653947</v>
      </c>
      <c r="BO16" s="311">
        <f>BK16</f>
        <v>0</v>
      </c>
      <c r="BP16" s="311">
        <f>IF($AW$16=$K$3,BE12,0)</f>
        <v>0</v>
      </c>
      <c r="BQ16" s="311">
        <f>BM16</f>
        <v>0</v>
      </c>
    </row>
    <row r="17" spans="4:61" ht="18.5" x14ac:dyDescent="0.45">
      <c r="D17" s="321"/>
      <c r="E17" s="320" t="s">
        <v>635</v>
      </c>
      <c r="F17" s="320" t="s">
        <v>636</v>
      </c>
      <c r="G17" s="212">
        <f>IF($AW$17=$K$3,G12*G13,0)</f>
        <v>2.45029690981724E-16</v>
      </c>
      <c r="H17" s="212">
        <f t="shared" ref="H17:AU17" si="6">IF($AW$17=$K$3,H12*H13,0)</f>
        <v>-0.3420201433256681</v>
      </c>
      <c r="I17" s="212">
        <f t="shared" si="6"/>
        <v>-0.64278760968653925</v>
      </c>
      <c r="J17" s="212">
        <f t="shared" si="6"/>
        <v>-0.86602540378443826</v>
      </c>
      <c r="K17" s="212">
        <f t="shared" si="6"/>
        <v>-0.98480775301220791</v>
      </c>
      <c r="L17" s="212">
        <f t="shared" si="6"/>
        <v>-0.98480775301220791</v>
      </c>
      <c r="M17" s="212">
        <f t="shared" si="6"/>
        <v>-0.8660254037844386</v>
      </c>
      <c r="N17" s="212">
        <f t="shared" si="6"/>
        <v>-0.64278760968653947</v>
      </c>
      <c r="O17" s="212">
        <f t="shared" si="6"/>
        <v>-0.34202014332566882</v>
      </c>
      <c r="P17" s="212">
        <f t="shared" si="6"/>
        <v>-1.22514845490862E-16</v>
      </c>
      <c r="Q17" s="212">
        <f t="shared" si="6"/>
        <v>0.34202014332566866</v>
      </c>
      <c r="R17" s="212">
        <f t="shared" si="6"/>
        <v>0.64278760968653936</v>
      </c>
      <c r="S17" s="212">
        <f t="shared" si="6"/>
        <v>0.86602540378443871</v>
      </c>
      <c r="T17" s="212">
        <f t="shared" si="6"/>
        <v>0.98480775301220824</v>
      </c>
      <c r="U17" s="212">
        <f t="shared" si="6"/>
        <v>0.98480775301220824</v>
      </c>
      <c r="V17" s="212">
        <f t="shared" si="6"/>
        <v>0.86602540378443815</v>
      </c>
      <c r="W17" s="212">
        <f t="shared" si="6"/>
        <v>0.64278760968653903</v>
      </c>
      <c r="X17" s="212">
        <f t="shared" si="6"/>
        <v>0.34202014332566877</v>
      </c>
      <c r="Y17" s="212">
        <f t="shared" si="6"/>
        <v>4.90059381963448E-16</v>
      </c>
      <c r="Z17" s="212">
        <f t="shared" si="6"/>
        <v>-0.34202014332566788</v>
      </c>
      <c r="AA17" s="212">
        <f t="shared" si="6"/>
        <v>-0.64278760968653814</v>
      </c>
      <c r="AB17" s="212">
        <f t="shared" si="6"/>
        <v>-0.8660254037844386</v>
      </c>
      <c r="AC17" s="212">
        <f t="shared" si="6"/>
        <v>-0.9848077530122078</v>
      </c>
      <c r="AD17" s="212">
        <f t="shared" si="6"/>
        <v>-0.98480775301220802</v>
      </c>
      <c r="AE17" s="212">
        <f t="shared" si="6"/>
        <v>-0.86602540378443915</v>
      </c>
      <c r="AF17" s="212">
        <f t="shared" si="6"/>
        <v>-0.64278760968654036</v>
      </c>
      <c r="AG17" s="212">
        <f t="shared" si="6"/>
        <v>-0.34202014332566866</v>
      </c>
      <c r="AH17" s="212">
        <f t="shared" si="6"/>
        <v>-3.67544536472586E-16</v>
      </c>
      <c r="AI17" s="212">
        <f t="shared" si="6"/>
        <v>0.34202014332566799</v>
      </c>
      <c r="AJ17" s="212">
        <f t="shared" si="6"/>
        <v>0.64278760968653847</v>
      </c>
      <c r="AK17" s="212">
        <f t="shared" si="6"/>
        <v>0.86602540378443849</v>
      </c>
      <c r="AL17" s="212">
        <f t="shared" si="6"/>
        <v>0.98480775301220735</v>
      </c>
      <c r="AM17" s="212">
        <f t="shared" si="6"/>
        <v>0.98480775301220724</v>
      </c>
      <c r="AN17" s="212">
        <f t="shared" si="6"/>
        <v>0.86602540378443804</v>
      </c>
      <c r="AO17" s="212">
        <f t="shared" si="6"/>
        <v>0.64278760968653936</v>
      </c>
      <c r="AP17" s="212">
        <f t="shared" si="6"/>
        <v>0.34202014332566899</v>
      </c>
      <c r="AQ17" s="212">
        <f t="shared" si="6"/>
        <v>7.3508907294517201E-16</v>
      </c>
      <c r="AR17" s="212">
        <f t="shared" si="6"/>
        <v>-0.3420201433256676</v>
      </c>
      <c r="AS17" s="212">
        <f t="shared" si="6"/>
        <v>-0.64278760968653792</v>
      </c>
      <c r="AT17" s="212">
        <f t="shared" si="6"/>
        <v>-0.8660254037844376</v>
      </c>
      <c r="AU17" s="212">
        <f t="shared" si="6"/>
        <v>-0.98480775301220669</v>
      </c>
      <c r="AV17" s="99"/>
      <c r="AW17" s="318" t="s">
        <v>64</v>
      </c>
      <c r="AY17" s="212">
        <f>IF($AW$17=$K$3,AY12*AY13,0)</f>
        <v>-0.98480775301220791</v>
      </c>
      <c r="BD17" s="313"/>
      <c r="BE17" s="313"/>
      <c r="BF17" s="313"/>
      <c r="BG17" s="313"/>
      <c r="BH17" s="313"/>
      <c r="BI17" s="313"/>
    </row>
    <row r="18" spans="4:61" x14ac:dyDescent="0.35">
      <c r="E18" s="314"/>
      <c r="F18" s="315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Y18" s="99"/>
      <c r="BD18" s="313"/>
      <c r="BE18" s="313"/>
      <c r="BF18" s="313"/>
      <c r="BG18" s="313"/>
      <c r="BH18" s="313"/>
      <c r="BI18" s="313"/>
    </row>
    <row r="61" spans="5:49" ht="18.5" x14ac:dyDescent="0.45">
      <c r="E61" s="273" t="s">
        <v>633</v>
      </c>
      <c r="F61" s="273" t="s">
        <v>318</v>
      </c>
      <c r="G61" s="212">
        <f t="shared" ref="G61:AU61" si="7">IF(ABS(TAN(G11))&gt;10,0,TAN(G11))</f>
        <v>0</v>
      </c>
      <c r="H61" s="212">
        <f t="shared" si="7"/>
        <v>0.17632698070846498</v>
      </c>
      <c r="I61" s="212">
        <f t="shared" si="7"/>
        <v>0.36397023426620234</v>
      </c>
      <c r="J61" s="212">
        <f t="shared" si="7"/>
        <v>0.57735026918962573</v>
      </c>
      <c r="K61" s="212">
        <f t="shared" si="7"/>
        <v>0.83909963117727993</v>
      </c>
      <c r="L61" s="212">
        <f t="shared" si="7"/>
        <v>1.19175359259421</v>
      </c>
      <c r="M61" s="212">
        <f t="shared" si="7"/>
        <v>1.7320508075688767</v>
      </c>
      <c r="N61" s="212">
        <f t="shared" si="7"/>
        <v>2.7474774194546216</v>
      </c>
      <c r="O61" s="212">
        <f t="shared" si="7"/>
        <v>5.6712818196177066</v>
      </c>
      <c r="P61" s="212">
        <f t="shared" si="7"/>
        <v>0</v>
      </c>
      <c r="Q61" s="212">
        <f t="shared" si="7"/>
        <v>-5.6712818196177111</v>
      </c>
      <c r="R61" s="212">
        <f t="shared" si="7"/>
        <v>-2.7474774194546225</v>
      </c>
      <c r="S61" s="212">
        <f t="shared" si="7"/>
        <v>-1.7320508075688783</v>
      </c>
      <c r="T61" s="212">
        <f t="shared" si="7"/>
        <v>-1.19175359259421</v>
      </c>
      <c r="U61" s="212">
        <f t="shared" si="7"/>
        <v>-0.83909963117728037</v>
      </c>
      <c r="V61" s="212">
        <f t="shared" si="7"/>
        <v>-0.57735026918962573</v>
      </c>
      <c r="W61" s="212">
        <f t="shared" si="7"/>
        <v>-0.36397023426620256</v>
      </c>
      <c r="X61" s="212">
        <f t="shared" si="7"/>
        <v>-0.17632698070846489</v>
      </c>
      <c r="Y61" s="212">
        <f t="shared" si="7"/>
        <v>-1.22514845490862E-16</v>
      </c>
      <c r="Z61" s="212">
        <f t="shared" si="7"/>
        <v>0.17632698070846509</v>
      </c>
      <c r="AA61" s="212">
        <f t="shared" si="7"/>
        <v>0.36397023426620229</v>
      </c>
      <c r="AB61" s="212">
        <f t="shared" si="7"/>
        <v>0.57735026918962595</v>
      </c>
      <c r="AC61" s="212">
        <f t="shared" si="7"/>
        <v>0.83909963117727993</v>
      </c>
      <c r="AD61" s="212">
        <f t="shared" si="7"/>
        <v>1.1917535925942093</v>
      </c>
      <c r="AE61" s="212">
        <f t="shared" si="7"/>
        <v>1.7320508075688754</v>
      </c>
      <c r="AF61" s="212">
        <f t="shared" si="7"/>
        <v>2.7474774194546168</v>
      </c>
      <c r="AG61" s="212">
        <f t="shared" si="7"/>
        <v>5.6712818196177102</v>
      </c>
      <c r="AH61" s="212">
        <f t="shared" si="7"/>
        <v>0</v>
      </c>
      <c r="AI61" s="212">
        <f t="shared" si="7"/>
        <v>-5.6712818196177226</v>
      </c>
      <c r="AJ61" s="212">
        <f t="shared" si="7"/>
        <v>-2.7474774194546274</v>
      </c>
      <c r="AK61" s="212">
        <f t="shared" si="7"/>
        <v>-1.732050807568877</v>
      </c>
      <c r="AL61" s="212">
        <f t="shared" si="7"/>
        <v>-1.1917535925942102</v>
      </c>
      <c r="AM61" s="212">
        <f t="shared" si="7"/>
        <v>-0.83909963117728059</v>
      </c>
      <c r="AN61" s="212">
        <f t="shared" si="7"/>
        <v>-0.57735026918962651</v>
      </c>
      <c r="AO61" s="212">
        <f t="shared" si="7"/>
        <v>-0.36397023426620218</v>
      </c>
      <c r="AP61" s="212">
        <f t="shared" si="7"/>
        <v>-0.17632698070846592</v>
      </c>
      <c r="AQ61" s="212">
        <f t="shared" si="7"/>
        <v>-2.45029690981724E-16</v>
      </c>
      <c r="AR61" s="212">
        <f t="shared" si="7"/>
        <v>0.1763269807084645</v>
      </c>
      <c r="AS61" s="212">
        <f t="shared" si="7"/>
        <v>0.36397023426620262</v>
      </c>
      <c r="AT61" s="212">
        <f t="shared" si="7"/>
        <v>0.57735026918962462</v>
      </c>
      <c r="AU61" s="212">
        <f t="shared" si="7"/>
        <v>0.8390996311772797</v>
      </c>
      <c r="AV61" s="312"/>
      <c r="AW61" s="312"/>
    </row>
    <row r="62" spans="5:49" ht="18.5" x14ac:dyDescent="0.45">
      <c r="E62" s="279" t="s">
        <v>634</v>
      </c>
      <c r="F62" s="279" t="s">
        <v>630</v>
      </c>
      <c r="G62" s="212">
        <f t="shared" ref="G62:AU62" si="8">SIN(G11)</f>
        <v>0</v>
      </c>
      <c r="H62" s="212">
        <f t="shared" si="8"/>
        <v>0.17364817766693033</v>
      </c>
      <c r="I62" s="212">
        <f t="shared" si="8"/>
        <v>0.34202014332566871</v>
      </c>
      <c r="J62" s="212">
        <f t="shared" si="8"/>
        <v>0.49999999999999994</v>
      </c>
      <c r="K62" s="212">
        <f t="shared" si="8"/>
        <v>0.64278760968653925</v>
      </c>
      <c r="L62" s="212">
        <f t="shared" si="8"/>
        <v>0.76604444311897801</v>
      </c>
      <c r="M62" s="212">
        <f t="shared" si="8"/>
        <v>0.8660254037844386</v>
      </c>
      <c r="N62" s="212">
        <f t="shared" si="8"/>
        <v>0.93969262078590832</v>
      </c>
      <c r="O62" s="212">
        <f t="shared" si="8"/>
        <v>0.98480775301220802</v>
      </c>
      <c r="P62" s="212">
        <f t="shared" si="8"/>
        <v>1</v>
      </c>
      <c r="Q62" s="212">
        <f t="shared" si="8"/>
        <v>0.98480775301220802</v>
      </c>
      <c r="R62" s="212">
        <f t="shared" si="8"/>
        <v>0.93969262078590843</v>
      </c>
      <c r="S62" s="212">
        <f t="shared" si="8"/>
        <v>0.86602540378443871</v>
      </c>
      <c r="T62" s="212">
        <f t="shared" si="8"/>
        <v>0.76604444311897801</v>
      </c>
      <c r="U62" s="212">
        <f t="shared" si="8"/>
        <v>0.64278760968653947</v>
      </c>
      <c r="V62" s="212">
        <f t="shared" si="8"/>
        <v>0.49999999999999994</v>
      </c>
      <c r="W62" s="212">
        <f t="shared" si="8"/>
        <v>0.34202014332566888</v>
      </c>
      <c r="X62" s="212">
        <f t="shared" si="8"/>
        <v>0.17364817766693028</v>
      </c>
      <c r="Y62" s="212">
        <f t="shared" si="8"/>
        <v>1.22514845490862E-16</v>
      </c>
      <c r="Z62" s="212">
        <f t="shared" si="8"/>
        <v>-0.17364817766693047</v>
      </c>
      <c r="AA62" s="212">
        <f t="shared" si="8"/>
        <v>-0.34202014332566866</v>
      </c>
      <c r="AB62" s="212">
        <f t="shared" si="8"/>
        <v>-0.50000000000000011</v>
      </c>
      <c r="AC62" s="212">
        <f t="shared" si="8"/>
        <v>-0.64278760968653925</v>
      </c>
      <c r="AD62" s="212">
        <f t="shared" si="8"/>
        <v>-0.7660444431189779</v>
      </c>
      <c r="AE62" s="212">
        <f t="shared" si="8"/>
        <v>-0.86602540378443837</v>
      </c>
      <c r="AF62" s="212">
        <f t="shared" si="8"/>
        <v>-0.93969262078590821</v>
      </c>
      <c r="AG62" s="212">
        <f t="shared" si="8"/>
        <v>-0.98480775301220802</v>
      </c>
      <c r="AH62" s="212">
        <f t="shared" si="8"/>
        <v>-1</v>
      </c>
      <c r="AI62" s="212">
        <f t="shared" si="8"/>
        <v>-0.98480775301220813</v>
      </c>
      <c r="AJ62" s="212">
        <f t="shared" si="8"/>
        <v>-0.93969262078590854</v>
      </c>
      <c r="AK62" s="212">
        <f t="shared" si="8"/>
        <v>-0.8660254037844386</v>
      </c>
      <c r="AL62" s="212">
        <f t="shared" si="8"/>
        <v>-0.76604444311897812</v>
      </c>
      <c r="AM62" s="212">
        <f t="shared" si="8"/>
        <v>-0.64278760968653958</v>
      </c>
      <c r="AN62" s="212">
        <f t="shared" si="8"/>
        <v>-0.50000000000000044</v>
      </c>
      <c r="AO62" s="212">
        <f t="shared" si="8"/>
        <v>-0.3420201433256686</v>
      </c>
      <c r="AP62" s="212">
        <f t="shared" si="8"/>
        <v>-0.17364817766693127</v>
      </c>
      <c r="AQ62" s="212">
        <f t="shared" si="8"/>
        <v>-2.45029690981724E-16</v>
      </c>
      <c r="AR62" s="212">
        <f t="shared" si="8"/>
        <v>0.17364817766692991</v>
      </c>
      <c r="AS62" s="212">
        <f t="shared" si="8"/>
        <v>0.34202014332566893</v>
      </c>
      <c r="AT62" s="212">
        <f t="shared" si="8"/>
        <v>0.49999999999999928</v>
      </c>
      <c r="AU62" s="212">
        <f t="shared" si="8"/>
        <v>0.64278760968653914</v>
      </c>
      <c r="AV62" s="312"/>
      <c r="AW62" s="312"/>
    </row>
    <row r="91" spans="5:18" ht="15" thickBot="1" x14ac:dyDescent="0.4"/>
    <row r="92" spans="5:18" ht="27" customHeight="1" thickBot="1" x14ac:dyDescent="0.4">
      <c r="E92" s="386" t="s">
        <v>653</v>
      </c>
      <c r="F92" s="350" t="s">
        <v>652</v>
      </c>
      <c r="G92" s="350" t="s">
        <v>658</v>
      </c>
      <c r="H92" s="350" t="s">
        <v>654</v>
      </c>
      <c r="I92" s="350" t="s">
        <v>655</v>
      </c>
      <c r="J92" s="350" t="s">
        <v>656</v>
      </c>
      <c r="K92" s="350" t="s">
        <v>663</v>
      </c>
      <c r="L92" s="433" t="s">
        <v>659</v>
      </c>
      <c r="M92" s="433"/>
      <c r="N92" s="433"/>
      <c r="O92" s="434"/>
      <c r="P92" s="435" t="s">
        <v>65</v>
      </c>
      <c r="Q92" s="436"/>
      <c r="R92" s="437"/>
    </row>
    <row r="93" spans="5:18" s="61" customFormat="1" ht="34" customHeight="1" x14ac:dyDescent="0.35">
      <c r="E93" s="347">
        <v>45</v>
      </c>
      <c r="F93" s="387" t="s">
        <v>298</v>
      </c>
      <c r="G93" s="388" t="str">
        <f>IF($P$92=$K$3,IF(F93=$L$3,RADIANS(E93),E93),"")</f>
        <v/>
      </c>
      <c r="H93" s="348" t="str">
        <f>IF($P$92=$K$3,SIN(G93),"")</f>
        <v/>
      </c>
      <c r="I93" s="348" t="str">
        <f>IF($P$92=$K$3,COS(G93),"")</f>
        <v/>
      </c>
      <c r="J93" s="348" t="str">
        <f>IF($P$92=$K$3,TAN(G93),"")</f>
        <v/>
      </c>
      <c r="K93" s="389" t="str">
        <f>IF($P$92=$K$3,IF(F93=$L$4,DEGREES(E93),E93),"")</f>
        <v/>
      </c>
    </row>
    <row r="94" spans="5:18" s="61" customFormat="1" ht="34" customHeight="1" x14ac:dyDescent="0.35">
      <c r="E94" s="347" t="s">
        <v>657</v>
      </c>
      <c r="F94" s="387" t="s">
        <v>300</v>
      </c>
      <c r="G94" s="388" t="str">
        <f>IF($P$92=$K$3,2*PI(),"")</f>
        <v/>
      </c>
      <c r="H94" s="348" t="str">
        <f t="shared" ref="H94:H96" si="9">IF($P$92=$K$3,SIN(G94),"")</f>
        <v/>
      </c>
      <c r="I94" s="348" t="str">
        <f t="shared" ref="I94:I96" si="10">IF($P$92=$K$3,COS(G94),"")</f>
        <v/>
      </c>
      <c r="J94" s="348" t="str">
        <f t="shared" ref="J94:J96" si="11">IF($P$92=$K$3,TAN(G94),"")</f>
        <v/>
      </c>
      <c r="K94" s="389" t="str">
        <f>IF($P$92=$K$3,IF(F94=$L$4,DEGREES(2*PI()),2*PI()),"")</f>
        <v/>
      </c>
    </row>
    <row r="95" spans="5:18" s="61" customFormat="1" ht="34" customHeight="1" x14ac:dyDescent="0.35">
      <c r="E95" s="347">
        <v>-3.14</v>
      </c>
      <c r="F95" s="387" t="s">
        <v>300</v>
      </c>
      <c r="G95" s="388" t="str">
        <f>IF($P$92=$K$3,IF(F95=$L$3,RADIANS(E95),E95),"")</f>
        <v/>
      </c>
      <c r="H95" s="348" t="str">
        <f t="shared" si="9"/>
        <v/>
      </c>
      <c r="I95" s="348" t="str">
        <f t="shared" si="10"/>
        <v/>
      </c>
      <c r="J95" s="348" t="str">
        <f t="shared" si="11"/>
        <v/>
      </c>
      <c r="K95" s="389" t="str">
        <f t="shared" ref="K95:K96" si="12">IF($P$92=$K$3,IF(F95=$L$4,DEGREES(E95),E95),"")</f>
        <v/>
      </c>
    </row>
    <row r="96" spans="5:18" s="61" customFormat="1" ht="34" customHeight="1" x14ac:dyDescent="0.35">
      <c r="E96" s="347">
        <v>-30</v>
      </c>
      <c r="F96" s="387" t="s">
        <v>298</v>
      </c>
      <c r="G96" s="388" t="str">
        <f>IF($P$92=$K$3,IF(F96=$L$3,RADIANS(E96),E96),"")</f>
        <v/>
      </c>
      <c r="H96" s="348" t="str">
        <f t="shared" si="9"/>
        <v/>
      </c>
      <c r="I96" s="348" t="str">
        <f t="shared" si="10"/>
        <v/>
      </c>
      <c r="J96" s="348" t="str">
        <f t="shared" si="11"/>
        <v/>
      </c>
      <c r="K96" s="389" t="str">
        <f t="shared" si="12"/>
        <v/>
      </c>
    </row>
    <row r="100" spans="5:11" ht="30" customHeight="1" x14ac:dyDescent="0.35">
      <c r="E100" s="92"/>
      <c r="F100" s="92"/>
      <c r="G100" s="349" t="s">
        <v>663</v>
      </c>
      <c r="H100" s="349" t="s">
        <v>658</v>
      </c>
    </row>
    <row r="101" spans="5:11" ht="32.5" customHeight="1" x14ac:dyDescent="0.35">
      <c r="E101" s="350" t="s">
        <v>660</v>
      </c>
      <c r="F101" s="347">
        <v>0.25</v>
      </c>
      <c r="G101" s="352" t="str">
        <f>IF($P$92=$K$3,DEGREES(ASIN(F101)),"")</f>
        <v/>
      </c>
      <c r="H101" s="351" t="str">
        <f>IF($P$92=$K$3,ASIN(F101),"")</f>
        <v/>
      </c>
    </row>
    <row r="102" spans="5:11" ht="32.5" customHeight="1" x14ac:dyDescent="0.35">
      <c r="E102" s="350" t="s">
        <v>660</v>
      </c>
      <c r="F102" s="347">
        <v>-0.5</v>
      </c>
      <c r="G102" s="352" t="str">
        <f>IF($P$92=$K$3,DEGREES(ASIN(F102)),"")</f>
        <v/>
      </c>
      <c r="H102" s="351" t="str">
        <f>IF($P$92=$K$3,ASIN(F102),"")</f>
        <v/>
      </c>
    </row>
    <row r="103" spans="5:11" ht="32.5" customHeight="1" x14ac:dyDescent="0.35">
      <c r="E103" s="350" t="s">
        <v>661</v>
      </c>
      <c r="F103" s="347">
        <v>-0.5</v>
      </c>
      <c r="G103" s="352" t="str">
        <f>IF($P$92=$K$3,DEGREES(ACOS(F103)),"")</f>
        <v/>
      </c>
      <c r="H103" s="351" t="str">
        <f>IF($P$92=$K$3,ACOS(F103),"")</f>
        <v/>
      </c>
    </row>
    <row r="104" spans="5:11" ht="32.5" customHeight="1" x14ac:dyDescent="0.35">
      <c r="E104" s="350" t="s">
        <v>661</v>
      </c>
      <c r="F104" s="347">
        <f>1/SQRT(2)</f>
        <v>0.70710678118654746</v>
      </c>
      <c r="G104" s="352" t="str">
        <f>IF($P$92=$K$3,DEGREES(ACOS(F104)),"")</f>
        <v/>
      </c>
      <c r="H104" s="351" t="str">
        <f>IF($P$92=$K$3,ACOS(F104),"")</f>
        <v/>
      </c>
    </row>
    <row r="105" spans="5:11" ht="32.5" customHeight="1" x14ac:dyDescent="0.35">
      <c r="E105" s="350" t="s">
        <v>662</v>
      </c>
      <c r="F105" s="347">
        <v>50</v>
      </c>
      <c r="G105" s="352" t="str">
        <f>IF($P$92=$K$3,DEGREES(ATAN(F105)),"")</f>
        <v/>
      </c>
      <c r="H105" s="351" t="str">
        <f>IF($P$92=$K$3,ATAN(F105),"")</f>
        <v/>
      </c>
    </row>
    <row r="106" spans="5:11" ht="32.5" customHeight="1" x14ac:dyDescent="0.35">
      <c r="E106" s="350" t="s">
        <v>662</v>
      </c>
      <c r="F106" s="347">
        <v>0.25</v>
      </c>
      <c r="G106" s="352" t="str">
        <f>IF($P$92=$K$3,DEGREES(ATAN(F106)),"")</f>
        <v/>
      </c>
      <c r="H106" s="351" t="str">
        <f>IF($P$92=$K$3,ATAN(F106),"")</f>
        <v/>
      </c>
    </row>
    <row r="110" spans="5:11" ht="26.5" thickBot="1" x14ac:dyDescent="0.65">
      <c r="E110" s="353" t="s">
        <v>664</v>
      </c>
      <c r="F110" s="353"/>
      <c r="H110" s="354" t="s">
        <v>821</v>
      </c>
    </row>
    <row r="111" spans="5:11" x14ac:dyDescent="0.35">
      <c r="E111" s="366" t="s">
        <v>665</v>
      </c>
      <c r="F111" s="10">
        <v>5</v>
      </c>
      <c r="G111" s="10" t="s">
        <v>713</v>
      </c>
      <c r="H111" s="10" t="s">
        <v>716</v>
      </c>
      <c r="I111" s="367">
        <f>F111*VLOOKUP(G111, CHOOSE({1,2,3,4}, Einheitenvorsätze!A:A, Einheitenvorsätze!B:B, Einheitenvorsätze!C:C, Einheitenvorsätze!D:D), 3, FALSE)</f>
        <v>0.05</v>
      </c>
      <c r="J111" s="367" t="str">
        <f>H111</f>
        <v>m</v>
      </c>
      <c r="K111" s="368" t="str">
        <f>_xlfn.CONCAT(F111," * ",VLOOKUP(G111, CHOOSE({1,2,3,4}, Einheitenvorsätze!A:A, Einheitenvorsätze!B:B, Einheitenvorsätze!C:C, Einheitenvorsätze!D:D), 4, FALSE),H111)</f>
        <v>5 * 10⁻²m</v>
      </c>
    </row>
    <row r="112" spans="5:11" x14ac:dyDescent="0.35">
      <c r="E112" s="264" t="s">
        <v>666</v>
      </c>
      <c r="F112" s="4">
        <v>0.6</v>
      </c>
      <c r="G112" s="4" t="s">
        <v>707</v>
      </c>
      <c r="H112" s="4" t="s">
        <v>748</v>
      </c>
      <c r="I112" s="77">
        <f>F112*VLOOKUP(G112, CHOOSE({1,2,3,4}, Einheitenvorsätze!A:A, Einheitenvorsätze!B:B, Einheitenvorsätze!C:C, Einheitenvorsätze!D:D), 3, FALSE)</f>
        <v>0.6</v>
      </c>
      <c r="J112" s="77" t="str">
        <f t="shared" ref="J112:J113" si="13">H112</f>
        <v>Hz</v>
      </c>
      <c r="K112" s="268" t="str">
        <f>_xlfn.CONCAT(F112," * ",VLOOKUP(G112, CHOOSE({1,2,3,4}, Einheitenvorsätze!A:A, Einheitenvorsätze!B:B, Einheitenvorsätze!C:C, Einheitenvorsätze!D:D), 4, FALSE),H112)</f>
        <v>0.6 * 10⁰Hz</v>
      </c>
    </row>
    <row r="113" spans="4:11" ht="15" thickBot="1" x14ac:dyDescent="0.4">
      <c r="E113" s="369" t="s">
        <v>667</v>
      </c>
      <c r="F113" s="11">
        <v>6.2</v>
      </c>
      <c r="G113" s="11" t="s">
        <v>707</v>
      </c>
      <c r="H113" s="11" t="s">
        <v>745</v>
      </c>
      <c r="I113" s="370">
        <f>F113*VLOOKUP(G113, CHOOSE({1,2,3,4}, Einheitenvorsätze!A:A, Einheitenvorsätze!B:B, Einheitenvorsätze!C:C, Einheitenvorsätze!D:D), 3, FALSE)</f>
        <v>6.2</v>
      </c>
      <c r="J113" s="370" t="str">
        <f t="shared" si="13"/>
        <v>s</v>
      </c>
      <c r="K113" s="371" t="str">
        <f>_xlfn.CONCAT(F113," * ",VLOOKUP(G113, CHOOSE({1,2,3,4}, Einheitenvorsätze!A:A, Einheitenvorsätze!B:B, Einheitenvorsätze!C:C, Einheitenvorsätze!D:D), 4, FALSE),H113)</f>
        <v>6.2 * 10⁰s</v>
      </c>
    </row>
    <row r="116" spans="4:11" ht="18.5" x14ac:dyDescent="0.45">
      <c r="D116" s="168"/>
      <c r="E116" s="373" t="str">
        <f>_xlfn.CONCAT("y(",$K$113,") = ")</f>
        <v xml:space="preserve">y(6.2 * 10⁰s) = </v>
      </c>
      <c r="F116" s="374" t="str">
        <f>_xlfn.CONCAT(K111, " * sin(2",Einheitenvorsätze!$C$53," * ",K112," * ",K113,")")</f>
        <v>5 * 10⁻²m * sin(2π * 0.6 * 10⁰Hz * 6.2 * 10⁰s)</v>
      </c>
      <c r="G116" s="374"/>
      <c r="H116" s="168"/>
      <c r="I116" s="168"/>
    </row>
    <row r="117" spans="4:11" ht="18.5" x14ac:dyDescent="0.45">
      <c r="D117" s="168"/>
      <c r="E117" s="373" t="str">
        <f t="shared" ref="E117:E118" si="14">_xlfn.CONCAT("y(",$K$113,") = ")</f>
        <v xml:space="preserve">y(6.2 * 10⁰s) = </v>
      </c>
      <c r="F117" s="374" t="str">
        <f>_xlfn.CONCAT(I111, " * sin(2",Einheitenvorsätze!$C$53," * ",I112," * ",I113,")",H111)</f>
        <v>0.05 * sin(2π * 0.6 * 6.2)m</v>
      </c>
      <c r="G117" s="168"/>
      <c r="H117" s="168"/>
      <c r="I117" s="168"/>
    </row>
    <row r="118" spans="4:11" ht="23.5" x14ac:dyDescent="0.55000000000000004">
      <c r="D118" s="375"/>
      <c r="E118" s="376" t="str">
        <f t="shared" si="14"/>
        <v xml:space="preserve">y(6.2 * 10⁰s) = </v>
      </c>
      <c r="F118" s="377">
        <f>I111*SIN(MOD(2*PI()*I112*I113,2*PI()))</f>
        <v>-4.9114362536434426E-2</v>
      </c>
      <c r="G118" s="375" t="str">
        <f>H111</f>
        <v>m</v>
      </c>
      <c r="H118" s="375"/>
      <c r="I118" s="168"/>
      <c r="J118" s="66"/>
    </row>
    <row r="123" spans="4:11" ht="15" thickBot="1" x14ac:dyDescent="0.4"/>
    <row r="124" spans="4:11" x14ac:dyDescent="0.35">
      <c r="D124" s="261"/>
      <c r="E124" s="262" t="s">
        <v>828</v>
      </c>
      <c r="F124" s="382">
        <v>230</v>
      </c>
      <c r="G124" s="383" t="s">
        <v>320</v>
      </c>
    </row>
    <row r="125" spans="4:11" x14ac:dyDescent="0.35">
      <c r="D125" s="378"/>
      <c r="E125" s="8" t="s">
        <v>829</v>
      </c>
      <c r="F125" s="75">
        <v>50</v>
      </c>
      <c r="G125" s="384" t="s">
        <v>748</v>
      </c>
    </row>
    <row r="126" spans="4:11" x14ac:dyDescent="0.35">
      <c r="D126" s="378"/>
      <c r="E126" s="8" t="s">
        <v>830</v>
      </c>
      <c r="F126" s="212">
        <f>F124*SQRT(2)</f>
        <v>325.26911934581187</v>
      </c>
      <c r="G126" s="268" t="str">
        <f>G124</f>
        <v>V</v>
      </c>
    </row>
    <row r="127" spans="4:11" x14ac:dyDescent="0.35">
      <c r="D127" s="378"/>
      <c r="E127" s="8" t="s">
        <v>831</v>
      </c>
      <c r="F127" s="212">
        <f>F124</f>
        <v>230</v>
      </c>
      <c r="G127" s="268" t="str">
        <f>G124</f>
        <v>V</v>
      </c>
    </row>
    <row r="128" spans="4:11" x14ac:dyDescent="0.35">
      <c r="D128" s="378"/>
      <c r="E128" s="8" t="s">
        <v>832</v>
      </c>
      <c r="F128" s="212">
        <f>F125</f>
        <v>50</v>
      </c>
      <c r="G128" s="384" t="str">
        <f>G125</f>
        <v>Hz</v>
      </c>
    </row>
    <row r="129" spans="4:19" x14ac:dyDescent="0.35">
      <c r="D129" s="378"/>
      <c r="E129" s="8" t="s">
        <v>824</v>
      </c>
      <c r="F129" s="212">
        <f>1/F128</f>
        <v>0.02</v>
      </c>
      <c r="G129" s="384" t="s">
        <v>745</v>
      </c>
    </row>
    <row r="130" spans="4:19" x14ac:dyDescent="0.35">
      <c r="D130" s="378"/>
      <c r="E130" s="8" t="s">
        <v>825</v>
      </c>
      <c r="F130" s="212">
        <f>2*PI()*F125</f>
        <v>314.15926535897933</v>
      </c>
      <c r="G130" s="384" t="s">
        <v>833</v>
      </c>
    </row>
    <row r="131" spans="4:19" x14ac:dyDescent="0.35">
      <c r="D131" s="378"/>
      <c r="E131" s="8" t="s">
        <v>826</v>
      </c>
      <c r="F131" s="212">
        <f>I131*F129</f>
        <v>6000000</v>
      </c>
      <c r="G131" s="384" t="s">
        <v>716</v>
      </c>
      <c r="I131" s="438">
        <f>3*10^8</f>
        <v>300000000</v>
      </c>
      <c r="J131" s="439"/>
      <c r="K131" s="381" t="s">
        <v>834</v>
      </c>
      <c r="L131" s="5"/>
      <c r="M131" s="5"/>
      <c r="N131" s="5"/>
      <c r="O131" s="5"/>
      <c r="P131" s="5"/>
      <c r="Q131" s="5"/>
      <c r="R131" s="5"/>
      <c r="S131" s="5"/>
    </row>
    <row r="132" spans="4:19" ht="15" thickBot="1" x14ac:dyDescent="0.4">
      <c r="D132" s="379"/>
      <c r="E132" s="380" t="s">
        <v>827</v>
      </c>
      <c r="F132" s="385">
        <f>F126*SIN(2*PI()*F125*I132)</f>
        <v>-7.9700591799201791E-14</v>
      </c>
      <c r="G132" s="371" t="str">
        <f>G124</f>
        <v>V</v>
      </c>
      <c r="I132" s="438">
        <v>0.02</v>
      </c>
      <c r="J132" s="439"/>
      <c r="K132" s="381" t="s">
        <v>835</v>
      </c>
      <c r="L132" s="5"/>
      <c r="M132" s="5"/>
      <c r="N132" s="5"/>
      <c r="O132" s="5"/>
      <c r="P132" s="5"/>
      <c r="Q132" s="5"/>
      <c r="R132" s="5"/>
      <c r="S132" s="5"/>
    </row>
  </sheetData>
  <mergeCells count="4">
    <mergeCell ref="L92:O92"/>
    <mergeCell ref="P92:R92"/>
    <mergeCell ref="I131:J131"/>
    <mergeCell ref="I132:J132"/>
  </mergeCells>
  <dataValidations count="3">
    <dataValidation type="list" allowBlank="1" showInputMessage="1" showErrorMessage="1" sqref="F10 AZ10 F93:F96" xr:uid="{0301A70D-6277-4BB2-81B6-2BB5B814650B}">
      <formula1>$L$3:$L$4</formula1>
    </dataValidation>
    <dataValidation type="list" allowBlank="1" showInputMessage="1" showErrorMessage="1" sqref="AY10" xr:uid="{0C1E6814-736D-4D2F-9025-618FBD23A267}">
      <formula1>$G$10:$AU$10</formula1>
    </dataValidation>
    <dataValidation type="list" allowBlank="1" showInputMessage="1" showErrorMessage="1" sqref="D16:D17 AW12:AW13 AW16:AW17 P92:R92" xr:uid="{8FB8006F-A5AB-41B5-B544-F9B479F8D761}">
      <formula1>$K$3:$K$4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G111:G113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41" t="s">
        <v>216</v>
      </c>
      <c r="D12" s="441"/>
      <c r="E12" s="441"/>
      <c r="F12" s="441"/>
      <c r="G12" s="441"/>
      <c r="H12" s="56"/>
      <c r="I12" s="441" t="s">
        <v>217</v>
      </c>
      <c r="J12" s="441"/>
      <c r="K12" s="441" t="s">
        <v>212</v>
      </c>
      <c r="L12" s="441"/>
      <c r="M12" s="441" t="s">
        <v>218</v>
      </c>
      <c r="N12" s="441"/>
      <c r="O12" s="441"/>
      <c r="P12" s="440" t="s">
        <v>229</v>
      </c>
      <c r="Q12" s="440"/>
      <c r="R12" s="440"/>
      <c r="S12" s="440"/>
      <c r="T12" s="440" t="s">
        <v>261</v>
      </c>
      <c r="U12" s="440"/>
      <c r="V12" s="440"/>
      <c r="W12" s="440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>
      <selection activeCell="A67" sqref="A67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42" t="s">
        <v>417</v>
      </c>
      <c r="C13" s="439"/>
      <c r="D13" s="439"/>
      <c r="E13" s="439"/>
      <c r="F13" s="439"/>
      <c r="G13" s="439"/>
      <c r="H13" s="439"/>
      <c r="I13" s="439"/>
      <c r="L13" s="442" t="s">
        <v>418</v>
      </c>
      <c r="M13" s="443"/>
      <c r="N13" s="443"/>
      <c r="O13" s="443"/>
      <c r="Q13" s="442" t="s">
        <v>230</v>
      </c>
      <c r="R13" s="443"/>
      <c r="S13" s="443"/>
      <c r="T13" s="443"/>
      <c r="U13" s="443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46100.465861458331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46122</v>
      </c>
      <c r="E21" s="94">
        <f t="shared" ca="1" si="4"/>
        <v>25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Noch kein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47" t="s">
        <v>901</v>
      </c>
      <c r="D3" s="447" t="s">
        <v>667</v>
      </c>
      <c r="E3" s="418">
        <v>4</v>
      </c>
      <c r="F3" s="418" t="s">
        <v>882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47" t="s">
        <v>21</v>
      </c>
      <c r="D4" s="447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47" t="s">
        <v>22</v>
      </c>
      <c r="D5" s="447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47" t="s">
        <v>887</v>
      </c>
      <c r="D6" s="447"/>
      <c r="E6" s="418">
        <v>50</v>
      </c>
      <c r="F6" s="418" t="s">
        <v>862</v>
      </c>
      <c r="G6" s="77">
        <f>IF(F6=H6,E6,E6*1000)</f>
        <v>50</v>
      </c>
      <c r="H6" s="5" t="str">
        <f>O6</f>
        <v>[m]</v>
      </c>
      <c r="N6" t="s">
        <v>902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903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48" t="s">
        <v>899</v>
      </c>
      <c r="D11" s="444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898</v>
      </c>
    </row>
    <row r="12" spans="2:28" ht="22.5" customHeight="1" x14ac:dyDescent="0.65">
      <c r="C12" s="448" t="s">
        <v>900</v>
      </c>
      <c r="D12" s="444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897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45" t="s">
        <v>1</v>
      </c>
      <c r="D18" s="446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49" t="s">
        <v>19</v>
      </c>
      <c r="D19" s="449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44" t="s">
        <v>24</v>
      </c>
      <c r="D20" s="444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44" t="s">
        <v>888</v>
      </c>
      <c r="D21" s="444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3:D3"/>
    <mergeCell ref="C11:D11"/>
    <mergeCell ref="C12:D12"/>
    <mergeCell ref="C19:D19"/>
    <mergeCell ref="C20:D20"/>
    <mergeCell ref="C21:D21"/>
    <mergeCell ref="C18:D18"/>
    <mergeCell ref="C4:D4"/>
    <mergeCell ref="C5:D5"/>
    <mergeCell ref="C6:D6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55" zoomScaleNormal="5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58" t="str">
        <f>$O$8</f>
        <v>Anfangs-Geschwindigkeit</v>
      </c>
      <c r="D6" s="459"/>
      <c r="E6" s="462" t="str">
        <f>$O$9</f>
        <v>Geschwindigkeit</v>
      </c>
      <c r="F6" s="459"/>
      <c r="G6" s="462" t="str">
        <f>$O$10</f>
        <v>Strecke</v>
      </c>
      <c r="H6" s="459"/>
      <c r="I6" s="462" t="str">
        <f>$O$11</f>
        <v>Zeit</v>
      </c>
      <c r="J6" s="459"/>
      <c r="K6" s="462" t="str">
        <f>$O$12</f>
        <v>Beschleunigung</v>
      </c>
      <c r="L6" s="463"/>
    </row>
    <row r="7" spans="1:19" ht="15" thickBot="1" x14ac:dyDescent="0.4">
      <c r="B7" s="13" t="s">
        <v>37</v>
      </c>
      <c r="C7" s="460" t="str">
        <f>$P$8</f>
        <v>v0 [m/s]</v>
      </c>
      <c r="D7" s="461"/>
      <c r="E7" s="464" t="str">
        <f>$P$9</f>
        <v>v [m/s]</v>
      </c>
      <c r="F7" s="461"/>
      <c r="G7" s="464" t="str">
        <f>$P$10</f>
        <v>s [m]</v>
      </c>
      <c r="H7" s="461"/>
      <c r="I7" s="464" t="str">
        <f>$P$11</f>
        <v>t [s]</v>
      </c>
      <c r="J7" s="461"/>
      <c r="K7" s="464" t="str">
        <f>$P$12</f>
        <v>a [m/s2]</v>
      </c>
      <c r="L7" s="465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66">
        <v>119</v>
      </c>
      <c r="H8" s="471"/>
      <c r="I8" s="466">
        <v>7</v>
      </c>
      <c r="J8" s="471"/>
      <c r="K8" s="466">
        <v>2</v>
      </c>
      <c r="L8" s="467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68">
        <v>24</v>
      </c>
      <c r="F9" s="472"/>
      <c r="G9" s="16" t="s">
        <v>75</v>
      </c>
      <c r="H9" s="16">
        <f>E9*I9 - K9*I9^2/2</f>
        <v>119</v>
      </c>
      <c r="I9" s="468">
        <v>7</v>
      </c>
      <c r="J9" s="472"/>
      <c r="K9" s="468">
        <v>2</v>
      </c>
      <c r="L9" s="469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68">
        <v>24</v>
      </c>
      <c r="F10" s="472"/>
      <c r="G10" s="468">
        <v>119</v>
      </c>
      <c r="H10" s="472"/>
      <c r="I10" s="16" t="s">
        <v>76</v>
      </c>
      <c r="J10" s="16">
        <f>(E10 - SQRT(E10^2 - 2*K10*G10))/K10</f>
        <v>7</v>
      </c>
      <c r="K10" s="468">
        <v>2</v>
      </c>
      <c r="L10" s="469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68">
        <v>24</v>
      </c>
      <c r="F11" s="472"/>
      <c r="G11" s="468">
        <v>119</v>
      </c>
      <c r="H11" s="472"/>
      <c r="I11" s="468">
        <v>7</v>
      </c>
      <c r="J11" s="472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74">
        <v>10</v>
      </c>
      <c r="D12" s="472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68">
        <v>7</v>
      </c>
      <c r="J12" s="472"/>
      <c r="K12" s="468">
        <v>2</v>
      </c>
      <c r="L12" s="469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74">
        <v>10</v>
      </c>
      <c r="D13" s="472"/>
      <c r="E13" s="16" t="s">
        <v>80</v>
      </c>
      <c r="F13" s="16">
        <f>SQRT(C13^2 + 2*K13*G13)</f>
        <v>24</v>
      </c>
      <c r="G13" s="468">
        <v>119</v>
      </c>
      <c r="H13" s="472"/>
      <c r="I13" s="22" t="s">
        <v>55</v>
      </c>
      <c r="J13" s="16">
        <f xml:space="preserve"> (-C13 + SQRT(C13^2 + 2*K13*G13))/K13</f>
        <v>7</v>
      </c>
      <c r="K13" s="470">
        <v>2</v>
      </c>
      <c r="L13" s="469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74">
        <v>10</v>
      </c>
      <c r="D14" s="472"/>
      <c r="E14" s="16" t="s">
        <v>81</v>
      </c>
      <c r="F14" s="16">
        <f>2*G14/I14 - C14</f>
        <v>24</v>
      </c>
      <c r="G14" s="468">
        <v>119</v>
      </c>
      <c r="H14" s="472"/>
      <c r="I14" s="468">
        <v>7</v>
      </c>
      <c r="J14" s="473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74">
        <v>10</v>
      </c>
      <c r="D15" s="472"/>
      <c r="E15" s="468">
        <v>24</v>
      </c>
      <c r="F15" s="472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68">
        <v>2</v>
      </c>
      <c r="L15" s="469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74">
        <v>10</v>
      </c>
      <c r="D16" s="472"/>
      <c r="E16" s="468">
        <v>24</v>
      </c>
      <c r="F16" s="472"/>
      <c r="G16" s="16" t="s">
        <v>83</v>
      </c>
      <c r="H16" s="16">
        <f>(C16+E16)*I16/2</f>
        <v>119</v>
      </c>
      <c r="I16" s="468">
        <v>7</v>
      </c>
      <c r="J16" s="472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76">
        <v>10</v>
      </c>
      <c r="D17" s="475"/>
      <c r="E17" s="470">
        <v>24</v>
      </c>
      <c r="F17" s="475"/>
      <c r="G17" s="470">
        <v>119</v>
      </c>
      <c r="H17" s="475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54" t="str">
        <f>P13</f>
        <v>ω0 [rad/s]</v>
      </c>
      <c r="D18" s="455"/>
      <c r="E18" s="456" t="str">
        <f>P14</f>
        <v>ω [rad/s]</v>
      </c>
      <c r="F18" s="455"/>
      <c r="G18" s="456" t="str">
        <f>P15</f>
        <v>φ [rad]</v>
      </c>
      <c r="H18" s="455"/>
      <c r="I18" s="456" t="str">
        <f>P16</f>
        <v>t [s]</v>
      </c>
      <c r="J18" s="455"/>
      <c r="K18" s="456" t="str">
        <f>P17</f>
        <v>α [rad/s2]</v>
      </c>
      <c r="L18" s="457"/>
    </row>
    <row r="19" spans="1:16" ht="29.15" customHeight="1" thickBot="1" x14ac:dyDescent="0.4">
      <c r="C19" s="450" t="str">
        <f>O13</f>
        <v>Anfangs-Winkelgeschwindigkeit</v>
      </c>
      <c r="D19" s="451"/>
      <c r="E19" s="452" t="str">
        <f>O14</f>
        <v>Winkelgeschwindigkeit</v>
      </c>
      <c r="F19" s="451"/>
      <c r="G19" s="452" t="str">
        <f>O15</f>
        <v>Winkel</v>
      </c>
      <c r="H19" s="451"/>
      <c r="I19" s="452" t="str">
        <f>O16</f>
        <v>Zeit</v>
      </c>
      <c r="J19" s="451"/>
      <c r="K19" s="452" t="str">
        <f>O17</f>
        <v>Winkelbeschleunigung</v>
      </c>
      <c r="L19" s="453"/>
    </row>
  </sheetData>
  <mergeCells count="50">
    <mergeCell ref="G17:H17"/>
    <mergeCell ref="E16:F16"/>
    <mergeCell ref="E17:F17"/>
    <mergeCell ref="C17:D17"/>
    <mergeCell ref="I16:J16"/>
    <mergeCell ref="G8:H8"/>
    <mergeCell ref="G10:H10"/>
    <mergeCell ref="G11:H11"/>
    <mergeCell ref="G13:H13"/>
    <mergeCell ref="G14:H14"/>
    <mergeCell ref="C12:D12"/>
    <mergeCell ref="C13:D13"/>
    <mergeCell ref="C14:D14"/>
    <mergeCell ref="C15:D15"/>
    <mergeCell ref="C16:D16"/>
    <mergeCell ref="E9:F9"/>
    <mergeCell ref="E10:F10"/>
    <mergeCell ref="E11:F11"/>
    <mergeCell ref="E15:F15"/>
    <mergeCell ref="K15:L15"/>
    <mergeCell ref="I8:J8"/>
    <mergeCell ref="I9:J9"/>
    <mergeCell ref="I11:J11"/>
    <mergeCell ref="I12:J12"/>
    <mergeCell ref="I14:J14"/>
    <mergeCell ref="K8:L8"/>
    <mergeCell ref="K9:L9"/>
    <mergeCell ref="K10:L10"/>
    <mergeCell ref="K12:L12"/>
    <mergeCell ref="K13:L13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C18:D18"/>
    <mergeCell ref="E18:F18"/>
    <mergeCell ref="G18:H18"/>
    <mergeCell ref="I18:J18"/>
    <mergeCell ref="K18:L18"/>
    <mergeCell ref="C19:D19"/>
    <mergeCell ref="E19:F19"/>
    <mergeCell ref="G19:H19"/>
    <mergeCell ref="I19:J19"/>
    <mergeCell ref="K19:L19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44" t="s">
        <v>73</v>
      </c>
      <c r="V7" s="444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77"/>
      <c r="D11" s="477"/>
      <c r="E11" s="477"/>
      <c r="F11" s="477"/>
      <c r="G11" s="477"/>
      <c r="H11" s="477"/>
      <c r="I11" s="477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78" t="s">
        <v>441</v>
      </c>
      <c r="D12" s="478"/>
      <c r="E12" s="478"/>
      <c r="F12" s="478"/>
      <c r="G12" s="478"/>
      <c r="H12" s="478"/>
      <c r="I12" s="478"/>
      <c r="J12" s="32"/>
      <c r="K12" s="32"/>
      <c r="M12" s="42" t="s">
        <v>435</v>
      </c>
      <c r="N12" s="23">
        <v>50</v>
      </c>
      <c r="O12" s="479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80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81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44" t="s">
        <v>73</v>
      </c>
      <c r="S7" s="444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77"/>
      <c r="D11" s="477"/>
      <c r="E11" s="477"/>
      <c r="F11" s="477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78" t="s">
        <v>476</v>
      </c>
      <c r="D12" s="478"/>
      <c r="E12" s="478"/>
      <c r="F12" s="478"/>
      <c r="G12" s="32"/>
      <c r="H12" s="32"/>
      <c r="J12" s="42" t="s">
        <v>62</v>
      </c>
      <c r="K12" s="23">
        <v>60</v>
      </c>
      <c r="L12" s="479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81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42" t="s">
        <v>418</v>
      </c>
      <c r="N9" s="443"/>
      <c r="O9" s="443"/>
      <c r="P9" s="443"/>
      <c r="R9" s="442" t="s">
        <v>230</v>
      </c>
      <c r="S9" s="443"/>
      <c r="T9" s="443"/>
      <c r="U9" s="443"/>
      <c r="V9" s="443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27</vt:i4>
      </vt:variant>
    </vt:vector>
  </HeadingPairs>
  <TitlesOfParts>
    <vt:vector size="27" baseType="lpstr">
      <vt:lpstr>TOC</vt:lpstr>
      <vt:lpstr>Einheitenvorsätze</vt:lpstr>
      <vt:lpstr>Edizio_Bestellungen</vt:lpstr>
      <vt:lpstr>Elektronische Schaltzeichen</vt:lpstr>
      <vt:lpstr>LCR-Glieder</vt:lpstr>
      <vt:lpstr>Kondensator an Gleichspannung</vt:lpstr>
      <vt:lpstr>Quelle mit Innenwiderstand</vt:lpstr>
      <vt:lpstr>Leistung bei Wechselstrom</vt:lpstr>
      <vt:lpstr>Schiefeebene</vt:lpstr>
      <vt:lpstr>Schiefe-Ebene (alt)</vt:lpstr>
      <vt:lpstr>Sinus_Cosinus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2026-03-16T10:24:56Z</cp:lastPrinted>
  <dcterms:created xsi:type="dcterms:W3CDTF">2015-06-05T18:19:34Z</dcterms:created>
  <dcterms:modified xsi:type="dcterms:W3CDTF">2026-03-19T10:11:24Z</dcterms:modified>
</cp:coreProperties>
</file>