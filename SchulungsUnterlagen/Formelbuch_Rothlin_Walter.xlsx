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omments1.xml" ContentType="application/vnd.openxmlformats-officedocument.spreadsheetml.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2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3.xml" ContentType="application/vnd.openxmlformats-officedocument.drawing+xml"/>
  <Override PartName="/xl/comments3.xml" ContentType="application/vnd.openxmlformats-officedocument.spreadsheetml.comments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43B38167-A778-4F84-B3EC-C07657339BE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Kondensator an Gleichspannung" sheetId="36" r:id="rId5"/>
    <sheet name="Quelle mit Innenwiderstand" sheetId="29" r:id="rId6"/>
    <sheet name="Leistung bei Wechselstrom" sheetId="28" r:id="rId7"/>
    <sheet name="Schiefeebene" sheetId="19" r:id="rId8"/>
    <sheet name="Schiefe-Ebene (alt)" sheetId="20" r:id="rId9"/>
    <sheet name="Sinus_Cosinus" sheetId="22" r:id="rId10"/>
    <sheet name="Vektoroperationen" sheetId="18" r:id="rId11"/>
    <sheet name="VektorZeitbereich" sheetId="24" r:id="rId12"/>
    <sheet name="Geburtstagsliste" sheetId="17" r:id="rId13"/>
    <sheet name="Einheiten umrechnen" sheetId="16" r:id="rId14"/>
    <sheet name="Flächenberechnungen" sheetId="14" r:id="rId15"/>
    <sheet name="Kinematik_1" sheetId="4" r:id="rId16"/>
    <sheet name="Kinematik_1 (Weg-Zeit)" sheetId="33" r:id="rId17"/>
    <sheet name="Kinematik_2" sheetId="9" r:id="rId18"/>
    <sheet name="Kinematik_2_Berechnungen" sheetId="11" r:id="rId19"/>
    <sheet name="Kinematik_2 (Weg-Zeit)" sheetId="34" r:id="rId20"/>
    <sheet name="Fourierreihe" sheetId="12" r:id="rId21"/>
    <sheet name="Scheinleistung" sheetId="15" r:id="rId22"/>
    <sheet name="3-Phasenstrom" sheetId="25" r:id="rId23"/>
    <sheet name="Gemischte Schaltung" sheetId="23" r:id="rId24"/>
    <sheet name="Theoreme" sheetId="26" r:id="rId25"/>
    <sheet name="Fläche eines Polygones" sheetId="27" r:id="rId26"/>
  </sheets>
  <definedNames>
    <definedName name="_xlnm._FilterDatabase" localSheetId="12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8" i="36" l="1"/>
  <c r="P37" i="36"/>
  <c r="P38" i="36" s="1"/>
  <c r="D28" i="36"/>
  <c r="B30" i="36" s="1"/>
  <c r="N11" i="36"/>
  <c r="C12" i="36"/>
  <c r="I12" i="36" s="1"/>
  <c r="G12" i="36"/>
  <c r="Z7" i="35"/>
  <c r="J9" i="36"/>
  <c r="H8" i="36"/>
  <c r="G11" i="36"/>
  <c r="D11" i="36" s="1"/>
  <c r="G10" i="35"/>
  <c r="D15" i="35"/>
  <c r="C11" i="36"/>
  <c r="I11" i="36" s="1"/>
  <c r="K9" i="36"/>
  <c r="I9" i="36"/>
  <c r="H9" i="36"/>
  <c r="G9" i="36"/>
  <c r="C29" i="36" s="1"/>
  <c r="K6" i="36"/>
  <c r="J6" i="36"/>
  <c r="I6" i="36"/>
  <c r="H6" i="36"/>
  <c r="J39" i="36" s="1"/>
  <c r="I43" i="36" s="1"/>
  <c r="J43" i="36" s="1"/>
  <c r="G6" i="36"/>
  <c r="F7" i="36"/>
  <c r="K7" i="36" s="1"/>
  <c r="K8" i="36"/>
  <c r="L8" i="36" s="1"/>
  <c r="I18" i="36" s="1"/>
  <c r="J8" i="36"/>
  <c r="M8" i="36" s="1"/>
  <c r="I8" i="36"/>
  <c r="G8" i="36"/>
  <c r="I7" i="36"/>
  <c r="H7" i="36"/>
  <c r="G7" i="36"/>
  <c r="E10" i="13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C31" i="36" l="1"/>
  <c r="Q37" i="36"/>
  <c r="H11" i="36"/>
  <c r="O14" i="36" s="1"/>
  <c r="O15" i="36" s="1"/>
  <c r="O16" i="36" s="1"/>
  <c r="J11" i="36"/>
  <c r="C28" i="36"/>
  <c r="D30" i="36" s="1"/>
  <c r="D29" i="36" s="1"/>
  <c r="D31" i="36" s="1"/>
  <c r="K11" i="36"/>
  <c r="L11" i="36" s="1"/>
  <c r="K17" i="36" s="1"/>
  <c r="D12" i="35"/>
  <c r="L6" i="36"/>
  <c r="I19" i="36" s="1"/>
  <c r="M6" i="36"/>
  <c r="M9" i="36"/>
  <c r="L9" i="36"/>
  <c r="I20" i="36" s="1"/>
  <c r="L7" i="36"/>
  <c r="I17" i="36" s="1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D12" i="36" l="1"/>
  <c r="H12" i="36" s="1"/>
  <c r="L18" i="36" s="1"/>
  <c r="I38" i="36"/>
  <c r="J38" i="36" s="1"/>
  <c r="J42" i="36" s="1"/>
  <c r="R37" i="36"/>
  <c r="Q38" i="36"/>
  <c r="E30" i="36"/>
  <c r="E29" i="36" s="1"/>
  <c r="E31" i="36" s="1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K12" i="36" l="1"/>
  <c r="L12" i="36" s="1"/>
  <c r="K18" i="36" s="1"/>
  <c r="J12" i="36"/>
  <c r="M12" i="36" s="1"/>
  <c r="S37" i="36"/>
  <c r="R38" i="36"/>
  <c r="F30" i="36"/>
  <c r="F29" i="36" s="1"/>
  <c r="F31" i="36" s="1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T37" i="36" l="1"/>
  <c r="S38" i="36"/>
  <c r="J20" i="35"/>
  <c r="M20" i="35" s="1"/>
  <c r="K20" i="35"/>
  <c r="L20" i="35" s="1"/>
  <c r="Z27" i="35" s="1"/>
  <c r="G30" i="36"/>
  <c r="G29" i="36" s="1"/>
  <c r="G31" i="36" s="1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U37" i="36" l="1"/>
  <c r="T38" i="36"/>
  <c r="I16" i="22"/>
  <c r="H30" i="36"/>
  <c r="H29" i="36" s="1"/>
  <c r="H31" i="36" s="1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V37" i="36" l="1"/>
  <c r="U38" i="36"/>
  <c r="I30" i="36"/>
  <c r="I29" i="36" s="1"/>
  <c r="I31" i="36" s="1"/>
  <c r="J20" i="9"/>
  <c r="J21" i="9"/>
  <c r="K19" i="9"/>
  <c r="P11" i="34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W37" i="36" l="1"/>
  <c r="V38" i="36"/>
  <c r="J30" i="36"/>
  <c r="J29" i="36" s="1"/>
  <c r="J31" i="36" s="1"/>
  <c r="K20" i="9"/>
  <c r="K21" i="9"/>
  <c r="L19" i="9"/>
  <c r="P18" i="34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W38" i="36" l="1"/>
  <c r="X37" i="36"/>
  <c r="K30" i="36"/>
  <c r="K29" i="36" s="1"/>
  <c r="K31" i="36" s="1"/>
  <c r="L20" i="9"/>
  <c r="L21" i="9"/>
  <c r="M19" i="9"/>
  <c r="Q18" i="34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Y37" i="36" l="1"/>
  <c r="Y38" i="36" s="1"/>
  <c r="X38" i="36"/>
  <c r="L30" i="36"/>
  <c r="L29" i="36" s="1"/>
  <c r="L31" i="36" s="1"/>
  <c r="M20" i="9"/>
  <c r="M21" i="9"/>
  <c r="N19" i="9"/>
  <c r="S11" i="34"/>
  <c r="R18" i="34"/>
  <c r="P14" i="33"/>
  <c r="Q11" i="33"/>
  <c r="P12" i="33"/>
  <c r="M17" i="22"/>
  <c r="T17" i="4"/>
  <c r="S18" i="4"/>
  <c r="N12" i="22"/>
  <c r="N13" i="22"/>
  <c r="M16" i="22"/>
  <c r="N61" i="22"/>
  <c r="N62" i="22"/>
  <c r="O11" i="22"/>
  <c r="P10" i="22"/>
  <c r="N17" i="22" l="1"/>
  <c r="M30" i="36"/>
  <c r="M29" i="36" s="1"/>
  <c r="M31" i="36" s="1"/>
  <c r="N20" i="9"/>
  <c r="N21" i="9"/>
  <c r="O19" i="9"/>
  <c r="S18" i="34"/>
  <c r="T11" i="34"/>
  <c r="R11" i="33"/>
  <c r="Q12" i="33"/>
  <c r="Q14" i="33"/>
  <c r="U17" i="4"/>
  <c r="T18" i="4"/>
  <c r="O12" i="22"/>
  <c r="O13" i="22"/>
  <c r="N16" i="22"/>
  <c r="O61" i="22"/>
  <c r="O62" i="22"/>
  <c r="P11" i="22"/>
  <c r="Q10" i="22"/>
  <c r="O17" i="22" l="1"/>
  <c r="N30" i="36"/>
  <c r="N29" i="36" s="1"/>
  <c r="N31" i="36" s="1"/>
  <c r="O20" i="9"/>
  <c r="O21" i="9"/>
  <c r="P19" i="9"/>
  <c r="U11" i="34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O30" i="36" l="1"/>
  <c r="O29" i="36" s="1"/>
  <c r="O31" i="36" s="1"/>
  <c r="P20" i="9"/>
  <c r="P21" i="9"/>
  <c r="Q19" i="9"/>
  <c r="U18" i="34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P30" i="36" l="1"/>
  <c r="P29" i="36" s="1"/>
  <c r="P31" i="36" s="1"/>
  <c r="Q20" i="9"/>
  <c r="Q21" i="9"/>
  <c r="R19" i="9"/>
  <c r="V18" i="34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Q30" i="36" l="1"/>
  <c r="Q29" i="36" s="1"/>
  <c r="Q31" i="36" s="1"/>
  <c r="R21" i="9"/>
  <c r="R20" i="9"/>
  <c r="S19" i="9"/>
  <c r="X11" i="34"/>
  <c r="W18" i="34"/>
  <c r="U12" i="33"/>
  <c r="U14" i="33"/>
  <c r="V11" i="33"/>
  <c r="R17" i="22"/>
  <c r="X18" i="4"/>
  <c r="Y17" i="4"/>
  <c r="S12" i="22"/>
  <c r="S13" i="22"/>
  <c r="R16" i="22"/>
  <c r="S61" i="22"/>
  <c r="S62" i="22"/>
  <c r="U10" i="22"/>
  <c r="T11" i="22"/>
  <c r="S17" i="22" l="1"/>
  <c r="R30" i="36"/>
  <c r="R29" i="36" s="1"/>
  <c r="R31" i="36" s="1"/>
  <c r="S20" i="9"/>
  <c r="S21" i="9"/>
  <c r="T19" i="9"/>
  <c r="X18" i="34"/>
  <c r="Y11" i="34"/>
  <c r="V14" i="33"/>
  <c r="W11" i="33"/>
  <c r="V12" i="33"/>
  <c r="Y18" i="4"/>
  <c r="Z17" i="4"/>
  <c r="T12" i="22"/>
  <c r="T13" i="22"/>
  <c r="S16" i="22"/>
  <c r="T61" i="22"/>
  <c r="T62" i="22"/>
  <c r="U11" i="22"/>
  <c r="V10" i="22"/>
  <c r="T17" i="22" l="1"/>
  <c r="S30" i="36"/>
  <c r="S29" i="36" s="1"/>
  <c r="S31" i="36" s="1"/>
  <c r="T20" i="9"/>
  <c r="T21" i="9"/>
  <c r="U19" i="9"/>
  <c r="Z11" i="34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T30" i="36" l="1"/>
  <c r="T29" i="36" s="1"/>
  <c r="T31" i="36" s="1"/>
  <c r="U20" i="9"/>
  <c r="U21" i="9"/>
  <c r="V19" i="9"/>
  <c r="AA11" i="34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U30" i="36" l="1"/>
  <c r="U29" i="36" s="1"/>
  <c r="U31" i="36" s="1"/>
  <c r="V21" i="9"/>
  <c r="V20" i="9"/>
  <c r="W19" i="9"/>
  <c r="AA18" i="34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V30" i="36" l="1"/>
  <c r="V29" i="36" s="1"/>
  <c r="V31" i="36" s="1"/>
  <c r="W20" i="9"/>
  <c r="W21" i="9"/>
  <c r="X19" i="9"/>
  <c r="Z14" i="33"/>
  <c r="Z12" i="33"/>
  <c r="W17" i="22"/>
  <c r="AD17" i="4"/>
  <c r="AC18" i="4"/>
  <c r="X12" i="22"/>
  <c r="X13" i="22"/>
  <c r="W16" i="22"/>
  <c r="X61" i="22"/>
  <c r="X62" i="22"/>
  <c r="Z10" i="22"/>
  <c r="Y11" i="22"/>
  <c r="X17" i="22" l="1"/>
  <c r="W30" i="36"/>
  <c r="W29" i="36" s="1"/>
  <c r="W31" i="36" s="1"/>
  <c r="X20" i="9"/>
  <c r="X21" i="9"/>
  <c r="Y19" i="9"/>
  <c r="AE17" i="4"/>
  <c r="AD18" i="4"/>
  <c r="Y12" i="22"/>
  <c r="Y13" i="22"/>
  <c r="X16" i="22"/>
  <c r="Y61" i="22"/>
  <c r="Y62" i="22"/>
  <c r="Z11" i="22"/>
  <c r="AA10" i="22"/>
  <c r="Y20" i="9" l="1"/>
  <c r="Y21" i="9"/>
  <c r="Z19" i="9"/>
  <c r="Y17" i="22"/>
  <c r="AF17" i="4"/>
  <c r="AE18" i="4"/>
  <c r="Z12" i="22"/>
  <c r="Z13" i="22"/>
  <c r="Y16" i="22"/>
  <c r="Z61" i="22"/>
  <c r="Z62" i="22"/>
  <c r="AA11" i="22"/>
  <c r="AB10" i="22"/>
  <c r="Z17" i="22" l="1"/>
  <c r="Z21" i="9"/>
  <c r="Z20" i="9"/>
  <c r="AA19" i="9"/>
  <c r="AF18" i="4"/>
  <c r="AG17" i="4"/>
  <c r="Z16" i="22"/>
  <c r="AA13" i="22"/>
  <c r="AA12" i="22"/>
  <c r="AA61" i="22"/>
  <c r="AA62" i="22"/>
  <c r="AB11" i="22"/>
  <c r="AC10" i="22"/>
  <c r="AA21" i="9" l="1"/>
  <c r="AA20" i="9"/>
  <c r="AA16" i="22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B16" i="22"/>
  <c r="AC61" i="22"/>
  <c r="AC62" i="22"/>
  <c r="AE10" i="22"/>
  <c r="AD11" i="22"/>
  <c r="AC17" i="22" l="1"/>
  <c r="AJ17" i="4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61" i="22"/>
  <c r="AG62" i="22"/>
  <c r="AH11" i="22"/>
  <c r="AI10" i="22"/>
  <c r="AG17" i="22" l="1"/>
  <c r="AN17" i="4"/>
  <c r="AM18" i="4"/>
  <c r="AH12" i="22"/>
  <c r="AH13" i="22"/>
  <c r="AG16" i="22"/>
  <c r="AH61" i="22"/>
  <c r="AH62" i="22"/>
  <c r="AI11" i="22"/>
  <c r="AJ10" i="22"/>
  <c r="AH17" i="22" l="1"/>
  <c r="AN18" i="4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61" i="22"/>
  <c r="AJ62" i="22"/>
  <c r="AK11" i="22"/>
  <c r="AL10" i="22"/>
  <c r="AJ17" i="22" l="1"/>
  <c r="AK12" i="22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Q16" i="22"/>
  <c r="AR61" i="22"/>
  <c r="AR62" i="22"/>
  <c r="AT10" i="22"/>
  <c r="AS11" i="22"/>
  <c r="AR17" i="22" l="1"/>
  <c r="AR16" i="22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<sst xmlns="http://schemas.openxmlformats.org/spreadsheetml/2006/main" count="1430" uniqueCount="916">
  <si>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</si>
  <si>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</si>
  <si>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</si>
  <si>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</si>
  <si>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</si>
  <si>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</si>
  <si>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</si>
  <si>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</si>
  <si>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</si>
  <si>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</si>
  <si>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</si>
  <si>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</si>
  <si>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</si>
  <si>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</si>
  <si>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</si>
  <si>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</si>
  <si>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</si>
  <si>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</si>
  <si>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</si>
  <si>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</si>
  <si>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</si>
  <si>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</si>
  <si>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</si>
  <si>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</si>
  <si>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</si>
  <si>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</si>
  <si>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</si>
  <si>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</si>
  <si>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</si>
  <si>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</si>
  <si>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</si>
  <si>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</si>
  <si>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</si>
  <si>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</si>
  <si>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</si>
  <si>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</si>
  <si>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</si>
  <si>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</si>
  <si>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</si>
  <si>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</si>
  <si>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</si>
  <si>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</si>
  <si>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</si>
  <si>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</si>
  <si>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</si>
  <si>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</si>
  <si>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</si>
  <si>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</si>
  <si>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</si>
  <si>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</si>
  <si>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</si>
  <si>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</si>
  <si>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</si>
  <si>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</si>
  <si>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</si>
  <si>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</si>
  <si>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</si>
  <si>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</si>
  <si>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</si>
  <si>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</si>
  <si>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</si>
  <si>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</si>
  <si>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</si>
  <si>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</si>
  <si>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</si>
  <si>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</si>
  <si>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</si>
  <si>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</si>
  <si>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</si>
  <si>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</si>
  <si>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</si>
  <si>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</si>
  <si>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</si>
  <si>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</si>
  <si>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</si>
  <si>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</si>
  <si>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</si>
  <si>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</si>
  <si>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</si>
  <si>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</si>
  <si>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</si>
  <si>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</si>
  <si>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</si>
  <si>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</si>
  <si>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</si>
  <si>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</si>
  <si>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</si>
  <si>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</si>
  <si>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</si>
  <si>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</si>
  <si>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</si>
  <si>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</si>
  <si>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</si>
  <si>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</si>
  <si>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</si>
  <si>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</si>
  <si>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</si>
  <si>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</si>
  <si>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</si>
  <si>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</si>
  <si>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</si>
  <si>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</si>
  <si>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</si>
  <si>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</si>
  <si>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</si>
  <si>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</si>
  <si>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</si>
  <si>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</si>
  <si>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</si>
  <si>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</si>
  <si>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</si>
  <si>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</si>
  <si>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</si>
  <si>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</si>
  <si>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</si>
  <si>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</si>
  <si>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</si>
  <si>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</si>
  <si>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</si>
  <si>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</si>
  <si>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</si>
  <si>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</si>
  <si>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</si>
  <si>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</si>
  <si>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</si>
  <si>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</si>
  <si>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</si>
  <si>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</si>
  <si>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</si>
  <si>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</si>
  <si>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</si>
  <si>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</si>
  <si>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</si>
  <si>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</si>
  <si>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</si>
  <si>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</si>
  <si>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</si>
  <si>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</si>
  <si>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</si>
  <si>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</si>
  <si>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</si>
  <si>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</si>
  <si>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</si>
  <si>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</si>
  <si>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</si>
  <si>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</si>
  <si>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</si>
  <si>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</si>
  <si>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</si>
  <si>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</si>
  <si>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</si>
  <si>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</si>
  <si>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</si>
  <si>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</si>
  <si>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</si>
  <si>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</si>
  <si>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</si>
  <si>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</si>
  <si>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</si>
  <si>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</si>
  <si>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</si>
  <si>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</si>
  <si>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</si>
  <si>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</si>
  <si>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</si>
  <si>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</si>
  <si>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</si>
  <si>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</si>
  <si>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</si>
  <si>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</si>
  <si>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</si>
  <si>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</si>
  <si>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</si>
  <si>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</si>
  <si>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</si>
  <si>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</si>
  <si>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</si>
  <si>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</si>
  <si>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</si>
  <si>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</si>
  <si>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</si>
  <si>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</si>
  <si>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</si>
  <si>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</si>
  <si>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</si>
  <si>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</si>
  <si>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</si>
  <si>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</si>
  <si>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</si>
  <si>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</si>
  <si>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</si>
  <si>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</si>
  <si>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</si>
  <si>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</si>
  <si>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</si>
  <si>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</si>
  <si>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</si>
  <si>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</si>
  <si>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</si>
  <si>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</si>
  <si>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</si>
  <si>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</si>
  <si>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</si>
  <si>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</si>
  <si>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</si>
  <si>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</si>
  <si>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</si>
  <si>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</si>
  <si>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</si>
  <si>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</si>
  <si>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</si>
  <si>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</si>
  <si>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</si>
  <si>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</si>
  <si>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</si>
  <si>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</si>
  <si>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</si>
  <si>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</si>
  <si>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</si>
  <si>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</si>
  <si>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</si>
  <si>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</si>
  <si>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</si>
  <si>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</si>
  <si>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</si>
  <si>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</si>
  <si>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</si>
  <si>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</si>
  <si>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</si>
  <si>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</si>
  <si>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</si>
  <si>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</si>
  <si>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</si>
  <si>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</si>
  <si>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</si>
  <si>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</si>
  <si>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</si>
  <si>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</si>
  <si>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</si>
  <si>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</si>
  <si>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</si>
  <si>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</si>
  <si>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</si>
  <si>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</si>
  <si>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</si>
  <si>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</si>
  <si>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</si>
  <si>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</si>
  <si>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</si>
  <si>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</si>
  <si>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</si>
  <si>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</si>
  <si>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</si>
  <si>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</si>
  <si>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</si>
  <si>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</si>
  <si>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</si>
  <si>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</si>
  <si>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</si>
  <si>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</si>
  <si>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</si>
  <si>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</si>
  <si>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</si>
  <si>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</si>
  <si>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</si>
  <si>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</si>
  <si>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</si>
  <si>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</si>
  <si>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</si>
  <si>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</si>
  <si>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</si>
  <si>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</si>
  <si>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</si>
  <si>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</si>
  <si>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</si>
  <si>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</si>
  <si>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</si>
  <si>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</si>
  <si>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</si>
  <si>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</si>
  <si>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</si>
  <si>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</si>
  <si>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</si>
  <si>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</si>
  <si>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</si>
  <si>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</si>
  <si>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</si>
  <si>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</si>
  <si>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</si>
  <si>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</si>
  <si>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</si>
  <si>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</si>
  <si>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</si>
  <si>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</si>
  <si>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</si>
  <si>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</si>
  <si>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</si>
  <si>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</si>
  <si>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</si>
  <si>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</si>
  <si>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</si>
  <si>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</si>
  <si>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</si>
  <si>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</si>
  <si>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</si>
  <si>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</si>
  <si>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</si>
  <si>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</si>
  <si>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</si>
  <si>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</si>
  <si>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</si>
  <si>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</si>
  <si>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</si>
  <si>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</si>
  <si>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</si>
  <si>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</si>
  <si>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</si>
  <si>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</si>
  <si>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</si>
  <si>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</si>
  <si>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</si>
  <si>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</si>
  <si>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</si>
  <si>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</si>
  <si>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</si>
  <si>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</si>
  <si>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</si>
  <si>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</si>
  <si>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</si>
  <si>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</si>
  <si>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</si>
  <si>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</si>
  <si>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</si>
  <si>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</si>
  <si>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</si>
  <si>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</si>
  <si>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</si>
  <si>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</si>
  <si>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</si>
  <si>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</si>
  <si>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</si>
  <si>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</si>
  <si>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</si>
  <si>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</si>
  <si>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</si>
  <si>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</si>
  <si>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</si>
  <si>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</si>
  <si>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</si>
  <si>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</si>
  <si>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</si>
  <si>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</si>
  <si>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</si>
  <si>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</si>
  <si>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</si>
  <si>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</si>
  <si>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</si>
  <si>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</si>
  <si>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</si>
  <si>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</si>
  <si>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</si>
  <si>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</si>
  <si>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</si>
  <si>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</si>
  <si>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</si>
  <si>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</si>
  <si>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</si>
  <si>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</si>
  <si>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</si>
  <si>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</si>
  <si>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</si>
  <si>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</si>
  <si>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</si>
  <si>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</si>
  <si>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</si>
  <si>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</si>
  <si>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</si>
  <si>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</si>
  <si>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</si>
  <si>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</si>
  <si>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</si>
  <si>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</si>
  <si>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</si>
  <si>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</si>
  <si>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</si>
  <si>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</si>
  <si>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</si>
  <si>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</si>
  <si>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</si>
  <si>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</si>
  <si>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</si>
  <si>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</si>
  <si>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</si>
  <si>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</si>
  <si>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</si>
  <si>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</si>
  <si>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</si>
  <si>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</si>
  <si>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</si>
  <si>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</si>
  <si>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</si>
  <si>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</si>
  <si>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</si>
  <si>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</si>
  <si>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</si>
  <si>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</si>
  <si>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</si>
  <si>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</si>
  <si>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</si>
  <si>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</si>
  <si>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</si>
  <si>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</si>
  <si>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</si>
  <si>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</si>
  <si>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</si>
  <si>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</si>
  <si>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</si>
  <si>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</si>
  <si>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</si>
  <si>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</si>
  <si>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</si>
  <si>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</si>
  <si>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</si>
  <si>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</si>
  <si>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</si>
  <si>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</si>
  <si>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</si>
  <si>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</si>
  <si>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</si>
  <si>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</si>
  <si>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</si>
  <si>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</si>
  <si>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</si>
  <si>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</si>
  <si>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</si>
  <si>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</si>
  <si>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</si>
  <si>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</si>
  <si>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</si>
  <si>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</si>
  <si>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</si>
  <si>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</si>
  <si>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</si>
  <si>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</si>
  <si>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</si>
  <si>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</si>
  <si>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</si>
  <si>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</si>
  <si>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</si>
  <si>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</si>
  <si>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</si>
  <si>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</si>
  <si>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</si>
  <si>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</si>
  <si>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</si>
  <si>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</si>
  <si>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</si>
  <si>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</si>
  <si>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</si>
  <si>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</si>
  <si>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</si>
  <si>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</si>
  <si>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</si>
  <si>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</si>
  <si>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</si>
  <si>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</si>
  <si>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</si>
  <si>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</si>
  <si>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</si>
  <si>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</si>
  <si>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</si>
  <si>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</si>
  <si>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</si>
  <si>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</si>
  <si>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</si>
  <si>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</si>
  <si>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</si>
  <si>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</si>
  <si>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</si>
  <si>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</si>
  <si>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</si>
  <si>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</si>
  <si>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</si>
  <si>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</si>
  <si>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</si>
  <si>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</si>
  <si>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</si>
  <si>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</si>
  <si>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</si>
  <si>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</si>
  <si>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</si>
  <si>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</si>
  <si>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</si>
  <si>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</si>
  <si>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</si>
  <si>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</si>
  <si>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</si>
  <si>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</si>
  <si>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</si>
  <si>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</si>
  <si>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</si>
  <si>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</si>
  <si>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</si>
  <si>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</si>
  <si>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</si>
  <si>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</si>
  <si>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</si>
  <si>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</si>
  <si>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</si>
  <si>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</si>
  <si>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</si>
  <si>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</si>
  <si>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</si>
  <si>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</si>
  <si>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</si>
  <si>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</si>
  <si>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</si>
  <si>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</si>
  <si>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</si>
  <si>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</si>
  <si>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</si>
  <si>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</si>
  <si>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</si>
  <si>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</si>
  <si>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</si>
  <si>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</si>
  <si>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</si>
  <si>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</si>
  <si>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</si>
  <si>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</si>
  <si>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</si>
  <si>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</si>
  <si>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</si>
  <si>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</si>
  <si>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</si>
  <si>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</si>
  <si>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</si>
  <si>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</si>
  <si>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</si>
  <si>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</si>
  <si>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</si>
  <si>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</si>
  <si>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</si>
  <si>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</si>
  <si>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</si>
  <si>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</si>
  <si>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</si>
  <si>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</si>
  <si>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</si>
  <si>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</si>
  <si>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</si>
  <si>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</si>
  <si>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</si>
  <si>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</si>
  <si>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</si>
  <si>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</si>
  <si>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</si>
  <si>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</si>
  <si>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</si>
  <si>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</si>
  <si>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</si>
  <si>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</si>
  <si>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</si>
  <si>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</si>
  <si>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</si>
  <si>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</si>
  <si>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</si>
  <si>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</si>
  <si>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</si>
  <si>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</si>
  <si>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</si>
  <si>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</si>
  <si>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</si>
  <si>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</si>
  <si>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</si>
  <si>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</si>
  <si>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</si>
  <si>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</si>
  <si>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</si>
  <si>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</si>
  <si>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</si>
  <si>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</si>
  <si>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</si>
  <si>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</si>
  <si>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</si>
  <si>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</si>
  <si>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</si>
  <si>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</si>
  <si>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</si>
  <si>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</si>
  <si>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</si>
  <si>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</si>
  <si>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</si>
  <si>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</si>
  <si>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</si>
  <si>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</si>
  <si>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</si>
  <si>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</si>
  <si>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</si>
  <si>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</si>
  <si>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</si>
  <si>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</si>
  <si>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</si>
  <si>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</si>
  <si>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</si>
  <si>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</si>
  <si>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</si>
  <si>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</si>
  <si>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</si>
  <si>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</si>
  <si>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</si>
  <si>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</si>
  <si>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</si>
  <si>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</si>
  <si>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</si>
  <si>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</si>
  <si>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</si>
  <si>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</si>
  <si>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</si>
  <si>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</si>
  <si>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</si>
  <si>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</si>
  <si>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</si>
  <si>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</si>
  <si>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</si>
  <si>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</si>
  <si>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</si>
  <si>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</si>
  <si>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</si>
  <si>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</si>
  <si>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</si>
  <si>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</si>
  <si>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</si>
  <si>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</si>
  <si>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</si>
  <si>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</si>
  <si>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</si>
  <si>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</si>
  <si>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</si>
  <si>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</si>
  <si>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</si>
  <si>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</si>
  <si>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</si>
  <si>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</si>
  <si>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</si>
  <si>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</si>
  <si>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</si>
  <si>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</si>
  <si>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</si>
  <si>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</si>
  <si>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</si>
  <si>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</si>
  <si>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</si>
  <si>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</si>
  <si>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</si>
  <si>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</si>
  <si>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</si>
  <si>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</si>
  <si>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</si>
  <si>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</si>
  <si>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</si>
  <si>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</si>
  <si>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</si>
  <si>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</si>
  <si>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</si>
  <si>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</si>
  <si>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</si>
  <si>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</si>
  <si>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</si>
  <si>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</si>
  <si>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</si>
  <si>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</si>
  <si>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</si>
  <si>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</si>
  <si>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</si>
  <si>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</si>
  <si>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</si>
  <si>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</si>
  <si>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</si>
  <si>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</si>
  <si>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</si>
  <si>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</si>
  <si>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</si>
  <si>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</si>
  <si>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</si>
  <si>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</si>
  <si>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</si>
  <si>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</si>
  <si>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</si>
  <si>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</si>
  <si>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</si>
  <si>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</si>
  <si>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</si>
  <si>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</si>
  <si>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</si>
  <si>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</si>
  <si>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</si>
  <si>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</si>
  <si>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</si>
  <si>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</si>
  <si>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</si>
  <si>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</si>
  <si>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</si>
  <si>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</si>
  <si>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</si>
  <si>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</si>
  <si>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</si>
  <si>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</si>
  <si>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</si>
  <si>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</si>
  <si>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</si>
  <si>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</si>
  <si>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</si>
  <si>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</si>
  <si>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</si>
  <si>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</si>
  <si>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</si>
  <si>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</si>
  <si>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</si>
  <si>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</si>
  <si>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</si>
  <si>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</si>
  <si>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</si>
  <si>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</si>
  <si>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</si>
  <si>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</si>
  <si>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</si>
  <si>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</si>
  <si>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</si>
  <si>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</si>
  <si>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</si>
  <si>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</si>
  <si>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</si>
  <si>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</si>
  <si>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</si>
  <si>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</si>
  <si>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</si>
  <si>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</si>
  <si>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</si>
  <si>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</si>
  <si>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</si>
  <si>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</si>
  <si>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</si>
  <si>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</si>
  <si>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</si>
  <si>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</si>
  <si>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</si>
  <si>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</si>
  <si>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</si>
  <si>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</si>
  <si>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</si>
  <si>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</si>
  <si>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</si>
  <si>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</si>
  <si>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</si>
  <si>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</si>
  <si>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</si>
  <si>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</si>
  <si>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</si>
  <si>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</si>
  <si>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</si>
  <si>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</si>
  <si>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</si>
  <si>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</si>
  <si>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</si>
  <si>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</si>
  <si>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</si>
  <si>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</si>
  <si>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</si>
  <si>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</si>
  <si>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</si>
  <si>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</si>
  <si>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</si>
  <si>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</si>
  <si>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</si>
  <si>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</si>
  <si>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</si>
  <si>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</si>
  <si>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</si>
  <si>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</si>
  <si>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</si>
  <si>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</si>
  <si>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</si>
  <si>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</si>
  <si>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</si>
  <si>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</si>
  <si>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</si>
  <si>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</si>
  <si>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</si>
  <si>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</si>
  <si>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</si>
  <si>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</si>
  <si>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</si>
  <si>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</si>
  <si>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</si>
  <si>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</si>
  <si>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</si>
  <si>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</si>
  <si>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</si>
  <si>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</si>
  <si>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</si>
  <si>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</si>
  <si>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</si>
  <si>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</si>
  <si>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</si>
  <si>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</si>
  <si>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</si>
  <si>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</si>
  <si>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</si>
  <si>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</si>
  <si>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</si>
  <si>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</si>
  <si>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</si>
  <si>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</si>
  <si>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</si>
  <si>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</si>
  <si>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</si>
  <si>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</si>
  <si>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</si>
  <si>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</si>
  <si>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</si>
  <si>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</si>
  <si>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</si>
  <si>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</si>
  <si>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</si>
  <si>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</si>
  <si>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</si>
  <si>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</si>
  <si>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</si>
  <si>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</si>
  <si>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</si>
  <si>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</si>
  <si>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</si>
  <si>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</si>
  <si>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</si>
  <si>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</si>
  <si>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</si>
  <si>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</si>
  <si>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</si>
  <si>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</si>
  <si>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</si>
  <si>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</si>
  <si>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</si>
  <si>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</si>
  <si>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</si>
  <si>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</si>
  <si>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</si>
  <si>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</si>
  <si>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</si>
  <si>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</si>
  <si>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</si>
  <si>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</si>
  <si>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</si>
  <si>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</si>
  <si>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</si>
  <si>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</si>
  <si>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</si>
  <si>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</si>
  <si>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</si>
  <si>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</si>
  <si>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</si>
  <si>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</si>
  <si>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</si>
  <si>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</si>
  <si>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</si>
  <si>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</si>
  <si>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</si>
  <si>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</si>
  <si>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</si>
  <si>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</si>
  <si>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</si>
  <si>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</si>
  <si>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</si>
  <si>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</si>
  <si>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</si>
  <si>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</si>
  <si>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</si>
  <si>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</si>
  <si>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</si>
  <si>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</si>
  <si>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</si>
  <si>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</si>
  <si>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</si>
  <si>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</si>
  <si>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</si>
  <si>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</si>
  <si>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</si>
  <si>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</si>
  <si>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</si>
  <si>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</si>
  <si>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</si>
  <si>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</si>
  <si>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</si>
  <si>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</si>
  <si>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</si>
  <si>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</si>
  <si>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</si>
  <si>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</si>
  <si>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</si>
  <si>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</si>
  <si>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</si>
  <si>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</si>
  <si>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</si>
  <si>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</si>
  <si>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</si>
  <si>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</si>
  <si>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</si>
  <si>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</si>
  <si>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</si>
  <si>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</si>
  <si>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r>
      <t>y = 1 - e</t>
    </r>
    <r>
      <rPr>
        <b/>
        <vertAlign val="superscript"/>
        <sz val="14"/>
        <color theme="1"/>
        <rFont val="Calibri"/>
        <family val="2"/>
        <scheme val="minor"/>
      </rPr>
      <t>-x</t>
    </r>
  </si>
  <si>
    <t xml:space="preserve">y = </t>
  </si>
  <si>
    <t xml:space="preserve">x = </t>
  </si>
  <si>
    <t xml:space="preserve">(-t/RC) = </t>
  </si>
  <si>
    <t xml:space="preserve">e^(-t/RC) = </t>
  </si>
  <si>
    <t xml:space="preserve">1 - e^(-t/RC)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</si>
</sst>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</numFmts>
  <fonts count="1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vertAlign val="superscript"/>
      <sz val="14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71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75" fontId="0" fillId="0" borderId="2" xfId="0" applyNumberFormat="1" applyBorder="1"/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7" xfId="0" applyNumberFormat="1" applyBorder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Gleichspannung'!$B$31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Gleichspannung'!$C$30:$W$30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Gleichspannung'!$C$31:$W$31</c:f>
              <c:numCache>
                <c:formatCode>#,##0.00</c:formatCode>
                <c:ptCount val="21"/>
                <c:pt idx="0">
                  <c:v>0</c:v>
                </c:pt>
                <c:pt idx="1">
                  <c:v>19.939617161421999</c:v>
                </c:pt>
                <c:pt idx="2">
                  <c:v>36.264794936079674</c:v>
                </c:pt>
                <c:pt idx="3">
                  <c:v>49.630720029657098</c:v>
                </c:pt>
                <c:pt idx="4">
                  <c:v>60.573813947105627</c:v>
                </c:pt>
                <c:pt idx="5">
                  <c:v>69.533261471141344</c:v>
                </c:pt>
                <c:pt idx="6">
                  <c:v>76.868636689657762</c:v>
                </c:pt>
                <c:pt idx="7">
                  <c:v>82.874333966423293</c:v>
                </c:pt>
                <c:pt idx="8">
                  <c:v>87.791383020587915</c:v>
                </c:pt>
                <c:pt idx="9">
                  <c:v>91.817122295625481</c:v>
                </c:pt>
                <c:pt idx="10">
                  <c:v>95.1131188439726</c:v>
                </c:pt>
                <c:pt idx="11">
                  <c:v>97.811652580143274</c:v>
                </c:pt>
                <c:pt idx="12">
                  <c:v>100.02102513816463</c:v>
                </c:pt>
                <c:pt idx="13">
                  <c:v>101.82990639642327</c:v>
                </c:pt>
                <c:pt idx="14">
                  <c:v>103.31089311122602</c:v>
                </c:pt>
                <c:pt idx="15">
                  <c:v>104.52342247953497</c:v>
                </c:pt>
                <c:pt idx="16">
                  <c:v>105.51615756237972</c:v>
                </c:pt>
                <c:pt idx="17">
                  <c:v>106.32894030436412</c:v>
                </c:pt>
                <c:pt idx="18">
                  <c:v>106.99439053079782</c:v>
                </c:pt>
                <c:pt idx="19">
                  <c:v>107.53921509582177</c:v>
                </c:pt>
                <c:pt idx="20">
                  <c:v>107.98527972223924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Gleichspannung'!$I$37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Gleichspannung'!$I$38:$J$38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Gleichspannung'!$I$39:$J$39</c:f>
              <c:numCache>
                <c:formatCode>General</c:formatCode>
                <c:ptCount val="2"/>
                <c:pt idx="0">
                  <c:v>0</c:v>
                </c:pt>
                <c:pt idx="1">
                  <c:v>69.533261471141344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Gleichspannung'!$I$41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Gleichspannung'!$I$42:$J$42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Gleichspannung'!$I$43:$J$43</c:f>
              <c:numCache>
                <c:formatCode>General</c:formatCode>
                <c:ptCount val="2"/>
                <c:pt idx="0">
                  <c:v>69.533261471141344</c:v>
                </c:pt>
                <c:pt idx="1">
                  <c:v>69.533261471141344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6187798519307547"/>
          <c:h val="6.00004199475065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Gleichspannung'!$O$35</c:f>
              <c:strCache>
                <c:ptCount val="1"/>
                <c:pt idx="0">
                  <c:v>y = 1 - e-x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Gleichspannung'!$O$37:$Y$37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Gleichspannung'!$O$38:$Y$38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 + 180)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1.22514845490862E-16</c:v>
                </c:pt>
                <c:pt idx="1">
                  <c:v>-0.17364817766693003</c:v>
                </c:pt>
                <c:pt idx="2">
                  <c:v>-0.34202014332566866</c:v>
                </c:pt>
                <c:pt idx="3">
                  <c:v>-0.49999999999999972</c:v>
                </c:pt>
                <c:pt idx="4">
                  <c:v>-0.64278760968653925</c:v>
                </c:pt>
                <c:pt idx="5">
                  <c:v>-0.7660444431189779</c:v>
                </c:pt>
                <c:pt idx="6">
                  <c:v>-0.86602540378443837</c:v>
                </c:pt>
                <c:pt idx="7">
                  <c:v>-0.93969262078590843</c:v>
                </c:pt>
                <c:pt idx="8">
                  <c:v>-0.98480775301220802</c:v>
                </c:pt>
                <c:pt idx="9">
                  <c:v>-1</c:v>
                </c:pt>
                <c:pt idx="10">
                  <c:v>-0.98480775301220813</c:v>
                </c:pt>
                <c:pt idx="11">
                  <c:v>-0.93969262078590854</c:v>
                </c:pt>
                <c:pt idx="12">
                  <c:v>-0.86602540378443904</c:v>
                </c:pt>
                <c:pt idx="13">
                  <c:v>-0.76604444311897812</c:v>
                </c:pt>
                <c:pt idx="14">
                  <c:v>-0.64278760968653958</c:v>
                </c:pt>
                <c:pt idx="15">
                  <c:v>-0.49999999999999967</c:v>
                </c:pt>
                <c:pt idx="16">
                  <c:v>-0.3420201433256686</c:v>
                </c:pt>
                <c:pt idx="17">
                  <c:v>-0.17364817766693039</c:v>
                </c:pt>
                <c:pt idx="18">
                  <c:v>-2.45029690981724E-16</c:v>
                </c:pt>
                <c:pt idx="19">
                  <c:v>0.17364817766692991</c:v>
                </c:pt>
                <c:pt idx="20">
                  <c:v>0.3420201433256681</c:v>
                </c:pt>
                <c:pt idx="21">
                  <c:v>0.5</c:v>
                </c:pt>
                <c:pt idx="22">
                  <c:v>0.64278760968653914</c:v>
                </c:pt>
                <c:pt idx="23">
                  <c:v>0.76604444311897779</c:v>
                </c:pt>
                <c:pt idx="24">
                  <c:v>0.86602540378443837</c:v>
                </c:pt>
                <c:pt idx="25">
                  <c:v>0.93969262078590809</c:v>
                </c:pt>
                <c:pt idx="26">
                  <c:v>0.98480775301220802</c:v>
                </c:pt>
                <c:pt idx="27">
                  <c:v>1</c:v>
                </c:pt>
                <c:pt idx="28">
                  <c:v>0.98480775301220813</c:v>
                </c:pt>
                <c:pt idx="29">
                  <c:v>0.93969262078590865</c:v>
                </c:pt>
                <c:pt idx="30">
                  <c:v>0.86602540378443826</c:v>
                </c:pt>
                <c:pt idx="31">
                  <c:v>0.76604444311897757</c:v>
                </c:pt>
                <c:pt idx="32">
                  <c:v>0.64278760968653903</c:v>
                </c:pt>
                <c:pt idx="33">
                  <c:v>0.49999999999999978</c:v>
                </c:pt>
                <c:pt idx="34">
                  <c:v>0.34202014332566871</c:v>
                </c:pt>
                <c:pt idx="35">
                  <c:v>0.1736481776669305</c:v>
                </c:pt>
                <c:pt idx="36">
                  <c:v>3.67544536472586E-16</c:v>
                </c:pt>
                <c:pt idx="37">
                  <c:v>-0.17364817766692978</c:v>
                </c:pt>
                <c:pt idx="38">
                  <c:v>-0.34202014332566799</c:v>
                </c:pt>
                <c:pt idx="39">
                  <c:v>-0.49999999999999917</c:v>
                </c:pt>
                <c:pt idx="40">
                  <c:v>-0.64278760968653836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-0.98480775301220791</c:v>
                </c:pt>
                <c:pt idx="1">
                  <c:v>1.2855752193730787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-0.3420201433256681</c:v>
                </c:pt>
                <c:pt idx="2">
                  <c:v>-0.64278760968653925</c:v>
                </c:pt>
                <c:pt idx="3">
                  <c:v>-0.86602540378443826</c:v>
                </c:pt>
                <c:pt idx="4">
                  <c:v>-0.98480775301220791</c:v>
                </c:pt>
                <c:pt idx="5">
                  <c:v>-0.98480775301220791</c:v>
                </c:pt>
                <c:pt idx="6">
                  <c:v>-0.8660254037844386</c:v>
                </c:pt>
                <c:pt idx="7">
                  <c:v>-0.64278760968653947</c:v>
                </c:pt>
                <c:pt idx="8">
                  <c:v>-0.34202014332566882</c:v>
                </c:pt>
                <c:pt idx="9">
                  <c:v>-1.22514845490862E-16</c:v>
                </c:pt>
                <c:pt idx="10">
                  <c:v>0.34202014332566866</c:v>
                </c:pt>
                <c:pt idx="11">
                  <c:v>0.64278760968653936</c:v>
                </c:pt>
                <c:pt idx="12">
                  <c:v>0.86602540378443871</c:v>
                </c:pt>
                <c:pt idx="13">
                  <c:v>0.98480775301220824</c:v>
                </c:pt>
                <c:pt idx="14">
                  <c:v>0.98480775301220824</c:v>
                </c:pt>
                <c:pt idx="15">
                  <c:v>0.86602540378443815</c:v>
                </c:pt>
                <c:pt idx="16">
                  <c:v>0.64278760968653903</c:v>
                </c:pt>
                <c:pt idx="17">
                  <c:v>0.34202014332566877</c:v>
                </c:pt>
                <c:pt idx="18">
                  <c:v>4.90059381963448E-16</c:v>
                </c:pt>
                <c:pt idx="19">
                  <c:v>-0.34202014332566788</c:v>
                </c:pt>
                <c:pt idx="20">
                  <c:v>-0.64278760968653814</c:v>
                </c:pt>
                <c:pt idx="21">
                  <c:v>-0.8660254037844386</c:v>
                </c:pt>
                <c:pt idx="22">
                  <c:v>-0.9848077530122078</c:v>
                </c:pt>
                <c:pt idx="23">
                  <c:v>-0.98480775301220802</c:v>
                </c:pt>
                <c:pt idx="24">
                  <c:v>-0.86602540378443915</c:v>
                </c:pt>
                <c:pt idx="25">
                  <c:v>-0.64278760968654036</c:v>
                </c:pt>
                <c:pt idx="26">
                  <c:v>-0.34202014332566866</c:v>
                </c:pt>
                <c:pt idx="27">
                  <c:v>-3.67544536472586E-16</c:v>
                </c:pt>
                <c:pt idx="28">
                  <c:v>0.34202014332566799</c:v>
                </c:pt>
                <c:pt idx="29">
                  <c:v>0.64278760968653847</c:v>
                </c:pt>
                <c:pt idx="30">
                  <c:v>0.86602540378443849</c:v>
                </c:pt>
                <c:pt idx="31">
                  <c:v>0.98480775301220735</c:v>
                </c:pt>
                <c:pt idx="32">
                  <c:v>0.98480775301220724</c:v>
                </c:pt>
                <c:pt idx="33">
                  <c:v>0.86602540378443804</c:v>
                </c:pt>
                <c:pt idx="34">
                  <c:v>0.64278760968653936</c:v>
                </c:pt>
                <c:pt idx="35">
                  <c:v>0.34202014332566899</c:v>
                </c:pt>
                <c:pt idx="36">
                  <c:v>7.3508907294517201E-16</c:v>
                </c:pt>
                <c:pt idx="37">
                  <c:v>-0.3420201433256676</c:v>
                </c:pt>
                <c:pt idx="38">
                  <c:v>-0.64278760968653792</c:v>
                </c:pt>
                <c:pt idx="39">
                  <c:v>-0.8660254037844376</c:v>
                </c:pt>
                <c:pt idx="40">
                  <c:v>-0.98480775301220669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-0.64278760968653947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-0.7660444431189779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-0.64278760968653947</c:v>
                </c:pt>
                <c:pt idx="1">
                  <c:v>0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hyperlink" Target="#TOC!A1"/><Relationship Id="rId4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0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6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7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hyperlink" Target="#TOC!A1"/><Relationship Id="rId5" Type="http://schemas.openxmlformats.org/officeDocument/2006/relationships/chart" Target="../charts/chart30.xml"/><Relationship Id="rId4" Type="http://schemas.openxmlformats.org/officeDocument/2006/relationships/image" Target="../media/image1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5855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704849</xdr:colOff>
      <xdr:row>1</xdr:row>
      <xdr:rowOff>3174</xdr:rowOff>
    </xdr:from>
    <xdr:to>
      <xdr:col>1</xdr:col>
      <xdr:colOff>546099</xdr:colOff>
      <xdr:row>2</xdr:row>
      <xdr:rowOff>157405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04849" y="187324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1816847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13</xdr:row>
      <xdr:rowOff>6350</xdr:rowOff>
    </xdr:from>
    <xdr:to>
      <xdr:col>6</xdr:col>
      <xdr:colOff>346364</xdr:colOff>
      <xdr:row>22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054101" y="2863850"/>
          <a:ext cx="4207163" cy="1930263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16</xdr:row>
      <xdr:rowOff>85341</xdr:rowOff>
    </xdr:from>
    <xdr:to>
      <xdr:col>6</xdr:col>
      <xdr:colOff>287671</xdr:colOff>
      <xdr:row>18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19</xdr:row>
      <xdr:rowOff>97320</xdr:rowOff>
    </xdr:from>
    <xdr:to>
      <xdr:col>6</xdr:col>
      <xdr:colOff>278324</xdr:colOff>
      <xdr:row>21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18</xdr:row>
      <xdr:rowOff>167447</xdr:rowOff>
    </xdr:from>
    <xdr:to>
      <xdr:col>6</xdr:col>
      <xdr:colOff>575641</xdr:colOff>
      <xdr:row>18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19</xdr:row>
      <xdr:rowOff>85863</xdr:rowOff>
    </xdr:from>
    <xdr:to>
      <xdr:col>6</xdr:col>
      <xdr:colOff>578816</xdr:colOff>
      <xdr:row>19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31749</xdr:colOff>
      <xdr:row>33</xdr:row>
      <xdr:rowOff>66675</xdr:rowOff>
    </xdr:from>
    <xdr:to>
      <xdr:col>11</xdr:col>
      <xdr:colOff>742950</xdr:colOff>
      <xdr:row>53</xdr:row>
      <xdr:rowOff>15875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1327150</xdr:colOff>
      <xdr:row>39</xdr:row>
      <xdr:rowOff>6350</xdr:rowOff>
    </xdr:from>
    <xdr:to>
      <xdr:col>24</xdr:col>
      <xdr:colOff>749300</xdr:colOff>
      <xdr:row>58</xdr:row>
      <xdr:rowOff>38100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2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workbookViewId="0"/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Einheitenvorsätze!C2</f>
        <v>Einheiten-Vorsätze</v>
      </c>
      <c r="F5" s="70">
        <v>45758</v>
      </c>
      <c r="G5" s="71" t="str">
        <f ca="1">Geburtstagsliste!C2</f>
        <v>Geburtstagsliste für 2026</v>
      </c>
    </row>
    <row r="6" spans="2:7" x14ac:dyDescent="0.35">
      <c r="B6" s="70">
        <v>45730</v>
      </c>
      <c r="C6" s="71" t="str">
        <f>Flächenberechnungen!C2</f>
        <v>Flächenberechnungen</v>
      </c>
      <c r="D6" s="70">
        <v>45944</v>
      </c>
      <c r="E6" s="71" t="str">
        <f>'Elektronische Schaltzeichen'!C2</f>
        <v>Elektronische Schaltzeichen</v>
      </c>
    </row>
    <row r="7" spans="2:7" x14ac:dyDescent="0.35">
      <c r="B7" s="70">
        <v>46002</v>
      </c>
      <c r="C7" s="71" t="str">
        <f>Sinus_Cosinus!E2</f>
        <v>Sinus / Cosinus / Tangens</v>
      </c>
      <c r="D7" s="70">
        <v>45932</v>
      </c>
      <c r="E7" s="71" t="str">
        <f>'Quelle mit Innenwiderstand'!C2</f>
        <v>Quelle mit Innenwiderstand</v>
      </c>
    </row>
    <row r="8" spans="2:7" x14ac:dyDescent="0.35">
      <c r="B8" s="70">
        <v>45772</v>
      </c>
      <c r="C8" s="71" t="s">
        <v>331</v>
      </c>
      <c r="D8" s="70">
        <v>45799</v>
      </c>
      <c r="E8" s="71" t="str">
        <f>'Gemischte Schaltung'!C2</f>
        <v>Gemischte Schaltungen</v>
      </c>
    </row>
    <row r="9" spans="2:7" x14ac:dyDescent="0.35">
      <c r="B9" s="70">
        <v>45870</v>
      </c>
      <c r="C9" s="71" t="str">
        <f>VektorZeitbereich!C2</f>
        <v>Sinusförmige Signale im Zeitbereich / Vektoren</v>
      </c>
      <c r="D9" s="70">
        <v>45998</v>
      </c>
      <c r="E9" s="71" t="str">
        <f>'LCR-Glieder'!C2</f>
        <v>RCL-Glieder (Serieschaltung) an Wechselspannung</v>
      </c>
    </row>
    <row r="10" spans="2:7" x14ac:dyDescent="0.35">
      <c r="B10" s="70">
        <v>45873</v>
      </c>
      <c r="C10" s="71" t="str">
        <f>Theoreme!$C$2</f>
        <v>Trigonometrischen Theoreme und Identitäten</v>
      </c>
      <c r="D10" s="70">
        <v>46035</v>
      </c>
      <c r="E10" s="71" t="str">
        <f>'Kondensator an Gleichspannung'!C2</f>
        <v>Kondensator an Gleichspannung</v>
      </c>
    </row>
    <row r="11" spans="2:7" x14ac:dyDescent="0.35">
      <c r="B11" s="70">
        <v>45873</v>
      </c>
      <c r="C11" s="71" t="str">
        <f>'Fläche eines Polygones'!C2</f>
        <v>Polygone-Fläche</v>
      </c>
    </row>
    <row r="12" spans="2:7" x14ac:dyDescent="0.35">
      <c r="B12" s="90"/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Scheinleistung!C2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Wechselstrom'!C2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'3-Phasenstrom'!C2</f>
        <v>3-Phasenstrom (Verkettete Spannung)</v>
      </c>
    </row>
    <row r="18" spans="2:5" x14ac:dyDescent="0.35">
      <c r="B18" s="70">
        <v>45979</v>
      </c>
      <c r="C18" s="71" t="str">
        <f>Kinematik_1!C2</f>
        <v>Kinematik I</v>
      </c>
      <c r="D18" s="70">
        <v>45870</v>
      </c>
      <c r="E18" s="71" t="str">
        <f>Fourierreihe!C2</f>
        <v>Fourierreihe</v>
      </c>
    </row>
    <row r="19" spans="2:5" x14ac:dyDescent="0.35">
      <c r="B19" s="70">
        <v>45998</v>
      </c>
      <c r="C19" s="71" t="str">
        <f>'Kinematik_1 (Weg-Zeit)'!C2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(Weg-Zeit)'!C2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2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C1"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X55" sqref="X55:X56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B2:Y43"/>
  <sheetViews>
    <sheetView showGridLines="0" zoomScaleNormal="100" workbookViewId="0">
      <selection activeCell="H12" sqref="H12"/>
    </sheetView>
  </sheetViews>
  <sheetFormatPr baseColWidth="10" defaultRowHeight="14.5" x14ac:dyDescent="0.35"/>
  <cols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3" max="13" width="19.36328125" customWidth="1"/>
    <col min="14" max="14" width="16.26953125" customWidth="1"/>
  </cols>
  <sheetData>
    <row r="2" spans="2:18" ht="23.5" x14ac:dyDescent="0.55000000000000004">
      <c r="C2" s="9" t="s">
        <v>905</v>
      </c>
      <c r="R2" t="s">
        <v>64</v>
      </c>
    </row>
    <row r="3" spans="2:18" ht="23.5" x14ac:dyDescent="0.55000000000000004">
      <c r="C3" s="9"/>
      <c r="R3" t="s">
        <v>65</v>
      </c>
    </row>
    <row r="4" spans="2:18" ht="16.5" customHeight="1" x14ac:dyDescent="0.55000000000000004">
      <c r="C4" s="9"/>
      <c r="H4" s="8" t="s">
        <v>879</v>
      </c>
      <c r="I4" s="4" t="s">
        <v>64</v>
      </c>
    </row>
    <row r="5" spans="2:18" ht="16.5" customHeight="1" x14ac:dyDescent="0.55000000000000004">
      <c r="C5" s="9"/>
    </row>
    <row r="6" spans="2:18" ht="16.5" customHeight="1" x14ac:dyDescent="0.45">
      <c r="C6" s="8" t="s">
        <v>906</v>
      </c>
      <c r="D6" s="4">
        <v>110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110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110V</v>
      </c>
      <c r="K6" s="77" t="str">
        <f>IF(E6=Einheitenvorsätze!$A$19,_xlfn.CONCAT(D6,F6),_xlfn.CONCAT(D6,E6,F6))</f>
        <v>110V</v>
      </c>
      <c r="L6" s="77" t="str">
        <f>_xlfn.CONCAT(I6,K6)</f>
        <v>U0 = 110V</v>
      </c>
      <c r="M6" s="77" t="str">
        <f>_xlfn.CONCAT(I6,J6)</f>
        <v>U0 = 110V</v>
      </c>
    </row>
    <row r="7" spans="2:18" ht="16.5" customHeight="1" x14ac:dyDescent="0.35">
      <c r="C7" s="8" t="s">
        <v>865</v>
      </c>
      <c r="D7" s="4">
        <v>1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10⁶Ω</v>
      </c>
      <c r="K7" s="77" t="str">
        <f>IF(E7=Einheitenvorsätze!$A$19,_xlfn.CONCAT(D7,F7),_xlfn.CONCAT(D7,E7,F7))</f>
        <v>1MeΩ</v>
      </c>
      <c r="L7" s="77" t="str">
        <f>_xlfn.CONCAT(I7,K7)</f>
        <v>R = 1MeΩ</v>
      </c>
      <c r="M7" s="77" t="str">
        <f>_xlfn.CONCAT(I7,J7)</f>
        <v>R = 1 * 10⁶Ω</v>
      </c>
    </row>
    <row r="8" spans="2:18" ht="16.5" customHeight="1" x14ac:dyDescent="0.35">
      <c r="C8" s="8" t="s">
        <v>866</v>
      </c>
      <c r="D8" s="4">
        <v>10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9.9999999999999991E-6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10 * 10⁻⁶F</v>
      </c>
      <c r="K8" s="77" t="str">
        <f>IF(E8=Einheitenvorsätze!$A$19,_xlfn.CONCAT(D8,F8),_xlfn.CONCAT(D8,E8,F8))</f>
        <v>10µF</v>
      </c>
      <c r="L8" s="77" t="str">
        <f t="shared" ref="L8" si="1">_xlfn.CONCAT(I8,K8)</f>
        <v>C = 10µF</v>
      </c>
      <c r="M8" s="77" t="str">
        <f t="shared" ref="M8" si="2">_xlfn.CONCAT(I8,J8)</f>
        <v>C = 10 * 10⁻⁶F</v>
      </c>
    </row>
    <row r="9" spans="2:18" x14ac:dyDescent="0.35">
      <c r="C9" s="8" t="s">
        <v>440</v>
      </c>
      <c r="D9" s="4">
        <v>50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50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50s</v>
      </c>
      <c r="K9" s="77" t="str">
        <f>IF(E9=Einheitenvorsätze!$A$19,_xlfn.CONCAT(D9,F9),_xlfn.CONCAT(D9,E9,F9))</f>
        <v>50s</v>
      </c>
      <c r="L9" s="77" t="str">
        <f>_xlfn.CONCAT(I9,K9)</f>
        <v>t = 50s</v>
      </c>
      <c r="M9" s="77" t="str">
        <f>_xlfn.CONCAT(I9,J9)</f>
        <v>t = 50s</v>
      </c>
    </row>
    <row r="11" spans="2:18" ht="18.5" x14ac:dyDescent="0.45">
      <c r="C11" s="8" t="str">
        <f>_xlfn.CONCAT(Einheitenvorsätze!C56," = ")</f>
        <v xml:space="preserve">τ = </v>
      </c>
      <c r="D11" s="77">
        <f>ROUND(D7*D8 / 10^(G7+G8-G11),4)</f>
        <v>10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10</v>
      </c>
      <c r="I11" s="401" t="str">
        <f t="shared" ref="I11" si="3">C11</f>
        <v xml:space="preserve">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10s</v>
      </c>
      <c r="K11" s="77" t="str">
        <f>IF(E11=Einheitenvorsätze!$A$19,_xlfn.CONCAT(D11,F11),_xlfn.CONCAT(D11,E11,F11))</f>
        <v>10s</v>
      </c>
      <c r="L11" s="77" t="str">
        <f t="shared" ref="L11" si="4">_xlfn.CONCAT(I11,K11)</f>
        <v>τ = 10s</v>
      </c>
      <c r="M11" s="77" t="str">
        <f t="shared" ref="M11" si="5">_xlfn.CONCAT(I11,J11)</f>
        <v>τ = 10s</v>
      </c>
      <c r="N11" s="339" t="str">
        <f>_xlfn.CONCAT(C11," R*C")</f>
        <v>τ =  R*C</v>
      </c>
    </row>
    <row r="12" spans="2:18" ht="18.5" x14ac:dyDescent="0.45">
      <c r="C12" s="8" t="str">
        <f>_xlfn.CONCAT(" UC = ")</f>
        <v xml:space="preserve"> UC = </v>
      </c>
      <c r="D12" s="77">
        <f>ROUND(H6*(1-EXP(-H9/H11))/10^G12,4)</f>
        <v>109.25879999999999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109.25879999999999</v>
      </c>
      <c r="I12" s="401" t="str">
        <f t="shared" ref="I12" si="6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109.2588V</v>
      </c>
      <c r="K12" s="77" t="str">
        <f>IF(E12=Einheitenvorsätze!$A$19,_xlfn.CONCAT(D12,F12),_xlfn.CONCAT(D12,E12,F12))</f>
        <v>109.2588V</v>
      </c>
      <c r="L12" s="77" t="str">
        <f t="shared" ref="L12" si="7">_xlfn.CONCAT(I12,K12)</f>
        <v xml:space="preserve"> UC = 109.2588V</v>
      </c>
      <c r="M12" s="77" t="str">
        <f t="shared" ref="M12" si="8">_xlfn.CONCAT(I12,J12)</f>
        <v xml:space="preserve"> UC = 109.2588V</v>
      </c>
      <c r="N12" s="339" t="s">
        <v>907</v>
      </c>
    </row>
    <row r="13" spans="2:18" ht="15" thickBot="1" x14ac:dyDescent="0.4">
      <c r="C13" s="1"/>
      <c r="I13" s="1"/>
    </row>
    <row r="14" spans="2:18" x14ac:dyDescent="0.35">
      <c r="B14" s="404"/>
      <c r="C14" s="405"/>
      <c r="D14" s="405"/>
      <c r="E14" s="405"/>
      <c r="F14" s="405"/>
      <c r="G14" s="405"/>
      <c r="H14" s="405"/>
      <c r="I14" s="405"/>
      <c r="J14" s="405"/>
      <c r="K14" s="405"/>
      <c r="L14" s="406"/>
      <c r="N14" t="s">
        <v>913</v>
      </c>
      <c r="O14">
        <f>-H9/H11</f>
        <v>-5</v>
      </c>
    </row>
    <row r="15" spans="2:18" x14ac:dyDescent="0.35">
      <c r="B15" s="407"/>
      <c r="L15" s="408"/>
      <c r="N15" t="s">
        <v>914</v>
      </c>
      <c r="O15">
        <f>EXP(O14)</f>
        <v>6.737946999085467E-3</v>
      </c>
    </row>
    <row r="16" spans="2:18" x14ac:dyDescent="0.35">
      <c r="B16" s="407"/>
      <c r="I16" s="5" t="s">
        <v>881</v>
      </c>
      <c r="K16" s="5" t="s">
        <v>880</v>
      </c>
      <c r="L16" s="408"/>
      <c r="N16" t="s">
        <v>915</v>
      </c>
      <c r="O16">
        <f>1-O15</f>
        <v>0.99326205300091452</v>
      </c>
    </row>
    <row r="17" spans="2:23" ht="18.5" x14ac:dyDescent="0.45">
      <c r="B17" s="407"/>
      <c r="I17" s="402" t="str">
        <f>$L$7</f>
        <v>R = 1MeΩ</v>
      </c>
      <c r="K17" s="403" t="str">
        <f>IF($I$4=$R$2,$L$11,_xlfn.CONCAT($C$11,"?"))</f>
        <v>τ = 10s</v>
      </c>
      <c r="L17" s="408"/>
    </row>
    <row r="18" spans="2:23" ht="18.5" x14ac:dyDescent="0.45">
      <c r="B18" s="407"/>
      <c r="I18" s="402" t="str">
        <f>$L$8</f>
        <v>C = 10µF</v>
      </c>
      <c r="K18" s="403" t="str">
        <f>IF($I$4=$R$2,$L$12,_xlfn.CONCAT($C$11,"?"))</f>
        <v xml:space="preserve"> UC = 109.2588V</v>
      </c>
      <c r="L18" s="470">
        <f>H12/H6</f>
        <v>0.99326181818181813</v>
      </c>
    </row>
    <row r="19" spans="2:23" ht="18.5" x14ac:dyDescent="0.45">
      <c r="B19" s="407"/>
      <c r="I19" s="402" t="str">
        <f>$L$6</f>
        <v>U0 = 110V</v>
      </c>
      <c r="K19" s="419"/>
      <c r="L19" s="408"/>
    </row>
    <row r="20" spans="2:23" ht="18.5" x14ac:dyDescent="0.45">
      <c r="B20" s="407"/>
      <c r="I20" s="402" t="str">
        <f>$L$9</f>
        <v>t = 50s</v>
      </c>
      <c r="K20" s="419"/>
      <c r="L20" s="408"/>
    </row>
    <row r="21" spans="2:23" x14ac:dyDescent="0.35">
      <c r="B21" s="407"/>
      <c r="L21" s="408"/>
    </row>
    <row r="22" spans="2:23" x14ac:dyDescent="0.35">
      <c r="B22" s="407"/>
      <c r="L22" s="408"/>
    </row>
    <row r="23" spans="2:23" ht="15" thickBot="1" x14ac:dyDescent="0.4">
      <c r="B23" s="410"/>
      <c r="C23" s="411"/>
      <c r="D23" s="411"/>
      <c r="E23" s="411"/>
      <c r="F23" s="411"/>
      <c r="G23" s="411"/>
      <c r="H23" s="411"/>
      <c r="I23" s="411"/>
      <c r="J23" s="411"/>
      <c r="K23" s="411"/>
      <c r="L23" s="412"/>
    </row>
    <row r="28" spans="2:23" x14ac:dyDescent="0.35">
      <c r="B28" s="8" t="s">
        <v>1</v>
      </c>
      <c r="C28" s="77">
        <f>D11/5</f>
        <v>2</v>
      </c>
      <c r="D28" s="77" t="str">
        <f>_xlfn.CONCAT(E9,F9)</f>
        <v>–s</v>
      </c>
    </row>
    <row r="29" spans="2:23" x14ac:dyDescent="0.35">
      <c r="B29" s="8" t="s">
        <v>19</v>
      </c>
      <c r="C29" s="77">
        <f>C30*10^$G$9</f>
        <v>0</v>
      </c>
      <c r="D29" s="77">
        <f t="shared" ref="D29:W29" si="9">D30*10^$G$9</f>
        <v>2</v>
      </c>
      <c r="E29" s="77">
        <f t="shared" si="9"/>
        <v>4</v>
      </c>
      <c r="F29" s="77">
        <f t="shared" si="9"/>
        <v>6</v>
      </c>
      <c r="G29" s="77">
        <f t="shared" si="9"/>
        <v>8</v>
      </c>
      <c r="H29" s="77">
        <f t="shared" si="9"/>
        <v>10</v>
      </c>
      <c r="I29" s="77">
        <f t="shared" si="9"/>
        <v>12</v>
      </c>
      <c r="J29" s="77">
        <f t="shared" si="9"/>
        <v>14</v>
      </c>
      <c r="K29" s="77">
        <f t="shared" si="9"/>
        <v>16</v>
      </c>
      <c r="L29" s="77">
        <f t="shared" si="9"/>
        <v>18</v>
      </c>
      <c r="M29" s="77">
        <f t="shared" si="9"/>
        <v>20</v>
      </c>
      <c r="N29" s="77">
        <f t="shared" si="9"/>
        <v>22</v>
      </c>
      <c r="O29" s="77">
        <f t="shared" si="9"/>
        <v>24</v>
      </c>
      <c r="P29" s="77">
        <f t="shared" si="9"/>
        <v>26</v>
      </c>
      <c r="Q29" s="77">
        <f t="shared" si="9"/>
        <v>28</v>
      </c>
      <c r="R29" s="77">
        <f t="shared" si="9"/>
        <v>30</v>
      </c>
      <c r="S29" s="77">
        <f t="shared" si="9"/>
        <v>32</v>
      </c>
      <c r="T29" s="77">
        <f t="shared" si="9"/>
        <v>34</v>
      </c>
      <c r="U29" s="77">
        <f t="shared" si="9"/>
        <v>36</v>
      </c>
      <c r="V29" s="77">
        <f t="shared" si="9"/>
        <v>38</v>
      </c>
      <c r="W29" s="77">
        <f t="shared" si="9"/>
        <v>40</v>
      </c>
    </row>
    <row r="30" spans="2:23" x14ac:dyDescent="0.35">
      <c r="B30" s="8" t="str">
        <f>_xlfn.CONCAT("t [",D28,"]")</f>
        <v>t [–s]</v>
      </c>
      <c r="C30" s="4">
        <v>0</v>
      </c>
      <c r="D30" s="77">
        <f>C30+$C$28</f>
        <v>2</v>
      </c>
      <c r="E30" s="77">
        <f t="shared" ref="E30:W30" si="10">D30+$C$28</f>
        <v>4</v>
      </c>
      <c r="F30" s="77">
        <f t="shared" si="10"/>
        <v>6</v>
      </c>
      <c r="G30" s="77">
        <f t="shared" si="10"/>
        <v>8</v>
      </c>
      <c r="H30" s="77">
        <f t="shared" si="10"/>
        <v>10</v>
      </c>
      <c r="I30" s="77">
        <f t="shared" si="10"/>
        <v>12</v>
      </c>
      <c r="J30" s="77">
        <f t="shared" si="10"/>
        <v>14</v>
      </c>
      <c r="K30" s="77">
        <f t="shared" si="10"/>
        <v>16</v>
      </c>
      <c r="L30" s="77">
        <f t="shared" si="10"/>
        <v>18</v>
      </c>
      <c r="M30" s="77">
        <f t="shared" si="10"/>
        <v>20</v>
      </c>
      <c r="N30" s="77">
        <f t="shared" si="10"/>
        <v>22</v>
      </c>
      <c r="O30" s="77">
        <f t="shared" si="10"/>
        <v>24</v>
      </c>
      <c r="P30" s="77">
        <f t="shared" si="10"/>
        <v>26</v>
      </c>
      <c r="Q30" s="77">
        <f t="shared" si="10"/>
        <v>28</v>
      </c>
      <c r="R30" s="77">
        <f t="shared" si="10"/>
        <v>30</v>
      </c>
      <c r="S30" s="77">
        <f t="shared" si="10"/>
        <v>32</v>
      </c>
      <c r="T30" s="77">
        <f t="shared" si="10"/>
        <v>34</v>
      </c>
      <c r="U30" s="77">
        <f t="shared" si="10"/>
        <v>36</v>
      </c>
      <c r="V30" s="77">
        <f t="shared" si="10"/>
        <v>38</v>
      </c>
      <c r="W30" s="77">
        <f t="shared" si="10"/>
        <v>40</v>
      </c>
    </row>
    <row r="31" spans="2:23" x14ac:dyDescent="0.35">
      <c r="B31" s="292" t="s">
        <v>907</v>
      </c>
      <c r="C31" s="212">
        <f>$D$6*(1-EXP(-C29/($H$7*$H$8)))</f>
        <v>0</v>
      </c>
      <c r="D31" s="212">
        <f t="shared" ref="D31:W31" si="11">$D$6*(1-EXP(-D29/($H$7*$H$8)))</f>
        <v>19.939617161421999</v>
      </c>
      <c r="E31" s="212">
        <f t="shared" si="11"/>
        <v>36.264794936079674</v>
      </c>
      <c r="F31" s="212">
        <f t="shared" si="11"/>
        <v>49.630720029657098</v>
      </c>
      <c r="G31" s="212">
        <f t="shared" si="11"/>
        <v>60.573813947105627</v>
      </c>
      <c r="H31" s="212">
        <f t="shared" si="11"/>
        <v>69.533261471141344</v>
      </c>
      <c r="I31" s="212">
        <f t="shared" si="11"/>
        <v>76.868636689657762</v>
      </c>
      <c r="J31" s="212">
        <f t="shared" si="11"/>
        <v>82.874333966423293</v>
      </c>
      <c r="K31" s="212">
        <f t="shared" si="11"/>
        <v>87.791383020587915</v>
      </c>
      <c r="L31" s="212">
        <f t="shared" si="11"/>
        <v>91.817122295625481</v>
      </c>
      <c r="M31" s="212">
        <f t="shared" si="11"/>
        <v>95.1131188439726</v>
      </c>
      <c r="N31" s="212">
        <f t="shared" si="11"/>
        <v>97.811652580143274</v>
      </c>
      <c r="O31" s="212">
        <f t="shared" si="11"/>
        <v>100.02102513816463</v>
      </c>
      <c r="P31" s="212">
        <f t="shared" si="11"/>
        <v>101.82990639642327</v>
      </c>
      <c r="Q31" s="212">
        <f t="shared" si="11"/>
        <v>103.31089311122602</v>
      </c>
      <c r="R31" s="212">
        <f t="shared" si="11"/>
        <v>104.52342247953497</v>
      </c>
      <c r="S31" s="212">
        <f t="shared" si="11"/>
        <v>105.51615756237972</v>
      </c>
      <c r="T31" s="212">
        <f t="shared" si="11"/>
        <v>106.32894030436412</v>
      </c>
      <c r="U31" s="212">
        <f t="shared" si="11"/>
        <v>106.99439053079782</v>
      </c>
      <c r="V31" s="212">
        <f t="shared" si="11"/>
        <v>107.53921509582177</v>
      </c>
      <c r="W31" s="212">
        <f t="shared" si="11"/>
        <v>107.98527972223924</v>
      </c>
    </row>
    <row r="35" spans="9:25" ht="21" x14ac:dyDescent="0.45">
      <c r="N35" s="5"/>
      <c r="O35" s="393" t="s">
        <v>910</v>
      </c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9:25" x14ac:dyDescent="0.35">
      <c r="N36" s="8" t="s">
        <v>317</v>
      </c>
      <c r="O36" s="4">
        <v>1</v>
      </c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9:25" x14ac:dyDescent="0.35">
      <c r="I37" s="5" t="s">
        <v>909</v>
      </c>
      <c r="J37" s="5"/>
      <c r="N37" s="8" t="s">
        <v>912</v>
      </c>
      <c r="O37" s="4">
        <v>0</v>
      </c>
      <c r="P37" s="5">
        <f t="shared" ref="P37:Y37" si="12">O37+$O$36</f>
        <v>1</v>
      </c>
      <c r="Q37" s="5">
        <f t="shared" si="12"/>
        <v>2</v>
      </c>
      <c r="R37" s="5">
        <f t="shared" si="12"/>
        <v>3</v>
      </c>
      <c r="S37" s="5">
        <f t="shared" si="12"/>
        <v>4</v>
      </c>
      <c r="T37" s="5">
        <f t="shared" si="12"/>
        <v>5</v>
      </c>
      <c r="U37" s="5">
        <f t="shared" si="12"/>
        <v>6</v>
      </c>
      <c r="V37" s="5">
        <f t="shared" si="12"/>
        <v>7</v>
      </c>
      <c r="W37" s="5">
        <f t="shared" si="12"/>
        <v>8</v>
      </c>
      <c r="X37" s="5">
        <f t="shared" si="12"/>
        <v>9</v>
      </c>
      <c r="Y37" s="5">
        <f t="shared" si="12"/>
        <v>10</v>
      </c>
    </row>
    <row r="38" spans="9:25" x14ac:dyDescent="0.35">
      <c r="I38" s="5">
        <f>H11/10^G11</f>
        <v>10</v>
      </c>
      <c r="J38" s="5">
        <f>I38</f>
        <v>10</v>
      </c>
      <c r="N38" s="8" t="s">
        <v>911</v>
      </c>
      <c r="O38" s="420">
        <f>1-EXP(-O37)</f>
        <v>0</v>
      </c>
      <c r="P38" s="420">
        <f t="shared" ref="P38:Q38" si="13">1-EXP(-P37)</f>
        <v>0.63212055882855767</v>
      </c>
      <c r="Q38" s="420">
        <f t="shared" si="13"/>
        <v>0.8646647167633873</v>
      </c>
      <c r="R38" s="420">
        <f>1-EXP(-R37)</f>
        <v>0.95021293163213605</v>
      </c>
      <c r="S38" s="420">
        <f t="shared" ref="S38" si="14">1-EXP(-S37)</f>
        <v>0.98168436111126578</v>
      </c>
      <c r="T38" s="420">
        <f t="shared" ref="T38" si="15">1-EXP(-T37)</f>
        <v>0.99326205300091452</v>
      </c>
      <c r="U38" s="420">
        <f>1-EXP(-U37)</f>
        <v>0.99752124782333362</v>
      </c>
      <c r="V38" s="420">
        <f t="shared" ref="V38" si="16">1-EXP(-V37)</f>
        <v>0.99908811803444553</v>
      </c>
      <c r="W38" s="420">
        <f t="shared" ref="W38" si="17">1-EXP(-W37)</f>
        <v>0.99966453737209748</v>
      </c>
      <c r="X38" s="420">
        <f>1-EXP(-X37)</f>
        <v>0.99987659019591335</v>
      </c>
      <c r="Y38" s="420">
        <f t="shared" ref="Y38" si="18">1-EXP(-Y37)</f>
        <v>0.99995460007023751</v>
      </c>
    </row>
    <row r="39" spans="9:25" x14ac:dyDescent="0.35">
      <c r="I39" s="5">
        <v>0</v>
      </c>
      <c r="J39" s="5">
        <f>$H$6*(1 - EXP(-1))</f>
        <v>69.533261471141344</v>
      </c>
    </row>
    <row r="41" spans="9:25" x14ac:dyDescent="0.35">
      <c r="I41" s="5" t="s">
        <v>908</v>
      </c>
      <c r="J41" s="5"/>
    </row>
    <row r="42" spans="9:25" x14ac:dyDescent="0.35">
      <c r="I42" s="5">
        <v>0</v>
      </c>
      <c r="J42" s="5">
        <f>J38</f>
        <v>10</v>
      </c>
    </row>
    <row r="43" spans="9:25" x14ac:dyDescent="0.35">
      <c r="I43" s="5">
        <f>J39</f>
        <v>69.533261471141344</v>
      </c>
      <c r="J43" s="5">
        <f>I43</f>
        <v>69.533261471141344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="115" zoomScaleNormal="115" workbookViewId="0">
      <selection activeCell="D13" sqref="D13"/>
    </sheetView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29" t="s">
        <v>315</v>
      </c>
      <c r="BB2" s="310" t="s">
        <v>616</v>
      </c>
      <c r="BC2" s="310"/>
    </row>
    <row r="3" spans="3:70" x14ac:dyDescent="0.35">
      <c r="K3" s="5" t="s">
        <v>64</v>
      </c>
      <c r="L3" s="5" t="s">
        <v>298</v>
      </c>
      <c r="BB3" s="77">
        <f>AY10</f>
        <v>50</v>
      </c>
      <c r="BC3" s="77">
        <f>BB3</f>
        <v>50</v>
      </c>
    </row>
    <row r="4" spans="3:70" x14ac:dyDescent="0.35">
      <c r="K4" s="5" t="s">
        <v>65</v>
      </c>
      <c r="L4" s="5" t="s">
        <v>300</v>
      </c>
      <c r="BB4" s="212">
        <f>IF(MIN(AY12:AY17)&gt;0,0,MIN(AY12:AY17))</f>
        <v>-0.98480775301220791</v>
      </c>
      <c r="BC4" s="212">
        <f>IF(MAX(AY12:AY17) &lt; 0,0,MAX(AY12:AY17))</f>
        <v>1.2855752193730787</v>
      </c>
    </row>
    <row r="5" spans="3:70" x14ac:dyDescent="0.35">
      <c r="BB5" s="99"/>
      <c r="BC5" s="99"/>
    </row>
    <row r="6" spans="3:70" x14ac:dyDescent="0.35">
      <c r="BB6" s="99"/>
      <c r="BC6" s="99"/>
    </row>
    <row r="7" spans="3:70" x14ac:dyDescent="0.35">
      <c r="BB7" s="99"/>
      <c r="BC7" s="99"/>
    </row>
    <row r="9" spans="3:70" x14ac:dyDescent="0.35">
      <c r="C9" s="5"/>
      <c r="D9" s="5"/>
      <c r="E9" s="5"/>
      <c r="F9" s="8" t="s">
        <v>317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615</v>
      </c>
      <c r="AZ9" s="5"/>
      <c r="BB9" s="5" t="s">
        <v>195</v>
      </c>
      <c r="BC9" s="5"/>
      <c r="BD9" s="5"/>
      <c r="BE9" s="5"/>
      <c r="BF9" s="5" t="s">
        <v>621</v>
      </c>
      <c r="BG9" s="5"/>
      <c r="BH9" s="5"/>
      <c r="BI9" s="5"/>
      <c r="BJ9" s="5" t="s">
        <v>230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617</v>
      </c>
      <c r="D10" s="5"/>
      <c r="E10" s="8" t="s">
        <v>415</v>
      </c>
      <c r="F10" s="225" t="s">
        <v>298</v>
      </c>
      <c r="G10" s="225">
        <v>0</v>
      </c>
      <c r="H10" s="77">
        <f>G10+$G$9</f>
        <v>10</v>
      </c>
      <c r="I10" s="77">
        <f t="shared" ref="I10:AU10" si="0">H10+$G$9</f>
        <v>20</v>
      </c>
      <c r="J10" s="77">
        <f t="shared" si="0"/>
        <v>30</v>
      </c>
      <c r="K10" s="77">
        <f t="shared" si="0"/>
        <v>40</v>
      </c>
      <c r="L10" s="77">
        <f t="shared" si="0"/>
        <v>50</v>
      </c>
      <c r="M10" s="77">
        <f t="shared" si="0"/>
        <v>60</v>
      </c>
      <c r="N10" s="77">
        <f t="shared" si="0"/>
        <v>70</v>
      </c>
      <c r="O10" s="77">
        <f t="shared" si="0"/>
        <v>80</v>
      </c>
      <c r="P10" s="77">
        <f t="shared" si="0"/>
        <v>90</v>
      </c>
      <c r="Q10" s="77">
        <f t="shared" si="0"/>
        <v>100</v>
      </c>
      <c r="R10" s="77">
        <f t="shared" si="0"/>
        <v>110</v>
      </c>
      <c r="S10" s="77">
        <f t="shared" si="0"/>
        <v>120</v>
      </c>
      <c r="T10" s="77">
        <f t="shared" si="0"/>
        <v>130</v>
      </c>
      <c r="U10" s="77">
        <f t="shared" si="0"/>
        <v>140</v>
      </c>
      <c r="V10" s="77">
        <f t="shared" si="0"/>
        <v>150</v>
      </c>
      <c r="W10" s="77">
        <f t="shared" si="0"/>
        <v>160</v>
      </c>
      <c r="X10" s="77">
        <f t="shared" si="0"/>
        <v>170</v>
      </c>
      <c r="Y10" s="77">
        <f t="shared" si="0"/>
        <v>180</v>
      </c>
      <c r="Z10" s="77">
        <f t="shared" si="0"/>
        <v>190</v>
      </c>
      <c r="AA10" s="77">
        <f t="shared" si="0"/>
        <v>200</v>
      </c>
      <c r="AB10" s="77">
        <f t="shared" si="0"/>
        <v>210</v>
      </c>
      <c r="AC10" s="77">
        <f t="shared" si="0"/>
        <v>220</v>
      </c>
      <c r="AD10" s="77">
        <f t="shared" si="0"/>
        <v>230</v>
      </c>
      <c r="AE10" s="77">
        <f t="shared" si="0"/>
        <v>240</v>
      </c>
      <c r="AF10" s="77">
        <f t="shared" si="0"/>
        <v>250</v>
      </c>
      <c r="AG10" s="77">
        <f t="shared" si="0"/>
        <v>260</v>
      </c>
      <c r="AH10" s="77">
        <f t="shared" si="0"/>
        <v>270</v>
      </c>
      <c r="AI10" s="77">
        <f t="shared" si="0"/>
        <v>280</v>
      </c>
      <c r="AJ10" s="77">
        <f t="shared" si="0"/>
        <v>290</v>
      </c>
      <c r="AK10" s="77">
        <f t="shared" si="0"/>
        <v>300</v>
      </c>
      <c r="AL10" s="77">
        <f t="shared" si="0"/>
        <v>310</v>
      </c>
      <c r="AM10" s="77">
        <f t="shared" si="0"/>
        <v>320</v>
      </c>
      <c r="AN10" s="77">
        <f t="shared" si="0"/>
        <v>330</v>
      </c>
      <c r="AO10" s="77">
        <f t="shared" si="0"/>
        <v>340</v>
      </c>
      <c r="AP10" s="77">
        <f t="shared" si="0"/>
        <v>350</v>
      </c>
      <c r="AQ10" s="77">
        <f t="shared" si="0"/>
        <v>360</v>
      </c>
      <c r="AR10" s="77">
        <f t="shared" si="0"/>
        <v>370</v>
      </c>
      <c r="AS10" s="77">
        <f t="shared" si="0"/>
        <v>380</v>
      </c>
      <c r="AT10" s="77">
        <f t="shared" si="0"/>
        <v>390</v>
      </c>
      <c r="AU10" s="77">
        <f t="shared" si="0"/>
        <v>400</v>
      </c>
      <c r="AY10" s="4">
        <v>50</v>
      </c>
      <c r="AZ10" s="113" t="s">
        <v>298</v>
      </c>
      <c r="BB10" s="5" t="s">
        <v>206</v>
      </c>
      <c r="BC10" s="5" t="s">
        <v>207</v>
      </c>
      <c r="BD10" s="8" t="s">
        <v>415</v>
      </c>
      <c r="BE10" s="8" t="s">
        <v>416</v>
      </c>
      <c r="BF10" s="95" t="s">
        <v>619</v>
      </c>
      <c r="BG10" s="95" t="s">
        <v>620</v>
      </c>
      <c r="BH10" s="95" t="s">
        <v>622</v>
      </c>
      <c r="BI10" s="95" t="s">
        <v>227</v>
      </c>
      <c r="BJ10" s="95" t="s">
        <v>623</v>
      </c>
      <c r="BK10" s="95" t="s">
        <v>619</v>
      </c>
      <c r="BL10" s="95" t="s">
        <v>620</v>
      </c>
      <c r="BM10" s="95" t="s">
        <v>624</v>
      </c>
      <c r="BN10" s="95" t="s">
        <v>625</v>
      </c>
      <c r="BO10" s="95" t="s">
        <v>622</v>
      </c>
      <c r="BP10" s="95" t="s">
        <v>626</v>
      </c>
      <c r="BQ10" s="95" t="s">
        <v>627</v>
      </c>
      <c r="BR10" s="95" t="s">
        <v>628</v>
      </c>
    </row>
    <row r="11" spans="3:70" x14ac:dyDescent="0.35">
      <c r="C11" s="5" t="s">
        <v>618</v>
      </c>
      <c r="D11" s="5" t="s">
        <v>629</v>
      </c>
      <c r="E11" s="8" t="s">
        <v>415</v>
      </c>
      <c r="F11" s="8" t="s">
        <v>300</v>
      </c>
      <c r="G11" s="212">
        <f>IF($F$10=$L$3,G10*PI()/180,G10)</f>
        <v>0</v>
      </c>
      <c r="H11" s="212">
        <f t="shared" ref="H11:P11" si="1">IF($F$10=$L$3,H10*PI()/180,H10)</f>
        <v>0.17453292519943295</v>
      </c>
      <c r="I11" s="212">
        <f t="shared" si="1"/>
        <v>0.3490658503988659</v>
      </c>
      <c r="J11" s="212">
        <f t="shared" si="1"/>
        <v>0.52359877559829882</v>
      </c>
      <c r="K11" s="212">
        <f t="shared" si="1"/>
        <v>0.69813170079773179</v>
      </c>
      <c r="L11" s="212">
        <f t="shared" si="1"/>
        <v>0.87266462599716477</v>
      </c>
      <c r="M11" s="212">
        <f t="shared" si="1"/>
        <v>1.0471975511965976</v>
      </c>
      <c r="N11" s="212">
        <f t="shared" si="1"/>
        <v>1.2217304763960306</v>
      </c>
      <c r="O11" s="212">
        <f t="shared" si="1"/>
        <v>1.3962634015954636</v>
      </c>
      <c r="P11" s="212">
        <f t="shared" si="1"/>
        <v>1.5707963267948966</v>
      </c>
      <c r="Q11" s="212">
        <f t="shared" ref="Q11:AU11" si="2">IF($F$10=$L$3,Q10*PI()/180,Q10)</f>
        <v>1.7453292519943295</v>
      </c>
      <c r="R11" s="212">
        <f t="shared" si="2"/>
        <v>1.9198621771937625</v>
      </c>
      <c r="S11" s="212">
        <f t="shared" si="2"/>
        <v>2.0943951023931953</v>
      </c>
      <c r="T11" s="212">
        <f t="shared" si="2"/>
        <v>2.2689280275926285</v>
      </c>
      <c r="U11" s="212">
        <f t="shared" si="2"/>
        <v>2.4434609527920612</v>
      </c>
      <c r="V11" s="212">
        <f t="shared" si="2"/>
        <v>2.6179938779914944</v>
      </c>
      <c r="W11" s="212">
        <f t="shared" si="2"/>
        <v>2.7925268031909272</v>
      </c>
      <c r="X11" s="212">
        <f t="shared" si="2"/>
        <v>2.9670597283903604</v>
      </c>
      <c r="Y11" s="212">
        <f t="shared" si="2"/>
        <v>3.1415926535897931</v>
      </c>
      <c r="Z11" s="212">
        <f t="shared" si="2"/>
        <v>3.3161255787892263</v>
      </c>
      <c r="AA11" s="212">
        <f t="shared" si="2"/>
        <v>3.4906585039886591</v>
      </c>
      <c r="AB11" s="212">
        <f t="shared" si="2"/>
        <v>3.6651914291880923</v>
      </c>
      <c r="AC11" s="212">
        <f t="shared" si="2"/>
        <v>3.839724354387525</v>
      </c>
      <c r="AD11" s="212">
        <f t="shared" si="2"/>
        <v>4.0142572795869578</v>
      </c>
      <c r="AE11" s="212">
        <f t="shared" si="2"/>
        <v>4.1887902047863905</v>
      </c>
      <c r="AF11" s="212">
        <f t="shared" si="2"/>
        <v>4.3633231299858233</v>
      </c>
      <c r="AG11" s="212">
        <f t="shared" si="2"/>
        <v>4.5378560551852569</v>
      </c>
      <c r="AH11" s="212">
        <f t="shared" si="2"/>
        <v>4.7123889803846897</v>
      </c>
      <c r="AI11" s="212">
        <f t="shared" si="2"/>
        <v>4.8869219055841224</v>
      </c>
      <c r="AJ11" s="212">
        <f t="shared" si="2"/>
        <v>5.0614548307835552</v>
      </c>
      <c r="AK11" s="212">
        <f t="shared" si="2"/>
        <v>5.2359877559829888</v>
      </c>
      <c r="AL11" s="212">
        <f t="shared" si="2"/>
        <v>5.4105206811824216</v>
      </c>
      <c r="AM11" s="212">
        <f t="shared" si="2"/>
        <v>5.5850536063818543</v>
      </c>
      <c r="AN11" s="212">
        <f t="shared" si="2"/>
        <v>5.7595865315812871</v>
      </c>
      <c r="AO11" s="212">
        <f t="shared" si="2"/>
        <v>5.9341194567807207</v>
      </c>
      <c r="AP11" s="212">
        <f t="shared" si="2"/>
        <v>6.1086523819801526</v>
      </c>
      <c r="AQ11" s="212">
        <f t="shared" si="2"/>
        <v>6.2831853071795862</v>
      </c>
      <c r="AR11" s="212">
        <f t="shared" si="2"/>
        <v>6.457718232379019</v>
      </c>
      <c r="AS11" s="212">
        <f t="shared" si="2"/>
        <v>6.6322511575784526</v>
      </c>
      <c r="AT11" s="212">
        <f t="shared" si="2"/>
        <v>6.8067840827778845</v>
      </c>
      <c r="AU11" s="212">
        <f t="shared" si="2"/>
        <v>6.9813170079773181</v>
      </c>
      <c r="AV11" s="99"/>
      <c r="AW11" s="1" t="s">
        <v>632</v>
      </c>
      <c r="AY11" s="309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77" cm="1">
        <f t="array" ref="BJ11">MAX(ABS(BB12:BB16))</f>
        <v>2</v>
      </c>
      <c r="BK11" s="77">
        <v>0</v>
      </c>
      <c r="BL11" s="77">
        <f>BJ11</f>
        <v>2</v>
      </c>
      <c r="BM11" s="77">
        <v>0</v>
      </c>
      <c r="BN11" s="77">
        <f>-BJ11</f>
        <v>-2</v>
      </c>
      <c r="BO11" s="77">
        <f>BL11</f>
        <v>2</v>
      </c>
      <c r="BP11" s="77">
        <v>0</v>
      </c>
      <c r="BQ11" s="77">
        <f>BN11</f>
        <v>-2</v>
      </c>
      <c r="BR11" s="77">
        <v>0</v>
      </c>
    </row>
    <row r="12" spans="3:70" ht="18.5" x14ac:dyDescent="0.45">
      <c r="C12" s="4">
        <v>1</v>
      </c>
      <c r="D12" s="4">
        <v>180</v>
      </c>
      <c r="E12" s="279" t="s">
        <v>316</v>
      </c>
      <c r="F12" s="279" t="str">
        <f>_xlfn.CONCAT(C12, IF(D12=0," * sin(x) =",IF(D12&lt;0,_xlfn.CONCAT(" * sin(x - ",ABS(D12),") ="),_xlfn.CONCAT(" * sin(x + ",D12,") ="))))</f>
        <v>1 * sin(x + 180) =</v>
      </c>
      <c r="G12" s="212">
        <f>IF($AW$12=$K$3,$C$12*SIN(G11+RADIANS($D$12)),0)</f>
        <v>1.22514845490862E-16</v>
      </c>
      <c r="H12" s="212">
        <f t="shared" ref="H12:AU12" si="3">IF($AW$12=$K$3,$C$12*SIN(H11+RADIANS($D$12)),0)</f>
        <v>-0.17364817766693003</v>
      </c>
      <c r="I12" s="212">
        <f t="shared" si="3"/>
        <v>-0.34202014332566866</v>
      </c>
      <c r="J12" s="212">
        <f t="shared" si="3"/>
        <v>-0.49999999999999972</v>
      </c>
      <c r="K12" s="212">
        <f t="shared" si="3"/>
        <v>-0.64278760968653925</v>
      </c>
      <c r="L12" s="212">
        <f t="shared" si="3"/>
        <v>-0.7660444431189779</v>
      </c>
      <c r="M12" s="212">
        <f t="shared" si="3"/>
        <v>-0.86602540378443837</v>
      </c>
      <c r="N12" s="212">
        <f t="shared" si="3"/>
        <v>-0.93969262078590843</v>
      </c>
      <c r="O12" s="212">
        <f t="shared" si="3"/>
        <v>-0.98480775301220802</v>
      </c>
      <c r="P12" s="212">
        <f t="shared" si="3"/>
        <v>-1</v>
      </c>
      <c r="Q12" s="212">
        <f t="shared" si="3"/>
        <v>-0.98480775301220813</v>
      </c>
      <c r="R12" s="212">
        <f t="shared" si="3"/>
        <v>-0.93969262078590854</v>
      </c>
      <c r="S12" s="212">
        <f t="shared" si="3"/>
        <v>-0.86602540378443904</v>
      </c>
      <c r="T12" s="212">
        <f t="shared" si="3"/>
        <v>-0.76604444311897812</v>
      </c>
      <c r="U12" s="212">
        <f t="shared" si="3"/>
        <v>-0.64278760968653958</v>
      </c>
      <c r="V12" s="212">
        <f t="shared" si="3"/>
        <v>-0.49999999999999967</v>
      </c>
      <c r="W12" s="212">
        <f t="shared" si="3"/>
        <v>-0.3420201433256686</v>
      </c>
      <c r="X12" s="212">
        <f t="shared" si="3"/>
        <v>-0.17364817766693039</v>
      </c>
      <c r="Y12" s="212">
        <f t="shared" si="3"/>
        <v>-2.45029690981724E-16</v>
      </c>
      <c r="Z12" s="212">
        <f t="shared" si="3"/>
        <v>0.17364817766692991</v>
      </c>
      <c r="AA12" s="212">
        <f t="shared" si="3"/>
        <v>0.3420201433256681</v>
      </c>
      <c r="AB12" s="212">
        <f t="shared" si="3"/>
        <v>0.5</v>
      </c>
      <c r="AC12" s="212">
        <f t="shared" si="3"/>
        <v>0.64278760968653914</v>
      </c>
      <c r="AD12" s="212">
        <f t="shared" si="3"/>
        <v>0.76604444311897779</v>
      </c>
      <c r="AE12" s="212">
        <f t="shared" si="3"/>
        <v>0.86602540378443837</v>
      </c>
      <c r="AF12" s="212">
        <f t="shared" si="3"/>
        <v>0.93969262078590809</v>
      </c>
      <c r="AG12" s="212">
        <f t="shared" si="3"/>
        <v>0.98480775301220802</v>
      </c>
      <c r="AH12" s="212">
        <f t="shared" si="3"/>
        <v>1</v>
      </c>
      <c r="AI12" s="212">
        <f t="shared" si="3"/>
        <v>0.98480775301220813</v>
      </c>
      <c r="AJ12" s="212">
        <f t="shared" si="3"/>
        <v>0.93969262078590865</v>
      </c>
      <c r="AK12" s="212">
        <f t="shared" si="3"/>
        <v>0.86602540378443826</v>
      </c>
      <c r="AL12" s="212">
        <f t="shared" si="3"/>
        <v>0.76604444311897757</v>
      </c>
      <c r="AM12" s="212">
        <f t="shared" si="3"/>
        <v>0.64278760968653903</v>
      </c>
      <c r="AN12" s="212">
        <f t="shared" si="3"/>
        <v>0.49999999999999978</v>
      </c>
      <c r="AO12" s="212">
        <f t="shared" si="3"/>
        <v>0.34202014332566871</v>
      </c>
      <c r="AP12" s="212">
        <f t="shared" si="3"/>
        <v>0.1736481776669305</v>
      </c>
      <c r="AQ12" s="212">
        <f t="shared" si="3"/>
        <v>3.67544536472586E-16</v>
      </c>
      <c r="AR12" s="212">
        <f t="shared" si="3"/>
        <v>-0.17364817766692978</v>
      </c>
      <c r="AS12" s="212">
        <f t="shared" si="3"/>
        <v>-0.34202014332566799</v>
      </c>
      <c r="AT12" s="212">
        <f t="shared" si="3"/>
        <v>-0.49999999999999917</v>
      </c>
      <c r="AU12" s="212">
        <f t="shared" si="3"/>
        <v>-0.64278760968653836</v>
      </c>
      <c r="AV12" s="99"/>
      <c r="AW12" s="318" t="s">
        <v>64</v>
      </c>
      <c r="AY12" s="212">
        <f>IF($AW$12=$K$3,$C$12 * SIN(AY11 + RADIANS($D$12)),0)</f>
        <v>-0.7660444431189779</v>
      </c>
      <c r="AZ12" s="5"/>
      <c r="BB12" s="77">
        <f>IF($AW$12=$K$3,$C12,0)</f>
        <v>1</v>
      </c>
      <c r="BC12" s="77">
        <f>$AY$10+$D$12</f>
        <v>230</v>
      </c>
      <c r="BD12" s="311">
        <f>BB12*COS(RADIANS(BC12))</f>
        <v>-0.64278760968653947</v>
      </c>
      <c r="BE12" s="311">
        <f>BB12*SIN(RADIANS(BC12))</f>
        <v>-0.7660444431189779</v>
      </c>
      <c r="BF12" s="311">
        <v>0</v>
      </c>
      <c r="BG12" s="311">
        <f>BD12</f>
        <v>-0.64278760968653947</v>
      </c>
      <c r="BH12" s="311">
        <v>0</v>
      </c>
      <c r="BI12" s="311">
        <f>BE12</f>
        <v>-0.7660444431189779</v>
      </c>
    </row>
    <row r="13" spans="3:70" ht="18.5" x14ac:dyDescent="0.45">
      <c r="C13" s="4">
        <v>2</v>
      </c>
      <c r="D13" s="4">
        <v>0</v>
      </c>
      <c r="E13" s="317" t="s">
        <v>319</v>
      </c>
      <c r="F13" s="317" t="str">
        <f>_xlfn.CONCAT(C13, IF(D13=0," * cos(x) =",IF(D13&lt;0,_xlfn.CONCAT(" * cos(x - ",ABS(D13),") ="),_xlfn.CONCAT(" * cos(x + ",D13,") ="))))</f>
        <v>2 * cos(x) =</v>
      </c>
      <c r="G13" s="212">
        <f>IF($AW$13=$K$3,$C$13*COS(G11+RADIANS($D$13)),0)</f>
        <v>2</v>
      </c>
      <c r="H13" s="212">
        <f t="shared" ref="H13:AU13" si="4">IF($AW$13=$K$3,$C$13*COS(H11+RADIANS($D$13)),0)</f>
        <v>1.969615506024416</v>
      </c>
      <c r="I13" s="212">
        <f t="shared" si="4"/>
        <v>1.8793852415718169</v>
      </c>
      <c r="J13" s="212">
        <f t="shared" si="4"/>
        <v>1.7320508075688774</v>
      </c>
      <c r="K13" s="212">
        <f t="shared" si="4"/>
        <v>1.532088886237956</v>
      </c>
      <c r="L13" s="212">
        <f t="shared" si="4"/>
        <v>1.2855752193730787</v>
      </c>
      <c r="M13" s="212">
        <f t="shared" si="4"/>
        <v>1.0000000000000002</v>
      </c>
      <c r="N13" s="212">
        <f t="shared" si="4"/>
        <v>0.68404028665133765</v>
      </c>
      <c r="O13" s="212">
        <f t="shared" si="4"/>
        <v>0.34729635533386083</v>
      </c>
      <c r="P13" s="212">
        <f t="shared" si="4"/>
        <v>1.22514845490862E-16</v>
      </c>
      <c r="Q13" s="212">
        <f t="shared" si="4"/>
        <v>-0.34729635533386061</v>
      </c>
      <c r="R13" s="212">
        <f t="shared" si="4"/>
        <v>-0.68404028665133743</v>
      </c>
      <c r="S13" s="212">
        <f t="shared" si="4"/>
        <v>-0.99999999999999956</v>
      </c>
      <c r="T13" s="212">
        <f t="shared" si="4"/>
        <v>-1.2855752193730787</v>
      </c>
      <c r="U13" s="212">
        <f t="shared" si="4"/>
        <v>-1.5320888862379558</v>
      </c>
      <c r="V13" s="212">
        <f t="shared" si="4"/>
        <v>-1.7320508075688774</v>
      </c>
      <c r="W13" s="212">
        <f t="shared" si="4"/>
        <v>-1.8793852415718166</v>
      </c>
      <c r="X13" s="212">
        <f t="shared" si="4"/>
        <v>-1.969615506024416</v>
      </c>
      <c r="Y13" s="212">
        <f t="shared" si="4"/>
        <v>-2</v>
      </c>
      <c r="Z13" s="212">
        <f t="shared" si="4"/>
        <v>-1.969615506024416</v>
      </c>
      <c r="AA13" s="212">
        <f t="shared" si="4"/>
        <v>-1.8793852415718169</v>
      </c>
      <c r="AB13" s="212">
        <f t="shared" si="4"/>
        <v>-1.7320508075688772</v>
      </c>
      <c r="AC13" s="212">
        <f t="shared" si="4"/>
        <v>-1.532088886237956</v>
      </c>
      <c r="AD13" s="212">
        <f t="shared" si="4"/>
        <v>-1.2855752193730789</v>
      </c>
      <c r="AE13" s="212">
        <f t="shared" si="4"/>
        <v>-1.0000000000000009</v>
      </c>
      <c r="AF13" s="212">
        <f t="shared" si="4"/>
        <v>-0.68404028665133876</v>
      </c>
      <c r="AG13" s="212">
        <f t="shared" si="4"/>
        <v>-0.34729635533386066</v>
      </c>
      <c r="AH13" s="212">
        <f t="shared" si="4"/>
        <v>-3.67544536472586E-16</v>
      </c>
      <c r="AI13" s="212">
        <f t="shared" si="4"/>
        <v>0.34729635533385994</v>
      </c>
      <c r="AJ13" s="212">
        <f t="shared" si="4"/>
        <v>0.68404028665133632</v>
      </c>
      <c r="AK13" s="212">
        <f t="shared" si="4"/>
        <v>1.0000000000000002</v>
      </c>
      <c r="AL13" s="212">
        <f t="shared" si="4"/>
        <v>1.2855752193730785</v>
      </c>
      <c r="AM13" s="212">
        <f t="shared" si="4"/>
        <v>1.5320888862379556</v>
      </c>
      <c r="AN13" s="212">
        <f t="shared" si="4"/>
        <v>1.7320508075688767</v>
      </c>
      <c r="AO13" s="212">
        <f t="shared" si="4"/>
        <v>1.8793852415718169</v>
      </c>
      <c r="AP13" s="212">
        <f t="shared" si="4"/>
        <v>1.9696155060244158</v>
      </c>
      <c r="AQ13" s="212">
        <f t="shared" si="4"/>
        <v>2</v>
      </c>
      <c r="AR13" s="212">
        <f t="shared" si="4"/>
        <v>1.9696155060244163</v>
      </c>
      <c r="AS13" s="212">
        <f t="shared" si="4"/>
        <v>1.8793852415718166</v>
      </c>
      <c r="AT13" s="212">
        <f t="shared" si="4"/>
        <v>1.7320508075688781</v>
      </c>
      <c r="AU13" s="212">
        <f t="shared" si="4"/>
        <v>1.5320888862379562</v>
      </c>
      <c r="AV13" s="99"/>
      <c r="AW13" s="318" t="s">
        <v>64</v>
      </c>
      <c r="AY13" s="212">
        <f>IF($AW$13=$K$3,$C$13 * COS(AY11+RADIANS(D13)),0)</f>
        <v>1.2855752193730787</v>
      </c>
      <c r="AZ13" s="5"/>
      <c r="BB13" s="77">
        <f>IF($AW$13=$K$3,$C13,0)</f>
        <v>2</v>
      </c>
      <c r="BC13" s="77">
        <f>$AY$10+90+$D$13</f>
        <v>140</v>
      </c>
      <c r="BD13" s="311">
        <f>BB13*COS(RADIANS(BC13))</f>
        <v>-1.5320888862379558</v>
      </c>
      <c r="BE13" s="311">
        <f>BB13*SIN(RADIANS(BC13))</f>
        <v>1.2855752193730789</v>
      </c>
      <c r="BF13" s="311">
        <v>0</v>
      </c>
      <c r="BG13" s="311">
        <f>BD13</f>
        <v>-1.5320888862379558</v>
      </c>
      <c r="BH13" s="311">
        <v>0</v>
      </c>
      <c r="BI13" s="311">
        <f>BE13</f>
        <v>1.2855752193730789</v>
      </c>
    </row>
    <row r="14" spans="3:70" ht="18.5" x14ac:dyDescent="0.45">
      <c r="E14" s="316"/>
      <c r="F14" s="316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Y14" s="99"/>
      <c r="BD14" s="313"/>
      <c r="BE14" s="313"/>
      <c r="BF14" s="313"/>
      <c r="BG14" s="313"/>
      <c r="BH14" s="313"/>
      <c r="BI14" s="313"/>
    </row>
    <row r="15" spans="3:70" ht="18.5" x14ac:dyDescent="0.45">
      <c r="D15" s="1"/>
      <c r="E15" s="316"/>
      <c r="F15" s="316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s="99"/>
      <c r="BD15" s="313"/>
      <c r="BE15" s="313"/>
      <c r="BF15" s="313"/>
      <c r="BG15" s="313"/>
      <c r="BH15" s="313"/>
      <c r="BI15" s="313"/>
      <c r="BJ15" s="5" t="s">
        <v>637</v>
      </c>
      <c r="BK15" s="5"/>
      <c r="BL15" s="5"/>
      <c r="BM15" s="5"/>
      <c r="BN15" s="5" t="s">
        <v>638</v>
      </c>
      <c r="BO15" s="5"/>
      <c r="BP15" s="5"/>
      <c r="BQ15" s="5"/>
    </row>
    <row r="16" spans="3:70" ht="18.5" x14ac:dyDescent="0.45">
      <c r="D16" s="321"/>
      <c r="E16" s="319" t="s">
        <v>635</v>
      </c>
      <c r="F16" s="319" t="s">
        <v>631</v>
      </c>
      <c r="G16" s="212">
        <f>IF($AW$16=$K$3,G12+G13,0)</f>
        <v>0</v>
      </c>
      <c r="H16" s="212">
        <f t="shared" ref="H16:AU16" si="5">IF($AW$16=$K$3,H12+H13,0)</f>
        <v>0</v>
      </c>
      <c r="I16" s="212">
        <f t="shared" si="5"/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99"/>
      <c r="AW16" s="318" t="s">
        <v>65</v>
      </c>
      <c r="AY16" s="212">
        <f>IF($AW$16=$K$3,AY12+AY13,0)</f>
        <v>0</v>
      </c>
      <c r="BB16" s="311">
        <f>SQRT(BD16^2+BE16^2)</f>
        <v>0</v>
      </c>
      <c r="BC16" s="311">
        <f>IF($AW$16=$K$3,DEGREES(ATAN2(BD16,BE16)),0)</f>
        <v>0</v>
      </c>
      <c r="BD16" s="311">
        <f>IF($AW$16=$K$3,BD12+BD13,0)</f>
        <v>0</v>
      </c>
      <c r="BE16" s="311">
        <f>IF($AW$16=$K$3,BE12+BE13,0)</f>
        <v>0</v>
      </c>
      <c r="BF16" s="311">
        <v>0</v>
      </c>
      <c r="BG16" s="311">
        <f>BD16</f>
        <v>0</v>
      </c>
      <c r="BH16" s="311">
        <v>0</v>
      </c>
      <c r="BI16" s="322">
        <f>BE16</f>
        <v>0</v>
      </c>
      <c r="BJ16" s="311">
        <f>IF($AW$16=$K$3,BD13,0)</f>
        <v>0</v>
      </c>
      <c r="BK16" s="311">
        <f>BD16</f>
        <v>0</v>
      </c>
      <c r="BL16" s="311">
        <f>IF($AW$16=$K$3,BE13,0)</f>
        <v>0</v>
      </c>
      <c r="BM16" s="311">
        <f>BE16</f>
        <v>0</v>
      </c>
      <c r="BN16" s="311">
        <f>BD12</f>
        <v>-0.64278760968653947</v>
      </c>
      <c r="BO16" s="311">
        <f>BK16</f>
        <v>0</v>
      </c>
      <c r="BP16" s="311">
        <f>IF($AW$16=$K$3,BE12,0)</f>
        <v>0</v>
      </c>
      <c r="BQ16" s="311">
        <f>BM16</f>
        <v>0</v>
      </c>
    </row>
    <row r="17" spans="4:61" ht="18.5" x14ac:dyDescent="0.45">
      <c r="D17" s="321"/>
      <c r="E17" s="320" t="s">
        <v>635</v>
      </c>
      <c r="F17" s="320" t="s">
        <v>636</v>
      </c>
      <c r="G17" s="212">
        <f>IF($AW$17=$K$3,G12*G13,0)</f>
        <v>2.45029690981724E-16</v>
      </c>
      <c r="H17" s="212">
        <f t="shared" ref="H17:AU17" si="6">IF($AW$17=$K$3,H12*H13,0)</f>
        <v>-0.3420201433256681</v>
      </c>
      <c r="I17" s="212">
        <f t="shared" si="6"/>
        <v>-0.64278760968653925</v>
      </c>
      <c r="J17" s="212">
        <f t="shared" si="6"/>
        <v>-0.86602540378443826</v>
      </c>
      <c r="K17" s="212">
        <f t="shared" si="6"/>
        <v>-0.98480775301220791</v>
      </c>
      <c r="L17" s="212">
        <f t="shared" si="6"/>
        <v>-0.98480775301220791</v>
      </c>
      <c r="M17" s="212">
        <f t="shared" si="6"/>
        <v>-0.8660254037844386</v>
      </c>
      <c r="N17" s="212">
        <f t="shared" si="6"/>
        <v>-0.64278760968653947</v>
      </c>
      <c r="O17" s="212">
        <f t="shared" si="6"/>
        <v>-0.34202014332566882</v>
      </c>
      <c r="P17" s="212">
        <f t="shared" si="6"/>
        <v>-1.22514845490862E-16</v>
      </c>
      <c r="Q17" s="212">
        <f t="shared" si="6"/>
        <v>0.34202014332566866</v>
      </c>
      <c r="R17" s="212">
        <f t="shared" si="6"/>
        <v>0.64278760968653936</v>
      </c>
      <c r="S17" s="212">
        <f t="shared" si="6"/>
        <v>0.86602540378443871</v>
      </c>
      <c r="T17" s="212">
        <f t="shared" si="6"/>
        <v>0.98480775301220824</v>
      </c>
      <c r="U17" s="212">
        <f t="shared" si="6"/>
        <v>0.98480775301220824</v>
      </c>
      <c r="V17" s="212">
        <f t="shared" si="6"/>
        <v>0.86602540378443815</v>
      </c>
      <c r="W17" s="212">
        <f t="shared" si="6"/>
        <v>0.64278760968653903</v>
      </c>
      <c r="X17" s="212">
        <f t="shared" si="6"/>
        <v>0.34202014332566877</v>
      </c>
      <c r="Y17" s="212">
        <f t="shared" si="6"/>
        <v>4.90059381963448E-16</v>
      </c>
      <c r="Z17" s="212">
        <f t="shared" si="6"/>
        <v>-0.34202014332566788</v>
      </c>
      <c r="AA17" s="212">
        <f t="shared" si="6"/>
        <v>-0.64278760968653814</v>
      </c>
      <c r="AB17" s="212">
        <f t="shared" si="6"/>
        <v>-0.8660254037844386</v>
      </c>
      <c r="AC17" s="212">
        <f t="shared" si="6"/>
        <v>-0.9848077530122078</v>
      </c>
      <c r="AD17" s="212">
        <f t="shared" si="6"/>
        <v>-0.98480775301220802</v>
      </c>
      <c r="AE17" s="212">
        <f t="shared" si="6"/>
        <v>-0.86602540378443915</v>
      </c>
      <c r="AF17" s="212">
        <f t="shared" si="6"/>
        <v>-0.64278760968654036</v>
      </c>
      <c r="AG17" s="212">
        <f t="shared" si="6"/>
        <v>-0.34202014332566866</v>
      </c>
      <c r="AH17" s="212">
        <f t="shared" si="6"/>
        <v>-3.67544536472586E-16</v>
      </c>
      <c r="AI17" s="212">
        <f t="shared" si="6"/>
        <v>0.34202014332566799</v>
      </c>
      <c r="AJ17" s="212">
        <f t="shared" si="6"/>
        <v>0.64278760968653847</v>
      </c>
      <c r="AK17" s="212">
        <f t="shared" si="6"/>
        <v>0.86602540378443849</v>
      </c>
      <c r="AL17" s="212">
        <f t="shared" si="6"/>
        <v>0.98480775301220735</v>
      </c>
      <c r="AM17" s="212">
        <f t="shared" si="6"/>
        <v>0.98480775301220724</v>
      </c>
      <c r="AN17" s="212">
        <f t="shared" si="6"/>
        <v>0.86602540378443804</v>
      </c>
      <c r="AO17" s="212">
        <f t="shared" si="6"/>
        <v>0.64278760968653936</v>
      </c>
      <c r="AP17" s="212">
        <f t="shared" si="6"/>
        <v>0.34202014332566899</v>
      </c>
      <c r="AQ17" s="212">
        <f t="shared" si="6"/>
        <v>7.3508907294517201E-16</v>
      </c>
      <c r="AR17" s="212">
        <f t="shared" si="6"/>
        <v>-0.3420201433256676</v>
      </c>
      <c r="AS17" s="212">
        <f t="shared" si="6"/>
        <v>-0.64278760968653792</v>
      </c>
      <c r="AT17" s="212">
        <f t="shared" si="6"/>
        <v>-0.8660254037844376</v>
      </c>
      <c r="AU17" s="212">
        <f t="shared" si="6"/>
        <v>-0.98480775301220669</v>
      </c>
      <c r="AV17" s="99"/>
      <c r="AW17" s="318" t="s">
        <v>64</v>
      </c>
      <c r="AY17" s="212">
        <f>IF($AW$17=$K$3,AY12*AY13,0)</f>
        <v>-0.98480775301220791</v>
      </c>
      <c r="BD17" s="313"/>
      <c r="BE17" s="313"/>
      <c r="BF17" s="313"/>
      <c r="BG17" s="313"/>
      <c r="BH17" s="313"/>
      <c r="BI17" s="313"/>
    </row>
    <row r="18" spans="4:61" x14ac:dyDescent="0.35">
      <c r="E18" s="314"/>
      <c r="F18" s="315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Y18" s="99"/>
      <c r="BD18" s="313"/>
      <c r="BE18" s="313"/>
      <c r="BF18" s="313"/>
      <c r="BG18" s="313"/>
      <c r="BH18" s="313"/>
      <c r="BI18" s="313"/>
    </row>
    <row r="61" spans="5:49" ht="18.5" x14ac:dyDescent="0.45">
      <c r="E61" s="273" t="s">
        <v>633</v>
      </c>
      <c r="F61" s="273" t="s">
        <v>318</v>
      </c>
      <c r="G61" s="212">
        <f t="shared" ref="G61:AU61" si="7">IF(ABS(TAN(G11))&gt;10,0,TAN(G11))</f>
        <v>0</v>
      </c>
      <c r="H61" s="212">
        <f t="shared" si="7"/>
        <v>0.17632698070846498</v>
      </c>
      <c r="I61" s="212">
        <f t="shared" si="7"/>
        <v>0.36397023426620234</v>
      </c>
      <c r="J61" s="212">
        <f t="shared" si="7"/>
        <v>0.57735026918962573</v>
      </c>
      <c r="K61" s="212">
        <f t="shared" si="7"/>
        <v>0.83909963117727993</v>
      </c>
      <c r="L61" s="212">
        <f t="shared" si="7"/>
        <v>1.19175359259421</v>
      </c>
      <c r="M61" s="212">
        <f t="shared" si="7"/>
        <v>1.7320508075688767</v>
      </c>
      <c r="N61" s="212">
        <f t="shared" si="7"/>
        <v>2.7474774194546216</v>
      </c>
      <c r="O61" s="212">
        <f t="shared" si="7"/>
        <v>5.6712818196177066</v>
      </c>
      <c r="P61" s="212">
        <f t="shared" si="7"/>
        <v>0</v>
      </c>
      <c r="Q61" s="212">
        <f t="shared" si="7"/>
        <v>-5.6712818196177111</v>
      </c>
      <c r="R61" s="212">
        <f t="shared" si="7"/>
        <v>-2.7474774194546225</v>
      </c>
      <c r="S61" s="212">
        <f t="shared" si="7"/>
        <v>-1.7320508075688783</v>
      </c>
      <c r="T61" s="212">
        <f t="shared" si="7"/>
        <v>-1.19175359259421</v>
      </c>
      <c r="U61" s="212">
        <f t="shared" si="7"/>
        <v>-0.83909963117728037</v>
      </c>
      <c r="V61" s="212">
        <f t="shared" si="7"/>
        <v>-0.57735026918962573</v>
      </c>
      <c r="W61" s="212">
        <f t="shared" si="7"/>
        <v>-0.36397023426620256</v>
      </c>
      <c r="X61" s="212">
        <f t="shared" si="7"/>
        <v>-0.17632698070846489</v>
      </c>
      <c r="Y61" s="212">
        <f t="shared" si="7"/>
        <v>-1.22514845490862E-16</v>
      </c>
      <c r="Z61" s="212">
        <f t="shared" si="7"/>
        <v>0.17632698070846509</v>
      </c>
      <c r="AA61" s="212">
        <f t="shared" si="7"/>
        <v>0.36397023426620229</v>
      </c>
      <c r="AB61" s="212">
        <f t="shared" si="7"/>
        <v>0.57735026918962595</v>
      </c>
      <c r="AC61" s="212">
        <f t="shared" si="7"/>
        <v>0.83909963117727993</v>
      </c>
      <c r="AD61" s="212">
        <f t="shared" si="7"/>
        <v>1.1917535925942093</v>
      </c>
      <c r="AE61" s="212">
        <f t="shared" si="7"/>
        <v>1.7320508075688754</v>
      </c>
      <c r="AF61" s="212">
        <f t="shared" si="7"/>
        <v>2.7474774194546168</v>
      </c>
      <c r="AG61" s="212">
        <f t="shared" si="7"/>
        <v>5.6712818196177102</v>
      </c>
      <c r="AH61" s="212">
        <f t="shared" si="7"/>
        <v>0</v>
      </c>
      <c r="AI61" s="212">
        <f t="shared" si="7"/>
        <v>-5.6712818196177226</v>
      </c>
      <c r="AJ61" s="212">
        <f t="shared" si="7"/>
        <v>-2.7474774194546274</v>
      </c>
      <c r="AK61" s="212">
        <f t="shared" si="7"/>
        <v>-1.732050807568877</v>
      </c>
      <c r="AL61" s="212">
        <f t="shared" si="7"/>
        <v>-1.1917535925942102</v>
      </c>
      <c r="AM61" s="212">
        <f t="shared" si="7"/>
        <v>-0.83909963117728059</v>
      </c>
      <c r="AN61" s="212">
        <f t="shared" si="7"/>
        <v>-0.57735026918962651</v>
      </c>
      <c r="AO61" s="212">
        <f t="shared" si="7"/>
        <v>-0.36397023426620218</v>
      </c>
      <c r="AP61" s="212">
        <f t="shared" si="7"/>
        <v>-0.17632698070846592</v>
      </c>
      <c r="AQ61" s="212">
        <f t="shared" si="7"/>
        <v>-2.45029690981724E-16</v>
      </c>
      <c r="AR61" s="212">
        <f t="shared" si="7"/>
        <v>0.1763269807084645</v>
      </c>
      <c r="AS61" s="212">
        <f t="shared" si="7"/>
        <v>0.36397023426620262</v>
      </c>
      <c r="AT61" s="212">
        <f t="shared" si="7"/>
        <v>0.57735026918962462</v>
      </c>
      <c r="AU61" s="212">
        <f t="shared" si="7"/>
        <v>0.8390996311772797</v>
      </c>
      <c r="AV61" s="312"/>
      <c r="AW61" s="312"/>
    </row>
    <row r="62" spans="5:49" ht="18.5" x14ac:dyDescent="0.45">
      <c r="E62" s="279" t="s">
        <v>634</v>
      </c>
      <c r="F62" s="279" t="s">
        <v>630</v>
      </c>
      <c r="G62" s="212">
        <f t="shared" ref="G62:AU62" si="8">SIN(G11)</f>
        <v>0</v>
      </c>
      <c r="H62" s="212">
        <f t="shared" si="8"/>
        <v>0.17364817766693033</v>
      </c>
      <c r="I62" s="212">
        <f t="shared" si="8"/>
        <v>0.34202014332566871</v>
      </c>
      <c r="J62" s="212">
        <f t="shared" si="8"/>
        <v>0.49999999999999994</v>
      </c>
      <c r="K62" s="212">
        <f t="shared" si="8"/>
        <v>0.64278760968653925</v>
      </c>
      <c r="L62" s="212">
        <f t="shared" si="8"/>
        <v>0.76604444311897801</v>
      </c>
      <c r="M62" s="212">
        <f t="shared" si="8"/>
        <v>0.8660254037844386</v>
      </c>
      <c r="N62" s="212">
        <f t="shared" si="8"/>
        <v>0.93969262078590832</v>
      </c>
      <c r="O62" s="212">
        <f t="shared" si="8"/>
        <v>0.98480775301220802</v>
      </c>
      <c r="P62" s="212">
        <f t="shared" si="8"/>
        <v>1</v>
      </c>
      <c r="Q62" s="212">
        <f t="shared" si="8"/>
        <v>0.98480775301220802</v>
      </c>
      <c r="R62" s="212">
        <f t="shared" si="8"/>
        <v>0.93969262078590843</v>
      </c>
      <c r="S62" s="212">
        <f t="shared" si="8"/>
        <v>0.86602540378443871</v>
      </c>
      <c r="T62" s="212">
        <f t="shared" si="8"/>
        <v>0.76604444311897801</v>
      </c>
      <c r="U62" s="212">
        <f t="shared" si="8"/>
        <v>0.64278760968653947</v>
      </c>
      <c r="V62" s="212">
        <f t="shared" si="8"/>
        <v>0.49999999999999994</v>
      </c>
      <c r="W62" s="212">
        <f t="shared" si="8"/>
        <v>0.34202014332566888</v>
      </c>
      <c r="X62" s="212">
        <f t="shared" si="8"/>
        <v>0.17364817766693028</v>
      </c>
      <c r="Y62" s="212">
        <f t="shared" si="8"/>
        <v>1.22514845490862E-16</v>
      </c>
      <c r="Z62" s="212">
        <f t="shared" si="8"/>
        <v>-0.17364817766693047</v>
      </c>
      <c r="AA62" s="212">
        <f t="shared" si="8"/>
        <v>-0.34202014332566866</v>
      </c>
      <c r="AB62" s="212">
        <f t="shared" si="8"/>
        <v>-0.50000000000000011</v>
      </c>
      <c r="AC62" s="212">
        <f t="shared" si="8"/>
        <v>-0.64278760968653925</v>
      </c>
      <c r="AD62" s="212">
        <f t="shared" si="8"/>
        <v>-0.7660444431189779</v>
      </c>
      <c r="AE62" s="212">
        <f t="shared" si="8"/>
        <v>-0.86602540378443837</v>
      </c>
      <c r="AF62" s="212">
        <f t="shared" si="8"/>
        <v>-0.93969262078590821</v>
      </c>
      <c r="AG62" s="212">
        <f t="shared" si="8"/>
        <v>-0.98480775301220802</v>
      </c>
      <c r="AH62" s="212">
        <f t="shared" si="8"/>
        <v>-1</v>
      </c>
      <c r="AI62" s="212">
        <f t="shared" si="8"/>
        <v>-0.98480775301220813</v>
      </c>
      <c r="AJ62" s="212">
        <f t="shared" si="8"/>
        <v>-0.93969262078590854</v>
      </c>
      <c r="AK62" s="212">
        <f t="shared" si="8"/>
        <v>-0.8660254037844386</v>
      </c>
      <c r="AL62" s="212">
        <f t="shared" si="8"/>
        <v>-0.76604444311897812</v>
      </c>
      <c r="AM62" s="212">
        <f t="shared" si="8"/>
        <v>-0.64278760968653958</v>
      </c>
      <c r="AN62" s="212">
        <f t="shared" si="8"/>
        <v>-0.50000000000000044</v>
      </c>
      <c r="AO62" s="212">
        <f t="shared" si="8"/>
        <v>-0.3420201433256686</v>
      </c>
      <c r="AP62" s="212">
        <f t="shared" si="8"/>
        <v>-0.17364817766693127</v>
      </c>
      <c r="AQ62" s="212">
        <f t="shared" si="8"/>
        <v>-2.45029690981724E-16</v>
      </c>
      <c r="AR62" s="212">
        <f t="shared" si="8"/>
        <v>0.17364817766692991</v>
      </c>
      <c r="AS62" s="212">
        <f t="shared" si="8"/>
        <v>0.34202014332566893</v>
      </c>
      <c r="AT62" s="212">
        <f t="shared" si="8"/>
        <v>0.49999999999999928</v>
      </c>
      <c r="AU62" s="212">
        <f t="shared" si="8"/>
        <v>0.64278760968653914</v>
      </c>
      <c r="AV62" s="312"/>
      <c r="AW62" s="312"/>
    </row>
    <row r="91" spans="5:18" ht="15" thickBot="1" x14ac:dyDescent="0.4"/>
    <row r="92" spans="5:18" ht="27" customHeight="1" thickBot="1" x14ac:dyDescent="0.4">
      <c r="E92" s="386" t="s">
        <v>653</v>
      </c>
      <c r="F92" s="350" t="s">
        <v>652</v>
      </c>
      <c r="G92" s="350" t="s">
        <v>658</v>
      </c>
      <c r="H92" s="350" t="s">
        <v>654</v>
      </c>
      <c r="I92" s="350" t="s">
        <v>655</v>
      </c>
      <c r="J92" s="350" t="s">
        <v>656</v>
      </c>
      <c r="K92" s="350" t="s">
        <v>663</v>
      </c>
      <c r="L92" s="421" t="s">
        <v>659</v>
      </c>
      <c r="M92" s="421"/>
      <c r="N92" s="421"/>
      <c r="O92" s="422"/>
      <c r="P92" s="423" t="s">
        <v>65</v>
      </c>
      <c r="Q92" s="424"/>
      <c r="R92" s="425"/>
    </row>
    <row r="93" spans="5:18" s="61" customFormat="1" ht="34" customHeight="1" x14ac:dyDescent="0.35">
      <c r="E93" s="347">
        <v>45</v>
      </c>
      <c r="F93" s="387" t="s">
        <v>298</v>
      </c>
      <c r="G93" s="388" t="str">
        <f>IF($P$92=$K$3,IF(F93=$L$3,RADIANS(E93),E93),"")</f>
        <v/>
      </c>
      <c r="H93" s="348" t="str">
        <f>IF($P$92=$K$3,SIN(G93),"")</f>
        <v/>
      </c>
      <c r="I93" s="348" t="str">
        <f>IF($P$92=$K$3,COS(G93),"")</f>
        <v/>
      </c>
      <c r="J93" s="348" t="str">
        <f>IF($P$92=$K$3,TAN(G93),"")</f>
        <v/>
      </c>
      <c r="K93" s="389" t="str">
        <f>IF($P$92=$K$3,IF(F93=$L$4,DEGREES(E93),E93),"")</f>
        <v/>
      </c>
    </row>
    <row r="94" spans="5:18" s="61" customFormat="1" ht="34" customHeight="1" x14ac:dyDescent="0.35">
      <c r="E94" s="347" t="s">
        <v>657</v>
      </c>
      <c r="F94" s="387" t="s">
        <v>300</v>
      </c>
      <c r="G94" s="388" t="str">
        <f>IF($P$92=$K$3,2*PI(),"")</f>
        <v/>
      </c>
      <c r="H94" s="348" t="str">
        <f t="shared" ref="H94:H96" si="9">IF($P$92=$K$3,SIN(G94),"")</f>
        <v/>
      </c>
      <c r="I94" s="348" t="str">
        <f t="shared" ref="I94:I96" si="10">IF($P$92=$K$3,COS(G94),"")</f>
        <v/>
      </c>
      <c r="J94" s="348" t="str">
        <f t="shared" ref="J94:J96" si="11">IF($P$92=$K$3,TAN(G94),"")</f>
        <v/>
      </c>
      <c r="K94" s="389" t="str">
        <f>IF($P$92=$K$3,IF(F94=$L$4,DEGREES(2*PI()),2*PI()),"")</f>
        <v/>
      </c>
    </row>
    <row r="95" spans="5:18" s="61" customFormat="1" ht="34" customHeight="1" x14ac:dyDescent="0.35">
      <c r="E95" s="347">
        <v>-3.14</v>
      </c>
      <c r="F95" s="387" t="s">
        <v>300</v>
      </c>
      <c r="G95" s="388" t="str">
        <f>IF($P$92=$K$3,IF(F95=$L$3,RADIANS(E95),E95),"")</f>
        <v/>
      </c>
      <c r="H95" s="348" t="str">
        <f t="shared" si="9"/>
        <v/>
      </c>
      <c r="I95" s="348" t="str">
        <f t="shared" si="10"/>
        <v/>
      </c>
      <c r="J95" s="348" t="str">
        <f t="shared" si="11"/>
        <v/>
      </c>
      <c r="K95" s="389" t="str">
        <f t="shared" ref="K95:K96" si="12">IF($P$92=$K$3,IF(F95=$L$4,DEGREES(E95),E95),"")</f>
        <v/>
      </c>
    </row>
    <row r="96" spans="5:18" s="61" customFormat="1" ht="34" customHeight="1" x14ac:dyDescent="0.35">
      <c r="E96" s="347">
        <v>-30</v>
      </c>
      <c r="F96" s="387" t="s">
        <v>298</v>
      </c>
      <c r="G96" s="388" t="str">
        <f>IF($P$92=$K$3,IF(F96=$L$3,RADIANS(E96),E96),"")</f>
        <v/>
      </c>
      <c r="H96" s="348" t="str">
        <f t="shared" si="9"/>
        <v/>
      </c>
      <c r="I96" s="348" t="str">
        <f t="shared" si="10"/>
        <v/>
      </c>
      <c r="J96" s="348" t="str">
        <f t="shared" si="11"/>
        <v/>
      </c>
      <c r="K96" s="389" t="str">
        <f t="shared" si="12"/>
        <v/>
      </c>
    </row>
    <row r="100" spans="5:11" ht="30" customHeight="1" x14ac:dyDescent="0.35">
      <c r="E100" s="92"/>
      <c r="F100" s="92"/>
      <c r="G100" s="349" t="s">
        <v>663</v>
      </c>
      <c r="H100" s="349" t="s">
        <v>658</v>
      </c>
    </row>
    <row r="101" spans="5:11" ht="32.5" customHeight="1" x14ac:dyDescent="0.35">
      <c r="E101" s="350" t="s">
        <v>660</v>
      </c>
      <c r="F101" s="347">
        <v>0.25</v>
      </c>
      <c r="G101" s="352" t="str">
        <f>IF($P$92=$K$3,DEGREES(ASIN(F101)),"")</f>
        <v/>
      </c>
      <c r="H101" s="351" t="str">
        <f>IF($P$92=$K$3,ASIN(F101),"")</f>
        <v/>
      </c>
    </row>
    <row r="102" spans="5:11" ht="32.5" customHeight="1" x14ac:dyDescent="0.35">
      <c r="E102" s="350" t="s">
        <v>660</v>
      </c>
      <c r="F102" s="347">
        <v>-0.5</v>
      </c>
      <c r="G102" s="352" t="str">
        <f>IF($P$92=$K$3,DEGREES(ASIN(F102)),"")</f>
        <v/>
      </c>
      <c r="H102" s="351" t="str">
        <f>IF($P$92=$K$3,ASIN(F102),"")</f>
        <v/>
      </c>
    </row>
    <row r="103" spans="5:11" ht="32.5" customHeight="1" x14ac:dyDescent="0.35">
      <c r="E103" s="350" t="s">
        <v>661</v>
      </c>
      <c r="F103" s="347">
        <v>-0.5</v>
      </c>
      <c r="G103" s="352" t="str">
        <f>IF($P$92=$K$3,DEGREES(ACOS(F103)),"")</f>
        <v/>
      </c>
      <c r="H103" s="351" t="str">
        <f>IF($P$92=$K$3,ACOS(F103),"")</f>
        <v/>
      </c>
    </row>
    <row r="104" spans="5:11" ht="32.5" customHeight="1" x14ac:dyDescent="0.35">
      <c r="E104" s="350" t="s">
        <v>661</v>
      </c>
      <c r="F104" s="347">
        <f>1/SQRT(2)</f>
        <v>0.70710678118654746</v>
      </c>
      <c r="G104" s="352" t="str">
        <f>IF($P$92=$K$3,DEGREES(ACOS(F104)),"")</f>
        <v/>
      </c>
      <c r="H104" s="351" t="str">
        <f>IF($P$92=$K$3,ACOS(F104),"")</f>
        <v/>
      </c>
    </row>
    <row r="105" spans="5:11" ht="32.5" customHeight="1" x14ac:dyDescent="0.35">
      <c r="E105" s="350" t="s">
        <v>662</v>
      </c>
      <c r="F105" s="347">
        <v>50</v>
      </c>
      <c r="G105" s="352" t="str">
        <f>IF($P$92=$K$3,DEGREES(ATAN(F105)),"")</f>
        <v/>
      </c>
      <c r="H105" s="351" t="str">
        <f>IF($P$92=$K$3,ATAN(F105),"")</f>
        <v/>
      </c>
    </row>
    <row r="106" spans="5:11" ht="32.5" customHeight="1" x14ac:dyDescent="0.35">
      <c r="E106" s="350" t="s">
        <v>662</v>
      </c>
      <c r="F106" s="347">
        <v>0.25</v>
      </c>
      <c r="G106" s="352" t="str">
        <f>IF($P$92=$K$3,DEGREES(ATAN(F106)),"")</f>
        <v/>
      </c>
      <c r="H106" s="351" t="str">
        <f>IF($P$92=$K$3,ATAN(F106),"")</f>
        <v/>
      </c>
    </row>
    <row r="110" spans="5:11" ht="26.5" thickBot="1" x14ac:dyDescent="0.65">
      <c r="E110" s="353" t="s">
        <v>664</v>
      </c>
      <c r="F110" s="353"/>
      <c r="H110" s="354" t="s">
        <v>821</v>
      </c>
    </row>
    <row r="111" spans="5:11" x14ac:dyDescent="0.35">
      <c r="E111" s="366" t="s">
        <v>665</v>
      </c>
      <c r="F111" s="10">
        <v>5</v>
      </c>
      <c r="G111" s="10" t="s">
        <v>713</v>
      </c>
      <c r="H111" s="10" t="s">
        <v>716</v>
      </c>
      <c r="I111" s="367">
        <f>F111*VLOOKUP(G111, CHOOSE({1,2,3,4}, Einheitenvorsätze!A:A, Einheitenvorsätze!B:B, Einheitenvorsätze!C:C, Einheitenvorsätze!D:D), 3, FALSE)</f>
        <v>0.05</v>
      </c>
      <c r="J111" s="367" t="str">
        <f>H111</f>
        <v>m</v>
      </c>
      <c r="K111" s="368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4" t="s">
        <v>666</v>
      </c>
      <c r="F112" s="4">
        <v>0.6</v>
      </c>
      <c r="G112" s="4" t="s">
        <v>707</v>
      </c>
      <c r="H112" s="4" t="s">
        <v>748</v>
      </c>
      <c r="I112" s="77">
        <f>F112*VLOOKUP(G112, CHOOSE({1,2,3,4}, Einheitenvorsätze!A:A, Einheitenvorsätze!B:B, Einheitenvorsätze!C:C, Einheitenvorsätze!D:D), 3, FALSE)</f>
        <v>0.6</v>
      </c>
      <c r="J112" s="77" t="str">
        <f t="shared" ref="J112:J113" si="13">H112</f>
        <v>Hz</v>
      </c>
      <c r="K112" s="268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69" t="s">
        <v>667</v>
      </c>
      <c r="F113" s="11">
        <v>6.2</v>
      </c>
      <c r="G113" s="11" t="s">
        <v>707</v>
      </c>
      <c r="H113" s="11" t="s">
        <v>745</v>
      </c>
      <c r="I113" s="370">
        <f>F113*VLOOKUP(G113, CHOOSE({1,2,3,4}, Einheitenvorsätze!A:A, Einheitenvorsätze!B:B, Einheitenvorsätze!C:C, Einheitenvorsätze!D:D), 3, FALSE)</f>
        <v>6.2</v>
      </c>
      <c r="J113" s="370" t="str">
        <f t="shared" si="13"/>
        <v>s</v>
      </c>
      <c r="K113" s="371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68"/>
      <c r="E116" s="373" t="str">
        <f>_xlfn.CONCAT("y(",$K$113,") = ")</f>
        <v xml:space="preserve">y(6.2 * 10⁰s) = </v>
      </c>
      <c r="F116" s="374" t="str">
        <f>_xlfn.CONCAT(K111, " * sin(2",Einheitenvorsätze!$C$53," * ",K112," * ",K113,")")</f>
        <v>5 * 10⁻²m * sin(2π * 0.6 * 10⁰Hz * 6.2 * 10⁰s)</v>
      </c>
      <c r="G116" s="374"/>
      <c r="H116" s="168"/>
      <c r="I116" s="168"/>
    </row>
    <row r="117" spans="4:11" ht="18.5" x14ac:dyDescent="0.45">
      <c r="D117" s="168"/>
      <c r="E117" s="373" t="str">
        <f t="shared" ref="E117:E118" si="14">_xlfn.CONCAT("y(",$K$113,") = ")</f>
        <v xml:space="preserve">y(6.2 * 10⁰s) = </v>
      </c>
      <c r="F117" s="374" t="str">
        <f>_xlfn.CONCAT(I111, " * sin(2",Einheitenvorsätze!$C$53," * ",I112," * ",I113,")",H111)</f>
        <v>0.05 * sin(2π * 0.6 * 6.2)m</v>
      </c>
      <c r="G117" s="168"/>
      <c r="H117" s="168"/>
      <c r="I117" s="168"/>
    </row>
    <row r="118" spans="4:11" ht="23.5" x14ac:dyDescent="0.55000000000000004">
      <c r="D118" s="375"/>
      <c r="E118" s="376" t="str">
        <f t="shared" si="14"/>
        <v xml:space="preserve">y(6.2 * 10⁰s) = </v>
      </c>
      <c r="F118" s="377">
        <f>I111*SIN(MOD(2*PI()*I112*I113,2*PI()))</f>
        <v>-4.9114362536434426E-2</v>
      </c>
      <c r="G118" s="375" t="str">
        <f>H111</f>
        <v>m</v>
      </c>
      <c r="H118" s="375"/>
      <c r="I118" s="168"/>
      <c r="J118" s="66"/>
    </row>
    <row r="123" spans="4:11" ht="15" thickBot="1" x14ac:dyDescent="0.4"/>
    <row r="124" spans="4:11" x14ac:dyDescent="0.35">
      <c r="D124" s="261"/>
      <c r="E124" s="262" t="s">
        <v>828</v>
      </c>
      <c r="F124" s="382">
        <v>230</v>
      </c>
      <c r="G124" s="383" t="s">
        <v>320</v>
      </c>
    </row>
    <row r="125" spans="4:11" x14ac:dyDescent="0.35">
      <c r="D125" s="378"/>
      <c r="E125" s="8" t="s">
        <v>829</v>
      </c>
      <c r="F125" s="75">
        <v>50</v>
      </c>
      <c r="G125" s="384" t="s">
        <v>748</v>
      </c>
    </row>
    <row r="126" spans="4:11" x14ac:dyDescent="0.35">
      <c r="D126" s="378"/>
      <c r="E126" s="8" t="s">
        <v>830</v>
      </c>
      <c r="F126" s="212">
        <f>F124*SQRT(2)</f>
        <v>325.26911934581187</v>
      </c>
      <c r="G126" s="268" t="str">
        <f>G124</f>
        <v>V</v>
      </c>
    </row>
    <row r="127" spans="4:11" x14ac:dyDescent="0.35">
      <c r="D127" s="378"/>
      <c r="E127" s="8" t="s">
        <v>831</v>
      </c>
      <c r="F127" s="212">
        <f>F124</f>
        <v>230</v>
      </c>
      <c r="G127" s="268" t="str">
        <f>G124</f>
        <v>V</v>
      </c>
    </row>
    <row r="128" spans="4:11" x14ac:dyDescent="0.35">
      <c r="D128" s="378"/>
      <c r="E128" s="8" t="s">
        <v>832</v>
      </c>
      <c r="F128" s="212">
        <f>F125</f>
        <v>50</v>
      </c>
      <c r="G128" s="384" t="str">
        <f>G125</f>
        <v>Hz</v>
      </c>
    </row>
    <row r="129" spans="4:19" x14ac:dyDescent="0.35">
      <c r="D129" s="378"/>
      <c r="E129" s="8" t="s">
        <v>824</v>
      </c>
      <c r="F129" s="212">
        <f>1/F128</f>
        <v>0.02</v>
      </c>
      <c r="G129" s="384" t="s">
        <v>745</v>
      </c>
    </row>
    <row r="130" spans="4:19" x14ac:dyDescent="0.35">
      <c r="D130" s="378"/>
      <c r="E130" s="8" t="s">
        <v>825</v>
      </c>
      <c r="F130" s="212">
        <f>2*PI()*F125</f>
        <v>314.15926535897933</v>
      </c>
      <c r="G130" s="384" t="s">
        <v>833</v>
      </c>
    </row>
    <row r="131" spans="4:19" x14ac:dyDescent="0.35">
      <c r="D131" s="378"/>
      <c r="E131" s="8" t="s">
        <v>826</v>
      </c>
      <c r="F131" s="212">
        <f>I131*F129</f>
        <v>6000000</v>
      </c>
      <c r="G131" s="384" t="s">
        <v>716</v>
      </c>
      <c r="I131" s="426">
        <f>3*10^8</f>
        <v>300000000</v>
      </c>
      <c r="J131" s="427"/>
      <c r="K131" s="381" t="s">
        <v>834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79"/>
      <c r="E132" s="380" t="s">
        <v>827</v>
      </c>
      <c r="F132" s="385">
        <f>F126*SIN(2*PI()*F125*I132)</f>
        <v>-7.9700591799201791E-14</v>
      </c>
      <c r="G132" s="371" t="str">
        <f>G124</f>
        <v>V</v>
      </c>
      <c r="I132" s="426">
        <v>0.02</v>
      </c>
      <c r="J132" s="427"/>
      <c r="K132" s="381" t="s">
        <v>835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29" t="s">
        <v>216</v>
      </c>
      <c r="D12" s="429"/>
      <c r="E12" s="429"/>
      <c r="F12" s="429"/>
      <c r="G12" s="429"/>
      <c r="H12" s="56"/>
      <c r="I12" s="429" t="s">
        <v>217</v>
      </c>
      <c r="J12" s="429"/>
      <c r="K12" s="429" t="s">
        <v>212</v>
      </c>
      <c r="L12" s="429"/>
      <c r="M12" s="429" t="s">
        <v>218</v>
      </c>
      <c r="N12" s="429"/>
      <c r="O12" s="429"/>
      <c r="P12" s="428" t="s">
        <v>229</v>
      </c>
      <c r="Q12" s="428"/>
      <c r="R12" s="428"/>
      <c r="S12" s="428"/>
      <c r="T12" s="428" t="s">
        <v>261</v>
      </c>
      <c r="U12" s="428"/>
      <c r="V12" s="428"/>
      <c r="W12" s="428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A67" sqref="A6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30" t="s">
        <v>417</v>
      </c>
      <c r="C13" s="427"/>
      <c r="D13" s="427"/>
      <c r="E13" s="427"/>
      <c r="F13" s="427"/>
      <c r="G13" s="427"/>
      <c r="H13" s="427"/>
      <c r="I13" s="427"/>
      <c r="L13" s="430" t="s">
        <v>418</v>
      </c>
      <c r="M13" s="431"/>
      <c r="N13" s="431"/>
      <c r="O13" s="431"/>
      <c r="Q13" s="430" t="s">
        <v>230</v>
      </c>
      <c r="R13" s="431"/>
      <c r="S13" s="431"/>
      <c r="T13" s="431"/>
      <c r="U13" s="431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46079.389027893521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46083</v>
      </c>
      <c r="E19" s="94">
        <f t="shared" ca="1" si="4"/>
        <v>66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Noch kein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46083</v>
      </c>
      <c r="E20" s="94">
        <f t="shared" ca="1" si="4"/>
        <v>31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Noch kein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35" t="s">
        <v>901</v>
      </c>
      <c r="D3" s="435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35" t="s">
        <v>21</v>
      </c>
      <c r="D4" s="435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35" t="s">
        <v>22</v>
      </c>
      <c r="D5" s="435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35" t="s">
        <v>887</v>
      </c>
      <c r="D6" s="435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36" t="s">
        <v>899</v>
      </c>
      <c r="D11" s="432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36" t="s">
        <v>900</v>
      </c>
      <c r="D12" s="432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33" t="s">
        <v>1</v>
      </c>
      <c r="D18" s="434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37" t="s">
        <v>19</v>
      </c>
      <c r="D19" s="437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32" t="s">
        <v>24</v>
      </c>
      <c r="D20" s="432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32" t="s">
        <v>888</v>
      </c>
      <c r="D21" s="432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46" t="str">
        <f>$O$8</f>
        <v>Anfangs-Geschwindigkeit</v>
      </c>
      <c r="D6" s="447"/>
      <c r="E6" s="450" t="str">
        <f>$O$9</f>
        <v>Geschwindigkeit</v>
      </c>
      <c r="F6" s="447"/>
      <c r="G6" s="450" t="str">
        <f>$O$10</f>
        <v>Strecke</v>
      </c>
      <c r="H6" s="447"/>
      <c r="I6" s="450" t="str">
        <f>$O$11</f>
        <v>Zeit</v>
      </c>
      <c r="J6" s="447"/>
      <c r="K6" s="450" t="str">
        <f>$O$12</f>
        <v>Beschleunigung</v>
      </c>
      <c r="L6" s="451"/>
    </row>
    <row r="7" spans="1:19" ht="15" thickBot="1" x14ac:dyDescent="0.4">
      <c r="B7" s="13" t="s">
        <v>37</v>
      </c>
      <c r="C7" s="448" t="str">
        <f>$P$8</f>
        <v>v0 [m/s]</v>
      </c>
      <c r="D7" s="449"/>
      <c r="E7" s="452" t="str">
        <f>$P$9</f>
        <v>v [m/s]</v>
      </c>
      <c r="F7" s="449"/>
      <c r="G7" s="452" t="str">
        <f>$P$10</f>
        <v>s [m]</v>
      </c>
      <c r="H7" s="449"/>
      <c r="I7" s="452" t="str">
        <f>$P$11</f>
        <v>t [s]</v>
      </c>
      <c r="J7" s="449"/>
      <c r="K7" s="452" t="str">
        <f>$P$12</f>
        <v>a [m/s2]</v>
      </c>
      <c r="L7" s="453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54">
        <v>119</v>
      </c>
      <c r="H8" s="459"/>
      <c r="I8" s="454">
        <v>7</v>
      </c>
      <c r="J8" s="459"/>
      <c r="K8" s="454">
        <v>2</v>
      </c>
      <c r="L8" s="455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56">
        <v>24</v>
      </c>
      <c r="F9" s="460"/>
      <c r="G9" s="16" t="s">
        <v>75</v>
      </c>
      <c r="H9" s="16">
        <f>E9*I9 - K9*I9^2/2</f>
        <v>119</v>
      </c>
      <c r="I9" s="456">
        <v>7</v>
      </c>
      <c r="J9" s="460"/>
      <c r="K9" s="456">
        <v>2</v>
      </c>
      <c r="L9" s="457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56">
        <v>24</v>
      </c>
      <c r="F10" s="460"/>
      <c r="G10" s="456">
        <v>119</v>
      </c>
      <c r="H10" s="460"/>
      <c r="I10" s="16" t="s">
        <v>76</v>
      </c>
      <c r="J10" s="16">
        <f>(E10 - SQRT(E10^2 - 2*K10*G10))/K10</f>
        <v>7</v>
      </c>
      <c r="K10" s="456">
        <v>2</v>
      </c>
      <c r="L10" s="457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56">
        <v>24</v>
      </c>
      <c r="F11" s="460"/>
      <c r="G11" s="456">
        <v>119</v>
      </c>
      <c r="H11" s="460"/>
      <c r="I11" s="456">
        <v>7</v>
      </c>
      <c r="J11" s="460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62">
        <v>10</v>
      </c>
      <c r="D12" s="460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56">
        <v>7</v>
      </c>
      <c r="J12" s="460"/>
      <c r="K12" s="456">
        <v>2</v>
      </c>
      <c r="L12" s="457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62">
        <v>10</v>
      </c>
      <c r="D13" s="460"/>
      <c r="E13" s="16" t="s">
        <v>80</v>
      </c>
      <c r="F13" s="16">
        <f>SQRT(C13^2 + 2*K13*G13)</f>
        <v>24</v>
      </c>
      <c r="G13" s="456">
        <v>119</v>
      </c>
      <c r="H13" s="460"/>
      <c r="I13" s="22" t="s">
        <v>55</v>
      </c>
      <c r="J13" s="16">
        <f xml:space="preserve"> (-C13 + SQRT(C13^2 + 2*K13*G13))/K13</f>
        <v>7</v>
      </c>
      <c r="K13" s="458">
        <v>2</v>
      </c>
      <c r="L13" s="457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62">
        <v>10</v>
      </c>
      <c r="D14" s="460"/>
      <c r="E14" s="16" t="s">
        <v>81</v>
      </c>
      <c r="F14" s="16">
        <f>2*G14/I14 - C14</f>
        <v>24</v>
      </c>
      <c r="G14" s="456">
        <v>119</v>
      </c>
      <c r="H14" s="460"/>
      <c r="I14" s="456">
        <v>7</v>
      </c>
      <c r="J14" s="461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62">
        <v>10</v>
      </c>
      <c r="D15" s="460"/>
      <c r="E15" s="456">
        <v>24</v>
      </c>
      <c r="F15" s="460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56">
        <v>2</v>
      </c>
      <c r="L15" s="457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62">
        <v>10</v>
      </c>
      <c r="D16" s="460"/>
      <c r="E16" s="456">
        <v>24</v>
      </c>
      <c r="F16" s="460"/>
      <c r="G16" s="16" t="s">
        <v>83</v>
      </c>
      <c r="H16" s="16">
        <f>(C16+E16)*I16/2</f>
        <v>119</v>
      </c>
      <c r="I16" s="456">
        <v>7</v>
      </c>
      <c r="J16" s="460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4">
        <v>10</v>
      </c>
      <c r="D17" s="463"/>
      <c r="E17" s="458">
        <v>24</v>
      </c>
      <c r="F17" s="463"/>
      <c r="G17" s="458">
        <v>119</v>
      </c>
      <c r="H17" s="463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42" t="str">
        <f>P13</f>
        <v>ω0 [rad/s]</v>
      </c>
      <c r="D18" s="443"/>
      <c r="E18" s="444" t="str">
        <f>P14</f>
        <v>ω [rad/s]</v>
      </c>
      <c r="F18" s="443"/>
      <c r="G18" s="444" t="str">
        <f>P15</f>
        <v>φ [rad]</v>
      </c>
      <c r="H18" s="443"/>
      <c r="I18" s="444" t="str">
        <f>P16</f>
        <v>t [s]</v>
      </c>
      <c r="J18" s="443"/>
      <c r="K18" s="444" t="str">
        <f>P17</f>
        <v>α [rad/s2]</v>
      </c>
      <c r="L18" s="445"/>
    </row>
    <row r="19" spans="1:16" ht="29.15" customHeight="1" thickBot="1" x14ac:dyDescent="0.4">
      <c r="C19" s="438" t="str">
        <f>O13</f>
        <v>Anfangs-Winkelgeschwindigkeit</v>
      </c>
      <c r="D19" s="439"/>
      <c r="E19" s="440" t="str">
        <f>O14</f>
        <v>Winkelgeschwindigkeit</v>
      </c>
      <c r="F19" s="439"/>
      <c r="G19" s="440" t="str">
        <f>O15</f>
        <v>Winkel</v>
      </c>
      <c r="H19" s="439"/>
      <c r="I19" s="440" t="str">
        <f>O16</f>
        <v>Zeit</v>
      </c>
      <c r="J19" s="439"/>
      <c r="K19" s="440" t="str">
        <f>O17</f>
        <v>Winkelbeschleunigung</v>
      </c>
      <c r="L19" s="441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32" t="s">
        <v>73</v>
      </c>
      <c r="V7" s="432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65"/>
      <c r="D11" s="465"/>
      <c r="E11" s="465"/>
      <c r="F11" s="465"/>
      <c r="G11" s="465"/>
      <c r="H11" s="465"/>
      <c r="I11" s="465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66" t="s">
        <v>441</v>
      </c>
      <c r="D12" s="466"/>
      <c r="E12" s="466"/>
      <c r="F12" s="466"/>
      <c r="G12" s="466"/>
      <c r="H12" s="466"/>
      <c r="I12" s="466"/>
      <c r="J12" s="32"/>
      <c r="K12" s="32"/>
      <c r="M12" s="42" t="s">
        <v>435</v>
      </c>
      <c r="N12" s="23">
        <v>50</v>
      </c>
      <c r="O12" s="467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68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69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32" t="s">
        <v>73</v>
      </c>
      <c r="S7" s="432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65"/>
      <c r="D11" s="465"/>
      <c r="E11" s="465"/>
      <c r="F11" s="465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66" t="s">
        <v>476</v>
      </c>
      <c r="D12" s="466"/>
      <c r="E12" s="466"/>
      <c r="F12" s="466"/>
      <c r="G12" s="32"/>
      <c r="H12" s="32"/>
      <c r="J12" s="42" t="s">
        <v>62</v>
      </c>
      <c r="K12" s="23">
        <v>60</v>
      </c>
      <c r="L12" s="467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69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30" t="s">
        <v>418</v>
      </c>
      <c r="N9" s="431"/>
      <c r="O9" s="431"/>
      <c r="P9" s="431"/>
      <c r="R9" s="430" t="s">
        <v>230</v>
      </c>
      <c r="S9" s="431"/>
      <c r="T9" s="431"/>
      <c r="U9" s="431"/>
      <c r="V9" s="431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26</vt:i4>
      </vt:variant>
    </vt:vector>
  </HeadingPairs>
  <TitlesOfParts>
    <vt:vector size="26" baseType="lpstr">
      <vt:lpstr>TOC</vt:lpstr>
      <vt:lpstr>Einheitenvorsätze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2026-02-26T09:13:29Z</dcterms:modified>
</cp:coreProperties>
</file>