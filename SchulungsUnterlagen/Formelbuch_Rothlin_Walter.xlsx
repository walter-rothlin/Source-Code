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omments1.xml" ContentType="application/vnd.openxmlformats-officedocument.spreadsheetml.comments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5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6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7.xml" ContentType="application/vnd.openxmlformats-officedocument.drawing+xml"/>
  <Override PartName="/xl/comments2.xml" ContentType="application/vnd.openxmlformats-officedocument.spreadsheetml.comments+xml"/>
  <Override PartName="/xl/drawings/drawing18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9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20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1.xml" ContentType="application/vnd.openxmlformats-officedocument.drawing+xml"/>
  <Override PartName="/xl/comments3.xml" ContentType="application/vnd.openxmlformats-officedocument.spreadsheetml.comments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Landwirtschaft\Documents\SoruceCode\SchulungsUnterlagen\"/>
    </mc:Choice>
  </mc:AlternateContent>
  <xr:revisionPtr revIDLastSave="0" documentId="13_ncr:1_{B0F0EFE3-6DC7-44D1-B6FA-719F09CC6048}" xr6:coauthVersionLast="47" xr6:coauthVersionMax="47" xr10:uidLastSave="{00000000-0000-0000-0000-000000000000}"/>
  <bookViews>
    <workbookView xWindow="2690" yWindow="1450" windowWidth="14400" windowHeight="7280" firstSheet="16" activeTab="16" xr2:uid="{00000000-000D-0000-FFFF-FFFF00000000}"/>
  </bookViews>
  <sheets>
    <sheet name="TOC" sheetId="13" r:id="rId1"/>
    <sheet name="Einheitenvorsätze" sheetId="32" r:id="rId2"/>
    <sheet name="Elektronische Schaltzeichen" sheetId="30" r:id="rId3"/>
    <sheet name="LCR-Glieder" sheetId="35" r:id="rId4"/>
    <sheet name="Quelle mit Innenwiderstand" sheetId="29" r:id="rId5"/>
    <sheet name="Leistung bei Wechselstrom" sheetId="28" r:id="rId6"/>
    <sheet name="Schiefeebene" sheetId="19" r:id="rId7"/>
    <sheet name="Schiefe-Ebene (alt)" sheetId="20" r:id="rId8"/>
    <sheet name="Sinus_Cosinus" sheetId="22" r:id="rId9"/>
    <sheet name="Vektoroperationen" sheetId="18" r:id="rId10"/>
    <sheet name="VektorZeitbereich" sheetId="24" r:id="rId11"/>
    <sheet name="Geburtstagsliste" sheetId="17" r:id="rId12"/>
    <sheet name="Einheiten umrechnen" sheetId="16" r:id="rId13"/>
    <sheet name="Flächenberechnungen" sheetId="14" r:id="rId14"/>
    <sheet name="Kinematik_1" sheetId="4" r:id="rId15"/>
    <sheet name="Kinematik_1 (Weg-Zeit)" sheetId="33" r:id="rId16"/>
    <sheet name="Kinematik_2" sheetId="9" r:id="rId17"/>
    <sheet name="Kinematik_2_Berechnungen" sheetId="11" r:id="rId18"/>
    <sheet name="Kinematik_2 (Weg-Zeit)" sheetId="34" r:id="rId19"/>
    <sheet name="Fourierreihe" sheetId="12" r:id="rId20"/>
    <sheet name="Scheinleistung" sheetId="15" r:id="rId21"/>
    <sheet name="3-Phasenstrom" sheetId="25" r:id="rId22"/>
    <sheet name="Gemischte Schaltung" sheetId="23" r:id="rId23"/>
    <sheet name="Theoreme" sheetId="26" r:id="rId24"/>
    <sheet name="Fläche eines Polygones" sheetId="27" r:id="rId25"/>
  </sheets>
  <definedNames>
    <definedName name="_xlnm._FilterDatabase" localSheetId="11" hidden="1">Geburtstagsliste!$A$4:$K$4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4" i="9" l="1"/>
  <c r="N4" i="9"/>
  <c r="F11" i="9"/>
  <c r="G11" i="9"/>
  <c r="H11" i="9"/>
  <c r="I11" i="9"/>
  <c r="J11" i="9"/>
  <c r="K11" i="9"/>
  <c r="L11" i="9"/>
  <c r="M11" i="9"/>
  <c r="N11" i="9"/>
  <c r="O11" i="9"/>
  <c r="P11" i="9"/>
  <c r="Q11" i="9"/>
  <c r="R11" i="9"/>
  <c r="S11" i="9"/>
  <c r="T11" i="9"/>
  <c r="U11" i="9"/>
  <c r="V11" i="9"/>
  <c r="W11" i="9"/>
  <c r="X11" i="9"/>
  <c r="Y11" i="9"/>
  <c r="Z11" i="9"/>
  <c r="AA11" i="9"/>
  <c r="E11" i="9"/>
  <c r="D15" i="33"/>
  <c r="D13" i="33"/>
  <c r="D14" i="33"/>
  <c r="D12" i="33"/>
  <c r="AH8" i="35"/>
  <c r="AH11" i="35" s="1"/>
  <c r="AE7" i="35"/>
  <c r="AB8" i="35"/>
  <c r="I21" i="35"/>
  <c r="G21" i="35"/>
  <c r="I20" i="35"/>
  <c r="G20" i="35"/>
  <c r="I19" i="35"/>
  <c r="G19" i="35"/>
  <c r="I16" i="35"/>
  <c r="G16" i="35"/>
  <c r="I15" i="35"/>
  <c r="G15" i="35"/>
  <c r="G12" i="35"/>
  <c r="G8" i="35"/>
  <c r="G9" i="35"/>
  <c r="G10" i="35"/>
  <c r="G7" i="35"/>
  <c r="I19" i="32"/>
  <c r="H19" i="32"/>
  <c r="I17" i="32"/>
  <c r="I12" i="35"/>
  <c r="K8" i="35"/>
  <c r="K9" i="35"/>
  <c r="K10" i="35"/>
  <c r="L10" i="35" s="1"/>
  <c r="X9" i="35" s="1"/>
  <c r="I8" i="35"/>
  <c r="I9" i="35"/>
  <c r="I10" i="35"/>
  <c r="I7" i="35"/>
  <c r="J8" i="35"/>
  <c r="J9" i="35"/>
  <c r="J10" i="35"/>
  <c r="O12" i="32"/>
  <c r="F7" i="35"/>
  <c r="K7" i="35" s="1"/>
  <c r="H8" i="35"/>
  <c r="H9" i="35"/>
  <c r="H10" i="35"/>
  <c r="D12" i="35" s="1"/>
  <c r="H7" i="35"/>
  <c r="AB7" i="35" s="1"/>
  <c r="L12" i="32"/>
  <c r="E9" i="13"/>
  <c r="H12" i="34"/>
  <c r="I12" i="34"/>
  <c r="J12" i="34"/>
  <c r="K12" i="34"/>
  <c r="L12" i="34"/>
  <c r="M12" i="34"/>
  <c r="N12" i="34"/>
  <c r="O12" i="34"/>
  <c r="P12" i="34"/>
  <c r="Q12" i="34"/>
  <c r="R12" i="34"/>
  <c r="S12" i="34"/>
  <c r="T12" i="34"/>
  <c r="U12" i="34"/>
  <c r="V12" i="34"/>
  <c r="W12" i="34"/>
  <c r="X12" i="34"/>
  <c r="Y12" i="34"/>
  <c r="Z12" i="34"/>
  <c r="AA12" i="34"/>
  <c r="H13" i="34"/>
  <c r="I13" i="34"/>
  <c r="J13" i="34"/>
  <c r="K13" i="34"/>
  <c r="L13" i="34"/>
  <c r="M13" i="34"/>
  <c r="N13" i="34"/>
  <c r="O13" i="34"/>
  <c r="P13" i="34"/>
  <c r="Q13" i="34"/>
  <c r="R13" i="34"/>
  <c r="S13" i="34"/>
  <c r="T13" i="34"/>
  <c r="U13" i="34"/>
  <c r="V13" i="34"/>
  <c r="W13" i="34"/>
  <c r="X13" i="34"/>
  <c r="Y13" i="34"/>
  <c r="Z13" i="34"/>
  <c r="AA13" i="34"/>
  <c r="G12" i="34"/>
  <c r="G13" i="34"/>
  <c r="E15" i="34"/>
  <c r="E16" i="34"/>
  <c r="E14" i="34"/>
  <c r="C23" i="13"/>
  <c r="C45" i="34"/>
  <c r="J45" i="34" s="1"/>
  <c r="I48" i="34" s="1"/>
  <c r="J48" i="34" s="1"/>
  <c r="C23" i="34"/>
  <c r="G18" i="34"/>
  <c r="H11" i="34"/>
  <c r="I11" i="34" s="1"/>
  <c r="J11" i="34" s="1"/>
  <c r="C19" i="13"/>
  <c r="E18" i="13"/>
  <c r="C7" i="13"/>
  <c r="C9" i="13"/>
  <c r="C6" i="13"/>
  <c r="E8" i="13"/>
  <c r="C18" i="13"/>
  <c r="M24" i="4"/>
  <c r="K24" i="4"/>
  <c r="L24" i="4"/>
  <c r="J24" i="4"/>
  <c r="M28" i="4"/>
  <c r="L27" i="4"/>
  <c r="K26" i="4"/>
  <c r="J25" i="4"/>
  <c r="C39" i="33"/>
  <c r="C43" i="33" s="1"/>
  <c r="C17" i="33"/>
  <c r="F14" i="33"/>
  <c r="F12" i="33"/>
  <c r="G11" i="33"/>
  <c r="H11" i="33" s="1"/>
  <c r="K94" i="22"/>
  <c r="K95" i="22"/>
  <c r="K96" i="22"/>
  <c r="K93" i="22"/>
  <c r="G132" i="22"/>
  <c r="G128" i="22"/>
  <c r="G127" i="22"/>
  <c r="G126" i="22"/>
  <c r="I131" i="22"/>
  <c r="F130" i="22"/>
  <c r="F128" i="22"/>
  <c r="F129" i="22" s="1"/>
  <c r="F127" i="22"/>
  <c r="F126" i="22"/>
  <c r="I111" i="22"/>
  <c r="G118" i="22"/>
  <c r="I112" i="22"/>
  <c r="J112" i="22"/>
  <c r="K112" i="22"/>
  <c r="I113" i="22"/>
  <c r="J113" i="22"/>
  <c r="K113" i="22"/>
  <c r="E117" i="22" s="1"/>
  <c r="K111" i="22"/>
  <c r="I18" i="32"/>
  <c r="I16" i="32"/>
  <c r="J111" i="22"/>
  <c r="M12" i="32"/>
  <c r="E5" i="13"/>
  <c r="F104" i="22"/>
  <c r="G104" i="22" s="1"/>
  <c r="G106" i="22"/>
  <c r="H106" i="22"/>
  <c r="G102" i="22"/>
  <c r="H102" i="22"/>
  <c r="G105" i="22"/>
  <c r="H105" i="22"/>
  <c r="H103" i="22"/>
  <c r="G103" i="22"/>
  <c r="H101" i="22"/>
  <c r="G101" i="22"/>
  <c r="G93" i="22"/>
  <c r="J93" i="22" s="1"/>
  <c r="G14" i="33" l="1"/>
  <c r="AE11" i="35"/>
  <c r="AB9" i="35"/>
  <c r="J7" i="35"/>
  <c r="M7" i="35" s="1"/>
  <c r="L9" i="35"/>
  <c r="F15" i="35"/>
  <c r="F21" i="35" s="1"/>
  <c r="F16" i="35"/>
  <c r="M9" i="35"/>
  <c r="D15" i="35"/>
  <c r="M8" i="35"/>
  <c r="J12" i="35"/>
  <c r="M12" i="35" s="1"/>
  <c r="M10" i="35"/>
  <c r="D16" i="35"/>
  <c r="H16" i="35" s="1"/>
  <c r="D20" i="35" s="1"/>
  <c r="H20" i="35" s="1"/>
  <c r="J16" i="35"/>
  <c r="M16" i="35" s="1"/>
  <c r="K12" i="35"/>
  <c r="L12" i="35" s="1"/>
  <c r="Z7" i="35" s="1"/>
  <c r="H12" i="35"/>
  <c r="L8" i="35"/>
  <c r="X8" i="35" s="1"/>
  <c r="L7" i="35"/>
  <c r="X7" i="35" s="1"/>
  <c r="H18" i="34"/>
  <c r="C46" i="34"/>
  <c r="C48" i="34"/>
  <c r="I46" i="34" s="1"/>
  <c r="J49" i="34" s="1"/>
  <c r="J18" i="34"/>
  <c r="K11" i="34"/>
  <c r="I18" i="34"/>
  <c r="C49" i="34"/>
  <c r="G12" i="33"/>
  <c r="H14" i="33"/>
  <c r="I11" i="33"/>
  <c r="H12" i="33"/>
  <c r="I39" i="33"/>
  <c r="H42" i="33" s="1"/>
  <c r="I42" i="33" s="1"/>
  <c r="C40" i="33"/>
  <c r="C42" i="33"/>
  <c r="H40" i="33" s="1"/>
  <c r="I93" i="22"/>
  <c r="F132" i="22"/>
  <c r="F131" i="22"/>
  <c r="E116" i="22"/>
  <c r="E118" i="22"/>
  <c r="F116" i="22"/>
  <c r="F117" i="22"/>
  <c r="F118" i="22"/>
  <c r="H104" i="22"/>
  <c r="G96" i="22"/>
  <c r="G95" i="22"/>
  <c r="G94" i="22"/>
  <c r="H94" i="22" s="1"/>
  <c r="F17" i="28"/>
  <c r="F12" i="22"/>
  <c r="BB13" i="22"/>
  <c r="BB12" i="22"/>
  <c r="BC13" i="22"/>
  <c r="BC12" i="22"/>
  <c r="F13" i="22"/>
  <c r="BB3" i="22"/>
  <c r="BC3" i="22" s="1"/>
  <c r="AZ11" i="22"/>
  <c r="AY11" i="22"/>
  <c r="AY12" i="22" s="1"/>
  <c r="G11" i="22"/>
  <c r="G61" i="22" s="1"/>
  <c r="H37" i="27"/>
  <c r="H36" i="27"/>
  <c r="G36" i="27"/>
  <c r="F36" i="27"/>
  <c r="H35" i="27"/>
  <c r="G35" i="27"/>
  <c r="F35" i="27"/>
  <c r="H34" i="27"/>
  <c r="G34" i="27"/>
  <c r="F34" i="27"/>
  <c r="H33" i="27"/>
  <c r="G33" i="27"/>
  <c r="F33" i="27"/>
  <c r="H32" i="27"/>
  <c r="G32" i="27"/>
  <c r="F32" i="27"/>
  <c r="H31" i="27"/>
  <c r="G31" i="27"/>
  <c r="F31" i="27"/>
  <c r="H30" i="27"/>
  <c r="G30" i="27"/>
  <c r="F30" i="27"/>
  <c r="H29" i="27"/>
  <c r="G29" i="27"/>
  <c r="F29" i="27"/>
  <c r="H28" i="27"/>
  <c r="G28" i="27"/>
  <c r="F28" i="27"/>
  <c r="H27" i="27"/>
  <c r="G27" i="27"/>
  <c r="F27" i="27"/>
  <c r="H26" i="27"/>
  <c r="G26" i="27"/>
  <c r="F26" i="27"/>
  <c r="H25" i="27"/>
  <c r="G25" i="27"/>
  <c r="F25" i="27"/>
  <c r="H24" i="27"/>
  <c r="G24" i="27"/>
  <c r="F24" i="27"/>
  <c r="L23" i="27"/>
  <c r="H23" i="27"/>
  <c r="G23" i="27"/>
  <c r="F23" i="27"/>
  <c r="W273" i="23"/>
  <c r="R273" i="23"/>
  <c r="I273" i="23"/>
  <c r="X268" i="23"/>
  <c r="W268" i="23"/>
  <c r="V268" i="23"/>
  <c r="U268" i="23"/>
  <c r="S268" i="23"/>
  <c r="R268" i="23"/>
  <c r="Q268" i="23"/>
  <c r="P268" i="23"/>
  <c r="H268" i="23"/>
  <c r="X267" i="23"/>
  <c r="W267" i="23"/>
  <c r="V267" i="23"/>
  <c r="U267" i="23"/>
  <c r="S267" i="23"/>
  <c r="R267" i="23"/>
  <c r="Q267" i="23"/>
  <c r="P267" i="23"/>
  <c r="V232" i="23"/>
  <c r="W229" i="23"/>
  <c r="W226" i="23"/>
  <c r="R226" i="23"/>
  <c r="I225" i="23"/>
  <c r="D221" i="23"/>
  <c r="X219" i="23"/>
  <c r="W219" i="23"/>
  <c r="V219" i="23"/>
  <c r="U219" i="23"/>
  <c r="H219" i="23"/>
  <c r="X218" i="23"/>
  <c r="W218" i="23"/>
  <c r="V218" i="23"/>
  <c r="U218" i="23"/>
  <c r="S218" i="23"/>
  <c r="R218" i="23"/>
  <c r="Q218" i="23"/>
  <c r="P218" i="23"/>
  <c r="X217" i="23"/>
  <c r="W217" i="23"/>
  <c r="V217" i="23"/>
  <c r="U217" i="23"/>
  <c r="S217" i="23"/>
  <c r="R217" i="23"/>
  <c r="Q217" i="23"/>
  <c r="P217" i="23"/>
  <c r="I187" i="23"/>
  <c r="G187" i="23"/>
  <c r="V186" i="23"/>
  <c r="W183" i="23"/>
  <c r="W180" i="23"/>
  <c r="R180" i="23"/>
  <c r="D179" i="23"/>
  <c r="I178" i="23"/>
  <c r="F178" i="23"/>
  <c r="X176" i="23"/>
  <c r="W176" i="23"/>
  <c r="V176" i="23"/>
  <c r="U176" i="23"/>
  <c r="X175" i="23"/>
  <c r="W175" i="23"/>
  <c r="V175" i="23"/>
  <c r="U175" i="23"/>
  <c r="X174" i="23"/>
  <c r="W174" i="23"/>
  <c r="V174" i="23"/>
  <c r="U174" i="23"/>
  <c r="X173" i="23"/>
  <c r="W173" i="23"/>
  <c r="V173" i="23"/>
  <c r="U173" i="23"/>
  <c r="S173" i="23"/>
  <c r="R173" i="23"/>
  <c r="Q173" i="23"/>
  <c r="P173" i="23"/>
  <c r="X172" i="23"/>
  <c r="W172" i="23"/>
  <c r="V172" i="23"/>
  <c r="U172" i="23"/>
  <c r="S172" i="23"/>
  <c r="R172" i="23"/>
  <c r="Q172" i="23"/>
  <c r="P172" i="23"/>
  <c r="E171" i="23"/>
  <c r="V146" i="23"/>
  <c r="W144" i="23"/>
  <c r="W141" i="23"/>
  <c r="R141" i="23"/>
  <c r="X137" i="23"/>
  <c r="W137" i="23"/>
  <c r="V137" i="23"/>
  <c r="U137" i="23"/>
  <c r="X136" i="23"/>
  <c r="W136" i="23"/>
  <c r="V136" i="23"/>
  <c r="U136" i="23"/>
  <c r="S136" i="23"/>
  <c r="R136" i="23"/>
  <c r="Q136" i="23"/>
  <c r="P136" i="23"/>
  <c r="X135" i="23"/>
  <c r="W135" i="23"/>
  <c r="V135" i="23"/>
  <c r="U135" i="23"/>
  <c r="S135" i="23"/>
  <c r="R135" i="23"/>
  <c r="Q135" i="23"/>
  <c r="P135" i="23"/>
  <c r="V104" i="23"/>
  <c r="W101" i="23"/>
  <c r="R101" i="23"/>
  <c r="W98" i="23"/>
  <c r="R98" i="23"/>
  <c r="S91" i="23"/>
  <c r="R91" i="23"/>
  <c r="Q91" i="23"/>
  <c r="P91" i="23"/>
  <c r="X90" i="23"/>
  <c r="W90" i="23"/>
  <c r="V90" i="23"/>
  <c r="U90" i="23"/>
  <c r="S90" i="23"/>
  <c r="R90" i="23"/>
  <c r="Q90" i="23"/>
  <c r="P90" i="23"/>
  <c r="X89" i="23"/>
  <c r="W89" i="23"/>
  <c r="V89" i="23"/>
  <c r="U89" i="23"/>
  <c r="S89" i="23"/>
  <c r="R89" i="23"/>
  <c r="Q89" i="23"/>
  <c r="P89" i="23"/>
  <c r="X88" i="23"/>
  <c r="W88" i="23"/>
  <c r="V88" i="23"/>
  <c r="U88" i="23"/>
  <c r="S88" i="23"/>
  <c r="R88" i="23"/>
  <c r="Q88" i="23"/>
  <c r="P88" i="23"/>
  <c r="V73" i="23"/>
  <c r="V71" i="23"/>
  <c r="W68" i="23"/>
  <c r="W65" i="23"/>
  <c r="R65" i="23"/>
  <c r="W62" i="23"/>
  <c r="R62" i="23"/>
  <c r="W59" i="23"/>
  <c r="R59" i="23"/>
  <c r="X53" i="23"/>
  <c r="W53" i="23"/>
  <c r="V53" i="23"/>
  <c r="U53" i="23"/>
  <c r="S53" i="23"/>
  <c r="R53" i="23"/>
  <c r="Q53" i="23"/>
  <c r="P53" i="23"/>
  <c r="X52" i="23"/>
  <c r="W52" i="23"/>
  <c r="V52" i="23"/>
  <c r="U52" i="23"/>
  <c r="S52" i="23"/>
  <c r="R52" i="23"/>
  <c r="Q52" i="23"/>
  <c r="P52" i="23"/>
  <c r="X51" i="23"/>
  <c r="W51" i="23"/>
  <c r="V51" i="23"/>
  <c r="U51" i="23"/>
  <c r="S51" i="23"/>
  <c r="R51" i="23"/>
  <c r="Q51" i="23"/>
  <c r="P51" i="23"/>
  <c r="X50" i="23"/>
  <c r="W50" i="23"/>
  <c r="V50" i="23"/>
  <c r="U50" i="23"/>
  <c r="S50" i="23"/>
  <c r="R50" i="23"/>
  <c r="Q50" i="23"/>
  <c r="P50" i="23"/>
  <c r="X49" i="23"/>
  <c r="W49" i="23"/>
  <c r="V49" i="23"/>
  <c r="U49" i="23"/>
  <c r="S49" i="23"/>
  <c r="R49" i="23"/>
  <c r="Q49" i="23"/>
  <c r="P49" i="23"/>
  <c r="X48" i="23"/>
  <c r="W48" i="23"/>
  <c r="V48" i="23"/>
  <c r="U48" i="23"/>
  <c r="S48" i="23"/>
  <c r="R48" i="23"/>
  <c r="Q48" i="23"/>
  <c r="P48" i="23"/>
  <c r="W34" i="23"/>
  <c r="W31" i="23"/>
  <c r="S31" i="23"/>
  <c r="R31" i="23"/>
  <c r="Q31" i="23"/>
  <c r="P31" i="23"/>
  <c r="S29" i="23"/>
  <c r="R29" i="23"/>
  <c r="Q29" i="23"/>
  <c r="P29" i="23"/>
  <c r="W27" i="23"/>
  <c r="S27" i="23"/>
  <c r="R27" i="23"/>
  <c r="Q27" i="23"/>
  <c r="P27" i="23"/>
  <c r="S25" i="23"/>
  <c r="R25" i="23"/>
  <c r="Q25" i="23"/>
  <c r="P25" i="23"/>
  <c r="W24" i="23"/>
  <c r="S23" i="23"/>
  <c r="R23" i="23"/>
  <c r="Q23" i="23"/>
  <c r="P23" i="23"/>
  <c r="S22" i="23"/>
  <c r="R22" i="23"/>
  <c r="Q22" i="23"/>
  <c r="P22" i="23"/>
  <c r="W21" i="23"/>
  <c r="S20" i="23"/>
  <c r="R20" i="23"/>
  <c r="Q20" i="23"/>
  <c r="P20" i="23"/>
  <c r="S19" i="23"/>
  <c r="R19" i="23"/>
  <c r="Q19" i="23"/>
  <c r="P19" i="23"/>
  <c r="W18" i="23"/>
  <c r="S18" i="23"/>
  <c r="R18" i="23"/>
  <c r="Q18" i="23"/>
  <c r="P18" i="23"/>
  <c r="AC15" i="23"/>
  <c r="AB15" i="23"/>
  <c r="AA15" i="23"/>
  <c r="Z15" i="23"/>
  <c r="R15" i="23"/>
  <c r="AC14" i="23"/>
  <c r="AB14" i="23"/>
  <c r="AA14" i="23"/>
  <c r="Z14" i="23"/>
  <c r="X14" i="23"/>
  <c r="W14" i="23"/>
  <c r="V14" i="23"/>
  <c r="U14" i="23"/>
  <c r="AC13" i="23"/>
  <c r="AB13" i="23"/>
  <c r="AA13" i="23"/>
  <c r="Z13" i="23"/>
  <c r="X13" i="23"/>
  <c r="W13" i="23"/>
  <c r="V13" i="23"/>
  <c r="U13" i="23"/>
  <c r="AC12" i="23"/>
  <c r="AB12" i="23"/>
  <c r="AA12" i="23"/>
  <c r="Z12" i="23"/>
  <c r="X12" i="23"/>
  <c r="W12" i="23"/>
  <c r="V12" i="23"/>
  <c r="U12" i="23"/>
  <c r="AC11" i="23"/>
  <c r="AB11" i="23"/>
  <c r="AA11" i="23"/>
  <c r="Z11" i="23"/>
  <c r="X11" i="23"/>
  <c r="W11" i="23"/>
  <c r="V11" i="23"/>
  <c r="U11" i="23"/>
  <c r="AC10" i="23"/>
  <c r="AB10" i="23"/>
  <c r="AA10" i="23"/>
  <c r="Z10" i="23"/>
  <c r="X10" i="23"/>
  <c r="W10" i="23"/>
  <c r="V10" i="23"/>
  <c r="U10" i="23"/>
  <c r="AC9" i="23"/>
  <c r="AB9" i="23"/>
  <c r="AA9" i="23"/>
  <c r="Z9" i="23"/>
  <c r="X9" i="23"/>
  <c r="W9" i="23"/>
  <c r="V9" i="23"/>
  <c r="U9" i="23"/>
  <c r="AC8" i="23"/>
  <c r="AB8" i="23"/>
  <c r="AA8" i="23"/>
  <c r="Z8" i="23"/>
  <c r="X8" i="23"/>
  <c r="W8" i="23"/>
  <c r="V8" i="23"/>
  <c r="U8" i="23"/>
  <c r="AC7" i="23"/>
  <c r="AB7" i="23"/>
  <c r="AA7" i="23"/>
  <c r="Z7" i="23"/>
  <c r="X7" i="23"/>
  <c r="W7" i="23"/>
  <c r="V7" i="23"/>
  <c r="U7" i="23"/>
  <c r="AC6" i="23"/>
  <c r="AB6" i="23"/>
  <c r="AA6" i="23"/>
  <c r="Z6" i="23"/>
  <c r="X6" i="23"/>
  <c r="W6" i="23"/>
  <c r="V6" i="23"/>
  <c r="U6" i="23"/>
  <c r="AC5" i="23"/>
  <c r="AB5" i="23"/>
  <c r="AA5" i="23"/>
  <c r="Z5" i="23"/>
  <c r="X5" i="23"/>
  <c r="W5" i="23"/>
  <c r="V5" i="23"/>
  <c r="U5" i="23"/>
  <c r="O126" i="25"/>
  <c r="N126" i="25"/>
  <c r="O123" i="25"/>
  <c r="N123" i="25"/>
  <c r="N119" i="25"/>
  <c r="N118" i="25"/>
  <c r="L118" i="25"/>
  <c r="N117" i="25"/>
  <c r="M117" i="25"/>
  <c r="L117" i="25"/>
  <c r="K117" i="25"/>
  <c r="N116" i="25"/>
  <c r="M116" i="25"/>
  <c r="L116" i="25"/>
  <c r="K116" i="25"/>
  <c r="N115" i="25"/>
  <c r="L115" i="25"/>
  <c r="N110" i="25"/>
  <c r="M110" i="25"/>
  <c r="L110" i="25"/>
  <c r="K110" i="25"/>
  <c r="N109" i="25"/>
  <c r="M109" i="25"/>
  <c r="L109" i="25"/>
  <c r="N108" i="25"/>
  <c r="M108" i="25"/>
  <c r="L108" i="25"/>
  <c r="N107" i="25"/>
  <c r="M107" i="25"/>
  <c r="L107" i="25"/>
  <c r="L103" i="25"/>
  <c r="L102" i="25"/>
  <c r="L101" i="25"/>
  <c r="L99" i="25"/>
  <c r="L98" i="25"/>
  <c r="L97" i="25"/>
  <c r="L96" i="25"/>
  <c r="Q87" i="25"/>
  <c r="N87" i="25"/>
  <c r="Q86" i="25"/>
  <c r="BB26" i="25"/>
  <c r="BA26" i="25"/>
  <c r="AZ26" i="25"/>
  <c r="AY26" i="25"/>
  <c r="AX26" i="25"/>
  <c r="AW26" i="25"/>
  <c r="AV26" i="25"/>
  <c r="AU26" i="25"/>
  <c r="AT26" i="25"/>
  <c r="AS26" i="25"/>
  <c r="AR26" i="25"/>
  <c r="AQ26" i="25"/>
  <c r="AP26" i="25"/>
  <c r="AO26" i="25"/>
  <c r="AN26" i="25"/>
  <c r="AM26" i="25"/>
  <c r="AL26" i="25"/>
  <c r="AK26" i="25"/>
  <c r="AJ26" i="25"/>
  <c r="AI26" i="25"/>
  <c r="AH26" i="25"/>
  <c r="AG26" i="25"/>
  <c r="AF26" i="25"/>
  <c r="AE26" i="25"/>
  <c r="AD26" i="25"/>
  <c r="AC26" i="25"/>
  <c r="AB26" i="25"/>
  <c r="AA26" i="25"/>
  <c r="Z26" i="25"/>
  <c r="Y26" i="25"/>
  <c r="X26" i="25"/>
  <c r="W26" i="25"/>
  <c r="V26" i="25"/>
  <c r="U26" i="25"/>
  <c r="T26" i="25"/>
  <c r="S26" i="25"/>
  <c r="R26" i="25"/>
  <c r="BB25" i="25"/>
  <c r="BA25" i="25"/>
  <c r="AZ25" i="25"/>
  <c r="AY25" i="25"/>
  <c r="AX25" i="25"/>
  <c r="AW25" i="25"/>
  <c r="AV25" i="25"/>
  <c r="AU25" i="25"/>
  <c r="AT25" i="25"/>
  <c r="AS25" i="25"/>
  <c r="AR25" i="25"/>
  <c r="AQ25" i="25"/>
  <c r="AP25" i="25"/>
  <c r="AO25" i="25"/>
  <c r="AN25" i="25"/>
  <c r="AM25" i="25"/>
  <c r="AL25" i="25"/>
  <c r="AK25" i="25"/>
  <c r="AJ25" i="25"/>
  <c r="AI25" i="25"/>
  <c r="AH25" i="25"/>
  <c r="AG25" i="25"/>
  <c r="AF25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BB24" i="25"/>
  <c r="BA24" i="25"/>
  <c r="AZ24" i="25"/>
  <c r="AY24" i="25"/>
  <c r="AX24" i="25"/>
  <c r="AW24" i="25"/>
  <c r="AV24" i="25"/>
  <c r="AU24" i="25"/>
  <c r="AT24" i="25"/>
  <c r="AS24" i="25"/>
  <c r="AR24" i="25"/>
  <c r="AQ24" i="25"/>
  <c r="AP24" i="25"/>
  <c r="AO24" i="25"/>
  <c r="AN24" i="25"/>
  <c r="AM24" i="25"/>
  <c r="AL24" i="25"/>
  <c r="AK24" i="25"/>
  <c r="AJ24" i="25"/>
  <c r="AI24" i="25"/>
  <c r="AH24" i="25"/>
  <c r="AG24" i="25"/>
  <c r="AF24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AD16" i="25"/>
  <c r="AC16" i="25"/>
  <c r="AC15" i="25"/>
  <c r="Y14" i="25"/>
  <c r="P14" i="25"/>
  <c r="O14" i="25"/>
  <c r="N14" i="25"/>
  <c r="M14" i="25"/>
  <c r="J14" i="25"/>
  <c r="I14" i="25"/>
  <c r="H14" i="25"/>
  <c r="G14" i="25"/>
  <c r="F14" i="25"/>
  <c r="E14" i="25"/>
  <c r="C14" i="25"/>
  <c r="V13" i="25"/>
  <c r="T13" i="25"/>
  <c r="R13" i="25"/>
  <c r="P13" i="25"/>
  <c r="N13" i="25"/>
  <c r="J13" i="25"/>
  <c r="I13" i="25"/>
  <c r="G13" i="25"/>
  <c r="F13" i="25"/>
  <c r="C13" i="25"/>
  <c r="V12" i="25"/>
  <c r="T12" i="25"/>
  <c r="R12" i="25"/>
  <c r="P12" i="25"/>
  <c r="N12" i="25"/>
  <c r="J12" i="25"/>
  <c r="I12" i="25"/>
  <c r="G12" i="25"/>
  <c r="F12" i="25"/>
  <c r="C12" i="25"/>
  <c r="AB11" i="25"/>
  <c r="U11" i="25"/>
  <c r="S11" i="25"/>
  <c r="R11" i="25"/>
  <c r="P11" i="25"/>
  <c r="N11" i="25"/>
  <c r="J11" i="25"/>
  <c r="I11" i="25"/>
  <c r="G11" i="25"/>
  <c r="C11" i="25"/>
  <c r="AB10" i="25"/>
  <c r="AA10" i="25"/>
  <c r="Y10" i="25"/>
  <c r="AH5" i="25"/>
  <c r="AE5" i="25"/>
  <c r="AB5" i="25"/>
  <c r="AH4" i="25"/>
  <c r="AE4" i="25"/>
  <c r="AB4" i="25"/>
  <c r="AH3" i="25"/>
  <c r="AB3" i="2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K23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K22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K21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K18" i="15"/>
  <c r="F18" i="15"/>
  <c r="E18" i="15"/>
  <c r="C18" i="15"/>
  <c r="B18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K17" i="15"/>
  <c r="J17" i="15"/>
  <c r="F17" i="15"/>
  <c r="D17" i="15"/>
  <c r="C17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K16" i="15"/>
  <c r="J16" i="15"/>
  <c r="F16" i="15"/>
  <c r="E16" i="15"/>
  <c r="D16" i="15"/>
  <c r="C16" i="15"/>
  <c r="AY15" i="15"/>
  <c r="AX15" i="15"/>
  <c r="AW15" i="15"/>
  <c r="AV15" i="15"/>
  <c r="AU15" i="15"/>
  <c r="AT15" i="15"/>
  <c r="AS15" i="15"/>
  <c r="AR15" i="15"/>
  <c r="AQ15" i="15"/>
  <c r="AP15" i="15"/>
  <c r="AO15" i="15"/>
  <c r="AN15" i="15"/>
  <c r="AM15" i="15"/>
  <c r="AL15" i="15"/>
  <c r="AK15" i="15"/>
  <c r="AJ15" i="15"/>
  <c r="AI15" i="15"/>
  <c r="AH15" i="15"/>
  <c r="AG15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K15" i="15"/>
  <c r="J15" i="15"/>
  <c r="F15" i="15"/>
  <c r="D15" i="15"/>
  <c r="AY14" i="15"/>
  <c r="AX14" i="15"/>
  <c r="AW14" i="15"/>
  <c r="AV14" i="15"/>
  <c r="AU14" i="15"/>
  <c r="AT14" i="15"/>
  <c r="AS14" i="15"/>
  <c r="AR14" i="15"/>
  <c r="AQ14" i="15"/>
  <c r="AP14" i="15"/>
  <c r="AO14" i="15"/>
  <c r="AN14" i="15"/>
  <c r="AM14" i="15"/>
  <c r="AL14" i="15"/>
  <c r="AK14" i="15"/>
  <c r="AJ14" i="15"/>
  <c r="AI14" i="15"/>
  <c r="AH14" i="15"/>
  <c r="AG14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K14" i="15"/>
  <c r="J14" i="15"/>
  <c r="F14" i="15"/>
  <c r="AY13" i="15"/>
  <c r="AX13" i="15"/>
  <c r="AW13" i="15"/>
  <c r="AV13" i="15"/>
  <c r="AU13" i="15"/>
  <c r="AT13" i="15"/>
  <c r="AS13" i="15"/>
  <c r="AR13" i="15"/>
  <c r="AQ13" i="15"/>
  <c r="AP13" i="15"/>
  <c r="AO13" i="15"/>
  <c r="AN13" i="15"/>
  <c r="AM13" i="15"/>
  <c r="AL13" i="15"/>
  <c r="AK13" i="15"/>
  <c r="AJ13" i="15"/>
  <c r="AI13" i="15"/>
  <c r="AH13" i="15"/>
  <c r="AG13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K13" i="15"/>
  <c r="AY12" i="15"/>
  <c r="AX12" i="15"/>
  <c r="AW12" i="15"/>
  <c r="AV12" i="15"/>
  <c r="AU12" i="15"/>
  <c r="AT12" i="15"/>
  <c r="AS12" i="15"/>
  <c r="AR12" i="15"/>
  <c r="AQ12" i="15"/>
  <c r="AP12" i="15"/>
  <c r="AO12" i="15"/>
  <c r="AN12" i="15"/>
  <c r="AM12" i="15"/>
  <c r="AL12" i="15"/>
  <c r="AK12" i="15"/>
  <c r="AJ12" i="15"/>
  <c r="AI12" i="15"/>
  <c r="AH12" i="15"/>
  <c r="AG12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E8" i="15"/>
  <c r="T7" i="15"/>
  <c r="AD6" i="15"/>
  <c r="AC6" i="15"/>
  <c r="X6" i="15"/>
  <c r="W6" i="15"/>
  <c r="T6" i="15"/>
  <c r="AA5" i="15"/>
  <c r="X5" i="15"/>
  <c r="W5" i="15"/>
  <c r="T5" i="15"/>
  <c r="BB19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N19" i="12"/>
  <c r="G19" i="12"/>
  <c r="F19" i="12"/>
  <c r="D19" i="12"/>
  <c r="BB18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R18" i="12"/>
  <c r="Q18" i="12"/>
  <c r="P18" i="12"/>
  <c r="N18" i="12"/>
  <c r="M18" i="12"/>
  <c r="I18" i="12"/>
  <c r="G18" i="12"/>
  <c r="F18" i="12"/>
  <c r="E18" i="12"/>
  <c r="D18" i="12"/>
  <c r="C18" i="12"/>
  <c r="BB17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Q17" i="12"/>
  <c r="P17" i="12"/>
  <c r="N17" i="12"/>
  <c r="M17" i="12"/>
  <c r="I17" i="12"/>
  <c r="G17" i="12"/>
  <c r="F17" i="12"/>
  <c r="E17" i="12"/>
  <c r="D17" i="12"/>
  <c r="C17" i="12"/>
  <c r="BB16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R16" i="12"/>
  <c r="Q16" i="12"/>
  <c r="P16" i="12"/>
  <c r="N16" i="12"/>
  <c r="M16" i="12"/>
  <c r="I16" i="12"/>
  <c r="G16" i="12"/>
  <c r="F16" i="12"/>
  <c r="E16" i="12"/>
  <c r="D16" i="12"/>
  <c r="C16" i="12"/>
  <c r="BB15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N15" i="12"/>
  <c r="M15" i="12"/>
  <c r="I15" i="12"/>
  <c r="G15" i="12"/>
  <c r="F15" i="12"/>
  <c r="E15" i="12"/>
  <c r="BB14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R14" i="12"/>
  <c r="Q14" i="12"/>
  <c r="P14" i="12"/>
  <c r="N14" i="12"/>
  <c r="BB13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AO13" i="12"/>
  <c r="AN13" i="12"/>
  <c r="AM13" i="12"/>
  <c r="AL13" i="12"/>
  <c r="AK13" i="12"/>
  <c r="AJ13" i="12"/>
  <c r="AI13" i="12"/>
  <c r="AH13" i="12"/>
  <c r="AG13" i="12"/>
  <c r="AF13" i="12"/>
  <c r="AE13" i="12"/>
  <c r="AD13" i="12"/>
  <c r="AC13" i="12"/>
  <c r="AB13" i="12"/>
  <c r="AA13" i="12"/>
  <c r="Z13" i="12"/>
  <c r="Y13" i="12"/>
  <c r="X13" i="12"/>
  <c r="W13" i="12"/>
  <c r="V13" i="12"/>
  <c r="U13" i="12"/>
  <c r="T13" i="12"/>
  <c r="S13" i="12"/>
  <c r="R13" i="12"/>
  <c r="Q13" i="12"/>
  <c r="P13" i="12"/>
  <c r="N13" i="12"/>
  <c r="BB12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R12" i="12"/>
  <c r="Q12" i="12"/>
  <c r="W7" i="12"/>
  <c r="AA6" i="12"/>
  <c r="W6" i="12"/>
  <c r="AA5" i="12"/>
  <c r="Z5" i="12"/>
  <c r="W5" i="12"/>
  <c r="K19" i="11"/>
  <c r="I19" i="11"/>
  <c r="G19" i="11"/>
  <c r="E19" i="11"/>
  <c r="C19" i="11"/>
  <c r="K18" i="11"/>
  <c r="I18" i="11"/>
  <c r="G18" i="11"/>
  <c r="E18" i="11"/>
  <c r="C18" i="11"/>
  <c r="L17" i="11"/>
  <c r="J17" i="11"/>
  <c r="L16" i="11"/>
  <c r="H16" i="11"/>
  <c r="J15" i="11"/>
  <c r="H15" i="11"/>
  <c r="L14" i="11"/>
  <c r="F14" i="11"/>
  <c r="J13" i="11"/>
  <c r="F13" i="11"/>
  <c r="S12" i="11"/>
  <c r="Q12" i="11"/>
  <c r="H12" i="11"/>
  <c r="F12" i="11"/>
  <c r="Q11" i="11"/>
  <c r="L11" i="11"/>
  <c r="D11" i="11"/>
  <c r="Q10" i="11"/>
  <c r="J10" i="11"/>
  <c r="D10" i="11"/>
  <c r="Q9" i="11"/>
  <c r="H9" i="11"/>
  <c r="D9" i="11"/>
  <c r="Q8" i="11"/>
  <c r="F8" i="11"/>
  <c r="D8" i="11"/>
  <c r="K7" i="11"/>
  <c r="I7" i="11"/>
  <c r="G7" i="11"/>
  <c r="E7" i="11"/>
  <c r="C7" i="11"/>
  <c r="K6" i="11"/>
  <c r="I6" i="11"/>
  <c r="G6" i="11"/>
  <c r="E6" i="11"/>
  <c r="C6" i="11"/>
  <c r="AA10" i="9"/>
  <c r="Z10" i="9"/>
  <c r="Y10" i="9"/>
  <c r="X10" i="9"/>
  <c r="W10" i="9"/>
  <c r="V10" i="9"/>
  <c r="U10" i="9"/>
  <c r="T10" i="9"/>
  <c r="S10" i="9"/>
  <c r="R10" i="9"/>
  <c r="Q10" i="9"/>
  <c r="P10" i="9"/>
  <c r="O10" i="9"/>
  <c r="N10" i="9"/>
  <c r="M10" i="9"/>
  <c r="L10" i="9"/>
  <c r="K10" i="9"/>
  <c r="J10" i="9"/>
  <c r="I10" i="9"/>
  <c r="H10" i="9"/>
  <c r="G10" i="9"/>
  <c r="F10" i="9"/>
  <c r="E10" i="9"/>
  <c r="AA9" i="9"/>
  <c r="Z9" i="9"/>
  <c r="Y9" i="9"/>
  <c r="X9" i="9"/>
  <c r="W9" i="9"/>
  <c r="V9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Z4" i="9"/>
  <c r="AA4" i="9" s="1"/>
  <c r="Q4" i="9"/>
  <c r="P4" i="9"/>
  <c r="S4" i="9"/>
  <c r="T4" i="9" s="1"/>
  <c r="AA3" i="9"/>
  <c r="X3" i="9"/>
  <c r="W3" i="9"/>
  <c r="T3" i="9"/>
  <c r="Q3" i="9"/>
  <c r="N3" i="9"/>
  <c r="M3" i="9"/>
  <c r="J18" i="4"/>
  <c r="K17" i="4"/>
  <c r="L17" i="4" s="1"/>
  <c r="F7" i="4"/>
  <c r="E7" i="4"/>
  <c r="D7" i="4"/>
  <c r="C7" i="4"/>
  <c r="I7" i="4" s="1"/>
  <c r="F8" i="4" s="1"/>
  <c r="H25" i="14"/>
  <c r="F25" i="14"/>
  <c r="E25" i="14"/>
  <c r="C25" i="14"/>
  <c r="B25" i="14"/>
  <c r="H24" i="14"/>
  <c r="F24" i="14"/>
  <c r="E24" i="14"/>
  <c r="D24" i="14"/>
  <c r="C24" i="14"/>
  <c r="G23" i="14"/>
  <c r="F23" i="14"/>
  <c r="E23" i="14"/>
  <c r="C23" i="14"/>
  <c r="B23" i="14"/>
  <c r="G22" i="14"/>
  <c r="F22" i="14"/>
  <c r="E22" i="14"/>
  <c r="D22" i="14"/>
  <c r="C22" i="14"/>
  <c r="H21" i="14"/>
  <c r="G21" i="14"/>
  <c r="E21" i="14"/>
  <c r="D21" i="14"/>
  <c r="B21" i="14"/>
  <c r="H20" i="14"/>
  <c r="G20" i="14"/>
  <c r="F20" i="14"/>
  <c r="D20" i="14"/>
  <c r="B20" i="14"/>
  <c r="H19" i="14"/>
  <c r="G19" i="14"/>
  <c r="F19" i="14"/>
  <c r="E19" i="14"/>
  <c r="B19" i="14"/>
  <c r="H18" i="14"/>
  <c r="G18" i="14"/>
  <c r="F18" i="14"/>
  <c r="E18" i="14"/>
  <c r="D18" i="14"/>
  <c r="J12" i="14"/>
  <c r="H12" i="14"/>
  <c r="G12" i="14"/>
  <c r="K11" i="14"/>
  <c r="H11" i="14"/>
  <c r="G11" i="14"/>
  <c r="J10" i="14"/>
  <c r="I10" i="14"/>
  <c r="H10" i="14"/>
  <c r="D10" i="14"/>
  <c r="C10" i="14"/>
  <c r="B10" i="14"/>
  <c r="K9" i="14"/>
  <c r="I9" i="14"/>
  <c r="H9" i="14"/>
  <c r="E9" i="14"/>
  <c r="C9" i="14"/>
  <c r="B9" i="14"/>
  <c r="K8" i="14"/>
  <c r="J8" i="14"/>
  <c r="H8" i="14"/>
  <c r="E8" i="14"/>
  <c r="D8" i="14"/>
  <c r="B8" i="14"/>
  <c r="K7" i="14"/>
  <c r="J7" i="14"/>
  <c r="I7" i="14"/>
  <c r="E7" i="14"/>
  <c r="D7" i="14"/>
  <c r="C7" i="14"/>
  <c r="B34" i="17"/>
  <c r="A34" i="17"/>
  <c r="B33" i="17"/>
  <c r="A33" i="17"/>
  <c r="B32" i="17"/>
  <c r="A32" i="17"/>
  <c r="B31" i="17"/>
  <c r="A31" i="17"/>
  <c r="B30" i="17"/>
  <c r="A30" i="17"/>
  <c r="B29" i="17"/>
  <c r="A29" i="17"/>
  <c r="B28" i="17"/>
  <c r="A28" i="17"/>
  <c r="B27" i="17"/>
  <c r="A27" i="17"/>
  <c r="B26" i="17"/>
  <c r="A26" i="17"/>
  <c r="B25" i="17"/>
  <c r="A25" i="17"/>
  <c r="B24" i="17"/>
  <c r="A24" i="17"/>
  <c r="B23" i="17"/>
  <c r="A23" i="17"/>
  <c r="B22" i="17"/>
  <c r="A22" i="17"/>
  <c r="B21" i="17"/>
  <c r="A21" i="17"/>
  <c r="B20" i="17"/>
  <c r="A20" i="17"/>
  <c r="B19" i="17"/>
  <c r="A19" i="17"/>
  <c r="B18" i="17"/>
  <c r="A18" i="17"/>
  <c r="B17" i="17"/>
  <c r="A17" i="17"/>
  <c r="B16" i="17"/>
  <c r="A16" i="17"/>
  <c r="B15" i="17"/>
  <c r="A15" i="17"/>
  <c r="B14" i="17"/>
  <c r="A14" i="17"/>
  <c r="B13" i="17"/>
  <c r="A13" i="17"/>
  <c r="B12" i="17"/>
  <c r="A12" i="17"/>
  <c r="B11" i="17"/>
  <c r="A11" i="17"/>
  <c r="B10" i="17"/>
  <c r="A10" i="17"/>
  <c r="B9" i="17"/>
  <c r="A9" i="17"/>
  <c r="B8" i="17"/>
  <c r="A8" i="17"/>
  <c r="B7" i="17"/>
  <c r="A7" i="17"/>
  <c r="B6" i="17"/>
  <c r="A6" i="17"/>
  <c r="B5" i="17"/>
  <c r="A5" i="17"/>
  <c r="J2" i="17"/>
  <c r="C33" i="17" s="1"/>
  <c r="D33" i="17" s="1"/>
  <c r="AW25" i="24"/>
  <c r="AV25" i="24"/>
  <c r="AU25" i="24"/>
  <c r="AT25" i="24"/>
  <c r="AS25" i="24"/>
  <c r="AR25" i="24"/>
  <c r="AQ25" i="24"/>
  <c r="AP25" i="24"/>
  <c r="AO25" i="24"/>
  <c r="AN25" i="24"/>
  <c r="AM25" i="24"/>
  <c r="AL25" i="24"/>
  <c r="AK25" i="24"/>
  <c r="AJ25" i="24"/>
  <c r="AI25" i="24"/>
  <c r="AH25" i="24"/>
  <c r="AG25" i="24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AW24" i="24"/>
  <c r="AV24" i="24"/>
  <c r="AU24" i="24"/>
  <c r="AT24" i="24"/>
  <c r="AS24" i="24"/>
  <c r="AR24" i="24"/>
  <c r="AQ24" i="24"/>
  <c r="AP24" i="24"/>
  <c r="AO24" i="24"/>
  <c r="AN24" i="24"/>
  <c r="AM24" i="24"/>
  <c r="AL24" i="24"/>
  <c r="AK24" i="24"/>
  <c r="AJ24" i="24"/>
  <c r="AI24" i="24"/>
  <c r="AH24" i="24"/>
  <c r="AG24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AW23" i="24"/>
  <c r="AV23" i="24"/>
  <c r="AU23" i="24"/>
  <c r="AT23" i="24"/>
  <c r="AS23" i="24"/>
  <c r="AR23" i="24"/>
  <c r="AQ23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AW22" i="24"/>
  <c r="AV22" i="24"/>
  <c r="AU22" i="24"/>
  <c r="AT22" i="24"/>
  <c r="AS22" i="24"/>
  <c r="AR22" i="24"/>
  <c r="AQ22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AW21" i="24"/>
  <c r="AV21" i="24"/>
  <c r="AU21" i="24"/>
  <c r="AT21" i="24"/>
  <c r="AS21" i="24"/>
  <c r="AR21" i="24"/>
  <c r="AQ21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I18" i="24"/>
  <c r="H18" i="24"/>
  <c r="G18" i="24"/>
  <c r="F18" i="24"/>
  <c r="E18" i="24"/>
  <c r="D18" i="24"/>
  <c r="C18" i="24"/>
  <c r="O17" i="24"/>
  <c r="M17" i="24"/>
  <c r="I17" i="24"/>
  <c r="H17" i="24"/>
  <c r="G17" i="24"/>
  <c r="F17" i="24"/>
  <c r="E17" i="24"/>
  <c r="D17" i="24"/>
  <c r="C17" i="24"/>
  <c r="U16" i="24"/>
  <c r="S16" i="24"/>
  <c r="Q16" i="24"/>
  <c r="O16" i="24"/>
  <c r="M16" i="24"/>
  <c r="G16" i="24"/>
  <c r="F16" i="24"/>
  <c r="E16" i="24"/>
  <c r="D16" i="24"/>
  <c r="C16" i="24"/>
  <c r="T15" i="24"/>
  <c r="R15" i="24"/>
  <c r="Q15" i="24"/>
  <c r="O15" i="24"/>
  <c r="M15" i="24"/>
  <c r="I15" i="24"/>
  <c r="H15" i="24"/>
  <c r="G15" i="24"/>
  <c r="F15" i="24"/>
  <c r="G8" i="24"/>
  <c r="F8" i="24"/>
  <c r="G7" i="24"/>
  <c r="F7" i="24"/>
  <c r="D7" i="24"/>
  <c r="G6" i="24"/>
  <c r="F6" i="24"/>
  <c r="D6" i="24"/>
  <c r="S20" i="18"/>
  <c r="R20" i="18"/>
  <c r="W20" i="18" s="1"/>
  <c r="Q20" i="18"/>
  <c r="P20" i="18"/>
  <c r="V20" i="18" s="1"/>
  <c r="O20" i="18"/>
  <c r="N20" i="18"/>
  <c r="M20" i="18"/>
  <c r="L20" i="18"/>
  <c r="K20" i="18"/>
  <c r="J20" i="18"/>
  <c r="I20" i="18"/>
  <c r="S19" i="18"/>
  <c r="R19" i="18"/>
  <c r="W19" i="18" s="1"/>
  <c r="Q19" i="18"/>
  <c r="P19" i="18"/>
  <c r="V19" i="18" s="1"/>
  <c r="O19" i="18"/>
  <c r="N19" i="18"/>
  <c r="M19" i="18"/>
  <c r="L19" i="18"/>
  <c r="K19" i="18"/>
  <c r="J19" i="18"/>
  <c r="I19" i="18"/>
  <c r="S18" i="18"/>
  <c r="R18" i="18"/>
  <c r="W18" i="18" s="1"/>
  <c r="Q18" i="18"/>
  <c r="P18" i="18"/>
  <c r="V18" i="18" s="1"/>
  <c r="O18" i="18"/>
  <c r="N18" i="18"/>
  <c r="M18" i="18"/>
  <c r="L18" i="18"/>
  <c r="K18" i="18"/>
  <c r="J18" i="18"/>
  <c r="I18" i="18"/>
  <c r="S17" i="18"/>
  <c r="R17" i="18"/>
  <c r="W17" i="18" s="1"/>
  <c r="Q17" i="18"/>
  <c r="P17" i="18"/>
  <c r="V17" i="18" s="1"/>
  <c r="O17" i="18"/>
  <c r="N17" i="18"/>
  <c r="M17" i="18"/>
  <c r="L17" i="18"/>
  <c r="K17" i="18"/>
  <c r="J17" i="18"/>
  <c r="I17" i="18"/>
  <c r="W16" i="18"/>
  <c r="S16" i="18"/>
  <c r="R16" i="18"/>
  <c r="Q16" i="18"/>
  <c r="P16" i="18"/>
  <c r="V16" i="18" s="1"/>
  <c r="O16" i="18"/>
  <c r="N16" i="18"/>
  <c r="M16" i="18"/>
  <c r="L16" i="18"/>
  <c r="K16" i="18"/>
  <c r="J16" i="18"/>
  <c r="I16" i="18"/>
  <c r="S15" i="18"/>
  <c r="R15" i="18"/>
  <c r="Q15" i="18"/>
  <c r="P15" i="18"/>
  <c r="V15" i="18" s="1"/>
  <c r="O15" i="18"/>
  <c r="N15" i="18"/>
  <c r="M15" i="18"/>
  <c r="L15" i="18"/>
  <c r="K15" i="18"/>
  <c r="J15" i="18"/>
  <c r="I15" i="18"/>
  <c r="S14" i="18"/>
  <c r="Q14" i="18"/>
  <c r="O14" i="18"/>
  <c r="N14" i="18"/>
  <c r="M14" i="18"/>
  <c r="L14" i="18"/>
  <c r="K14" i="18"/>
  <c r="J14" i="18"/>
  <c r="I14" i="18"/>
  <c r="W5" i="18"/>
  <c r="V5" i="18"/>
  <c r="AC4" i="18"/>
  <c r="W4" i="18"/>
  <c r="V4" i="18"/>
  <c r="AA3" i="18"/>
  <c r="W3" i="18"/>
  <c r="V3" i="18"/>
  <c r="G21" i="20"/>
  <c r="G20" i="20"/>
  <c r="F18" i="20"/>
  <c r="G15" i="20"/>
  <c r="AK42" i="19"/>
  <c r="AK41" i="19"/>
  <c r="AJ41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I37" i="19"/>
  <c r="AH37" i="19"/>
  <c r="AG37" i="19"/>
  <c r="AF37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AI36" i="19"/>
  <c r="AH36" i="19"/>
  <c r="AG36" i="19"/>
  <c r="AF36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I35" i="19"/>
  <c r="AH35" i="19"/>
  <c r="AG35" i="19"/>
  <c r="AF35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H33" i="19"/>
  <c r="G33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H32" i="19"/>
  <c r="G32" i="19"/>
  <c r="O31" i="19"/>
  <c r="I31" i="19"/>
  <c r="H31" i="19"/>
  <c r="G31" i="19"/>
  <c r="H30" i="19"/>
  <c r="G30" i="19"/>
  <c r="H28" i="19"/>
  <c r="G28" i="19"/>
  <c r="H27" i="19"/>
  <c r="G27" i="19"/>
  <c r="H26" i="19"/>
  <c r="G26" i="19"/>
  <c r="O24" i="19"/>
  <c r="L24" i="19"/>
  <c r="O23" i="19"/>
  <c r="L23" i="19"/>
  <c r="G23" i="19"/>
  <c r="F23" i="19"/>
  <c r="E23" i="19"/>
  <c r="G22" i="19"/>
  <c r="F22" i="19"/>
  <c r="E22" i="19"/>
  <c r="H10" i="22"/>
  <c r="H11" i="22" s="1"/>
  <c r="H61" i="22" s="1"/>
  <c r="AT13" i="28"/>
  <c r="AS13" i="28"/>
  <c r="AR13" i="28"/>
  <c r="AQ13" i="28"/>
  <c r="AP13" i="28"/>
  <c r="AO13" i="28"/>
  <c r="AN13" i="28"/>
  <c r="AM13" i="28"/>
  <c r="AL13" i="28"/>
  <c r="AK13" i="28"/>
  <c r="AJ13" i="28"/>
  <c r="AI13" i="28"/>
  <c r="AH13" i="28"/>
  <c r="AG13" i="28"/>
  <c r="AF13" i="28"/>
  <c r="AE13" i="28"/>
  <c r="AD13" i="28"/>
  <c r="AC13" i="28"/>
  <c r="AB13" i="28"/>
  <c r="AA13" i="28"/>
  <c r="Z13" i="28"/>
  <c r="Y13" i="28"/>
  <c r="X13" i="28"/>
  <c r="W13" i="28"/>
  <c r="V13" i="28"/>
  <c r="U13" i="28"/>
  <c r="T13" i="28"/>
  <c r="S13" i="28"/>
  <c r="R13" i="28"/>
  <c r="Q13" i="28"/>
  <c r="P13" i="28"/>
  <c r="O13" i="28"/>
  <c r="N13" i="28"/>
  <c r="M13" i="28"/>
  <c r="L13" i="28"/>
  <c r="K13" i="28"/>
  <c r="J13" i="28"/>
  <c r="I13" i="28"/>
  <c r="H13" i="28"/>
  <c r="G13" i="28"/>
  <c r="F13" i="28"/>
  <c r="AT12" i="28"/>
  <c r="AS12" i="28"/>
  <c r="AR12" i="28"/>
  <c r="AQ12" i="28"/>
  <c r="AP12" i="28"/>
  <c r="AO12" i="28"/>
  <c r="AN12" i="28"/>
  <c r="AM12" i="28"/>
  <c r="AL12" i="28"/>
  <c r="AK12" i="28"/>
  <c r="AJ12" i="28"/>
  <c r="AI12" i="28"/>
  <c r="AH12" i="28"/>
  <c r="AG12" i="28"/>
  <c r="AF12" i="28"/>
  <c r="AE12" i="28"/>
  <c r="AD12" i="28"/>
  <c r="AC12" i="28"/>
  <c r="AB12" i="28"/>
  <c r="AA12" i="28"/>
  <c r="Z12" i="28"/>
  <c r="Y12" i="28"/>
  <c r="X12" i="28"/>
  <c r="W12" i="28"/>
  <c r="V12" i="28"/>
  <c r="U12" i="28"/>
  <c r="T12" i="28"/>
  <c r="S12" i="28"/>
  <c r="R12" i="28"/>
  <c r="Q12" i="28"/>
  <c r="P12" i="28"/>
  <c r="O12" i="28"/>
  <c r="N12" i="28"/>
  <c r="M12" i="28"/>
  <c r="L12" i="28"/>
  <c r="K12" i="28"/>
  <c r="J12" i="28"/>
  <c r="I12" i="28"/>
  <c r="H12" i="28"/>
  <c r="G12" i="28"/>
  <c r="F12" i="28"/>
  <c r="D12" i="28"/>
  <c r="AT11" i="28"/>
  <c r="AS11" i="28"/>
  <c r="AR11" i="28"/>
  <c r="AQ11" i="28"/>
  <c r="AP11" i="28"/>
  <c r="AO11" i="28"/>
  <c r="AN11" i="28"/>
  <c r="AM11" i="28"/>
  <c r="AL11" i="28"/>
  <c r="AK11" i="28"/>
  <c r="AJ11" i="28"/>
  <c r="AI11" i="28"/>
  <c r="AH11" i="28"/>
  <c r="AG11" i="28"/>
  <c r="AF11" i="28"/>
  <c r="AE11" i="28"/>
  <c r="AD11" i="28"/>
  <c r="AC11" i="28"/>
  <c r="AB11" i="28"/>
  <c r="AA11" i="28"/>
  <c r="Z11" i="28"/>
  <c r="Y11" i="28"/>
  <c r="X11" i="28"/>
  <c r="W11" i="28"/>
  <c r="V11" i="28"/>
  <c r="U11" i="28"/>
  <c r="T11" i="28"/>
  <c r="S11" i="28"/>
  <c r="R11" i="28"/>
  <c r="Q11" i="28"/>
  <c r="P11" i="28"/>
  <c r="O11" i="28"/>
  <c r="N11" i="28"/>
  <c r="M11" i="28"/>
  <c r="L11" i="28"/>
  <c r="K11" i="28"/>
  <c r="J11" i="28"/>
  <c r="I11" i="28"/>
  <c r="H11" i="28"/>
  <c r="G11" i="28"/>
  <c r="F11" i="28"/>
  <c r="AT10" i="28"/>
  <c r="AS10" i="28"/>
  <c r="AR10" i="28"/>
  <c r="AQ10" i="28"/>
  <c r="AP10" i="28"/>
  <c r="AO10" i="28"/>
  <c r="AN10" i="28"/>
  <c r="AM10" i="28"/>
  <c r="AL10" i="28"/>
  <c r="AK10" i="28"/>
  <c r="AJ10" i="28"/>
  <c r="AI10" i="28"/>
  <c r="AH10" i="28"/>
  <c r="AG10" i="28"/>
  <c r="AF10" i="28"/>
  <c r="AE10" i="28"/>
  <c r="AD10" i="28"/>
  <c r="AC10" i="28"/>
  <c r="AB10" i="28"/>
  <c r="AA10" i="28"/>
  <c r="Z10" i="28"/>
  <c r="Y10" i="28"/>
  <c r="X10" i="28"/>
  <c r="W10" i="28"/>
  <c r="V10" i="28"/>
  <c r="U10" i="28"/>
  <c r="T10" i="28"/>
  <c r="S10" i="28"/>
  <c r="R10" i="28"/>
  <c r="Q10" i="28"/>
  <c r="P10" i="28"/>
  <c r="O10" i="28"/>
  <c r="N10" i="28"/>
  <c r="M10" i="28"/>
  <c r="L10" i="28"/>
  <c r="K10" i="28"/>
  <c r="J10" i="28"/>
  <c r="I10" i="28"/>
  <c r="H10" i="28"/>
  <c r="G10" i="28"/>
  <c r="F10" i="28"/>
  <c r="AT9" i="28"/>
  <c r="AS9" i="28"/>
  <c r="AR9" i="28"/>
  <c r="AQ9" i="28"/>
  <c r="AP9" i="28"/>
  <c r="AO9" i="28"/>
  <c r="AN9" i="28"/>
  <c r="AM9" i="28"/>
  <c r="AL9" i="28"/>
  <c r="AK9" i="28"/>
  <c r="AJ9" i="28"/>
  <c r="AI9" i="28"/>
  <c r="AH9" i="28"/>
  <c r="AG9" i="28"/>
  <c r="AF9" i="28"/>
  <c r="AE9" i="28"/>
  <c r="AD9" i="28"/>
  <c r="AC9" i="28"/>
  <c r="AB9" i="28"/>
  <c r="AA9" i="28"/>
  <c r="Z9" i="28"/>
  <c r="Y9" i="28"/>
  <c r="X9" i="28"/>
  <c r="W9" i="28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G9" i="28"/>
  <c r="F9" i="28"/>
  <c r="AT8" i="28"/>
  <c r="AS8" i="28"/>
  <c r="AR8" i="28"/>
  <c r="AQ8" i="28"/>
  <c r="AP8" i="28"/>
  <c r="AO8" i="28"/>
  <c r="AN8" i="28"/>
  <c r="AM8" i="28"/>
  <c r="AL8" i="28"/>
  <c r="AK8" i="28"/>
  <c r="AJ8" i="28"/>
  <c r="AI8" i="28"/>
  <c r="AH8" i="28"/>
  <c r="AG8" i="28"/>
  <c r="AF8" i="28"/>
  <c r="AE8" i="28"/>
  <c r="AD8" i="28"/>
  <c r="AC8" i="28"/>
  <c r="AB8" i="28"/>
  <c r="AA8" i="28"/>
  <c r="Z8" i="28"/>
  <c r="Y8" i="28"/>
  <c r="X8" i="28"/>
  <c r="W8" i="28"/>
  <c r="V8" i="28"/>
  <c r="U8" i="28"/>
  <c r="T8" i="28"/>
  <c r="S8" i="28"/>
  <c r="R8" i="28"/>
  <c r="Q8" i="28"/>
  <c r="P8" i="28"/>
  <c r="O8" i="28"/>
  <c r="N8" i="28"/>
  <c r="M8" i="28"/>
  <c r="L8" i="28"/>
  <c r="K8" i="28"/>
  <c r="J8" i="28"/>
  <c r="I8" i="28"/>
  <c r="H8" i="28"/>
  <c r="G8" i="28"/>
  <c r="L5" i="28"/>
  <c r="V4" i="28"/>
  <c r="U4" i="28"/>
  <c r="L4" i="28"/>
  <c r="K24" i="29"/>
  <c r="J24" i="29"/>
  <c r="K23" i="29"/>
  <c r="J23" i="29"/>
  <c r="K22" i="29"/>
  <c r="J22" i="29"/>
  <c r="K21" i="29"/>
  <c r="J21" i="29"/>
  <c r="K20" i="29"/>
  <c r="J20" i="29"/>
  <c r="K19" i="29"/>
  <c r="J19" i="29"/>
  <c r="AD14" i="29"/>
  <c r="AC14" i="29"/>
  <c r="AB14" i="29"/>
  <c r="AA14" i="29"/>
  <c r="Z14" i="29"/>
  <c r="Y14" i="29"/>
  <c r="X14" i="29"/>
  <c r="W14" i="29"/>
  <c r="V14" i="29"/>
  <c r="U14" i="29"/>
  <c r="T14" i="29"/>
  <c r="S14" i="29"/>
  <c r="R14" i="29"/>
  <c r="Q14" i="29"/>
  <c r="P14" i="29"/>
  <c r="O14" i="29"/>
  <c r="N14" i="29"/>
  <c r="M14" i="29"/>
  <c r="L14" i="29"/>
  <c r="K14" i="29"/>
  <c r="J14" i="29"/>
  <c r="AD13" i="29"/>
  <c r="AC13" i="29"/>
  <c r="AB13" i="29"/>
  <c r="AA13" i="29"/>
  <c r="Z13" i="29"/>
  <c r="Y13" i="29"/>
  <c r="X13" i="29"/>
  <c r="W13" i="29"/>
  <c r="V13" i="29"/>
  <c r="U13" i="29"/>
  <c r="T13" i="29"/>
  <c r="S13" i="29"/>
  <c r="R13" i="29"/>
  <c r="Q13" i="29"/>
  <c r="P13" i="29"/>
  <c r="O13" i="29"/>
  <c r="N13" i="29"/>
  <c r="M13" i="29"/>
  <c r="L13" i="29"/>
  <c r="K13" i="29"/>
  <c r="J13" i="29"/>
  <c r="AD12" i="29"/>
  <c r="AC12" i="29"/>
  <c r="AB12" i="29"/>
  <c r="AA12" i="29"/>
  <c r="Z12" i="29"/>
  <c r="Y12" i="29"/>
  <c r="X12" i="29"/>
  <c r="W12" i="29"/>
  <c r="V12" i="29"/>
  <c r="U12" i="29"/>
  <c r="T12" i="29"/>
  <c r="S12" i="29"/>
  <c r="R12" i="29"/>
  <c r="Q12" i="29"/>
  <c r="P12" i="29"/>
  <c r="O12" i="29"/>
  <c r="N12" i="29"/>
  <c r="M12" i="29"/>
  <c r="L12" i="29"/>
  <c r="K12" i="29"/>
  <c r="J12" i="29"/>
  <c r="AD11" i="29"/>
  <c r="AC11" i="29"/>
  <c r="AB11" i="29"/>
  <c r="AA11" i="29"/>
  <c r="Z11" i="29"/>
  <c r="Y11" i="29"/>
  <c r="X11" i="29"/>
  <c r="W11" i="29"/>
  <c r="V11" i="29"/>
  <c r="U11" i="29"/>
  <c r="T11" i="29"/>
  <c r="S11" i="29"/>
  <c r="R11" i="29"/>
  <c r="Q11" i="29"/>
  <c r="P11" i="29"/>
  <c r="O11" i="29"/>
  <c r="N11" i="29"/>
  <c r="M11" i="29"/>
  <c r="L11" i="29"/>
  <c r="K11" i="29"/>
  <c r="O8" i="29"/>
  <c r="R7" i="29"/>
  <c r="O7" i="29"/>
  <c r="R6" i="29"/>
  <c r="Q6" i="29"/>
  <c r="O6" i="29"/>
  <c r="E6" i="13"/>
  <c r="E7" i="13"/>
  <c r="E16" i="13"/>
  <c r="C11" i="13"/>
  <c r="C10" i="13"/>
  <c r="E17" i="13"/>
  <c r="E15" i="13"/>
  <c r="W15" i="18" l="1"/>
  <c r="AE9" i="35"/>
  <c r="AH10" i="35" s="1"/>
  <c r="AD9" i="35"/>
  <c r="AG10" i="35" s="1"/>
  <c r="F20" i="35"/>
  <c r="F19" i="35"/>
  <c r="K15" i="35"/>
  <c r="L15" i="35" s="1"/>
  <c r="Z8" i="35" s="1"/>
  <c r="B21" i="35"/>
  <c r="J20" i="35"/>
  <c r="M20" i="35" s="1"/>
  <c r="K20" i="35"/>
  <c r="L20" i="35" s="1"/>
  <c r="J15" i="35"/>
  <c r="M15" i="35" s="1"/>
  <c r="H15" i="35"/>
  <c r="P19" i="35" s="1"/>
  <c r="R19" i="35" s="1"/>
  <c r="T19" i="35" s="1"/>
  <c r="Z10" i="35" s="1"/>
  <c r="K16" i="35"/>
  <c r="L16" i="35" s="1"/>
  <c r="J46" i="34"/>
  <c r="L11" i="34"/>
  <c r="K18" i="34"/>
  <c r="K18" i="4"/>
  <c r="I43" i="33"/>
  <c r="I40" i="33"/>
  <c r="J11" i="33"/>
  <c r="I12" i="33"/>
  <c r="I14" i="33"/>
  <c r="J94" i="22"/>
  <c r="I94" i="22"/>
  <c r="J95" i="22"/>
  <c r="I95" i="22"/>
  <c r="H96" i="22"/>
  <c r="J96" i="22"/>
  <c r="I96" i="22"/>
  <c r="G13" i="22"/>
  <c r="H13" i="22"/>
  <c r="H12" i="22"/>
  <c r="G12" i="22"/>
  <c r="H95" i="22"/>
  <c r="H93" i="22"/>
  <c r="Z5" i="28"/>
  <c r="AA5" i="28"/>
  <c r="E8" i="4"/>
  <c r="M17" i="4"/>
  <c r="L18" i="4"/>
  <c r="D8" i="4"/>
  <c r="C8" i="4"/>
  <c r="H17" i="22"/>
  <c r="AY13" i="22"/>
  <c r="AY16" i="22" s="1"/>
  <c r="G62" i="22"/>
  <c r="H62" i="22"/>
  <c r="BE13" i="22"/>
  <c r="BL16" i="22" s="1"/>
  <c r="BD13" i="22"/>
  <c r="BJ16" i="22" s="1"/>
  <c r="BD12" i="22"/>
  <c r="BE12" i="22"/>
  <c r="BP16" i="22" s="1"/>
  <c r="I10" i="22"/>
  <c r="C4" i="17"/>
  <c r="C8" i="17"/>
  <c r="D8" i="17" s="1"/>
  <c r="F11" i="17"/>
  <c r="C16" i="17"/>
  <c r="D16" i="17" s="1"/>
  <c r="F19" i="17"/>
  <c r="C24" i="17"/>
  <c r="D24" i="17" s="1"/>
  <c r="F27" i="17"/>
  <c r="C32" i="17"/>
  <c r="C7" i="17"/>
  <c r="D7" i="17" s="1"/>
  <c r="F10" i="17"/>
  <c r="C15" i="17"/>
  <c r="D15" i="17" s="1"/>
  <c r="F18" i="17"/>
  <c r="C23" i="17"/>
  <c r="D23" i="17" s="1"/>
  <c r="F26" i="17"/>
  <c r="C31" i="17"/>
  <c r="D31" i="17" s="1"/>
  <c r="E33" i="17"/>
  <c r="F34" i="17"/>
  <c r="C6" i="17"/>
  <c r="D6" i="17" s="1"/>
  <c r="F9" i="17"/>
  <c r="C14" i="17"/>
  <c r="D14" i="17" s="1"/>
  <c r="F17" i="17"/>
  <c r="C22" i="17"/>
  <c r="D22" i="17" s="1"/>
  <c r="F25" i="17"/>
  <c r="C30" i="17"/>
  <c r="D30" i="17" s="1"/>
  <c r="F33" i="17"/>
  <c r="C5" i="17"/>
  <c r="D5" i="17" s="1"/>
  <c r="F8" i="17"/>
  <c r="C13" i="17"/>
  <c r="D13" i="17" s="1"/>
  <c r="F16" i="17"/>
  <c r="C21" i="17"/>
  <c r="D21" i="17" s="1"/>
  <c r="F24" i="17"/>
  <c r="C29" i="17"/>
  <c r="D29" i="17" s="1"/>
  <c r="F32" i="17"/>
  <c r="K33" i="17"/>
  <c r="F31" i="17"/>
  <c r="F6" i="17"/>
  <c r="C11" i="17"/>
  <c r="D11" i="17" s="1"/>
  <c r="F14" i="17"/>
  <c r="C19" i="17"/>
  <c r="D19" i="17" s="1"/>
  <c r="F22" i="17"/>
  <c r="C27" i="17"/>
  <c r="D27" i="17" s="1"/>
  <c r="F30" i="17"/>
  <c r="F7" i="17"/>
  <c r="C12" i="17"/>
  <c r="D12" i="17" s="1"/>
  <c r="F15" i="17"/>
  <c r="C20" i="17"/>
  <c r="D20" i="17" s="1"/>
  <c r="F23" i="17"/>
  <c r="C28" i="17"/>
  <c r="D28" i="17" s="1"/>
  <c r="C2" i="17"/>
  <c r="G5" i="13" s="1"/>
  <c r="F5" i="17"/>
  <c r="C10" i="17"/>
  <c r="D10" i="17" s="1"/>
  <c r="F13" i="17"/>
  <c r="C18" i="17"/>
  <c r="D18" i="17" s="1"/>
  <c r="F21" i="17"/>
  <c r="C26" i="17"/>
  <c r="D26" i="17" s="1"/>
  <c r="F29" i="17"/>
  <c r="C34" i="17"/>
  <c r="D34" i="17" s="1"/>
  <c r="C9" i="17"/>
  <c r="D9" i="17" s="1"/>
  <c r="F12" i="17"/>
  <c r="C17" i="17"/>
  <c r="D17" i="17" s="1"/>
  <c r="F20" i="17"/>
  <c r="C25" i="17"/>
  <c r="D25" i="17" s="1"/>
  <c r="F28" i="17"/>
  <c r="D21" i="35" l="1"/>
  <c r="D19" i="35"/>
  <c r="H19" i="35" s="1"/>
  <c r="L18" i="34"/>
  <c r="M11" i="34"/>
  <c r="J14" i="33"/>
  <c r="J12" i="33"/>
  <c r="K11" i="33"/>
  <c r="G16" i="22"/>
  <c r="H16" i="22"/>
  <c r="G17" i="22"/>
  <c r="N17" i="4"/>
  <c r="M18" i="4"/>
  <c r="AY17" i="22"/>
  <c r="BB4" i="22" s="1"/>
  <c r="BG13" i="22"/>
  <c r="BI13" i="22"/>
  <c r="BE16" i="22"/>
  <c r="BM16" i="22" s="1"/>
  <c r="BQ16" i="22" s="1"/>
  <c r="BD16" i="22"/>
  <c r="BN16" i="22"/>
  <c r="BG12" i="22"/>
  <c r="BI12" i="22"/>
  <c r="K8" i="17"/>
  <c r="I11" i="22"/>
  <c r="J10" i="22"/>
  <c r="E8" i="17"/>
  <c r="K6" i="17"/>
  <c r="K29" i="17"/>
  <c r="K5" i="17"/>
  <c r="E6" i="17"/>
  <c r="K7" i="17"/>
  <c r="E19" i="17"/>
  <c r="K23" i="17"/>
  <c r="K30" i="17"/>
  <c r="E7" i="17"/>
  <c r="E23" i="17"/>
  <c r="E29" i="17"/>
  <c r="E5" i="17"/>
  <c r="K13" i="17"/>
  <c r="K22" i="17"/>
  <c r="K24" i="17"/>
  <c r="E13" i="17"/>
  <c r="E31" i="17"/>
  <c r="E22" i="17"/>
  <c r="K21" i="17"/>
  <c r="E27" i="17"/>
  <c r="E11" i="17"/>
  <c r="E30" i="17"/>
  <c r="E24" i="17"/>
  <c r="E20" i="17"/>
  <c r="K15" i="17"/>
  <c r="K25" i="17"/>
  <c r="E25" i="17"/>
  <c r="E21" i="17"/>
  <c r="K14" i="17"/>
  <c r="K31" i="17"/>
  <c r="E15" i="17"/>
  <c r="E9" i="17"/>
  <c r="E14" i="17"/>
  <c r="K9" i="17"/>
  <c r="K20" i="17"/>
  <c r="E28" i="17"/>
  <c r="E12" i="17"/>
  <c r="K19" i="17"/>
  <c r="E34" i="17"/>
  <c r="E18" i="17"/>
  <c r="K17" i="17"/>
  <c r="K34" i="17"/>
  <c r="K18" i="17"/>
  <c r="K32" i="17"/>
  <c r="D32" i="17"/>
  <c r="K16" i="17"/>
  <c r="E17" i="17"/>
  <c r="K28" i="17"/>
  <c r="K12" i="17"/>
  <c r="E32" i="17"/>
  <c r="E16" i="17"/>
  <c r="K27" i="17"/>
  <c r="K11" i="17"/>
  <c r="E26" i="17"/>
  <c r="E10" i="17"/>
  <c r="K26" i="17"/>
  <c r="K10" i="17"/>
  <c r="J19" i="35" l="1"/>
  <c r="M19" i="35" s="1"/>
  <c r="K19" i="35"/>
  <c r="L19" i="35" s="1"/>
  <c r="Z9" i="35" s="1"/>
  <c r="K21" i="35"/>
  <c r="L21" i="35" s="1"/>
  <c r="J21" i="35"/>
  <c r="M21" i="35" s="1"/>
  <c r="H21" i="35"/>
  <c r="M18" i="34"/>
  <c r="N11" i="34"/>
  <c r="K14" i="33"/>
  <c r="L11" i="33"/>
  <c r="K12" i="33"/>
  <c r="I12" i="22"/>
  <c r="I13" i="22"/>
  <c r="I16" i="22" s="1"/>
  <c r="BC4" i="22"/>
  <c r="O17" i="4"/>
  <c r="N18" i="4"/>
  <c r="BC16" i="22"/>
  <c r="BK16" i="22"/>
  <c r="BO16" i="22" s="1"/>
  <c r="BI16" i="22"/>
  <c r="BG16" i="22"/>
  <c r="BB16" i="22"/>
  <c r="BJ11" i="22" s="1" a="1"/>
  <c r="BJ11" i="22" s="1"/>
  <c r="I61" i="22"/>
  <c r="I62" i="22"/>
  <c r="J11" i="22"/>
  <c r="K10" i="22"/>
  <c r="N18" i="34" l="1"/>
  <c r="O11" i="34"/>
  <c r="L12" i="33"/>
  <c r="M11" i="33"/>
  <c r="L14" i="33"/>
  <c r="I17" i="22"/>
  <c r="P17" i="4"/>
  <c r="O18" i="4"/>
  <c r="BN11" i="22"/>
  <c r="BQ11" i="22" s="1"/>
  <c r="BL11" i="22"/>
  <c r="BO11" i="22" s="1"/>
  <c r="J12" i="22"/>
  <c r="J13" i="22"/>
  <c r="J61" i="22"/>
  <c r="J62" i="22"/>
  <c r="K11" i="22"/>
  <c r="L10" i="22"/>
  <c r="P11" i="34" l="1"/>
  <c r="O18" i="34"/>
  <c r="M12" i="33"/>
  <c r="M14" i="33"/>
  <c r="N11" i="33"/>
  <c r="J17" i="22"/>
  <c r="P18" i="4"/>
  <c r="Q17" i="4"/>
  <c r="J16" i="22"/>
  <c r="K12" i="22"/>
  <c r="K13" i="22"/>
  <c r="K61" i="22"/>
  <c r="K62" i="22"/>
  <c r="L11" i="22"/>
  <c r="M10" i="22"/>
  <c r="P18" i="34" l="1"/>
  <c r="Q11" i="34"/>
  <c r="N14" i="33"/>
  <c r="O11" i="33"/>
  <c r="N12" i="33"/>
  <c r="K17" i="22"/>
  <c r="R17" i="4"/>
  <c r="Q18" i="4"/>
  <c r="L12" i="22"/>
  <c r="L13" i="22"/>
  <c r="K16" i="22"/>
  <c r="L61" i="22"/>
  <c r="L62" i="22"/>
  <c r="M11" i="22"/>
  <c r="N10" i="22"/>
  <c r="Q18" i="34" l="1"/>
  <c r="R11" i="34"/>
  <c r="O14" i="33"/>
  <c r="O12" i="33"/>
  <c r="P11" i="33"/>
  <c r="L17" i="22"/>
  <c r="S17" i="4"/>
  <c r="R18" i="4"/>
  <c r="M12" i="22"/>
  <c r="M13" i="22"/>
  <c r="L16" i="22"/>
  <c r="M61" i="22"/>
  <c r="M62" i="22"/>
  <c r="O10" i="22"/>
  <c r="N11" i="22"/>
  <c r="S11" i="34" l="1"/>
  <c r="R18" i="34"/>
  <c r="P14" i="33"/>
  <c r="Q11" i="33"/>
  <c r="P12" i="33"/>
  <c r="M17" i="22"/>
  <c r="T17" i="4"/>
  <c r="S18" i="4"/>
  <c r="N12" i="22"/>
  <c r="N13" i="22"/>
  <c r="N17" i="22" s="1"/>
  <c r="M16" i="22"/>
  <c r="N61" i="22"/>
  <c r="N62" i="22"/>
  <c r="O11" i="22"/>
  <c r="P10" i="22"/>
  <c r="S18" i="34" l="1"/>
  <c r="T11" i="34"/>
  <c r="R11" i="33"/>
  <c r="Q12" i="33"/>
  <c r="Q14" i="33"/>
  <c r="U17" i="4"/>
  <c r="T18" i="4"/>
  <c r="O12" i="22"/>
  <c r="O13" i="22"/>
  <c r="O17" i="22" s="1"/>
  <c r="N16" i="22"/>
  <c r="O61" i="22"/>
  <c r="O62" i="22"/>
  <c r="P11" i="22"/>
  <c r="Q10" i="22"/>
  <c r="U11" i="34" l="1"/>
  <c r="T18" i="34"/>
  <c r="R14" i="33"/>
  <c r="R12" i="33"/>
  <c r="S11" i="33"/>
  <c r="V17" i="4"/>
  <c r="U18" i="4"/>
  <c r="P13" i="22"/>
  <c r="P12" i="22"/>
  <c r="O16" i="22"/>
  <c r="P61" i="22"/>
  <c r="P62" i="22"/>
  <c r="R10" i="22"/>
  <c r="Q11" i="22"/>
  <c r="U18" i="34" l="1"/>
  <c r="V11" i="34"/>
  <c r="S14" i="33"/>
  <c r="S12" i="33"/>
  <c r="T11" i="33"/>
  <c r="P16" i="22"/>
  <c r="P17" i="22"/>
  <c r="W17" i="4"/>
  <c r="V18" i="4"/>
  <c r="Q13" i="22"/>
  <c r="Q12" i="22"/>
  <c r="Q61" i="22"/>
  <c r="Q62" i="22"/>
  <c r="R11" i="22"/>
  <c r="S10" i="22"/>
  <c r="V18" i="34" l="1"/>
  <c r="W11" i="34"/>
  <c r="T12" i="33"/>
  <c r="U11" i="33"/>
  <c r="T14" i="33"/>
  <c r="Q16" i="22"/>
  <c r="Q17" i="22"/>
  <c r="X17" i="4"/>
  <c r="W18" i="4"/>
  <c r="R12" i="22"/>
  <c r="R13" i="22"/>
  <c r="R61" i="22"/>
  <c r="R62" i="22"/>
  <c r="S11" i="22"/>
  <c r="T10" i="22"/>
  <c r="X11" i="34" l="1"/>
  <c r="W18" i="34"/>
  <c r="U12" i="33"/>
  <c r="U14" i="33"/>
  <c r="V11" i="33"/>
  <c r="R17" i="22"/>
  <c r="X18" i="4"/>
  <c r="Y17" i="4"/>
  <c r="S12" i="22"/>
  <c r="S13" i="22"/>
  <c r="S17" i="22" s="1"/>
  <c r="R16" i="22"/>
  <c r="S61" i="22"/>
  <c r="S62" i="22"/>
  <c r="U10" i="22"/>
  <c r="T11" i="22"/>
  <c r="X18" i="34" l="1"/>
  <c r="Y11" i="34"/>
  <c r="V14" i="33"/>
  <c r="W11" i="33"/>
  <c r="V12" i="33"/>
  <c r="Y18" i="4"/>
  <c r="Z17" i="4"/>
  <c r="T12" i="22"/>
  <c r="T13" i="22"/>
  <c r="T17" i="22" s="1"/>
  <c r="S16" i="22"/>
  <c r="T61" i="22"/>
  <c r="T62" i="22"/>
  <c r="U11" i="22"/>
  <c r="V10" i="22"/>
  <c r="Z11" i="34" l="1"/>
  <c r="Y18" i="34"/>
  <c r="W14" i="33"/>
  <c r="W12" i="33"/>
  <c r="X11" i="33"/>
  <c r="Z18" i="4"/>
  <c r="AA17" i="4"/>
  <c r="U12" i="22"/>
  <c r="U13" i="22"/>
  <c r="T16" i="22"/>
  <c r="U61" i="22"/>
  <c r="U62" i="22"/>
  <c r="V11" i="22"/>
  <c r="W10" i="22"/>
  <c r="AA11" i="34" l="1"/>
  <c r="Z18" i="34"/>
  <c r="X14" i="33"/>
  <c r="Y11" i="33"/>
  <c r="X12" i="33"/>
  <c r="U17" i="22"/>
  <c r="AB17" i="4"/>
  <c r="AA18" i="4"/>
  <c r="U16" i="22"/>
  <c r="V12" i="22"/>
  <c r="V13" i="22"/>
  <c r="V61" i="22"/>
  <c r="V62" i="22"/>
  <c r="X10" i="22"/>
  <c r="W11" i="22"/>
  <c r="AA18" i="34" l="1"/>
  <c r="Z11" i="33"/>
  <c r="Y12" i="33"/>
  <c r="Y14" i="33"/>
  <c r="V17" i="22"/>
  <c r="AC17" i="4"/>
  <c r="AB18" i="4"/>
  <c r="V16" i="22"/>
  <c r="W12" i="22"/>
  <c r="W13" i="22"/>
  <c r="W61" i="22"/>
  <c r="W62" i="22"/>
  <c r="Y10" i="22"/>
  <c r="X11" i="22"/>
  <c r="Z14" i="33" l="1"/>
  <c r="Z12" i="33"/>
  <c r="W17" i="22"/>
  <c r="AD17" i="4"/>
  <c r="AC18" i="4"/>
  <c r="X12" i="22"/>
  <c r="X13" i="22"/>
  <c r="X17" i="22" s="1"/>
  <c r="W16" i="22"/>
  <c r="X61" i="22"/>
  <c r="X62" i="22"/>
  <c r="Z10" i="22"/>
  <c r="Y11" i="22"/>
  <c r="AE17" i="4" l="1"/>
  <c r="AD18" i="4"/>
  <c r="Y12" i="22"/>
  <c r="Y13" i="22"/>
  <c r="X16" i="22"/>
  <c r="Y61" i="22"/>
  <c r="Y62" i="22"/>
  <c r="Z11" i="22"/>
  <c r="AA10" i="22"/>
  <c r="Y17" i="22" l="1"/>
  <c r="AF17" i="4"/>
  <c r="AE18" i="4"/>
  <c r="Z12" i="22"/>
  <c r="Z13" i="22"/>
  <c r="Z17" i="22" s="1"/>
  <c r="Y16" i="22"/>
  <c r="Z61" i="22"/>
  <c r="Z62" i="22"/>
  <c r="AA11" i="22"/>
  <c r="AB10" i="22"/>
  <c r="AF18" i="4" l="1"/>
  <c r="AG17" i="4"/>
  <c r="Z16" i="22"/>
  <c r="AA13" i="22"/>
  <c r="AA12" i="22"/>
  <c r="AA61" i="22"/>
  <c r="AA62" i="22"/>
  <c r="AB11" i="22"/>
  <c r="AC10" i="22"/>
  <c r="AA16" i="22" l="1"/>
  <c r="AA17" i="22"/>
  <c r="AG18" i="4"/>
  <c r="AH17" i="4"/>
  <c r="AB12" i="22"/>
  <c r="AB13" i="22"/>
  <c r="AB61" i="22"/>
  <c r="AB62" i="22"/>
  <c r="AC11" i="22"/>
  <c r="AD10" i="22"/>
  <c r="AB17" i="22" l="1"/>
  <c r="AH18" i="4"/>
  <c r="AI17" i="4"/>
  <c r="AC12" i="22"/>
  <c r="AC13" i="22"/>
  <c r="AC17" i="22" s="1"/>
  <c r="AB16" i="22"/>
  <c r="AC61" i="22"/>
  <c r="AC62" i="22"/>
  <c r="AE10" i="22"/>
  <c r="AD11" i="22"/>
  <c r="AJ17" i="4" l="1"/>
  <c r="AI18" i="4"/>
  <c r="AD12" i="22"/>
  <c r="AD13" i="22"/>
  <c r="AC16" i="22"/>
  <c r="AD61" i="22"/>
  <c r="AD62" i="22"/>
  <c r="AE11" i="22"/>
  <c r="AF10" i="22"/>
  <c r="AD17" i="22" l="1"/>
  <c r="AK17" i="4"/>
  <c r="AJ18" i="4"/>
  <c r="AE12" i="22"/>
  <c r="AE13" i="22"/>
  <c r="AD16" i="22"/>
  <c r="AE61" i="22"/>
  <c r="AE62" i="22"/>
  <c r="AF11" i="22"/>
  <c r="AG10" i="22"/>
  <c r="AE17" i="22" l="1"/>
  <c r="AL17" i="4"/>
  <c r="AK18" i="4"/>
  <c r="AF13" i="22"/>
  <c r="AF12" i="22"/>
  <c r="AE16" i="22"/>
  <c r="AF61" i="22"/>
  <c r="AF62" i="22"/>
  <c r="AG11" i="22"/>
  <c r="AH10" i="22"/>
  <c r="AF16" i="22" l="1"/>
  <c r="AF17" i="22"/>
  <c r="AM17" i="4"/>
  <c r="AL18" i="4"/>
  <c r="AG12" i="22"/>
  <c r="AG13" i="22"/>
  <c r="AG17" i="22" s="1"/>
  <c r="AG61" i="22"/>
  <c r="AG62" i="22"/>
  <c r="AH11" i="22"/>
  <c r="AI10" i="22"/>
  <c r="AN17" i="4" l="1"/>
  <c r="AM18" i="4"/>
  <c r="AH12" i="22"/>
  <c r="AH13" i="22"/>
  <c r="AH17" i="22" s="1"/>
  <c r="AG16" i="22"/>
  <c r="AH61" i="22"/>
  <c r="AH62" i="22"/>
  <c r="AI11" i="22"/>
  <c r="AJ10" i="22"/>
  <c r="AN18" i="4" l="1"/>
  <c r="AO17" i="4"/>
  <c r="AO18" i="4" s="1"/>
  <c r="AI13" i="22"/>
  <c r="AI12" i="22"/>
  <c r="AH16" i="22"/>
  <c r="AI61" i="22"/>
  <c r="AI62" i="22"/>
  <c r="AK10" i="22"/>
  <c r="AJ11" i="22"/>
  <c r="AI17" i="22" l="1"/>
  <c r="AI16" i="22"/>
  <c r="AJ12" i="22"/>
  <c r="AJ13" i="22"/>
  <c r="AJ17" i="22" s="1"/>
  <c r="AJ61" i="22"/>
  <c r="AJ62" i="22"/>
  <c r="AK11" i="22"/>
  <c r="AL10" i="22"/>
  <c r="AK12" i="22" l="1"/>
  <c r="AK13" i="22"/>
  <c r="AJ16" i="22"/>
  <c r="AK61" i="22"/>
  <c r="AK62" i="22"/>
  <c r="AL11" i="22"/>
  <c r="AM10" i="22"/>
  <c r="AK17" i="22" l="1"/>
  <c r="AL12" i="22"/>
  <c r="AL13" i="22"/>
  <c r="AK16" i="22"/>
  <c r="AL61" i="22"/>
  <c r="AL62" i="22"/>
  <c r="AN10" i="22"/>
  <c r="AM11" i="22"/>
  <c r="AL17" i="22" l="1"/>
  <c r="AM12" i="22"/>
  <c r="AM13" i="22"/>
  <c r="AL16" i="22"/>
  <c r="AM61" i="22"/>
  <c r="AM62" i="22"/>
  <c r="AN11" i="22"/>
  <c r="AO10" i="22"/>
  <c r="AM17" i="22" l="1"/>
  <c r="AN12" i="22"/>
  <c r="AN13" i="22"/>
  <c r="AM16" i="22"/>
  <c r="AN61" i="22"/>
  <c r="AN62" i="22"/>
  <c r="AO11" i="22"/>
  <c r="AP10" i="22"/>
  <c r="AN17" i="22" l="1"/>
  <c r="AO13" i="22"/>
  <c r="AO12" i="22"/>
  <c r="AN16" i="22"/>
  <c r="AO61" i="22"/>
  <c r="AO62" i="22"/>
  <c r="AP11" i="22"/>
  <c r="AQ10" i="22"/>
  <c r="AO16" i="22" l="1"/>
  <c r="AO17" i="22"/>
  <c r="AP12" i="22"/>
  <c r="AP13" i="22"/>
  <c r="AP61" i="22"/>
  <c r="AP62" i="22"/>
  <c r="AQ11" i="22"/>
  <c r="AR10" i="22"/>
  <c r="AP17" i="22" l="1"/>
  <c r="AQ12" i="22"/>
  <c r="AQ13" i="22"/>
  <c r="AP16" i="22"/>
  <c r="AQ61" i="22"/>
  <c r="AQ62" i="22"/>
  <c r="AR11" i="22"/>
  <c r="AS10" i="22"/>
  <c r="AQ17" i="22" l="1"/>
  <c r="AR12" i="22"/>
  <c r="AR13" i="22"/>
  <c r="AR17" i="22" s="1"/>
  <c r="AQ16" i="22"/>
  <c r="AR61" i="22"/>
  <c r="AR62" i="22"/>
  <c r="AT10" i="22"/>
  <c r="AS11" i="22"/>
  <c r="AR16" i="22" l="1"/>
  <c r="AS12" i="22"/>
  <c r="AS13" i="22"/>
  <c r="AS17" i="22" s="1"/>
  <c r="AS61" i="22"/>
  <c r="AS62" i="22"/>
  <c r="AT11" i="22"/>
  <c r="AU10" i="22"/>
  <c r="AU11" i="22" s="1"/>
  <c r="AS16" i="22" l="1"/>
  <c r="AU12" i="22"/>
  <c r="AU13" i="22"/>
  <c r="AT12" i="22"/>
  <c r="AT13" i="22"/>
  <c r="AU61" i="22"/>
  <c r="AU62" i="22"/>
  <c r="AT61" i="22"/>
  <c r="AT62" i="22"/>
  <c r="AT17" i="22" l="1"/>
  <c r="AU17" i="22"/>
  <c r="AU16" i="22"/>
  <c r="AT16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F16" authorId="0" shapeId="0" xr:uid="{9F3B40AB-FC47-4F41-8D63-6BF433C1F4E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I13" authorId="0" shapeId="0" xr:uid="{C52A2570-9323-444D-93C5-26B4C6F49E76}">
      <text>
        <r>
          <rPr>
            <sz val="9"/>
            <color indexed="81"/>
            <rFont val="Segoe UI"/>
            <family val="2"/>
          </rPr>
          <t xml:space="preserve">Lösung der Quadratischen-Gleichung mit Mitternachtsformel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G12" authorId="0" shapeId="0" xr:uid="{97F7A776-1182-419E-B3DA-6E3E2CD0FB09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G13" authorId="0" shapeId="0" xr:uid="{3D6889FB-1A92-488F-B8F3-7F0A10EB7A0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<sst xmlns="http://schemas.openxmlformats.org/spreadsheetml/2006/main" count="1356" uniqueCount="891">
  <si>
    <t>x:</t>
  </si>
  <si>
    <t>Increment:</t>
  </si>
  <si>
    <t>Zeit t [s]</t>
  </si>
  <si>
    <t>Durchschnitt:</t>
  </si>
  <si>
    <t>Weg s [m] gemessen</t>
  </si>
  <si>
    <t>Weg-Zeit Diagramm</t>
  </si>
  <si>
    <t>Geschwindigkeit v = s/t [m/s]</t>
  </si>
  <si>
    <t>Weg s = v*t [m] gerechnet</t>
  </si>
  <si>
    <t>Step:</t>
  </si>
  <si>
    <t>Lineare Funktion y= f(x)</t>
  </si>
  <si>
    <t>Steigung:</t>
  </si>
  <si>
    <t>y-Achsenabschnitt (Bias):</t>
  </si>
  <si>
    <r>
      <t xml:space="preserve">y = </t>
    </r>
    <r>
      <rPr>
        <sz val="20"/>
        <color rgb="FFFF0000"/>
        <rFont val="Calibri"/>
        <family val="2"/>
        <scheme val="minor"/>
      </rPr>
      <t>a</t>
    </r>
    <r>
      <rPr>
        <sz val="20"/>
        <color theme="1"/>
        <rFont val="Calibri"/>
        <family val="2"/>
        <scheme val="minor"/>
      </rPr>
      <t xml:space="preserve"> * x + </t>
    </r>
    <r>
      <rPr>
        <sz val="20"/>
        <color rgb="FFFFC000"/>
        <rFont val="Calibri"/>
        <family val="2"/>
        <scheme val="minor"/>
      </rPr>
      <t>b</t>
    </r>
  </si>
  <si>
    <t xml:space="preserve">a = </t>
  </si>
  <si>
    <t xml:space="preserve">b = </t>
  </si>
  <si>
    <t>y = ax + b</t>
  </si>
  <si>
    <t>Step (inc):</t>
  </si>
  <si>
    <t>t [h]</t>
  </si>
  <si>
    <t>Beschleunigte Bewegung</t>
  </si>
  <si>
    <t>t [s]</t>
  </si>
  <si>
    <r>
      <t>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</si>
  <si>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Beschleunigung a:</t>
  </si>
  <si>
    <t>Anfangsgeschwindigkeit v0:</t>
  </si>
  <si>
    <t>[m/s]</t>
  </si>
  <si>
    <t>v = a * t + v0</t>
  </si>
  <si>
    <t>Vertikale Hilfslinie</t>
  </si>
  <si>
    <t>Vertikale</t>
  </si>
  <si>
    <t>Senkrechte</t>
  </si>
  <si>
    <t>Senkrechte_2</t>
  </si>
  <si>
    <t>Vertikale_2</t>
  </si>
  <si>
    <t>t:</t>
  </si>
  <si>
    <r>
      <t>Beschleunigte Bewegung</t>
    </r>
    <r>
      <rPr>
        <u/>
        <sz val="16"/>
        <color theme="1"/>
        <rFont val="Calibri"/>
        <family val="2"/>
        <scheme val="minor"/>
      </rPr>
      <t xml:space="preserve"> (Kinematik II a&gt;0 und a ist konstant)</t>
    </r>
  </si>
  <si>
    <t>Geschwindigkeit</t>
  </si>
  <si>
    <t>Strecke</t>
  </si>
  <si>
    <t>Zeit</t>
  </si>
  <si>
    <t>Beschleunigung</t>
  </si>
  <si>
    <t>v [m/s]</t>
  </si>
  <si>
    <t>s [m]</t>
  </si>
  <si>
    <t>Fall</t>
  </si>
  <si>
    <t>A</t>
  </si>
  <si>
    <t>B</t>
  </si>
  <si>
    <t>C</t>
  </si>
  <si>
    <t>D</t>
  </si>
  <si>
    <t>E</t>
  </si>
  <si>
    <t>G</t>
  </si>
  <si>
    <t>F</t>
  </si>
  <si>
    <t>H</t>
  </si>
  <si>
    <t>I</t>
  </si>
  <si>
    <t>J</t>
  </si>
  <si>
    <t>Zelle formatieren</t>
  </si>
  <si>
    <t>Ctrl-1</t>
  </si>
  <si>
    <t>v0 = v - at</t>
  </si>
  <si>
    <t>a = (v - v0)/t</t>
  </si>
  <si>
    <t>t = (v - v0)/a</t>
  </si>
  <si>
    <r>
      <t>v = at + v</t>
    </r>
    <r>
      <rPr>
        <b/>
        <vertAlign val="subscript"/>
        <sz val="14"/>
        <color rgb="FFFFC000"/>
        <rFont val="Calibri"/>
        <family val="2"/>
        <scheme val="minor"/>
      </rPr>
      <t>0</t>
    </r>
  </si>
  <si>
    <r>
      <t>a = 2((s - v0*t)/t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>)</t>
    </r>
  </si>
  <si>
    <r>
      <t>t = (-v0 + sqrt(v0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 xml:space="preserve"> + 2as))/a</t>
    </r>
  </si>
  <si>
    <r>
      <t>s = (a/2)t</t>
    </r>
    <r>
      <rPr>
        <b/>
        <vertAlign val="superscript"/>
        <sz val="11"/>
        <color theme="5" tint="-0.249977111117893"/>
        <rFont val="Calibri"/>
        <family val="2"/>
        <scheme val="minor"/>
      </rPr>
      <t>2</t>
    </r>
    <r>
      <rPr>
        <b/>
        <sz val="11"/>
        <color theme="5" tint="-0.249977111117893"/>
        <rFont val="Calibri"/>
        <family val="2"/>
        <scheme val="minor"/>
      </rPr>
      <t xml:space="preserve"> + v</t>
    </r>
    <r>
      <rPr>
        <b/>
        <vertAlign val="subscript"/>
        <sz val="11"/>
        <color theme="5" tint="-0.249977111117893"/>
        <rFont val="Calibri"/>
        <family val="2"/>
        <scheme val="minor"/>
      </rPr>
      <t>0</t>
    </r>
    <r>
      <rPr>
        <b/>
        <sz val="11"/>
        <color theme="5" tint="-0.249977111117893"/>
        <rFont val="Calibri"/>
        <family val="2"/>
        <scheme val="minor"/>
      </rPr>
      <t>t</t>
    </r>
    <r>
      <rPr>
        <b/>
        <sz val="14"/>
        <color theme="5" tint="-0.249977111117893"/>
        <rFont val="Calibri"/>
        <family val="2"/>
        <scheme val="minor"/>
      </rPr>
      <t xml:space="preserve"> 
s = (v0+v)*t/2</t>
    </r>
  </si>
  <si>
    <r>
      <t>v0 = (s - (a/2)t</t>
    </r>
    <r>
      <rPr>
        <vertAlign val="superscript"/>
        <sz val="11"/>
        <color theme="5" tint="-0.249977111117893"/>
        <rFont val="Calibri"/>
        <family val="2"/>
        <scheme val="minor"/>
      </rPr>
      <t>2</t>
    </r>
    <r>
      <rPr>
        <sz val="11"/>
        <color theme="5" tint="-0.249977111117893"/>
        <rFont val="Calibri"/>
        <family val="2"/>
        <scheme val="minor"/>
      </rPr>
      <t>)/t
v0 = (2s/t) - v</t>
    </r>
  </si>
  <si>
    <r>
      <t>a 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</si>
  <si>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r>
      <t>y</t>
    </r>
    <r>
      <rPr>
        <vertAlign val="subscript"/>
        <sz val="11"/>
        <color theme="1"/>
        <rFont val="Calibri"/>
        <family val="2"/>
        <scheme val="minor"/>
      </rPr>
      <t>Resultierend</t>
    </r>
    <r>
      <rPr>
        <sz val="11"/>
        <color theme="1"/>
        <rFont val="Calibri"/>
        <family val="2"/>
        <scheme val="minor"/>
      </rPr>
      <t xml:space="preserve"> = y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 xml:space="preserve">3 </t>
    </r>
    <r>
      <rPr>
        <sz val="11"/>
        <color theme="1"/>
        <rFont val="Calibri"/>
        <family val="2"/>
        <scheme val="minor"/>
      </rPr>
      <t xml:space="preserve">= </t>
    </r>
  </si>
  <si>
    <t>Fourierreihe</t>
  </si>
  <si>
    <t xml:space="preserve">phi [rad] = </t>
  </si>
  <si>
    <t xml:space="preserve">phi [°] = </t>
  </si>
  <si>
    <t>Show</t>
  </si>
  <si>
    <t>Ja</t>
  </si>
  <si>
    <t>Nein</t>
  </si>
  <si>
    <t>a
Amplitude</t>
  </si>
  <si>
    <t>b
Frequenz</t>
  </si>
  <si>
    <t>Hilfslinie:</t>
  </si>
  <si>
    <t>c
Phasenlage [rad]</t>
  </si>
  <si>
    <t>c
Phasenlage
[°]</t>
  </si>
  <si>
    <t xml:space="preserve">Min = </t>
  </si>
  <si>
    <t xml:space="preserve">Max = </t>
  </si>
  <si>
    <t xml:space="preserve">Amplitude = </t>
  </si>
  <si>
    <t>v=s/t + at/2</t>
  </si>
  <si>
    <r>
      <t>s = vt - at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/2</t>
    </r>
  </si>
  <si>
    <r>
      <t>t = (v -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- 2as))/a</t>
    </r>
  </si>
  <si>
    <t>a = 2/t * (v - s/t)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</si>
  <si>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</t>
    </r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</si>
  <si>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2s/t - v</t>
    </r>
  </si>
  <si>
    <r>
      <t>v = sqrt(v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+ 2as)</t>
    </r>
  </si>
  <si>
    <r>
      <t>v = 2s/t - v</t>
    </r>
    <r>
      <rPr>
        <vertAlign val="subscript"/>
        <sz val="11"/>
        <color theme="1"/>
        <rFont val="Calibri"/>
        <family val="2"/>
        <scheme val="minor"/>
      </rPr>
      <t>0</t>
    </r>
  </si>
  <si>
    <r>
      <t>s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)/2a</t>
    </r>
  </si>
  <si>
    <r>
      <t>s = 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v)t/2</t>
    </r>
  </si>
  <si>
    <r>
      <t>t = 2s/(v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</t>
    </r>
  </si>
  <si>
    <r>
      <t>a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)/2s</t>
    </r>
  </si>
  <si>
    <t>Anfangs-Geschwindigkeit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</si>
  <si>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[m/s]</t>
    </r>
  </si>
  <si>
    <t>Winkelbeschleunigung</t>
  </si>
  <si>
    <t>Anfangs-Winkelgeschwindigkeit</t>
  </si>
  <si>
    <t>Winkelgeschwindigkeit</t>
  </si>
  <si>
    <t>Winkel</t>
  </si>
  <si>
    <t>φ [rad]</t>
  </si>
  <si>
    <r>
      <t>α [rad/s</t>
    </r>
    <r>
      <rPr>
        <vertAlign val="superscript"/>
        <sz val="11"/>
        <color theme="1"/>
        <rFont val="Aptos Narrow"/>
        <family val="2"/>
      </rPr>
      <t>2</t>
    </r>
    <r>
      <rPr>
        <sz val="11"/>
        <color theme="1"/>
        <rFont val="Aptos Narrow"/>
        <family val="2"/>
      </rPr>
      <t>]</t>
    </r>
  </si>
  <si>
    <t>ω [rad/s]</t>
  </si>
  <si>
    <r>
      <t>ω</t>
    </r>
    <r>
      <rPr>
        <vertAlign val="subscript"/>
        <sz val="11"/>
        <color theme="1"/>
        <rFont val="Aptos Narrow"/>
        <family val="2"/>
      </rPr>
      <t>0</t>
    </r>
    <r>
      <rPr>
        <sz val="11"/>
        <color theme="1"/>
        <rFont val="Aptos Narrow"/>
        <family val="2"/>
      </rPr>
      <t xml:space="preserve"> [rad/s]</t>
    </r>
  </si>
  <si>
    <t>gegeben</t>
  </si>
  <si>
    <t>--</t>
  </si>
  <si>
    <t>Inhaltsverzeichnis</t>
  </si>
  <si>
    <t>Kinematik_2</t>
  </si>
  <si>
    <t>Kinematik 2 Berechnungen</t>
  </si>
  <si>
    <t>Flächenberechnungen</t>
  </si>
  <si>
    <t>Quadrat</t>
  </si>
  <si>
    <t>Rechteck</t>
  </si>
  <si>
    <t>s (Seite) [m]</t>
  </si>
  <si>
    <t>d (Diagonale) [m]</t>
  </si>
  <si>
    <r>
      <t>A (Fläche) [m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</si>
  <si>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U (Umfang) [m]</t>
  </si>
  <si>
    <t>l (Länge) [m]</t>
  </si>
  <si>
    <t>b (Breite) [m]</t>
  </si>
  <si>
    <t>Kreis</t>
  </si>
  <si>
    <t>r (Radius)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</si>
  <si>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(Zentriwinkel) [°]</t>
    </r>
  </si>
  <si>
    <t>d (Durchmesser)</t>
  </si>
  <si>
    <t>b (Bogenlänge Sektor)</t>
  </si>
  <si>
    <r>
      <t>A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</si>
  <si>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U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</si>
  <si>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A</t>
    </r>
    <r>
      <rPr>
        <vertAlign val="subscript"/>
        <sz val="11"/>
        <color theme="1"/>
        <rFont val="Calibri"/>
        <family val="2"/>
        <scheme val="minor"/>
      </rPr>
      <t>sektor</t>
    </r>
  </si>
  <si>
    <t>Rechtwinkliges Dreieck</t>
  </si>
  <si>
    <t>c (Hypothenuse)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</si>
  <si>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[°]</t>
    </r>
  </si>
  <si>
    <r>
      <rPr>
        <sz val="9.35"/>
        <color theme="1"/>
        <rFont val="Aptos Narrow"/>
        <family val="2"/>
      </rPr>
      <t>β</t>
    </r>
    <r>
      <rPr>
        <sz val="9.35"/>
        <color theme="1"/>
        <rFont val="Calibri"/>
        <family val="2"/>
      </rPr>
      <t xml:space="preserve"> [°]</t>
    </r>
  </si>
  <si>
    <r>
      <t xml:space="preserve">b (Ankathete zu </t>
    </r>
    <r>
      <rPr>
        <sz val="11"/>
        <color theme="1"/>
        <rFont val="Aptos Narrow"/>
        <family val="2"/>
      </rPr>
      <t>α)</t>
    </r>
  </si>
  <si>
    <r>
      <t xml:space="preserve">a (Gegenkathete zu </t>
    </r>
    <r>
      <rPr>
        <sz val="11"/>
        <color theme="1"/>
        <rFont val="Aptos Narrow"/>
        <family val="2"/>
      </rPr>
      <t>α)</t>
    </r>
  </si>
  <si>
    <t>A (Fläche)</t>
  </si>
  <si>
    <t>Einheiten umrechnen</t>
  </si>
  <si>
    <t>Temperatur</t>
  </si>
  <si>
    <t>Frau</t>
  </si>
  <si>
    <t>Brigitte</t>
  </si>
  <si>
    <t>Herr</t>
  </si>
  <si>
    <t>Hans</t>
  </si>
  <si>
    <t>Bruhin</t>
  </si>
  <si>
    <t>02.01.1987</t>
  </si>
  <si>
    <t>Dominik</t>
  </si>
  <si>
    <t>Hüppin</t>
  </si>
  <si>
    <t>Werner</t>
  </si>
  <si>
    <t>Nadja</t>
  </si>
  <si>
    <t>02.01.1992</t>
  </si>
  <si>
    <t>Christian</t>
  </si>
  <si>
    <t>06.01.1988</t>
  </si>
  <si>
    <t>Daniel</t>
  </si>
  <si>
    <t>Schnellmann</t>
  </si>
  <si>
    <t>07.01.1976</t>
  </si>
  <si>
    <t>Yvonne</t>
  </si>
  <si>
    <t>09.01.1965</t>
  </si>
  <si>
    <t>Rita</t>
  </si>
  <si>
    <t>Maria</t>
  </si>
  <si>
    <t>09.01.1958</t>
  </si>
  <si>
    <t>Xaver</t>
  </si>
  <si>
    <t>10.01.1997</t>
  </si>
  <si>
    <t>Beda</t>
  </si>
  <si>
    <t>Meinrad</t>
  </si>
  <si>
    <t>Hansjörg</t>
  </si>
  <si>
    <t>11.01.1964</t>
  </si>
  <si>
    <t>Marlise</t>
  </si>
  <si>
    <t>Theres</t>
  </si>
  <si>
    <t>11.01.1983</t>
  </si>
  <si>
    <t>Roman</t>
  </si>
  <si>
    <t>Brigitta</t>
  </si>
  <si>
    <t>Markus</t>
  </si>
  <si>
    <t>Josef</t>
  </si>
  <si>
    <t>Farit</t>
  </si>
  <si>
    <t>14.01.1960</t>
  </si>
  <si>
    <t>Armin</t>
  </si>
  <si>
    <t>Marlen</t>
  </si>
  <si>
    <t>15.01.1980</t>
  </si>
  <si>
    <t>Martin</t>
  </si>
  <si>
    <t>Vogt</t>
  </si>
  <si>
    <t>Ueli</t>
  </si>
  <si>
    <t>Edith</t>
  </si>
  <si>
    <t>Loris</t>
  </si>
  <si>
    <t>Brändle-Schnellmann</t>
  </si>
  <si>
    <t>Heiz-Schnellmann</t>
  </si>
  <si>
    <t>Diethelm-Schnellmann</t>
  </si>
  <si>
    <t>Mächler-Badat</t>
  </si>
  <si>
    <t>Bruhin-Niedermeier</t>
  </si>
  <si>
    <t>Hungerbühler-Vogt</t>
  </si>
  <si>
    <t>Schnellmann-Schuster</t>
  </si>
  <si>
    <t>Bruhin-Schnellmann</t>
  </si>
  <si>
    <t>Bruhin-Wichert</t>
  </si>
  <si>
    <t>Müller</t>
  </si>
  <si>
    <t>Horvath-Vogt</t>
  </si>
  <si>
    <t>Schättin</t>
  </si>
  <si>
    <t>Hüppin-Gyr</t>
  </si>
  <si>
    <t>Widrig-Vogt</t>
  </si>
  <si>
    <t>Geburtsdatum</t>
  </si>
  <si>
    <t>Geschlecht</t>
  </si>
  <si>
    <t>Vorname</t>
  </si>
  <si>
    <t>Familienname</t>
  </si>
  <si>
    <t>Already had birthday this year</t>
  </si>
  <si>
    <t>Heute:</t>
  </si>
  <si>
    <t>Sorter</t>
  </si>
  <si>
    <t>Alter
aktuell</t>
  </si>
  <si>
    <t>Alter in 
diesem Jahr</t>
  </si>
  <si>
    <t>Nächster Geburtstag</t>
  </si>
  <si>
    <t>Vektoren</t>
  </si>
  <si>
    <t>Bezeichnung</t>
  </si>
  <si>
    <t>V1 Einheit</t>
  </si>
  <si>
    <t>V1 Wert</t>
  </si>
  <si>
    <t>V2 Wert</t>
  </si>
  <si>
    <t>V2 Einheit</t>
  </si>
  <si>
    <t>°</t>
  </si>
  <si>
    <t>rad</t>
  </si>
  <si>
    <t>Winkel-Einheiten</t>
  </si>
  <si>
    <t>F1</t>
  </si>
  <si>
    <t>Grösse</t>
  </si>
  <si>
    <t>Betrag</t>
  </si>
  <si>
    <t>Winkel [°]</t>
  </si>
  <si>
    <t>Winkel [rad]</t>
  </si>
  <si>
    <t>Realteil x</t>
  </si>
  <si>
    <t>Imaginärteil y</t>
  </si>
  <si>
    <t>Eingabeformat</t>
  </si>
  <si>
    <t>Kartesisch</t>
  </si>
  <si>
    <t>Polar [rad]</t>
  </si>
  <si>
    <t>Polar [°]</t>
  </si>
  <si>
    <t>Unbekannt</t>
  </si>
  <si>
    <t>Eingabe</t>
  </si>
  <si>
    <t>Zwischenresultat</t>
  </si>
  <si>
    <t>Polar</t>
  </si>
  <si>
    <t>F2</t>
  </si>
  <si>
    <t>F3</t>
  </si>
  <si>
    <t>F4</t>
  </si>
  <si>
    <t>F5</t>
  </si>
  <si>
    <t>F6</t>
  </si>
  <si>
    <t>F7</t>
  </si>
  <si>
    <t>x1</t>
  </si>
  <si>
    <t>x2</t>
  </si>
  <si>
    <t>y1</t>
  </si>
  <si>
    <t>y2</t>
  </si>
  <si>
    <t>Graph</t>
  </si>
  <si>
    <t>Skala</t>
  </si>
  <si>
    <t>Min/Max</t>
  </si>
  <si>
    <t>x-Achse</t>
  </si>
  <si>
    <t>y-Achse</t>
  </si>
  <si>
    <t>Operation</t>
  </si>
  <si>
    <t>+</t>
  </si>
  <si>
    <t>-</t>
  </si>
  <si>
    <t>*</t>
  </si>
  <si>
    <t>Schiefe Ebene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</si>
  <si>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= </t>
    </r>
  </si>
  <si>
    <t>Hangabtriebskraft:</t>
  </si>
  <si>
    <t>Normalkraft: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</si>
  <si>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</si>
  <si>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= </t>
    </r>
  </si>
  <si>
    <t>Masse:</t>
  </si>
  <si>
    <t xml:space="preserve">m = </t>
  </si>
  <si>
    <t>Erdbeschleunigung:</t>
  </si>
  <si>
    <t>kg</t>
  </si>
  <si>
    <r>
      <t>m/s</t>
    </r>
    <r>
      <rPr>
        <vertAlign val="superscript"/>
        <sz val="11"/>
        <color theme="1"/>
        <rFont val="Calibri"/>
        <family val="2"/>
        <scheme val="minor"/>
      </rPr>
      <t>2</t>
    </r>
  </si>
  <si>
    <t>m*g =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</si>
  <si>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cos(α)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</si>
  <si>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sin(α) = </t>
    </r>
  </si>
  <si>
    <t>Steigungswinkel:</t>
  </si>
  <si>
    <t xml:space="preserve">α = </t>
  </si>
  <si>
    <t>Winkelmasse</t>
  </si>
  <si>
    <t>Gewichtskraft:</t>
  </si>
  <si>
    <t>t</t>
  </si>
  <si>
    <t>Masse</t>
  </si>
  <si>
    <t>g</t>
  </si>
  <si>
    <t>mg</t>
  </si>
  <si>
    <t>Hide</t>
  </si>
  <si>
    <t>Resultierende</t>
  </si>
  <si>
    <t>Reibungs-Koeffizient:</t>
  </si>
  <si>
    <t>Haftreibung (μₕ)</t>
  </si>
  <si>
    <t>Gleitreibung (μₖ)</t>
  </si>
  <si>
    <t xml:space="preserve">Haftreibung (μₕ) = </t>
  </si>
  <si>
    <t xml:space="preserve">Gleitreibung (μₖ) = </t>
  </si>
  <si>
    <t>Materialkombination</t>
  </si>
  <si>
    <t>Gummi auf trockenem Asphalt</t>
  </si>
  <si>
    <t>0,9 – 1,0</t>
  </si>
  <si>
    <t>0,7 – 0,9</t>
  </si>
  <si>
    <t>Stahl auf Stahl (trocken)</t>
  </si>
  <si>
    <t>0,6 – 0,8</t>
  </si>
  <si>
    <t>0,4 – 0,6</t>
  </si>
  <si>
    <t>Holz auf Holz</t>
  </si>
  <si>
    <t>0,2 – 0,5</t>
  </si>
  <si>
    <t>Eis auf Eis</t>
  </si>
  <si>
    <t>~0,1</t>
  </si>
  <si>
    <t>~0,03 – 0,05</t>
  </si>
  <si>
    <t>Teflon auf Teflon</t>
  </si>
  <si>
    <t>~0,04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</si>
  <si>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μₕ  = </t>
    </r>
  </si>
  <si>
    <t>Haftreibungskraft:</t>
  </si>
  <si>
    <t>Resultierende Hangabtriebskraft (Haftet):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</si>
  <si>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μₖ  = </t>
    </r>
  </si>
  <si>
    <t>Gleitreibungskraft:</t>
  </si>
  <si>
    <r>
      <t>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</si>
  <si>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</si>
  <si>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</si>
  <si>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t>Resultierende Hangabtriebskraft (Gleitet):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</si>
  <si>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</si>
  <si>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HR_Haft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</si>
  <si>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 xml:space="preserve">HR _Gleit </t>
    </r>
    <r>
      <rPr>
        <sz val="11"/>
        <color theme="1"/>
        <rFont val="Calibri"/>
        <family val="2"/>
        <scheme val="minor"/>
      </rPr>
      <t xml:space="preserve">= </t>
    </r>
  </si>
  <si>
    <r>
      <t>a = F</t>
    </r>
    <r>
      <rPr>
        <vertAlign val="subscript"/>
        <sz val="11"/>
        <color theme="1"/>
        <rFont val="Calibri"/>
        <family val="2"/>
        <scheme val="minor"/>
      </rPr>
      <t>HR_Gleit</t>
    </r>
    <r>
      <rPr>
        <sz val="11"/>
        <color theme="1"/>
        <rFont val="Calibri"/>
        <family val="2"/>
        <scheme val="minor"/>
      </rPr>
      <t xml:space="preserve"> / m = </t>
    </r>
  </si>
  <si>
    <t xml:space="preserve">[°] </t>
  </si>
  <si>
    <t xml:space="preserve">[rad] </t>
  </si>
  <si>
    <t xml:space="preserve">a = g⋅(sin(α)−μₖ​⋅cos(α)) = </t>
  </si>
  <si>
    <t>Winkel: Haften zu gleiten:</t>
  </si>
  <si>
    <t>[°]</t>
  </si>
  <si>
    <t>Winkel: Gleiten zu haften:</t>
  </si>
  <si>
    <t>[rad]</t>
  </si>
  <si>
    <t>Haften -&gt; Gleiten</t>
  </si>
  <si>
    <t xml:space="preserve">g = </t>
  </si>
  <si>
    <t xml:space="preserve"> m * g =</t>
  </si>
  <si>
    <t>N</t>
  </si>
  <si>
    <r>
      <t xml:space="preserve"> 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cos(</t>
    </r>
    <r>
      <rPr>
        <sz val="11"/>
        <color theme="1"/>
        <rFont val="Aptos Narrow"/>
        <family val="2"/>
      </rPr>
      <t>α</t>
    </r>
    <r>
      <rPr>
        <sz val="11"/>
        <color theme="1"/>
        <rFont val="Calibri"/>
        <family val="2"/>
        <scheme val="minor"/>
      </rPr>
      <t xml:space="preserve">) = </t>
    </r>
  </si>
  <si>
    <r>
      <t xml:space="preserve"> 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sin(</t>
    </r>
    <r>
      <rPr>
        <sz val="11"/>
        <color theme="1"/>
        <rFont val="Aptos Narrow"/>
        <family val="2"/>
      </rPr>
      <t>α</t>
    </r>
    <r>
      <rPr>
        <sz val="11"/>
        <color theme="1"/>
        <rFont val="Calibri"/>
        <family val="2"/>
        <scheme val="minor"/>
      </rPr>
      <t xml:space="preserve">) = </t>
    </r>
  </si>
  <si>
    <t>φ</t>
  </si>
  <si>
    <t>Kleines phi</t>
  </si>
  <si>
    <t>Grosses phi</t>
  </si>
  <si>
    <t>pi</t>
  </si>
  <si>
    <t>π</t>
  </si>
  <si>
    <t>f
Frequenz
[Hz]</t>
  </si>
  <si>
    <t>φ
Phasenlage
[°]</t>
  </si>
  <si>
    <t>φ
Phasenlage [rad]</t>
  </si>
  <si>
    <t>Sinus / Cosinus / Tangens</t>
  </si>
  <si>
    <t xml:space="preserve">y1 = </t>
  </si>
  <si>
    <t>Inc:</t>
  </si>
  <si>
    <t>tan(x) =</t>
  </si>
  <si>
    <t xml:space="preserve">y2 = </t>
  </si>
  <si>
    <t>V</t>
  </si>
  <si>
    <t>Ω</t>
  </si>
  <si>
    <t>Gemischte Schaltungen</t>
  </si>
  <si>
    <t>1.Schritt</t>
  </si>
  <si>
    <t>6.Schritt</t>
  </si>
  <si>
    <t>5.Schritt</t>
  </si>
  <si>
    <t>4.Schritt</t>
  </si>
  <si>
    <t>3.Schritt</t>
  </si>
  <si>
    <t>2.Schritt</t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</si>
  <si>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</si>
  <si>
    <t>==&gt;</t>
  </si>
  <si>
    <t>Vektoroperationen</t>
  </si>
  <si>
    <t xml:space="preserve"> =</t>
  </si>
  <si>
    <r>
      <t>R</t>
    </r>
    <r>
      <rPr>
        <vertAlign val="subscript"/>
        <sz val="16"/>
        <color theme="1"/>
        <rFont val="Calibri"/>
        <family val="2"/>
        <scheme val="minor"/>
      </rPr>
      <t>1</t>
    </r>
  </si>
  <si>
    <r>
      <t>R</t>
    </r>
    <r>
      <rPr>
        <vertAlign val="subscript"/>
        <sz val="16"/>
        <color theme="1"/>
        <rFont val="Calibri"/>
        <family val="2"/>
        <scheme val="minor"/>
      </rPr>
      <t>2</t>
    </r>
  </si>
  <si>
    <r>
      <t>R</t>
    </r>
    <r>
      <rPr>
        <vertAlign val="subscript"/>
        <sz val="16"/>
        <color theme="1"/>
        <rFont val="Calibri"/>
        <family val="2"/>
        <scheme val="minor"/>
      </rPr>
      <t>3</t>
    </r>
  </si>
  <si>
    <r>
      <t>R</t>
    </r>
    <r>
      <rPr>
        <vertAlign val="subscript"/>
        <sz val="16"/>
        <color theme="1"/>
        <rFont val="Calibri"/>
        <family val="2"/>
        <scheme val="minor"/>
      </rPr>
      <t>4</t>
    </r>
  </si>
  <si>
    <r>
      <t>R</t>
    </r>
    <r>
      <rPr>
        <vertAlign val="subscript"/>
        <sz val="16"/>
        <color theme="1"/>
        <rFont val="Calibri"/>
        <family val="2"/>
        <scheme val="minor"/>
      </rPr>
      <t>5</t>
    </r>
  </si>
  <si>
    <r>
      <t>R</t>
    </r>
    <r>
      <rPr>
        <vertAlign val="subscript"/>
        <sz val="16"/>
        <color theme="1"/>
        <rFont val="Calibri"/>
        <family val="2"/>
        <scheme val="minor"/>
      </rPr>
      <t>6</t>
    </r>
  </si>
  <si>
    <r>
      <t>R</t>
    </r>
    <r>
      <rPr>
        <vertAlign val="subscript"/>
        <sz val="16"/>
        <color theme="1"/>
        <rFont val="Calibri"/>
        <family val="2"/>
        <scheme val="minor"/>
      </rPr>
      <t>7</t>
    </r>
  </si>
  <si>
    <r>
      <t>R</t>
    </r>
    <r>
      <rPr>
        <vertAlign val="subscript"/>
        <sz val="16"/>
        <color theme="1"/>
        <rFont val="Calibri"/>
        <family val="2"/>
        <scheme val="minor"/>
      </rPr>
      <t>8</t>
    </r>
  </si>
  <si>
    <r>
      <t>R</t>
    </r>
    <r>
      <rPr>
        <vertAlign val="subscript"/>
        <sz val="16"/>
        <color theme="1"/>
        <rFont val="Calibri"/>
        <family val="2"/>
        <scheme val="minor"/>
      </rPr>
      <t>9</t>
    </r>
  </si>
  <si>
    <r>
      <t>R</t>
    </r>
    <r>
      <rPr>
        <vertAlign val="subscript"/>
        <sz val="16"/>
        <color theme="1"/>
        <rFont val="Calibri"/>
        <family val="2"/>
        <scheme val="minor"/>
      </rPr>
      <t>10</t>
    </r>
  </si>
  <si>
    <r>
      <t>R</t>
    </r>
    <r>
      <rPr>
        <vertAlign val="subscript"/>
        <sz val="18"/>
        <color theme="1"/>
        <rFont val="Calibri"/>
        <family val="2"/>
        <scheme val="minor"/>
      </rPr>
      <t>23</t>
    </r>
  </si>
  <si>
    <r>
      <t>R</t>
    </r>
    <r>
      <rPr>
        <vertAlign val="subscript"/>
        <sz val="18"/>
        <color theme="1"/>
        <rFont val="Calibri"/>
        <family val="2"/>
        <scheme val="minor"/>
      </rPr>
      <t>45</t>
    </r>
  </si>
  <si>
    <r>
      <t>R</t>
    </r>
    <r>
      <rPr>
        <vertAlign val="subscript"/>
        <sz val="18"/>
        <color theme="1"/>
        <rFont val="Calibri"/>
        <family val="2"/>
        <scheme val="minor"/>
      </rPr>
      <t>78</t>
    </r>
  </si>
  <si>
    <r>
      <t>R</t>
    </r>
    <r>
      <rPr>
        <vertAlign val="subscript"/>
        <sz val="18"/>
        <color theme="1"/>
        <rFont val="Calibri"/>
        <family val="2"/>
        <scheme val="minor"/>
      </rPr>
      <t>123</t>
    </r>
  </si>
  <si>
    <t xml:space="preserve">     R2||R3    </t>
  </si>
  <si>
    <t xml:space="preserve">    R4||R5     </t>
  </si>
  <si>
    <t xml:space="preserve">   R7 + R8   </t>
  </si>
  <si>
    <t xml:space="preserve">   R23 + R1   </t>
  </si>
  <si>
    <r>
      <t>R</t>
    </r>
    <r>
      <rPr>
        <vertAlign val="subscript"/>
        <sz val="18"/>
        <color theme="1"/>
        <rFont val="Calibri"/>
        <family val="2"/>
        <scheme val="minor"/>
      </rPr>
      <t>789</t>
    </r>
  </si>
  <si>
    <t xml:space="preserve"> R9||R78   </t>
  </si>
  <si>
    <r>
      <t>R</t>
    </r>
    <r>
      <rPr>
        <vertAlign val="subscript"/>
        <sz val="22"/>
        <color theme="1"/>
        <rFont val="Calibri"/>
        <family val="2"/>
        <scheme val="minor"/>
      </rPr>
      <t>12345</t>
    </r>
  </si>
  <si>
    <t xml:space="preserve">  R45||R123  </t>
  </si>
  <si>
    <r>
      <t>R</t>
    </r>
    <r>
      <rPr>
        <vertAlign val="subscript"/>
        <sz val="20"/>
        <color theme="1"/>
        <rFont val="Calibri"/>
        <family val="2"/>
        <scheme val="minor"/>
      </rPr>
      <t>123456</t>
    </r>
  </si>
  <si>
    <t>R6 + R12345</t>
  </si>
  <si>
    <r>
      <t>R</t>
    </r>
    <r>
      <rPr>
        <vertAlign val="subscript"/>
        <sz val="20"/>
        <color theme="1"/>
        <rFont val="Calibri"/>
        <family val="2"/>
        <scheme val="minor"/>
      </rPr>
      <t>123456789</t>
    </r>
  </si>
  <si>
    <t xml:space="preserve"> R789||R123456</t>
  </si>
  <si>
    <t>R10 + R123456789</t>
  </si>
  <si>
    <r>
      <t>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</si>
  <si>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R</t>
    </r>
    <r>
      <rPr>
        <vertAlign val="subscript"/>
        <sz val="20"/>
        <color theme="1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</si>
  <si>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 tint="4.9989318521683403E-2"/>
        <rFont val="Calibri"/>
        <family val="2"/>
        <scheme val="minor"/>
      </rPr>
      <t>* R</t>
    </r>
    <r>
      <rPr>
        <vertAlign val="subscript"/>
        <sz val="20"/>
        <color theme="1" tint="4.9989318521683403E-2"/>
        <rFont val="Calibri"/>
        <family val="2"/>
        <scheme val="minor"/>
      </rPr>
      <t>123456789</t>
    </r>
  </si>
  <si>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theme="1"/>
        <rFont val="Calibri"/>
        <family val="2"/>
        <scheme val="minor"/>
      </rPr>
      <t xml:space="preserve"> * R</t>
    </r>
    <r>
      <rPr>
        <vertAlign val="subscript"/>
        <sz val="20"/>
        <color theme="1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</si>
  <si>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789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</si>
  <si>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</si>
  <si>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123456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</si>
  <si>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</si>
  <si>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12345</t>
    </r>
  </si>
  <si>
    <r>
      <t xml:space="preserve">   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/ R</t>
    </r>
    <r>
      <rPr>
        <vertAlign val="subscript"/>
        <sz val="20"/>
        <color theme="1"/>
        <rFont val="Calibri"/>
        <family val="2"/>
        <scheme val="minor"/>
      </rPr>
      <t xml:space="preserve">Tot   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</si>
  <si>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6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</si>
  <si>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10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</si>
  <si>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123456789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</si>
  <si>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=</t>
    </r>
    <r>
      <rPr>
        <sz val="20"/>
        <color rgb="FFFF0000"/>
        <rFont val="Calibri"/>
        <family val="2"/>
        <scheme val="minor"/>
      </rPr>
      <t xml:space="preserve">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</si>
  <si>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</si>
  <si>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</si>
  <si>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6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123456789</t>
    </r>
    <r>
      <rPr>
        <sz val="22"/>
        <color theme="1"/>
        <rFont val="Calibri"/>
        <family val="2"/>
        <scheme val="minor"/>
      </rPr>
      <t xml:space="preserve"> = 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</si>
  <si>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</si>
  <si>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</si>
  <si>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45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</si>
  <si>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45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</si>
  <si>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</si>
  <si>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9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</si>
  <si>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</si>
  <si>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</si>
  <si>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</si>
  <si>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</si>
  <si>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</si>
  <si>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</si>
  <si>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2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</si>
  <si>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</si>
  <si>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</si>
  <si>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</si>
  <si>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7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</si>
  <si>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8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</si>
  <si>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2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</si>
  <si>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</si>
  <si>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</si>
  <si>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5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</si>
  <si>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7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</si>
  <si>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8</t>
    </r>
  </si>
  <si>
    <r>
      <t>U</t>
    </r>
    <r>
      <rPr>
        <vertAlign val="subscript"/>
        <sz val="16"/>
        <color rgb="FF00B0F0"/>
        <rFont val="Calibri"/>
        <family val="2"/>
        <scheme val="minor"/>
      </rPr>
      <t>Tot</t>
    </r>
  </si>
  <si>
    <r>
      <t>R</t>
    </r>
    <r>
      <rPr>
        <vertAlign val="subscript"/>
        <sz val="16"/>
        <color theme="1" tint="4.9989318521683403E-2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</si>
  <si>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45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</si>
  <si>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23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</si>
  <si>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</si>
  <si>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78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</si>
  <si>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4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5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</si>
  <si>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</si>
  <si>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8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</si>
  <si>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10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123456789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</si>
  <si>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6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</si>
  <si>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23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</t>
    </r>
  </si>
  <si>
    <t>Winkel-Umrechnungen</t>
  </si>
  <si>
    <t>Winkelmass</t>
  </si>
  <si>
    <t>x</t>
  </si>
  <si>
    <t>y</t>
  </si>
  <si>
    <t>Vektor Definition (Umrechnen von Polar- zu kartesischen Koordinaten)</t>
  </si>
  <si>
    <t>Wertetabelle für Grafik</t>
  </si>
  <si>
    <t>max(abs())</t>
  </si>
  <si>
    <r>
      <t>V</t>
    </r>
    <r>
      <rPr>
        <vertAlign val="subscript"/>
        <sz val="9"/>
        <color theme="1"/>
        <rFont val="Calibri"/>
        <family val="2"/>
        <scheme val="minor"/>
      </rPr>
      <t>1</t>
    </r>
  </si>
  <si>
    <r>
      <t>V</t>
    </r>
    <r>
      <rPr>
        <vertAlign val="subscript"/>
        <sz val="9"/>
        <color theme="1"/>
        <rFont val="Calibri"/>
        <family val="2"/>
        <scheme val="minor"/>
      </rPr>
      <t>2</t>
    </r>
  </si>
  <si>
    <r>
      <t>x</t>
    </r>
    <r>
      <rPr>
        <vertAlign val="subscript"/>
        <sz val="8"/>
        <color theme="1"/>
        <rFont val="Calibri"/>
        <family val="2"/>
        <scheme val="minor"/>
      </rPr>
      <t>1</t>
    </r>
  </si>
  <si>
    <r>
      <t>x</t>
    </r>
    <r>
      <rPr>
        <vertAlign val="subscript"/>
        <sz val="8"/>
        <color theme="1"/>
        <rFont val="Calibri"/>
        <family val="2"/>
        <scheme val="minor"/>
      </rPr>
      <t>2</t>
    </r>
  </si>
  <si>
    <r>
      <t>y</t>
    </r>
    <r>
      <rPr>
        <vertAlign val="subscript"/>
        <sz val="8"/>
        <color theme="1"/>
        <rFont val="Calibri"/>
        <family val="2"/>
        <scheme val="minor"/>
      </rPr>
      <t>1</t>
    </r>
  </si>
  <si>
    <r>
      <t>y</t>
    </r>
    <r>
      <rPr>
        <vertAlign val="subscript"/>
        <sz val="8"/>
        <color theme="1"/>
        <rFont val="Calibri"/>
        <family val="2"/>
        <scheme val="minor"/>
      </rPr>
      <t>2</t>
    </r>
  </si>
  <si>
    <t>Grüne Felder</t>
  </si>
  <si>
    <t>Eingabefelder (Winkelmass ist eine Auswahlliste von °, rad)</t>
  </si>
  <si>
    <t>Gelbe Felder</t>
  </si>
  <si>
    <t>Weisse Felder</t>
  </si>
  <si>
    <t>Statische Felder</t>
  </si>
  <si>
    <t xml:space="preserve">Mit Formel berechnet </t>
  </si>
  <si>
    <r>
      <t>V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+ V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</si>
  <si>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r>
      <t>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V</t>
    </r>
    <r>
      <rPr>
        <vertAlign val="subscript"/>
        <sz val="11"/>
        <color theme="1"/>
        <rFont val="Calibri"/>
        <family val="2"/>
        <scheme val="minor"/>
      </rPr>
      <t>2</t>
    </r>
  </si>
  <si>
    <t>T
Periodendauer [s]</t>
  </si>
  <si>
    <t xml:space="preserve">x = phi [°] = </t>
  </si>
  <si>
    <t xml:space="preserve">x = phi [rad] = </t>
  </si>
  <si>
    <t>ω
(2 * π * f )</t>
  </si>
  <si>
    <t>Grundfrequenz:</t>
  </si>
  <si>
    <t>Verhältnis zur
Grundfrequenz
Oberwelle</t>
  </si>
  <si>
    <t xml:space="preserve">t = </t>
  </si>
  <si>
    <t>y(t) = a * sin(2πf​* t + φ) =  a * sin(ω​* t + φ)</t>
  </si>
  <si>
    <t>L1</t>
  </si>
  <si>
    <t>L2</t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</si>
  <si>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</si>
  <si>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3-Phasenstrom (Verkettete Spannung)</t>
  </si>
  <si>
    <r>
      <t>L</t>
    </r>
    <r>
      <rPr>
        <vertAlign val="subscript"/>
        <sz val="9"/>
        <color theme="1"/>
        <rFont val="Calibri"/>
        <family val="2"/>
        <scheme val="minor"/>
      </rPr>
      <t>1</t>
    </r>
  </si>
  <si>
    <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</si>
  <si>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Eingangsspannung:</t>
  </si>
  <si>
    <t>Strom:</t>
  </si>
  <si>
    <t>Momentanleistung:</t>
  </si>
  <si>
    <t>U(t)=Û⋅sin(ωt)</t>
  </si>
  <si>
    <t>I(t)=Î⋅sin(ωt+φ)</t>
  </si>
  <si>
    <t>P(t)=U(t)⋅I(t) = Û⋅sin(ωt) * Î⋅sin(ωt+φ)</t>
  </si>
  <si>
    <t>sin(a) * sin(b) = 1/2​[cos(a−b) − cos(a+b)]</t>
  </si>
  <si>
    <t>Additionstheoremen:</t>
  </si>
  <si>
    <t>Eingesetzt:</t>
  </si>
  <si>
    <t>cos(-φ) = cos(φ)</t>
  </si>
  <si>
    <r>
      <t>U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Û/Wurzel(2)</t>
    </r>
  </si>
  <si>
    <r>
      <t>I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Î/Wurzel(2)</t>
    </r>
  </si>
  <si>
    <r>
      <t xml:space="preserve">Die </t>
    </r>
    <r>
      <rPr>
        <b/>
        <sz val="11"/>
        <color theme="1"/>
        <rFont val="Calibri"/>
        <family val="2"/>
        <scheme val="minor"/>
      </rPr>
      <t>mittlere Leistung über eine Periode T</t>
    </r>
    <r>
      <rPr>
        <sz val="11"/>
        <color theme="1"/>
        <rFont val="Calibri"/>
        <family val="2"/>
        <scheme val="minor"/>
      </rPr>
      <t xml:space="preserve"> ergibt sich durch Mittelung von p(t):</t>
    </r>
  </si>
  <si>
    <r>
      <t>P(t) =U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I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[cos(φ) - cos(2ωt+φ)]</t>
    </r>
  </si>
  <si>
    <r>
      <t xml:space="preserve">Die zweite Komponente </t>
    </r>
    <r>
      <rPr>
        <b/>
        <sz val="11"/>
        <color theme="1"/>
        <rFont val="Calibri"/>
        <family val="2"/>
        <scheme val="minor"/>
      </rPr>
      <t xml:space="preserve">cos(2ωt+φ) </t>
    </r>
    <r>
      <rPr>
        <sz val="11"/>
        <color theme="1"/>
        <rFont val="Calibri"/>
        <family val="2"/>
        <scheme val="minor"/>
      </rPr>
      <t xml:space="preserve">hat über eine volle Periode den Mittelwert </t>
    </r>
    <r>
      <rPr>
        <b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>.</t>
    </r>
  </si>
  <si>
    <r>
      <t xml:space="preserve">P(t) = 1/2 *  Û* Î * [cos(ωt-ωt-φ) - cos(ωt+ωt+φ)] = 1/2 *  Û* Î * [cos(-φ) - cos(2ωt+φ)] = </t>
    </r>
    <r>
      <rPr>
        <sz val="14"/>
        <color theme="1"/>
        <rFont val="Calibri"/>
        <family val="2"/>
        <scheme val="minor"/>
      </rPr>
      <t>1/2 *  Û* Î * [cos(φ) - cos(2ωt+φ)]</t>
    </r>
  </si>
  <si>
    <t>Frequenz Strom und Spannung sind gleich</t>
  </si>
  <si>
    <t>Phasenlage Spannung wird als Referenz = 0 angenommen</t>
  </si>
  <si>
    <t>U</t>
  </si>
  <si>
    <t>Scheinleistung S [VA] - Blindleistung Q [var] - Wirkleistung P [W]</t>
  </si>
  <si>
    <r>
      <t>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phasen gleich mit U</t>
    </r>
  </si>
  <si>
    <r>
      <t>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90° gegen U</t>
    </r>
  </si>
  <si>
    <t xml:space="preserve">I = IP + IQ = </t>
  </si>
  <si>
    <t xml:space="preserve">Scheinleistung S = U *I = </t>
  </si>
  <si>
    <r>
      <t>Blindleistung Q = U *I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</t>
    </r>
  </si>
  <si>
    <r>
      <t>Wirkleistung P = U *I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</t>
    </r>
  </si>
  <si>
    <t>x-Achse:</t>
  </si>
  <si>
    <t>y-Achse:</t>
  </si>
  <si>
    <t>y = a * sin(x + c)</t>
  </si>
  <si>
    <t xml:space="preserve">cos(30°) = </t>
  </si>
  <si>
    <t xml:space="preserve">WURZEL(3)/2 = </t>
  </si>
  <si>
    <t xml:space="preserve">sin(60°) = </t>
  </si>
  <si>
    <t xml:space="preserve">cos(60°) = </t>
  </si>
  <si>
    <t xml:space="preserve">cos(45°) = </t>
  </si>
  <si>
    <t xml:space="preserve">1/WURZEL(2) = </t>
  </si>
  <si>
    <r>
      <t>Vertikale L</t>
    </r>
    <r>
      <rPr>
        <vertAlign val="subscript"/>
        <sz val="11"/>
        <color theme="1"/>
        <rFont val="Calibri"/>
        <family val="2"/>
        <scheme val="minor"/>
      </rPr>
      <t>2V</t>
    </r>
  </si>
  <si>
    <r>
      <t>Horizontale L2</t>
    </r>
    <r>
      <rPr>
        <vertAlign val="subscript"/>
        <sz val="11"/>
        <color theme="1"/>
        <rFont val="Calibri"/>
        <family val="2"/>
        <scheme val="minor"/>
      </rPr>
      <t>H</t>
    </r>
  </si>
  <si>
    <r>
      <t>L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L</t>
    </r>
    <r>
      <rPr>
        <vertAlign val="subscript"/>
        <sz val="11"/>
        <color theme="1"/>
        <rFont val="Calibri"/>
        <family val="2"/>
        <scheme val="minor"/>
      </rPr>
      <t>2H</t>
    </r>
    <r>
      <rPr>
        <sz val="11"/>
        <color theme="1"/>
        <rFont val="Calibri"/>
        <family val="2"/>
        <scheme val="minor"/>
      </rPr>
      <t xml:space="preserve"> = </t>
    </r>
  </si>
  <si>
    <r>
      <t>L</t>
    </r>
    <r>
      <rPr>
        <vertAlign val="subscript"/>
        <sz val="11"/>
        <color theme="1"/>
        <rFont val="Calibri"/>
        <family val="2"/>
        <scheme val="minor"/>
      </rPr>
      <t>2V</t>
    </r>
    <r>
      <rPr>
        <sz val="11"/>
        <color theme="1"/>
        <rFont val="Calibri"/>
        <family val="2"/>
        <scheme val="minor"/>
      </rPr>
      <t xml:space="preserve"> = </t>
    </r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</si>
  <si>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  <r>
      <rPr>
        <sz val="11"/>
        <color theme="0" tint="-0.14999847407452621"/>
        <rFont val="Calibri"/>
        <family val="2"/>
        <scheme val="minor"/>
      </rPr>
      <t xml:space="preserve"> = </t>
    </r>
  </si>
  <si>
    <t>230 *(sin(x) - sin(x + 120°)</t>
  </si>
  <si>
    <t>Trigonometrischen Theoreme und Identitäten</t>
  </si>
  <si>
    <t>Polygone-Fläche</t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</si>
  <si>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</si>
  <si>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i+1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</t>
    </r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</si>
  <si>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-s</t>
    </r>
    <r>
      <rPr>
        <vertAlign val="subscript"/>
        <sz val="11"/>
        <color theme="1"/>
        <rFont val="Calibri"/>
        <family val="2"/>
        <scheme val="minor"/>
      </rPr>
      <t>2</t>
    </r>
  </si>
  <si>
    <t>Fläche</t>
  </si>
  <si>
    <t>P1</t>
  </si>
  <si>
    <t>P2</t>
  </si>
  <si>
    <t>P3</t>
  </si>
  <si>
    <t>P4</t>
  </si>
  <si>
    <t>Punkte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</si>
  <si>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</si>
  <si>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</si>
  <si>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</si>
  <si>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</si>
  <si>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</si>
  <si>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</si>
  <si>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</si>
  <si>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</si>
  <si>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</si>
  <si>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</si>
  <si>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r>
      <t>s</t>
    </r>
    <r>
      <rPr>
        <vertAlign val="subscript"/>
        <sz val="11"/>
        <color theme="1"/>
        <rFont val="Calibri"/>
        <family val="2"/>
        <scheme val="minor"/>
      </rPr>
      <t>1x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</si>
  <si>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s2</t>
    </r>
    <r>
      <rPr>
        <vertAlign val="subscript"/>
        <sz val="11"/>
        <color theme="1"/>
        <rFont val="Calibri"/>
        <family val="2"/>
        <scheme val="minor"/>
      </rPr>
      <t>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</si>
  <si>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t>def polygon_area_and_centroid(points):</t>
  </si>
  <si>
    <t xml:space="preserve">    """</t>
  </si>
  <si>
    <t xml:space="preserve">    Berechnet die Fläche und den Schwerpunkt eines Polygons.</t>
  </si>
  <si>
    <t xml:space="preserve">    </t>
  </si>
  <si>
    <t xml:space="preserve">    Parameter:</t>
  </si>
  <si>
    <t xml:space="preserve">        points (list of tuple): Liste von (x, y)-Koordinaten in Reihenfolge.</t>
  </si>
  <si>
    <t xml:space="preserve">        </t>
  </si>
  <si>
    <t xml:space="preserve">    Rückgabe:</t>
  </si>
  <si>
    <t xml:space="preserve">        area (float): Fläche des Polygons.</t>
  </si>
  <si>
    <t xml:space="preserve">        centroid (tuple): (x_s, y_s) - Koordinaten des Schwerpunkts.</t>
  </si>
  <si>
    <t xml:space="preserve">    n = len(points)</t>
  </si>
  <si>
    <t xml:space="preserve">    if n &lt; 3:</t>
  </si>
  <si>
    <t xml:space="preserve">        raise ValueError("Ein Polygon muss mindestens 3 Punkte haben.")</t>
  </si>
  <si>
    <t xml:space="preserve">    # Punkte schließen, d.h. ersten Punkt ans Ende hängen</t>
  </si>
  <si>
    <t xml:space="preserve">    points = points + [points[0]]</t>
  </si>
  <si>
    <t xml:space="preserve">    area = 0</t>
  </si>
  <si>
    <t xml:space="preserve">    cx = 0</t>
  </si>
  <si>
    <t xml:space="preserve">    cy = 0</t>
  </si>
  <si>
    <t xml:space="preserve">    for i in range(n):</t>
  </si>
  <si>
    <t xml:space="preserve">        x0, y0 = points[i]</t>
  </si>
  <si>
    <t xml:space="preserve">        x1, y1 = points[i + 1]</t>
  </si>
  <si>
    <t xml:space="preserve">        cross = x0 * y1 - x1 * y0</t>
  </si>
  <si>
    <t xml:space="preserve">        area += cross</t>
  </si>
  <si>
    <t xml:space="preserve">        cx += (x0 + x1) * cross</t>
  </si>
  <si>
    <t xml:space="preserve">        cy += (y0 + y1) * cross</t>
  </si>
  <si>
    <t xml:space="preserve">    area *= 0.5</t>
  </si>
  <si>
    <t xml:space="preserve">    if area == 0:</t>
  </si>
  <si>
    <t xml:space="preserve">        raise ValueError("Fläche ist 0 – evtl. liegen alle Punkte auf einer Linie?")</t>
  </si>
  <si>
    <t xml:space="preserve">    cx /= (6 * area)</t>
  </si>
  <si>
    <t xml:space="preserve">    cy /= (6 * area)</t>
  </si>
  <si>
    <t xml:space="preserve">    return abs(area), (cx, cy)</t>
  </si>
  <si>
    <t>punkte = [(0, 0), (4, 0), (2, 3)]</t>
  </si>
  <si>
    <t>fläche, schwerpunkt = polygon_area_and_centroid(punkte)</t>
  </si>
  <si>
    <t>print("Fläche:", fläche)</t>
  </si>
  <si>
    <t>print("Schwerpunkt:", schwerpunkt)</t>
  </si>
  <si>
    <t>Fläche: 6.0</t>
  </si>
  <si>
    <t>Schwerpunkt: (2.0, 1.0)</t>
  </si>
  <si>
    <t xml:space="preserve">Û = </t>
  </si>
  <si>
    <t xml:space="preserve">Î = 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</si>
  <si>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U</t>
    </r>
    <r>
      <rPr>
        <sz val="11"/>
        <color theme="1"/>
        <rFont val="Calibri"/>
        <family val="2"/>
      </rPr>
      <t xml:space="preserve"> = </t>
    </r>
  </si>
  <si>
    <t xml:space="preserve">°  = </t>
  </si>
  <si>
    <t>[V]</t>
  </si>
  <si>
    <t>[A]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</si>
  <si>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I</t>
    </r>
    <r>
      <rPr>
        <sz val="11"/>
        <color theme="1"/>
        <rFont val="Calibri"/>
        <family val="2"/>
      </rPr>
      <t xml:space="preserve"> = </t>
    </r>
  </si>
  <si>
    <t>[W]</t>
  </si>
  <si>
    <r>
      <t>U(t) = U</t>
    </r>
    <r>
      <rPr>
        <vertAlign val="subscript"/>
        <sz val="14"/>
        <color rgb="FF00B0F0"/>
        <rFont val="Calibri"/>
        <family val="2"/>
        <scheme val="minor"/>
      </rPr>
      <t>Momentan</t>
    </r>
    <r>
      <rPr>
        <sz val="14"/>
        <color rgb="FF00B0F0"/>
        <rFont val="Calibri"/>
        <family val="2"/>
        <scheme val="minor"/>
      </rPr>
      <t xml:space="preserve"> = </t>
    </r>
  </si>
  <si>
    <r>
      <t>I(t) = I</t>
    </r>
    <r>
      <rPr>
        <vertAlign val="subscript"/>
        <sz val="14"/>
        <color rgb="FFFF0000"/>
        <rFont val="Calibri"/>
        <family val="2"/>
        <scheme val="minor"/>
      </rPr>
      <t>Momentan</t>
    </r>
    <r>
      <rPr>
        <sz val="14"/>
        <color rgb="FFFF0000"/>
        <rFont val="Calibri"/>
        <family val="2"/>
        <scheme val="minor"/>
      </rPr>
      <t xml:space="preserve"> = </t>
    </r>
  </si>
  <si>
    <r>
      <t>Û * sin(x + φ</t>
    </r>
    <r>
      <rPr>
        <vertAlign val="subscript"/>
        <sz val="16"/>
        <color rgb="FF00B0F0"/>
        <rFont val="Calibri"/>
        <family val="2"/>
        <scheme val="minor"/>
      </rPr>
      <t>U</t>
    </r>
    <r>
      <rPr>
        <sz val="16"/>
        <color rgb="FF00B0F0"/>
        <rFont val="Calibri"/>
        <family val="2"/>
        <scheme val="minor"/>
      </rPr>
      <t>)</t>
    </r>
  </si>
  <si>
    <r>
      <t>Î * sin(x + φ</t>
    </r>
    <r>
      <rPr>
        <vertAlign val="subscript"/>
        <sz val="16"/>
        <color rgb="FFFF0000"/>
        <rFont val="Calibri"/>
        <family val="2"/>
        <scheme val="minor"/>
      </rPr>
      <t>I</t>
    </r>
    <r>
      <rPr>
        <sz val="16"/>
        <color rgb="FFFF0000"/>
        <rFont val="Calibri"/>
        <family val="2"/>
        <scheme val="minor"/>
      </rPr>
      <t>)</t>
    </r>
  </si>
  <si>
    <r>
      <t>P(t) = P</t>
    </r>
    <r>
      <rPr>
        <vertAlign val="subscript"/>
        <sz val="14"/>
        <color rgb="FFFFC000"/>
        <rFont val="Calibri"/>
        <family val="2"/>
        <scheme val="minor"/>
      </rPr>
      <t>Momentan</t>
    </r>
    <r>
      <rPr>
        <sz val="14"/>
        <color rgb="FFFFC000"/>
        <rFont val="Calibri"/>
        <family val="2"/>
        <scheme val="minor"/>
      </rPr>
      <t xml:space="preserve"> =</t>
    </r>
  </si>
  <si>
    <r>
      <rPr>
        <sz val="16"/>
        <color rgb="FF00B0F0"/>
        <rFont val="Calibri"/>
        <family val="2"/>
        <scheme val="minor"/>
      </rPr>
      <t>U(t)</t>
    </r>
    <r>
      <rPr>
        <sz val="16"/>
        <color rgb="FFFF0000"/>
        <rFont val="Calibri"/>
        <family val="2"/>
        <scheme val="minor"/>
      </rPr>
      <t xml:space="preserve"> </t>
    </r>
    <r>
      <rPr>
        <sz val="16"/>
        <color theme="1"/>
        <rFont val="Calibri"/>
        <family val="2"/>
        <scheme val="minor"/>
      </rPr>
      <t>*</t>
    </r>
    <r>
      <rPr>
        <sz val="16"/>
        <color rgb="FFFF0000"/>
        <rFont val="Calibri"/>
        <family val="2"/>
        <scheme val="minor"/>
      </rPr>
      <t xml:space="preserve"> I(t)</t>
    </r>
  </si>
  <si>
    <t>L3</t>
  </si>
  <si>
    <r>
      <t>L</t>
    </r>
    <r>
      <rPr>
        <vertAlign val="subscript"/>
        <sz val="9"/>
        <color theme="0"/>
        <rFont val="Calibri"/>
        <family val="2"/>
        <scheme val="minor"/>
      </rPr>
      <t>2</t>
    </r>
  </si>
  <si>
    <t>Quelle mit Innenwiderstand</t>
  </si>
  <si>
    <r>
      <t>[</t>
    </r>
    <r>
      <rPr>
        <sz val="11"/>
        <color theme="1"/>
        <rFont val="Aptos Narrow"/>
        <family val="2"/>
      </rPr>
      <t>Ω</t>
    </r>
    <r>
      <rPr>
        <sz val="11"/>
        <color theme="1"/>
        <rFont val="Calibri"/>
        <family val="2"/>
      </rPr>
      <t>]</t>
    </r>
  </si>
  <si>
    <t>Sternschaltung</t>
  </si>
  <si>
    <t>R1 =</t>
  </si>
  <si>
    <t>R2 =</t>
  </si>
  <si>
    <t>R3 =</t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</si>
  <si>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3N </t>
    </r>
    <r>
      <rPr>
        <sz val="11"/>
        <color theme="1"/>
        <rFont val="Calibri"/>
        <family val="2"/>
        <scheme val="minor"/>
      </rPr>
      <t>=</t>
    </r>
  </si>
  <si>
    <t>V (Effektiv)</t>
  </si>
  <si>
    <r>
      <t>U</t>
    </r>
    <r>
      <rPr>
        <vertAlign val="subscript"/>
        <sz val="11"/>
        <color theme="1"/>
        <rFont val="Calibri"/>
        <family val="2"/>
        <scheme val="minor"/>
      </rPr>
      <t>21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23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32 </t>
    </r>
    <r>
      <rPr>
        <sz val="11"/>
        <color theme="1"/>
        <rFont val="Calibri"/>
        <family val="2"/>
        <scheme val="minor"/>
      </rPr>
      <t>=</t>
    </r>
  </si>
  <si>
    <t>V (Spitzenwert)</t>
  </si>
  <si>
    <t>Nulleiter angeschlossen</t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</si>
  <si>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</si>
  <si>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</si>
  <si>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t>W</t>
  </si>
  <si>
    <r>
      <t>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</si>
  <si>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</si>
  <si>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Total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</si>
  <si>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2N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</si>
  <si>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3N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</si>
  <si>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</si>
  <si>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t>Ohne Nulleiter</t>
  </si>
  <si>
    <t>Grafisch zeigen:</t>
  </si>
  <si>
    <r>
      <t>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= </t>
    </r>
  </si>
  <si>
    <r>
      <t>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</si>
  <si>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L</t>
    </r>
  </si>
  <si>
    <r>
      <t>I = U</t>
    </r>
    <r>
      <rPr>
        <vertAlign val="subscript"/>
        <sz val="11"/>
        <color rgb="FFFF0000"/>
        <rFont val="Calibri"/>
        <family val="2"/>
        <scheme val="minor"/>
      </rPr>
      <t>0</t>
    </r>
    <r>
      <rPr>
        <sz val="11"/>
        <color rgb="FFFF0000"/>
        <rFont val="Calibri"/>
        <family val="2"/>
        <scheme val="minor"/>
      </rPr>
      <t>/(R</t>
    </r>
    <r>
      <rPr>
        <vertAlign val="subscript"/>
        <sz val="11"/>
        <color rgb="FFFF0000"/>
        <rFont val="Calibri"/>
        <family val="2"/>
        <scheme val="minor"/>
      </rPr>
      <t>i</t>
    </r>
    <r>
      <rPr>
        <sz val="11"/>
        <color rgb="FFFF0000"/>
        <rFont val="Calibri"/>
        <family val="2"/>
        <scheme val="minor"/>
      </rPr>
      <t xml:space="preserve"> + R</t>
    </r>
    <r>
      <rPr>
        <vertAlign val="subscript"/>
        <sz val="11"/>
        <color rgb="FFFF0000"/>
        <rFont val="Calibri"/>
        <family val="2"/>
        <scheme val="minor"/>
      </rPr>
      <t>L</t>
    </r>
    <r>
      <rPr>
        <sz val="11"/>
        <color rgb="FFFF0000"/>
        <rFont val="Calibri"/>
        <family val="2"/>
        <scheme val="minor"/>
      </rPr>
      <t>)</t>
    </r>
  </si>
  <si>
    <r>
      <t>U = R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rgb="FF00B0F0"/>
        <rFont val="Calibri"/>
        <family val="2"/>
        <scheme val="minor"/>
      </rPr>
      <t xml:space="preserve"> * I</t>
    </r>
  </si>
  <si>
    <r>
      <t>P</t>
    </r>
    <r>
      <rPr>
        <vertAlign val="subscript"/>
        <sz val="11"/>
        <color rgb="FFFFC000"/>
        <rFont val="Calibri"/>
        <family val="2"/>
        <scheme val="minor"/>
      </rPr>
      <t>RL</t>
    </r>
    <r>
      <rPr>
        <sz val="11"/>
        <color rgb="FFFFC000"/>
        <rFont val="Calibri"/>
        <family val="2"/>
        <scheme val="minor"/>
      </rPr>
      <t xml:space="preserve"> = U * I</t>
    </r>
  </si>
  <si>
    <r>
      <t>U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2</t>
    </r>
  </si>
  <si>
    <r>
      <t>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(2 * 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)</t>
    </r>
  </si>
  <si>
    <r>
      <t>P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* U</t>
    </r>
    <r>
      <rPr>
        <vertAlign val="subscript"/>
        <sz val="11"/>
        <color theme="1"/>
        <rFont val="Calibri"/>
        <family val="2"/>
        <scheme val="minor"/>
      </rPr>
      <t>An</t>
    </r>
  </si>
  <si>
    <r>
      <t>Leistungsanpassung: 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R</t>
    </r>
    <r>
      <rPr>
        <vertAlign val="subscript"/>
        <sz val="11"/>
        <color theme="1"/>
        <rFont val="Calibri"/>
        <family val="2"/>
        <scheme val="minor"/>
      </rPr>
      <t>i</t>
    </r>
  </si>
  <si>
    <t>Daten der Quelle</t>
  </si>
  <si>
    <t>[mA]</t>
  </si>
  <si>
    <t>xAchse</t>
  </si>
  <si>
    <t>yAchse</t>
  </si>
  <si>
    <r>
      <t>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</si>
  <si>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</si>
  <si>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1N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</si>
  <si>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</si>
  <si>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2N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</si>
  <si>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</si>
  <si>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3N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</si>
  <si>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</si>
  <si>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</si>
  <si>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>:</t>
    </r>
  </si>
  <si>
    <t>Skala:</t>
  </si>
  <si>
    <t>Û</t>
  </si>
  <si>
    <r>
      <t>U</t>
    </r>
    <r>
      <rPr>
        <vertAlign val="subscript"/>
        <sz val="11"/>
        <color theme="1"/>
        <rFont val="Calibri"/>
        <family val="2"/>
        <scheme val="minor"/>
      </rPr>
      <t>Effektiv</t>
    </r>
  </si>
  <si>
    <t>Elektronische Schaltzeichen</t>
  </si>
  <si>
    <t>Momentanwerte</t>
  </si>
  <si>
    <t>Momentanwert Zeitbereich</t>
  </si>
  <si>
    <t>Radius</t>
  </si>
  <si>
    <t>Amplitude</t>
  </si>
  <si>
    <r>
      <t>x</t>
    </r>
    <r>
      <rPr>
        <vertAlign val="subscript"/>
        <sz val="11"/>
        <color theme="1"/>
        <rFont val="Calibri"/>
        <family val="2"/>
        <scheme val="minor"/>
      </rPr>
      <t>0</t>
    </r>
  </si>
  <si>
    <r>
      <t>x</t>
    </r>
    <r>
      <rPr>
        <vertAlign val="subscript"/>
        <sz val="11"/>
        <color theme="1"/>
        <rFont val="Calibri"/>
        <family val="2"/>
        <scheme val="minor"/>
      </rPr>
      <t>1</t>
    </r>
  </si>
  <si>
    <t>Vektor-Pfeile</t>
  </si>
  <si>
    <r>
      <t>y</t>
    </r>
    <r>
      <rPr>
        <vertAlign val="subscript"/>
        <sz val="11"/>
        <color theme="1"/>
        <rFont val="Calibri"/>
        <family val="2"/>
        <scheme val="minor"/>
      </rPr>
      <t>0</t>
    </r>
  </si>
  <si>
    <t>max</t>
  </si>
  <si>
    <r>
      <t>x</t>
    </r>
    <r>
      <rPr>
        <vertAlign val="subscript"/>
        <sz val="11"/>
        <color theme="1"/>
        <rFont val="Calibri"/>
        <family val="2"/>
        <scheme val="minor"/>
      </rPr>
      <t>2</t>
    </r>
  </si>
  <si>
    <r>
      <t>x</t>
    </r>
    <r>
      <rPr>
        <vertAlign val="subscript"/>
        <sz val="11"/>
        <color theme="1"/>
        <rFont val="Calibri"/>
        <family val="2"/>
        <scheme val="minor"/>
      </rPr>
      <t>3</t>
    </r>
  </si>
  <si>
    <r>
      <t>y</t>
    </r>
    <r>
      <rPr>
        <vertAlign val="subscript"/>
        <sz val="11"/>
        <color theme="1"/>
        <rFont val="Calibri"/>
        <family val="2"/>
        <scheme val="minor"/>
      </rPr>
      <t>1</t>
    </r>
  </si>
  <si>
    <r>
      <t>y</t>
    </r>
    <r>
      <rPr>
        <vertAlign val="subscript"/>
        <sz val="11"/>
        <color theme="1"/>
        <rFont val="Calibri"/>
        <family val="2"/>
        <scheme val="minor"/>
      </rPr>
      <t>2</t>
    </r>
  </si>
  <si>
    <r>
      <t>y</t>
    </r>
    <r>
      <rPr>
        <vertAlign val="subscript"/>
        <sz val="11"/>
        <color theme="1"/>
        <rFont val="Calibri"/>
        <family val="2"/>
        <scheme val="minor"/>
      </rPr>
      <t>3</t>
    </r>
  </si>
  <si>
    <t>Phasenlage phi</t>
  </si>
  <si>
    <t>sin(x) =</t>
  </si>
  <si>
    <t>Y1 + Y2 =</t>
  </si>
  <si>
    <t>Anzeigen:</t>
  </si>
  <si>
    <t xml:space="preserve">y10 = </t>
  </si>
  <si>
    <t xml:space="preserve">y11= </t>
  </si>
  <si>
    <t>Y3 =</t>
  </si>
  <si>
    <t>Y1 * Y2 =</t>
  </si>
  <si>
    <t>Hilfslinie_1</t>
  </si>
  <si>
    <t>Hilfslinie_2</t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</si>
  <si>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[km]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</si>
  <si>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</si>
  <si>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[km]</t>
    </r>
  </si>
  <si>
    <r>
      <t>Fz_2:   s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= v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* t + s0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 = </t>
    </r>
  </si>
  <si>
    <r>
      <t>Fz_1:   s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= v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* t + s0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 = </t>
    </r>
  </si>
  <si>
    <r>
      <t>t = (s0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) /(v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 =</t>
    </r>
  </si>
  <si>
    <t>[h]</t>
  </si>
  <si>
    <r>
      <t>s = 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t + 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</t>
    </r>
  </si>
  <si>
    <t>[km]</t>
  </si>
  <si>
    <t>Treffpunk / Ueberholpunkt:</t>
  </si>
  <si>
    <t>Hilfslinien:</t>
  </si>
  <si>
    <t>horizontale:</t>
  </si>
  <si>
    <t>vertikale:</t>
  </si>
  <si>
    <t>Einheit</t>
  </si>
  <si>
    <t>α</t>
  </si>
  <si>
    <t>sin(α)</t>
  </si>
  <si>
    <t>cos(α)</t>
  </si>
  <si>
    <t>tan(α)</t>
  </si>
  <si>
    <r>
      <t xml:space="preserve">2 * </t>
    </r>
    <r>
      <rPr>
        <sz val="14"/>
        <color theme="1"/>
        <rFont val="Aptos Narrow"/>
        <family val="2"/>
      </rPr>
      <t>π</t>
    </r>
  </si>
  <si>
    <t>α [rad]</t>
  </si>
  <si>
    <t>Resultate
anzeigen</t>
  </si>
  <si>
    <t xml:space="preserve">sin(α) = </t>
  </si>
  <si>
    <t xml:space="preserve">cos(α) = </t>
  </si>
  <si>
    <t xml:space="preserve">tan(α) = </t>
  </si>
  <si>
    <t>α [°]</t>
  </si>
  <si>
    <t>Berechnung Momentanwert:</t>
  </si>
  <si>
    <t>Amplitude A:</t>
  </si>
  <si>
    <t>Frequenz f:</t>
  </si>
  <si>
    <t>Zeit t:</t>
  </si>
  <si>
    <t>Einheiten-Vorsätze</t>
  </si>
  <si>
    <t>Vorsatz</t>
  </si>
  <si>
    <t>Symbol</t>
  </si>
  <si>
    <t>Faktor</t>
  </si>
  <si>
    <t>Zehnerpotenz</t>
  </si>
  <si>
    <t>Quetta</t>
  </si>
  <si>
    <t>Q</t>
  </si>
  <si>
    <t>10³⁰</t>
  </si>
  <si>
    <t>Ronna</t>
  </si>
  <si>
    <t>R</t>
  </si>
  <si>
    <t>10²⁷</t>
  </si>
  <si>
    <t>Yotta</t>
  </si>
  <si>
    <t>Y</t>
  </si>
  <si>
    <t>10²⁴</t>
  </si>
  <si>
    <t>Zetta</t>
  </si>
  <si>
    <t>Z</t>
  </si>
  <si>
    <t>10²¹</t>
  </si>
  <si>
    <t>Exa</t>
  </si>
  <si>
    <t>10¹⁸</t>
  </si>
  <si>
    <t>Peta</t>
  </si>
  <si>
    <t>P</t>
  </si>
  <si>
    <t>10¹⁵</t>
  </si>
  <si>
    <t>Tera</t>
  </si>
  <si>
    <t>T</t>
  </si>
  <si>
    <t>10¹²</t>
  </si>
  <si>
    <t>Giga</t>
  </si>
  <si>
    <t>10⁹</t>
  </si>
  <si>
    <t>Mega</t>
  </si>
  <si>
    <t>10⁶</t>
  </si>
  <si>
    <t>Kilo</t>
  </si>
  <si>
    <t>k</t>
  </si>
  <si>
    <t>10³</t>
  </si>
  <si>
    <t>Hekto</t>
  </si>
  <si>
    <t>h</t>
  </si>
  <si>
    <t>10²</t>
  </si>
  <si>
    <t>Deka</t>
  </si>
  <si>
    <t>da</t>
  </si>
  <si>
    <t>10¹</t>
  </si>
  <si>
    <t>(Basiseinheit)</t>
  </si>
  <si>
    <t>–</t>
  </si>
  <si>
    <t>10⁰</t>
  </si>
  <si>
    <t>Dezi</t>
  </si>
  <si>
    <t>d</t>
  </si>
  <si>
    <t>10⁻¹</t>
  </si>
  <si>
    <t>Zenti</t>
  </si>
  <si>
    <t>c</t>
  </si>
  <si>
    <t>10⁻²</t>
  </si>
  <si>
    <t>Milli</t>
  </si>
  <si>
    <t>m</t>
  </si>
  <si>
    <t>10⁻³</t>
  </si>
  <si>
    <t>Mikro</t>
  </si>
  <si>
    <t>µ</t>
  </si>
  <si>
    <t>10⁻⁶</t>
  </si>
  <si>
    <t>Nano</t>
  </si>
  <si>
    <t>n</t>
  </si>
  <si>
    <t>10⁻⁹</t>
  </si>
  <si>
    <t>Piko</t>
  </si>
  <si>
    <t>p</t>
  </si>
  <si>
    <t>10⁻¹²</t>
  </si>
  <si>
    <t>Femto</t>
  </si>
  <si>
    <t>f</t>
  </si>
  <si>
    <t>10⁻¹⁵</t>
  </si>
  <si>
    <t>Atto</t>
  </si>
  <si>
    <t>a</t>
  </si>
  <si>
    <t>10⁻¹⁸</t>
  </si>
  <si>
    <t>Zepto</t>
  </si>
  <si>
    <t>z</t>
  </si>
  <si>
    <t>10⁻²¹</t>
  </si>
  <si>
    <t>Yocto</t>
  </si>
  <si>
    <t>10⁻²⁴</t>
  </si>
  <si>
    <t>Ronto</t>
  </si>
  <si>
    <t>r</t>
  </si>
  <si>
    <t>10⁻²⁷</t>
  </si>
  <si>
    <t>Quekto</t>
  </si>
  <si>
    <t>q</t>
  </si>
  <si>
    <t>10⁻³⁰</t>
  </si>
  <si>
    <t>Test</t>
  </si>
  <si>
    <t>s</t>
  </si>
  <si>
    <t>zum darstellen</t>
  </si>
  <si>
    <t>zum rechnen</t>
  </si>
  <si>
    <t>Hz</t>
  </si>
  <si>
    <t>Griechische Buchstaben</t>
  </si>
  <si>
    <t>Groß</t>
  </si>
  <si>
    <t>Klein</t>
  </si>
  <si>
    <t>Name</t>
  </si>
  <si>
    <t>Α</t>
  </si>
  <si>
    <t>Alpha</t>
  </si>
  <si>
    <t>Β</t>
  </si>
  <si>
    <t>β</t>
  </si>
  <si>
    <t>Beta</t>
  </si>
  <si>
    <t>Γ</t>
  </si>
  <si>
    <t>γ</t>
  </si>
  <si>
    <t>Gamma</t>
  </si>
  <si>
    <t>Δ</t>
  </si>
  <si>
    <t>δ</t>
  </si>
  <si>
    <t>Delta</t>
  </si>
  <si>
    <t>Ε</t>
  </si>
  <si>
    <t>ε</t>
  </si>
  <si>
    <t>Epsilon</t>
  </si>
  <si>
    <t>Ζ</t>
  </si>
  <si>
    <t>ζ</t>
  </si>
  <si>
    <t>Zeta</t>
  </si>
  <si>
    <t>Η</t>
  </si>
  <si>
    <t>η</t>
  </si>
  <si>
    <t>Eta</t>
  </si>
  <si>
    <t>Θ</t>
  </si>
  <si>
    <t>θ</t>
  </si>
  <si>
    <t>Theta</t>
  </si>
  <si>
    <t>Ι</t>
  </si>
  <si>
    <t>ι</t>
  </si>
  <si>
    <t>Iota</t>
  </si>
  <si>
    <t>Κ</t>
  </si>
  <si>
    <t>κ</t>
  </si>
  <si>
    <t>Kappa</t>
  </si>
  <si>
    <t>Λ</t>
  </si>
  <si>
    <t>λ</t>
  </si>
  <si>
    <t>Lambda</t>
  </si>
  <si>
    <t>Μ</t>
  </si>
  <si>
    <t>μ</t>
  </si>
  <si>
    <t>My (Mu)</t>
  </si>
  <si>
    <t>Ν</t>
  </si>
  <si>
    <t>ν</t>
  </si>
  <si>
    <t>Ny (Nu)</t>
  </si>
  <si>
    <t>Ξ</t>
  </si>
  <si>
    <t>ξ</t>
  </si>
  <si>
    <t>Xi</t>
  </si>
  <si>
    <t>Ο</t>
  </si>
  <si>
    <t>ο</t>
  </si>
  <si>
    <t>Omikron</t>
  </si>
  <si>
    <t>Π</t>
  </si>
  <si>
    <t>Pi</t>
  </si>
  <si>
    <t>Ρ</t>
  </si>
  <si>
    <t>ρ</t>
  </si>
  <si>
    <t>Rho</t>
  </si>
  <si>
    <t>Σ</t>
  </si>
  <si>
    <t>σ / ς</t>
  </si>
  <si>
    <t>Τ</t>
  </si>
  <si>
    <t>τ</t>
  </si>
  <si>
    <t>Tau</t>
  </si>
  <si>
    <t>Υ</t>
  </si>
  <si>
    <t>υ</t>
  </si>
  <si>
    <t>Ypsilon</t>
  </si>
  <si>
    <t>Φ</t>
  </si>
  <si>
    <t>Phi</t>
  </si>
  <si>
    <t>Χ</t>
  </si>
  <si>
    <t>χ</t>
  </si>
  <si>
    <t>Chi</t>
  </si>
  <si>
    <t>Ψ</t>
  </si>
  <si>
    <t>ψ</t>
  </si>
  <si>
    <t>Psi</t>
  </si>
  <si>
    <t>ω</t>
  </si>
  <si>
    <t>Omega</t>
  </si>
  <si>
    <t>Sigma</t>
  </si>
  <si>
    <r>
      <t xml:space="preserve">y(t) = A * sin(2 * </t>
    </r>
    <r>
      <rPr>
        <b/>
        <sz val="20"/>
        <color theme="1"/>
        <rFont val="Aptos Narrow"/>
        <family val="2"/>
      </rPr>
      <t>π</t>
    </r>
    <r>
      <rPr>
        <b/>
        <sz val="20"/>
        <color theme="1"/>
        <rFont val="Calibri"/>
        <family val="2"/>
      </rPr>
      <t xml:space="preserve"> * f * t)</t>
    </r>
  </si>
  <si>
    <t>Me</t>
  </si>
  <si>
    <t>Vielfaches</t>
  </si>
  <si>
    <t>Periodendatuer =</t>
  </si>
  <si>
    <t>Kreisfrequenz =</t>
  </si>
  <si>
    <t xml:space="preserve">Wellenlänge = </t>
  </si>
  <si>
    <t xml:space="preserve">Momentanwert = </t>
  </si>
  <si>
    <t xml:space="preserve">              Effektiv-Wert =</t>
  </si>
  <si>
    <t xml:space="preserve">                 Frequenz =</t>
  </si>
  <si>
    <t xml:space="preserve">                           Spitzenwert = </t>
  </si>
  <si>
    <t xml:space="preserve">                             Effektivwert =</t>
  </si>
  <si>
    <t xml:space="preserve">                              Frequenz =</t>
  </si>
  <si>
    <t>s-1</t>
  </si>
  <si>
    <t xml:space="preserve">Ausbreitungsgeschwindigtkeit        </t>
  </si>
  <si>
    <t xml:space="preserve">Zeit                                                       </t>
  </si>
  <si>
    <t>s = v*t + s0</t>
  </si>
  <si>
    <t>v = (s - s0)/t</t>
  </si>
  <si>
    <t>t = (s - s0)/v</t>
  </si>
  <si>
    <t>s0 = s - v*t</t>
  </si>
  <si>
    <t>s = v*t</t>
  </si>
  <si>
    <t>v = s/t</t>
  </si>
  <si>
    <t>t = s/v</t>
  </si>
  <si>
    <t>km/h</t>
  </si>
  <si>
    <t>m/s</t>
  </si>
  <si>
    <t>s0 = 0</t>
  </si>
  <si>
    <t>Kinematik I</t>
  </si>
  <si>
    <t>Mathematik</t>
  </si>
  <si>
    <t>Physik</t>
  </si>
  <si>
    <t>Elektrotechnik</t>
  </si>
  <si>
    <t>Excel-Staff</t>
  </si>
  <si>
    <t>Sinusförmige Signale im Zeitbereich / Vektoren</t>
  </si>
  <si>
    <t>Leistung bei  ein-phasigem Wechselstrom</t>
  </si>
  <si>
    <t>Weg-Zeit Diagramm (Kinematik I)</t>
  </si>
  <si>
    <t>Weg-Zeit Diagramm (Kinematik II)</t>
  </si>
  <si>
    <r>
      <t>a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[m/s</t>
    </r>
    <r>
      <rPr>
        <vertAlign val="super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>]</t>
    </r>
  </si>
  <si>
    <r>
      <t>v0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</t>
    </r>
  </si>
  <si>
    <r>
      <t>Fz_2:   s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= v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* t + s0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 = </t>
    </r>
  </si>
  <si>
    <r>
      <t>a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[m/s</t>
    </r>
    <r>
      <rPr>
        <vertAlign val="super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>]</t>
    </r>
  </si>
  <si>
    <r>
      <t>v0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</si>
  <si>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t xml:space="preserve">s [km] = 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</si>
  <si>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 = </t>
    </r>
  </si>
  <si>
    <t>[m]</t>
  </si>
  <si>
    <r>
      <t>s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= (a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/2)t</t>
    </r>
    <r>
      <rPr>
        <b/>
        <vertAlign val="superscript"/>
        <sz val="20"/>
        <color rgb="FFFFC000"/>
        <rFont val="Calibri"/>
        <family val="2"/>
        <scheme val="minor"/>
      </rPr>
      <t>2</t>
    </r>
    <r>
      <rPr>
        <b/>
        <sz val="20"/>
        <color rgb="FFFFC000"/>
        <rFont val="Calibri"/>
        <family val="2"/>
        <scheme val="minor"/>
      </rPr>
      <t xml:space="preserve"> + v0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*t + s0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 = </t>
    </r>
  </si>
  <si>
    <r>
      <t>v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= a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*t + v0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 = </t>
    </r>
  </si>
  <si>
    <t>RCL-Glieder</t>
  </si>
  <si>
    <t xml:space="preserve">R = </t>
  </si>
  <si>
    <t xml:space="preserve">C = </t>
  </si>
  <si>
    <t xml:space="preserve">L = </t>
  </si>
  <si>
    <t>f =</t>
  </si>
  <si>
    <t>HZ</t>
  </si>
  <si>
    <t xml:space="preserve">ω = </t>
  </si>
  <si>
    <t>(1/s)</t>
  </si>
  <si>
    <r>
      <t>X</t>
    </r>
    <r>
      <rPr>
        <vertAlign val="subscript"/>
        <sz val="11"/>
        <color theme="1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 xml:space="preserve"> = </t>
    </r>
  </si>
  <si>
    <r>
      <t>X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</t>
    </r>
  </si>
  <si>
    <r>
      <t>Z</t>
    </r>
    <r>
      <rPr>
        <vertAlign val="subscript"/>
        <sz val="11"/>
        <color theme="1"/>
        <rFont val="Calibri"/>
        <family val="2"/>
        <scheme val="minor"/>
      </rPr>
      <t>RC</t>
    </r>
    <r>
      <rPr>
        <sz val="11"/>
        <color theme="1"/>
        <rFont val="Calibri"/>
        <family val="2"/>
        <scheme val="minor"/>
      </rPr>
      <t xml:space="preserve"> = </t>
    </r>
  </si>
  <si>
    <t>Serieschaltung:</t>
  </si>
  <si>
    <r>
      <t>Z</t>
    </r>
    <r>
      <rPr>
        <vertAlign val="subscript"/>
        <sz val="11"/>
        <color theme="1"/>
        <rFont val="Calibri"/>
        <family val="2"/>
        <scheme val="minor"/>
      </rPr>
      <t>RL</t>
    </r>
    <r>
      <rPr>
        <sz val="11"/>
        <color theme="1"/>
        <rFont val="Calibri"/>
        <family val="2"/>
        <scheme val="minor"/>
      </rPr>
      <t xml:space="preserve"> = </t>
    </r>
  </si>
  <si>
    <r>
      <t>Z</t>
    </r>
    <r>
      <rPr>
        <vertAlign val="subscript"/>
        <sz val="11"/>
        <color theme="1"/>
        <rFont val="Calibri"/>
        <family val="2"/>
        <scheme val="minor"/>
      </rPr>
      <t>RLC</t>
    </r>
    <r>
      <rPr>
        <sz val="11"/>
        <color theme="1"/>
        <rFont val="Calibri"/>
        <family val="2"/>
        <scheme val="minor"/>
      </rPr>
      <t xml:space="preserve"> = </t>
    </r>
  </si>
  <si>
    <t xml:space="preserve">φ = </t>
  </si>
  <si>
    <t>Lösung:</t>
  </si>
  <si>
    <t>Gesucht:</t>
  </si>
  <si>
    <t>Gegeben:</t>
  </si>
  <si>
    <t>[s]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</si>
  <si>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</si>
  <si>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</si>
  <si>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</si>
  <si>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</si>
  <si>
    <t>Anfangsstrecke s0:</t>
  </si>
  <si>
    <r>
      <t>s = a/2 * 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v0*t  +  s0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</si>
</sst>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00000000"/>
    <numFmt numFmtId="165" formatCode="#,##0.000000000"/>
    <numFmt numFmtId="166" formatCode="#,##0.0000000"/>
    <numFmt numFmtId="167" formatCode="dd/mm"/>
    <numFmt numFmtId="168" formatCode="ddd\ dd/mm/yyyy"/>
    <numFmt numFmtId="169" formatCode="0.0000"/>
    <numFmt numFmtId="170" formatCode="0.00000"/>
    <numFmt numFmtId="171" formatCode="0.0"/>
    <numFmt numFmtId="172" formatCode="#,##0.0"/>
    <numFmt numFmtId="173" formatCode="0.000"/>
    <numFmt numFmtId="174" formatCode="[hh]:mm:ss"/>
  </numFmts>
  <fonts count="110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rgb="FFFF0000"/>
      <name val="Calibri"/>
      <family val="2"/>
      <scheme val="minor"/>
    </font>
    <font>
      <sz val="11"/>
      <color rgb="FFFFC000"/>
      <name val="Calibri"/>
      <family val="2"/>
      <scheme val="minor"/>
    </font>
    <font>
      <sz val="20"/>
      <color rgb="FFFFC000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b/>
      <u/>
      <sz val="18"/>
      <color theme="1"/>
      <name val="Calibri"/>
      <family val="2"/>
      <scheme val="minor"/>
    </font>
    <font>
      <u/>
      <sz val="16"/>
      <color theme="1"/>
      <name val="Calibri"/>
      <family val="2"/>
      <scheme val="minor"/>
    </font>
    <font>
      <b/>
      <sz val="14"/>
      <color rgb="FFFFC000"/>
      <name val="Calibri"/>
      <family val="2"/>
      <scheme val="minor"/>
    </font>
    <font>
      <b/>
      <vertAlign val="subscript"/>
      <sz val="14"/>
      <color rgb="FFFFC000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vertAlign val="superscript"/>
      <sz val="11"/>
      <color theme="5" tint="-0.249977111117893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b/>
      <vertAlign val="subscript"/>
      <sz val="11"/>
      <color theme="5" tint="-0.249977111117893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vertAlign val="superscript"/>
      <sz val="11"/>
      <color theme="5" tint="-0.249977111117893"/>
      <name val="Calibri"/>
      <family val="2"/>
      <scheme val="minor"/>
    </font>
    <font>
      <vertAlign val="superscript"/>
      <sz val="11"/>
      <color rgb="FFC00000"/>
      <name val="Calibri"/>
      <family val="2"/>
      <scheme val="minor"/>
    </font>
    <font>
      <sz val="11"/>
      <color rgb="FFC00000"/>
      <name val="Calibri"/>
      <family val="2"/>
      <scheme val="minor"/>
    </font>
    <font>
      <sz val="9"/>
      <color indexed="81"/>
      <name val="Segoe UI"/>
      <family val="2"/>
    </font>
    <font>
      <b/>
      <sz val="16"/>
      <color theme="1"/>
      <name val="Calibri"/>
      <family val="2"/>
      <scheme val="minor"/>
    </font>
    <font>
      <b/>
      <u/>
      <sz val="20"/>
      <color theme="1"/>
      <name val="Calibri"/>
      <family val="2"/>
      <scheme val="minor"/>
    </font>
    <font>
      <sz val="11"/>
      <color theme="1"/>
      <name val="Aptos Narrow"/>
      <family val="2"/>
    </font>
    <font>
      <vertAlign val="subscript"/>
      <sz val="11"/>
      <color theme="1"/>
      <name val="Aptos Narrow"/>
      <family val="2"/>
    </font>
    <font>
      <vertAlign val="superscript"/>
      <sz val="11"/>
      <color theme="1"/>
      <name val="Aptos Narrow"/>
      <family val="2"/>
    </font>
    <font>
      <b/>
      <u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9.35"/>
      <color theme="1"/>
      <name val="Calibri"/>
      <family val="2"/>
    </font>
    <font>
      <sz val="11"/>
      <color theme="1" tint="4.9989318521683403E-2"/>
      <name val="Calibri"/>
      <family val="2"/>
      <scheme val="minor"/>
    </font>
    <font>
      <sz val="11"/>
      <color theme="1"/>
      <name val="Calibri"/>
      <family val="2"/>
    </font>
    <font>
      <sz val="9.35"/>
      <color theme="1"/>
      <name val="Aptos Narrow"/>
      <family val="2"/>
    </font>
    <font>
      <b/>
      <u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vertAlign val="subscript"/>
      <sz val="18"/>
      <color theme="1"/>
      <name val="Calibri"/>
      <family val="2"/>
      <scheme val="minor"/>
    </font>
    <font>
      <vertAlign val="subscript"/>
      <sz val="20"/>
      <color theme="1"/>
      <name val="Calibri"/>
      <family val="2"/>
      <scheme val="minor"/>
    </font>
    <font>
      <vertAlign val="subscript"/>
      <sz val="20"/>
      <color rgb="FFFF0000"/>
      <name val="Calibri"/>
      <family val="2"/>
      <scheme val="minor"/>
    </font>
    <font>
      <sz val="20"/>
      <color rgb="FF00B0F0"/>
      <name val="Calibri"/>
      <family val="2"/>
      <scheme val="minor"/>
    </font>
    <font>
      <vertAlign val="subscript"/>
      <sz val="20"/>
      <color rgb="FF00B0F0"/>
      <name val="Calibri"/>
      <family val="2"/>
      <scheme val="minor"/>
    </font>
    <font>
      <sz val="20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vertAlign val="subscript"/>
      <sz val="22"/>
      <color theme="1"/>
      <name val="Calibri"/>
      <family val="2"/>
      <scheme val="minor"/>
    </font>
    <font>
      <sz val="22"/>
      <color rgb="FF00B0F0"/>
      <name val="Calibri"/>
      <family val="2"/>
      <scheme val="minor"/>
    </font>
    <font>
      <vertAlign val="subscript"/>
      <sz val="22"/>
      <color rgb="FF00B0F0"/>
      <name val="Calibri"/>
      <family val="2"/>
      <scheme val="minor"/>
    </font>
    <font>
      <sz val="22"/>
      <color rgb="FFFF0000"/>
      <name val="Calibri"/>
      <family val="2"/>
      <scheme val="minor"/>
    </font>
    <font>
      <vertAlign val="subscript"/>
      <sz val="22"/>
      <color rgb="FFFF0000"/>
      <name val="Calibri"/>
      <family val="2"/>
      <scheme val="minor"/>
    </font>
    <font>
      <sz val="22"/>
      <color theme="0"/>
      <name val="Calibri"/>
      <family val="2"/>
      <scheme val="minor"/>
    </font>
    <font>
      <sz val="12"/>
      <color rgb="FF00B0F0"/>
      <name val="Calibri"/>
      <family val="2"/>
      <scheme val="minor"/>
    </font>
    <font>
      <sz val="16"/>
      <color theme="1"/>
      <name val="Calibri"/>
      <family val="2"/>
      <scheme val="minor"/>
    </font>
    <font>
      <vertAlign val="subscript"/>
      <sz val="16"/>
      <color theme="1"/>
      <name val="Calibri"/>
      <family val="2"/>
      <scheme val="minor"/>
    </font>
    <font>
      <sz val="16"/>
      <color rgb="FF00B0F0"/>
      <name val="Calibri"/>
      <family val="2"/>
      <scheme val="minor"/>
    </font>
    <font>
      <vertAlign val="subscript"/>
      <sz val="16"/>
      <color rgb="FF00B0F0"/>
      <name val="Calibri"/>
      <family val="2"/>
      <scheme val="minor"/>
    </font>
    <font>
      <sz val="12"/>
      <color rgb="FFFF0000"/>
      <name val="Calibri"/>
      <family val="2"/>
      <scheme val="minor"/>
    </font>
    <font>
      <sz val="20"/>
      <color theme="1" tint="4.9989318521683403E-2"/>
      <name val="Calibri"/>
      <family val="2"/>
      <scheme val="minor"/>
    </font>
    <font>
      <vertAlign val="subscript"/>
      <sz val="20"/>
      <color theme="1" tint="4.9989318521683403E-2"/>
      <name val="Calibri"/>
      <family val="2"/>
      <scheme val="minor"/>
    </font>
    <font>
      <sz val="11"/>
      <color rgb="FF00B0F0"/>
      <name val="Calibri"/>
      <family val="2"/>
      <scheme val="minor"/>
    </font>
    <font>
      <sz val="16"/>
      <color theme="1" tint="4.9989318521683403E-2"/>
      <name val="Calibri"/>
      <family val="2"/>
      <scheme val="minor"/>
    </font>
    <font>
      <vertAlign val="subscript"/>
      <sz val="16"/>
      <color theme="1" tint="4.9989318521683403E-2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9"/>
      <color theme="1"/>
      <name val="Calibri"/>
      <family val="2"/>
      <scheme val="minor"/>
    </font>
    <font>
      <vertAlign val="subscript"/>
      <sz val="9"/>
      <color theme="1"/>
      <name val="Calibri"/>
      <family val="2"/>
      <scheme val="minor"/>
    </font>
    <font>
      <vertAlign val="subscript"/>
      <sz val="8"/>
      <color theme="1"/>
      <name val="Calibri"/>
      <family val="2"/>
      <scheme val="minor"/>
    </font>
    <font>
      <b/>
      <sz val="9"/>
      <color indexed="81"/>
      <name val="Segoe UI"/>
      <family val="2"/>
    </font>
    <font>
      <sz val="11"/>
      <color theme="0" tint="-0.14999847407452621"/>
      <name val="Calibri"/>
      <family val="2"/>
      <scheme val="minor"/>
    </font>
    <font>
      <vertAlign val="subscript"/>
      <sz val="11"/>
      <color theme="0" tint="-0.14999847407452621"/>
      <name val="Calibri"/>
      <family val="2"/>
      <scheme val="minor"/>
    </font>
    <font>
      <sz val="11"/>
      <color theme="0" tint="-0.14996795556505021"/>
      <name val="Calibri"/>
      <family val="2"/>
      <scheme val="minor"/>
    </font>
    <font>
      <sz val="11"/>
      <color theme="1"/>
      <name val="Consolas"/>
      <family val="3"/>
    </font>
    <font>
      <vertAlign val="subscript"/>
      <sz val="11"/>
      <color theme="1"/>
      <name val="Calibri"/>
      <family val="2"/>
    </font>
    <font>
      <sz val="14"/>
      <color rgb="FF00B0F0"/>
      <name val="Calibri"/>
      <family val="2"/>
      <scheme val="minor"/>
    </font>
    <font>
      <vertAlign val="subscript"/>
      <sz val="14"/>
      <color rgb="FF00B0F0"/>
      <name val="Calibri"/>
      <family val="2"/>
      <scheme val="minor"/>
    </font>
    <font>
      <sz val="14"/>
      <color rgb="FFFF0000"/>
      <name val="Calibri"/>
      <family val="2"/>
      <scheme val="minor"/>
    </font>
    <font>
      <vertAlign val="subscript"/>
      <sz val="14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vertAlign val="subscript"/>
      <sz val="16"/>
      <color rgb="FFFF0000"/>
      <name val="Calibri"/>
      <family val="2"/>
      <scheme val="minor"/>
    </font>
    <font>
      <sz val="14"/>
      <color rgb="FFFFC000"/>
      <name val="Calibri"/>
      <family val="2"/>
      <scheme val="minor"/>
    </font>
    <font>
      <vertAlign val="subscript"/>
      <sz val="14"/>
      <color rgb="FFFFC000"/>
      <name val="Calibri"/>
      <family val="2"/>
      <scheme val="minor"/>
    </font>
    <font>
      <sz val="16"/>
      <color rgb="FFFFC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vertAlign val="subscript"/>
      <sz val="9"/>
      <color theme="0"/>
      <name val="Calibri"/>
      <family val="2"/>
      <scheme val="minor"/>
    </font>
    <font>
      <vertAlign val="subscript"/>
      <sz val="11"/>
      <color rgb="FFFF0000"/>
      <name val="Calibri"/>
      <family val="2"/>
      <scheme val="minor"/>
    </font>
    <font>
      <vertAlign val="subscript"/>
      <sz val="11"/>
      <color rgb="FF00B0F0"/>
      <name val="Calibri"/>
      <family val="2"/>
      <scheme val="minor"/>
    </font>
    <font>
      <vertAlign val="subscript"/>
      <sz val="11"/>
      <color rgb="FFFFC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4"/>
      <color rgb="FF7030A0"/>
      <name val="Calibri"/>
      <family val="2"/>
      <scheme val="minor"/>
    </font>
    <font>
      <sz val="14"/>
      <color rgb="FFC00000"/>
      <name val="Calibri"/>
      <family val="2"/>
      <scheme val="minor"/>
    </font>
    <font>
      <sz val="14"/>
      <color theme="7" tint="-0.499984740745262"/>
      <name val="Calibri"/>
      <family val="2"/>
      <scheme val="minor"/>
    </font>
    <font>
      <vertAlign val="subscript"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7030A0"/>
      <name val="Calibri"/>
      <family val="2"/>
      <scheme val="minor"/>
    </font>
    <font>
      <b/>
      <vertAlign val="subscript"/>
      <sz val="14"/>
      <color rgb="FF7030A0"/>
      <name val="Calibri"/>
      <family val="2"/>
      <scheme val="minor"/>
    </font>
    <font>
      <sz val="14"/>
      <color theme="1"/>
      <name val="Aptos Narrow"/>
      <family val="2"/>
    </font>
    <font>
      <sz val="16"/>
      <color theme="1"/>
      <name val="Aptos Narrow"/>
      <family val="2"/>
    </font>
    <font>
      <b/>
      <sz val="20"/>
      <color theme="1"/>
      <name val="Aptos Narrow"/>
      <family val="2"/>
    </font>
    <font>
      <b/>
      <sz val="20"/>
      <color theme="1"/>
      <name val="Calibri"/>
      <family val="2"/>
    </font>
    <font>
      <sz val="18"/>
      <color rgb="FFFF0000"/>
      <name val="Calibri"/>
      <family val="2"/>
      <scheme val="minor"/>
    </font>
    <font>
      <vertAlign val="superscript"/>
      <sz val="14"/>
      <color theme="1"/>
      <name val="Calibri"/>
      <family val="2"/>
      <scheme val="minor"/>
    </font>
    <font>
      <b/>
      <sz val="20"/>
      <color rgb="FF7030A0"/>
      <name val="Calibri"/>
      <family val="2"/>
      <scheme val="minor"/>
    </font>
    <font>
      <b/>
      <vertAlign val="subscript"/>
      <sz val="20"/>
      <color rgb="FF7030A0"/>
      <name val="Calibri"/>
      <family val="2"/>
      <scheme val="minor"/>
    </font>
    <font>
      <b/>
      <sz val="20"/>
      <color rgb="FFFFC000"/>
      <name val="Calibri"/>
      <family val="2"/>
      <scheme val="minor"/>
    </font>
    <font>
      <b/>
      <vertAlign val="subscript"/>
      <sz val="20"/>
      <color rgb="FFFFC000"/>
      <name val="Calibri"/>
      <family val="2"/>
      <scheme val="minor"/>
    </font>
    <font>
      <b/>
      <vertAlign val="superscript"/>
      <sz val="20"/>
      <color rgb="FFFFC000"/>
      <name val="Calibri"/>
      <family val="2"/>
      <scheme val="minor"/>
    </font>
    <font>
      <sz val="14"/>
      <color rgb="FF00B05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4.9989318521683403E-2"/>
        <bgColor indexed="64"/>
      </patternFill>
    </fill>
  </fills>
  <borders count="4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8" fillId="0" borderId="0" applyNumberFormat="0" applyFill="0" applyBorder="0" applyAlignment="0" applyProtection="0"/>
  </cellStyleXfs>
  <cellXfs count="469">
    <xf numFmtId="0" fontId="0" fillId="0" borderId="0" xfId="0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0" fontId="0" fillId="2" borderId="2" xfId="0" applyFill="1" applyBorder="1"/>
    <xf numFmtId="0" fontId="0" fillId="0" borderId="2" xfId="0" applyBorder="1"/>
    <xf numFmtId="0" fontId="1" fillId="0" borderId="0" xfId="0" applyFont="1" applyAlignment="1">
      <alignment horizontal="right"/>
    </xf>
    <xf numFmtId="0" fontId="0" fillId="2" borderId="9" xfId="0" applyFill="1" applyBorder="1"/>
    <xf numFmtId="0" fontId="0" fillId="0" borderId="2" xfId="0" applyBorder="1" applyAlignment="1">
      <alignment horizontal="right"/>
    </xf>
    <xf numFmtId="0" fontId="0" fillId="0" borderId="16" xfId="0" applyBorder="1" applyAlignment="1">
      <alignment horizontal="right"/>
    </xf>
    <xf numFmtId="0" fontId="0" fillId="2" borderId="17" xfId="0" applyFill="1" applyBorder="1"/>
    <xf numFmtId="0" fontId="9" fillId="0" borderId="0" xfId="0" applyFont="1"/>
    <xf numFmtId="0" fontId="0" fillId="2" borderId="19" xfId="0" applyFill="1" applyBorder="1"/>
    <xf numFmtId="0" fontId="0" fillId="0" borderId="12" xfId="0" applyBorder="1"/>
    <xf numFmtId="0" fontId="0" fillId="2" borderId="20" xfId="0" applyFill="1" applyBorder="1"/>
    <xf numFmtId="0" fontId="0" fillId="0" borderId="14" xfId="0" applyBorder="1"/>
    <xf numFmtId="0" fontId="0" fillId="4" borderId="2" xfId="0" applyFill="1" applyBorder="1"/>
    <xf numFmtId="0" fontId="0" fillId="4" borderId="18" xfId="0" applyFill="1" applyBorder="1" applyAlignment="1">
      <alignment horizontal="center"/>
    </xf>
    <xf numFmtId="0" fontId="0" fillId="0" borderId="19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7" fillId="0" borderId="11" xfId="0" applyFont="1" applyBorder="1" applyAlignment="1">
      <alignment horizontal="center" vertical="center" wrapText="1"/>
    </xf>
    <xf numFmtId="0" fontId="0" fillId="0" borderId="31" xfId="0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2" fontId="0" fillId="0" borderId="0" xfId="0" applyNumberFormat="1"/>
    <xf numFmtId="0" fontId="0" fillId="5" borderId="2" xfId="0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2" fontId="0" fillId="2" borderId="2" xfId="0" applyNumberFormat="1" applyFill="1" applyBorder="1" applyAlignment="1">
      <alignment horizontal="center"/>
    </xf>
    <xf numFmtId="0" fontId="0" fillId="0" borderId="37" xfId="0" applyBorder="1" applyAlignment="1">
      <alignment horizontal="right" vertical="center"/>
    </xf>
    <xf numFmtId="0" fontId="23" fillId="0" borderId="0" xfId="0" applyFont="1"/>
    <xf numFmtId="0" fontId="0" fillId="0" borderId="28" xfId="0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2" fontId="0" fillId="0" borderId="15" xfId="0" applyNumberFormat="1" applyBorder="1"/>
    <xf numFmtId="2" fontId="0" fillId="0" borderId="2" xfId="0" applyNumberFormat="1" applyBorder="1"/>
    <xf numFmtId="2" fontId="0" fillId="0" borderId="0" xfId="0" applyNumberFormat="1" applyAlignment="1">
      <alignment horizontal="center"/>
    </xf>
    <xf numFmtId="0" fontId="0" fillId="4" borderId="2" xfId="0" applyFill="1" applyBorder="1" applyAlignment="1">
      <alignment horizontal="right" vertical="center"/>
    </xf>
    <xf numFmtId="0" fontId="0" fillId="9" borderId="2" xfId="0" applyFill="1" applyBorder="1" applyAlignment="1">
      <alignment horizontal="right" vertical="center"/>
    </xf>
    <xf numFmtId="0" fontId="0" fillId="4" borderId="2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0" fillId="10" borderId="15" xfId="0" applyNumberFormat="1" applyFill="1" applyBorder="1" applyAlignment="1">
      <alignment vertical="center"/>
    </xf>
    <xf numFmtId="2" fontId="0" fillId="10" borderId="15" xfId="0" applyNumberFormat="1" applyFill="1" applyBorder="1" applyAlignment="1">
      <alignment horizontal="center" vertical="center"/>
    </xf>
    <xf numFmtId="2" fontId="0" fillId="9" borderId="15" xfId="0" applyNumberFormat="1" applyFill="1" applyBorder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2" fontId="0" fillId="7" borderId="15" xfId="0" applyNumberFormat="1" applyFill="1" applyBorder="1" applyAlignment="1">
      <alignment horizontal="center" vertical="center"/>
    </xf>
    <xf numFmtId="2" fontId="0" fillId="6" borderId="1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10" borderId="2" xfId="0" applyFill="1" applyBorder="1" applyAlignment="1">
      <alignment horizontal="right" vertical="center"/>
    </xf>
    <xf numFmtId="2" fontId="0" fillId="11" borderId="2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0" fillId="4" borderId="1" xfId="0" applyFill="1" applyBorder="1" applyAlignment="1">
      <alignment horizont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0" xfId="0" quotePrefix="1"/>
    <xf numFmtId="0" fontId="0" fillId="2" borderId="0" xfId="0" applyFill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27" fillId="0" borderId="0" xfId="0" applyFont="1"/>
    <xf numFmtId="14" fontId="0" fillId="0" borderId="0" xfId="0" applyNumberFormat="1"/>
    <xf numFmtId="0" fontId="28" fillId="0" borderId="0" xfId="1"/>
    <xf numFmtId="0" fontId="29" fillId="0" borderId="0" xfId="0" applyFont="1"/>
    <xf numFmtId="0" fontId="0" fillId="12" borderId="2" xfId="0" applyFill="1" applyBorder="1"/>
    <xf numFmtId="4" fontId="0" fillId="0" borderId="2" xfId="0" applyNumberFormat="1" applyBorder="1"/>
    <xf numFmtId="4" fontId="0" fillId="2" borderId="2" xfId="0" applyNumberFormat="1" applyFill="1" applyBorder="1"/>
    <xf numFmtId="164" fontId="0" fillId="3" borderId="2" xfId="0" applyNumberFormat="1" applyFill="1" applyBorder="1"/>
    <xf numFmtId="0" fontId="0" fillId="3" borderId="2" xfId="0" applyFill="1" applyBorder="1"/>
    <xf numFmtId="0" fontId="31" fillId="5" borderId="2" xfId="0" applyFont="1" applyFill="1" applyBorder="1" applyAlignment="1">
      <alignment horizontal="right" vertical="center"/>
    </xf>
    <xf numFmtId="2" fontId="31" fillId="5" borderId="15" xfId="0" applyNumberFormat="1" applyFont="1" applyFill="1" applyBorder="1" applyAlignment="1">
      <alignment horizontal="center" vertical="center"/>
    </xf>
    <xf numFmtId="0" fontId="31" fillId="5" borderId="15" xfId="0" applyFont="1" applyFill="1" applyBorder="1" applyAlignment="1">
      <alignment horizontal="center" vertical="center"/>
    </xf>
    <xf numFmtId="0" fontId="0" fillId="13" borderId="2" xfId="0" applyFill="1" applyBorder="1" applyAlignment="1">
      <alignment horizontal="right" vertical="center"/>
    </xf>
    <xf numFmtId="2" fontId="0" fillId="13" borderId="2" xfId="0" applyNumberFormat="1" applyFill="1" applyBorder="1" applyAlignment="1">
      <alignment horizontal="center" vertical="center"/>
    </xf>
    <xf numFmtId="0" fontId="0" fillId="13" borderId="2" xfId="0" applyFill="1" applyBorder="1" applyAlignment="1">
      <alignment horizontal="center" vertical="center"/>
    </xf>
    <xf numFmtId="165" fontId="0" fillId="3" borderId="2" xfId="0" applyNumberFormat="1" applyFill="1" applyBorder="1"/>
    <xf numFmtId="0" fontId="32" fillId="12" borderId="2" xfId="0" applyFont="1" applyFill="1" applyBorder="1"/>
    <xf numFmtId="0" fontId="30" fillId="12" borderId="2" xfId="0" applyFont="1" applyFill="1" applyBorder="1"/>
    <xf numFmtId="166" fontId="0" fillId="3" borderId="2" xfId="0" applyNumberFormat="1" applyFill="1" applyBorder="1"/>
    <xf numFmtId="4" fontId="0" fillId="5" borderId="2" xfId="0" applyNumberFormat="1" applyFill="1" applyBorder="1"/>
    <xf numFmtId="0" fontId="28" fillId="0" borderId="0" xfId="1" applyFill="1"/>
    <xf numFmtId="0" fontId="34" fillId="0" borderId="0" xfId="0" applyFont="1"/>
    <xf numFmtId="168" fontId="35" fillId="0" borderId="0" xfId="0" applyNumberFormat="1" applyFont="1" applyAlignment="1">
      <alignment horizontal="left" vertical="center"/>
    </xf>
    <xf numFmtId="0" fontId="0" fillId="10" borderId="2" xfId="0" applyFill="1" applyBorder="1"/>
    <xf numFmtId="167" fontId="0" fillId="0" borderId="2" xfId="0" applyNumberFormat="1" applyBorder="1"/>
    <xf numFmtId="1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2" borderId="2" xfId="0" applyNumberFormat="1" applyFill="1" applyBorder="1" applyAlignment="1">
      <alignment horizontal="center"/>
    </xf>
    <xf numFmtId="168" fontId="0" fillId="0" borderId="2" xfId="0" applyNumberFormat="1" applyBorder="1"/>
    <xf numFmtId="0" fontId="0" fillId="10" borderId="2" xfId="0" applyFill="1" applyBorder="1" applyAlignment="1">
      <alignment horizontal="center" wrapText="1"/>
    </xf>
    <xf numFmtId="4" fontId="0" fillId="0" borderId="0" xfId="0" applyNumberFormat="1"/>
    <xf numFmtId="0" fontId="0" fillId="4" borderId="2" xfId="0" applyFill="1" applyBorder="1" applyAlignment="1">
      <alignment horizontal="center"/>
    </xf>
    <xf numFmtId="4" fontId="0" fillId="14" borderId="2" xfId="0" applyNumberFormat="1" applyFill="1" applyBorder="1"/>
    <xf numFmtId="4" fontId="0" fillId="15" borderId="2" xfId="0" applyNumberFormat="1" applyFill="1" applyBorder="1"/>
    <xf numFmtId="0" fontId="0" fillId="10" borderId="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12" borderId="2" xfId="0" applyFill="1" applyBorder="1" applyAlignment="1">
      <alignment horizontal="center"/>
    </xf>
    <xf numFmtId="0" fontId="0" fillId="12" borderId="2" xfId="0" applyFill="1" applyBorder="1" applyAlignment="1">
      <alignment horizontal="center" vertical="center"/>
    </xf>
    <xf numFmtId="0" fontId="38" fillId="0" borderId="2" xfId="0" applyFont="1" applyBorder="1"/>
    <xf numFmtId="4" fontId="38" fillId="0" borderId="2" xfId="0" applyNumberFormat="1" applyFont="1" applyBorder="1"/>
    <xf numFmtId="0" fontId="0" fillId="0" borderId="2" xfId="0" quotePrefix="1" applyBorder="1"/>
    <xf numFmtId="4" fontId="0" fillId="10" borderId="2" xfId="0" applyNumberFormat="1" applyFill="1" applyBorder="1"/>
    <xf numFmtId="0" fontId="0" fillId="0" borderId="2" xfId="0" applyBorder="1" applyAlignment="1">
      <alignment vertical="center" wrapText="1"/>
    </xf>
    <xf numFmtId="0" fontId="36" fillId="4" borderId="2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/>
    </xf>
    <xf numFmtId="4" fontId="0" fillId="0" borderId="2" xfId="0" applyNumberFormat="1" applyBorder="1" applyAlignment="1">
      <alignment horizontal="left"/>
    </xf>
    <xf numFmtId="0" fontId="0" fillId="2" borderId="37" xfId="0" applyFill="1" applyBorder="1" applyAlignment="1">
      <alignment horizontal="left"/>
    </xf>
    <xf numFmtId="0" fontId="0" fillId="0" borderId="2" xfId="0" applyBorder="1" applyAlignment="1">
      <alignment horizontal="right" vertical="center" wrapText="1"/>
    </xf>
    <xf numFmtId="0" fontId="0" fillId="0" borderId="37" xfId="0" applyBorder="1"/>
    <xf numFmtId="0" fontId="24" fillId="0" borderId="0" xfId="0" applyFont="1"/>
    <xf numFmtId="0" fontId="39" fillId="0" borderId="0" xfId="0" applyFont="1" applyAlignment="1">
      <alignment horizontal="right"/>
    </xf>
    <xf numFmtId="0" fontId="40" fillId="0" borderId="0" xfId="0" applyFont="1" applyAlignment="1">
      <alignment horizontal="right"/>
    </xf>
    <xf numFmtId="0" fontId="40" fillId="0" borderId="0" xfId="0" applyFont="1"/>
    <xf numFmtId="0" fontId="40" fillId="2" borderId="2" xfId="0" applyFont="1" applyFill="1" applyBorder="1"/>
    <xf numFmtId="0" fontId="2" fillId="0" borderId="2" xfId="0" applyFont="1" applyBorder="1" applyAlignment="1">
      <alignment horizontal="right"/>
    </xf>
    <xf numFmtId="0" fontId="2" fillId="0" borderId="2" xfId="0" applyFont="1" applyBorder="1"/>
    <xf numFmtId="0" fontId="3" fillId="0" borderId="2" xfId="0" applyFont="1" applyBorder="1" applyAlignment="1">
      <alignment horizontal="right"/>
    </xf>
    <xf numFmtId="0" fontId="3" fillId="0" borderId="2" xfId="0" applyFont="1" applyBorder="1"/>
    <xf numFmtId="0" fontId="4" fillId="0" borderId="2" xfId="0" applyFont="1" applyBorder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0" borderId="16" xfId="0" applyFont="1" applyBorder="1" applyAlignment="1">
      <alignment horizontal="right"/>
    </xf>
    <xf numFmtId="0" fontId="47" fillId="0" borderId="2" xfId="0" applyFont="1" applyBorder="1" applyAlignment="1">
      <alignment horizontal="right"/>
    </xf>
    <xf numFmtId="0" fontId="47" fillId="0" borderId="0" xfId="0" applyFont="1"/>
    <xf numFmtId="0" fontId="47" fillId="0" borderId="0" xfId="0" applyFont="1" applyAlignment="1">
      <alignment horizontal="right"/>
    </xf>
    <xf numFmtId="0" fontId="47" fillId="0" borderId="16" xfId="0" applyFont="1" applyBorder="1" applyAlignment="1">
      <alignment horizontal="right"/>
    </xf>
    <xf numFmtId="0" fontId="40" fillId="0" borderId="2" xfId="0" quotePrefix="1" applyFont="1" applyBorder="1" applyAlignment="1">
      <alignment horizontal="center"/>
    </xf>
    <xf numFmtId="0" fontId="55" fillId="0" borderId="2" xfId="0" applyFont="1" applyBorder="1" applyAlignment="1">
      <alignment horizontal="right"/>
    </xf>
    <xf numFmtId="0" fontId="57" fillId="0" borderId="2" xfId="0" applyFont="1" applyBorder="1" applyAlignment="1">
      <alignment horizontal="right"/>
    </xf>
    <xf numFmtId="0" fontId="55" fillId="0" borderId="0" xfId="0" applyFont="1" applyAlignment="1">
      <alignment horizontal="right"/>
    </xf>
    <xf numFmtId="0" fontId="2" fillId="3" borderId="2" xfId="0" applyFont="1" applyFill="1" applyBorder="1" applyAlignment="1">
      <alignment horizontal="right"/>
    </xf>
    <xf numFmtId="0" fontId="40" fillId="3" borderId="2" xfId="0" quotePrefix="1" applyFont="1" applyFill="1" applyBorder="1" applyAlignment="1">
      <alignment horizontal="center"/>
    </xf>
    <xf numFmtId="0" fontId="2" fillId="3" borderId="2" xfId="0" applyFont="1" applyFill="1" applyBorder="1"/>
    <xf numFmtId="0" fontId="55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47" fillId="3" borderId="2" xfId="0" applyFont="1" applyFill="1" applyBorder="1" applyAlignment="1">
      <alignment horizontal="right"/>
    </xf>
    <xf numFmtId="0" fontId="47" fillId="3" borderId="2" xfId="0" applyFont="1" applyFill="1" applyBorder="1"/>
    <xf numFmtId="0" fontId="3" fillId="0" borderId="0" xfId="0" applyFont="1" applyAlignment="1">
      <alignment horizontal="left"/>
    </xf>
    <xf numFmtId="0" fontId="40" fillId="0" borderId="0" xfId="0" applyFont="1" applyAlignment="1">
      <alignment horizontal="center"/>
    </xf>
    <xf numFmtId="0" fontId="47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55" fillId="0" borderId="0" xfId="0" applyFont="1" applyAlignment="1">
      <alignment horizontal="center"/>
    </xf>
    <xf numFmtId="0" fontId="3" fillId="3" borderId="2" xfId="0" applyFont="1" applyFill="1" applyBorder="1" applyAlignment="1">
      <alignment horizontal="right"/>
    </xf>
    <xf numFmtId="0" fontId="3" fillId="3" borderId="2" xfId="0" applyFont="1" applyFill="1" applyBorder="1"/>
    <xf numFmtId="0" fontId="53" fillId="0" borderId="0" xfId="0" applyFont="1" applyAlignment="1">
      <alignment horizontal="center"/>
    </xf>
    <xf numFmtId="0" fontId="46" fillId="0" borderId="0" xfId="0" applyFont="1" applyAlignment="1">
      <alignment horizontal="center"/>
    </xf>
    <xf numFmtId="0" fontId="4" fillId="3" borderId="2" xfId="0" applyFont="1" applyFill="1" applyBorder="1" applyAlignment="1">
      <alignment horizontal="right"/>
    </xf>
    <xf numFmtId="0" fontId="4" fillId="3" borderId="2" xfId="0" applyFont="1" applyFill="1" applyBorder="1"/>
    <xf numFmtId="0" fontId="44" fillId="0" borderId="2" xfId="0" applyFont="1" applyBorder="1" applyAlignment="1">
      <alignment horizontal="right"/>
    </xf>
    <xf numFmtId="0" fontId="44" fillId="3" borderId="2" xfId="0" applyFont="1" applyFill="1" applyBorder="1" applyAlignment="1">
      <alignment horizontal="right"/>
    </xf>
    <xf numFmtId="0" fontId="44" fillId="3" borderId="2" xfId="0" applyFont="1" applyFill="1" applyBorder="1"/>
    <xf numFmtId="0" fontId="49" fillId="0" borderId="2" xfId="0" applyFont="1" applyBorder="1" applyAlignment="1">
      <alignment horizontal="right"/>
    </xf>
    <xf numFmtId="0" fontId="44" fillId="0" borderId="2" xfId="0" applyFont="1" applyBorder="1" applyAlignment="1">
      <alignment horizontal="center"/>
    </xf>
    <xf numFmtId="0" fontId="47" fillId="0" borderId="2" xfId="0" applyFont="1" applyBorder="1" applyAlignment="1">
      <alignment horizontal="center"/>
    </xf>
    <xf numFmtId="0" fontId="62" fillId="0" borderId="0" xfId="0" applyFont="1" applyAlignment="1">
      <alignment horizontal="right"/>
    </xf>
    <xf numFmtId="0" fontId="62" fillId="0" borderId="0" xfId="0" applyFont="1" applyAlignment="1">
      <alignment horizontal="center"/>
    </xf>
    <xf numFmtId="0" fontId="49" fillId="3" borderId="2" xfId="0" applyFont="1" applyFill="1" applyBorder="1" applyAlignment="1">
      <alignment horizontal="right"/>
    </xf>
    <xf numFmtId="0" fontId="49" fillId="3" borderId="2" xfId="0" applyFont="1" applyFill="1" applyBorder="1"/>
    <xf numFmtId="0" fontId="47" fillId="0" borderId="0" xfId="0" applyFont="1" applyAlignment="1">
      <alignment horizontal="left"/>
    </xf>
    <xf numFmtId="0" fontId="1" fillId="0" borderId="0" xfId="0" applyFont="1"/>
    <xf numFmtId="0" fontId="62" fillId="0" borderId="0" xfId="0" applyFont="1"/>
    <xf numFmtId="0" fontId="63" fillId="3" borderId="2" xfId="0" applyFont="1" applyFill="1" applyBorder="1" applyAlignment="1">
      <alignment horizontal="right"/>
    </xf>
    <xf numFmtId="0" fontId="65" fillId="3" borderId="2" xfId="0" quotePrefix="1" applyFont="1" applyFill="1" applyBorder="1" applyAlignment="1">
      <alignment horizontal="center"/>
    </xf>
    <xf numFmtId="0" fontId="65" fillId="3" borderId="2" xfId="0" applyFont="1" applyFill="1" applyBorder="1"/>
    <xf numFmtId="0" fontId="62" fillId="3" borderId="2" xfId="0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0" fontId="40" fillId="0" borderId="2" xfId="0" applyFont="1" applyBorder="1" applyAlignment="1">
      <alignment horizontal="left"/>
    </xf>
    <xf numFmtId="0" fontId="65" fillId="3" borderId="2" xfId="0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47" fillId="0" borderId="2" xfId="0" applyFont="1" applyBorder="1" applyAlignment="1">
      <alignment horizontal="left"/>
    </xf>
    <xf numFmtId="0" fontId="47" fillId="3" borderId="2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0" fontId="3" fillId="3" borderId="2" xfId="0" applyFont="1" applyFill="1" applyBorder="1" applyAlignment="1">
      <alignment horizontal="left"/>
    </xf>
    <xf numFmtId="0" fontId="1" fillId="3" borderId="2" xfId="0" applyFont="1" applyFill="1" applyBorder="1"/>
    <xf numFmtId="0" fontId="1" fillId="3" borderId="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center"/>
    </xf>
    <xf numFmtId="0" fontId="40" fillId="3" borderId="2" xfId="0" applyFont="1" applyFill="1" applyBorder="1" applyAlignment="1">
      <alignment horizontal="left"/>
    </xf>
    <xf numFmtId="0" fontId="44" fillId="0" borderId="0" xfId="0" applyFont="1" applyAlignment="1">
      <alignment horizontal="right"/>
    </xf>
    <xf numFmtId="0" fontId="44" fillId="0" borderId="0" xfId="0" applyFont="1"/>
    <xf numFmtId="0" fontId="62" fillId="3" borderId="2" xfId="0" applyFont="1" applyFill="1" applyBorder="1"/>
    <xf numFmtId="0" fontId="54" fillId="0" borderId="2" xfId="0" applyFont="1" applyBorder="1"/>
    <xf numFmtId="0" fontId="49" fillId="0" borderId="2" xfId="0" applyFont="1" applyBorder="1"/>
    <xf numFmtId="0" fontId="4" fillId="0" borderId="2" xfId="0" applyFont="1" applyBorder="1"/>
    <xf numFmtId="0" fontId="44" fillId="0" borderId="2" xfId="0" applyFont="1" applyBorder="1"/>
    <xf numFmtId="0" fontId="51" fillId="0" borderId="2" xfId="0" applyFont="1" applyBorder="1"/>
    <xf numFmtId="0" fontId="62" fillId="3" borderId="2" xfId="0" applyFont="1" applyFill="1" applyBorder="1" applyAlignment="1">
      <alignment horizontal="center" vertical="center"/>
    </xf>
    <xf numFmtId="0" fontId="40" fillId="0" borderId="2" xfId="0" quotePrefix="1" applyFont="1" applyBorder="1" applyAlignment="1">
      <alignment horizontal="center" vertical="center"/>
    </xf>
    <xf numFmtId="0" fontId="40" fillId="3" borderId="2" xfId="0" quotePrefix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0" fontId="53" fillId="0" borderId="17" xfId="0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0" fontId="40" fillId="0" borderId="0" xfId="0" quotePrefix="1" applyFont="1" applyAlignment="1">
      <alignment horizontal="center" vertical="center"/>
    </xf>
    <xf numFmtId="0" fontId="59" fillId="3" borderId="2" xfId="0" quotePrefix="1" applyFont="1" applyFill="1" applyBorder="1" applyAlignment="1">
      <alignment horizontal="center" vertical="center"/>
    </xf>
    <xf numFmtId="4" fontId="31" fillId="2" borderId="2" xfId="0" applyNumberFormat="1" applyFont="1" applyFill="1" applyBorder="1"/>
    <xf numFmtId="0" fontId="0" fillId="0" borderId="2" xfId="0" quotePrefix="1" applyBorder="1" applyAlignment="1">
      <alignment horizontal="center" vertical="center"/>
    </xf>
    <xf numFmtId="0" fontId="38" fillId="0" borderId="2" xfId="0" applyFont="1" applyBorder="1" applyAlignment="1">
      <alignment horizontal="center"/>
    </xf>
    <xf numFmtId="0" fontId="38" fillId="16" borderId="2" xfId="0" applyFont="1" applyFill="1" applyBorder="1" applyAlignment="1">
      <alignment horizontal="center"/>
    </xf>
    <xf numFmtId="0" fontId="38" fillId="16" borderId="2" xfId="0" applyFont="1" applyFill="1" applyBorder="1" applyAlignment="1">
      <alignment horizontal="left"/>
    </xf>
    <xf numFmtId="4" fontId="0" fillId="2" borderId="2" xfId="0" applyNumberFormat="1" applyFill="1" applyBorder="1" applyAlignment="1">
      <alignment horizontal="right"/>
    </xf>
    <xf numFmtId="4" fontId="0" fillId="3" borderId="2" xfId="0" applyNumberFormat="1" applyFill="1" applyBorder="1"/>
    <xf numFmtId="0" fontId="0" fillId="17" borderId="2" xfId="0" applyFill="1" applyBorder="1" applyAlignment="1">
      <alignment horizontal="center"/>
    </xf>
    <xf numFmtId="0" fontId="66" fillId="17" borderId="2" xfId="0" applyFont="1" applyFill="1" applyBorder="1"/>
    <xf numFmtId="0" fontId="66" fillId="13" borderId="2" xfId="0" applyFont="1" applyFill="1" applyBorder="1" applyAlignment="1">
      <alignment horizontal="right"/>
    </xf>
    <xf numFmtId="0" fontId="66" fillId="9" borderId="2" xfId="0" applyFont="1" applyFill="1" applyBorder="1" applyAlignment="1">
      <alignment horizontal="right"/>
    </xf>
    <xf numFmtId="0" fontId="38" fillId="0" borderId="0" xfId="0" applyFont="1" applyAlignment="1">
      <alignment horizontal="center"/>
    </xf>
    <xf numFmtId="0" fontId="38" fillId="0" borderId="0" xfId="0" applyFont="1"/>
    <xf numFmtId="0" fontId="38" fillId="17" borderId="2" xfId="0" applyFont="1" applyFill="1" applyBorder="1" applyAlignment="1">
      <alignment horizontal="center"/>
    </xf>
    <xf numFmtId="4" fontId="38" fillId="3" borderId="2" xfId="0" applyNumberFormat="1" applyFont="1" applyFill="1" applyBorder="1"/>
    <xf numFmtId="4" fontId="38" fillId="0" borderId="0" xfId="0" applyNumberFormat="1" applyFont="1"/>
    <xf numFmtId="4" fontId="38" fillId="3" borderId="2" xfId="0" applyNumberFormat="1" applyFont="1" applyFill="1" applyBorder="1" applyAlignment="1">
      <alignment horizontal="center"/>
    </xf>
    <xf numFmtId="0" fontId="38" fillId="17" borderId="2" xfId="0" applyFont="1" applyFill="1" applyBorder="1" applyAlignment="1">
      <alignment horizontal="left"/>
    </xf>
    <xf numFmtId="0" fontId="70" fillId="18" borderId="2" xfId="0" applyFont="1" applyFill="1" applyBorder="1" applyAlignment="1">
      <alignment horizontal="right"/>
    </xf>
    <xf numFmtId="0" fontId="0" fillId="2" borderId="2" xfId="0" applyFill="1" applyBorder="1" applyAlignment="1">
      <alignment horizontal="right"/>
    </xf>
    <xf numFmtId="2" fontId="0" fillId="2" borderId="37" xfId="0" applyNumberFormat="1" applyFill="1" applyBorder="1" applyAlignment="1">
      <alignment horizontal="center"/>
    </xf>
    <xf numFmtId="0" fontId="0" fillId="0" borderId="1" xfId="0" applyBorder="1"/>
    <xf numFmtId="2" fontId="0" fillId="0" borderId="41" xfId="0" applyNumberFormat="1" applyBorder="1"/>
    <xf numFmtId="0" fontId="0" fillId="0" borderId="41" xfId="0" applyBorder="1"/>
    <xf numFmtId="0" fontId="0" fillId="0" borderId="43" xfId="0" applyBorder="1"/>
    <xf numFmtId="170" fontId="38" fillId="10" borderId="15" xfId="0" applyNumberFormat="1" applyFont="1" applyFill="1" applyBorder="1" applyAlignment="1">
      <alignment vertical="center"/>
    </xf>
    <xf numFmtId="170" fontId="38" fillId="10" borderId="15" xfId="0" applyNumberFormat="1" applyFont="1" applyFill="1" applyBorder="1" applyAlignment="1">
      <alignment horizontal="center" vertical="center"/>
    </xf>
    <xf numFmtId="169" fontId="0" fillId="16" borderId="2" xfId="0" applyNumberFormat="1" applyFill="1" applyBorder="1" applyAlignment="1">
      <alignment horizontal="center"/>
    </xf>
    <xf numFmtId="169" fontId="0" fillId="16" borderId="37" xfId="0" applyNumberFormat="1" applyFill="1" applyBorder="1" applyAlignment="1">
      <alignment horizontal="center"/>
    </xf>
    <xf numFmtId="169" fontId="0" fillId="16" borderId="42" xfId="0" applyNumberFormat="1" applyFill="1" applyBorder="1" applyAlignment="1">
      <alignment horizontal="center"/>
    </xf>
    <xf numFmtId="2" fontId="0" fillId="16" borderId="2" xfId="0" applyNumberFormat="1" applyFill="1" applyBorder="1" applyAlignment="1">
      <alignment horizontal="center"/>
    </xf>
    <xf numFmtId="2" fontId="0" fillId="16" borderId="37" xfId="0" applyNumberFormat="1" applyFill="1" applyBorder="1" applyAlignment="1">
      <alignment horizontal="center"/>
    </xf>
    <xf numFmtId="169" fontId="0" fillId="9" borderId="15" xfId="0" applyNumberFormat="1" applyFill="1" applyBorder="1" applyAlignment="1">
      <alignment horizontal="center" vertical="center"/>
    </xf>
    <xf numFmtId="169" fontId="0" fillId="8" borderId="15" xfId="0" applyNumberFormat="1" applyFill="1" applyBorder="1" applyAlignment="1">
      <alignment horizontal="center" vertical="center"/>
    </xf>
    <xf numFmtId="169" fontId="0" fillId="7" borderId="15" xfId="0" applyNumberFormat="1" applyFill="1" applyBorder="1" applyAlignment="1">
      <alignment horizontal="center" vertical="center"/>
    </xf>
    <xf numFmtId="169" fontId="0" fillId="6" borderId="15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169" fontId="0" fillId="0" borderId="2" xfId="0" applyNumberFormat="1" applyBorder="1"/>
    <xf numFmtId="0" fontId="36" fillId="0" borderId="0" xfId="0" applyFont="1"/>
    <xf numFmtId="0" fontId="55" fillId="0" borderId="0" xfId="0" applyFont="1"/>
    <xf numFmtId="2" fontId="0" fillId="3" borderId="2" xfId="0" applyNumberFormat="1" applyFill="1" applyBorder="1" applyAlignment="1">
      <alignment horizontal="center"/>
    </xf>
    <xf numFmtId="0" fontId="35" fillId="3" borderId="1" xfId="0" applyFont="1" applyFill="1" applyBorder="1"/>
    <xf numFmtId="0" fontId="0" fillId="3" borderId="41" xfId="0" applyFill="1" applyBorder="1"/>
    <xf numFmtId="0" fontId="0" fillId="3" borderId="43" xfId="0" applyFill="1" applyBorder="1"/>
    <xf numFmtId="0" fontId="31" fillId="19" borderId="2" xfId="0" applyFont="1" applyFill="1" applyBorder="1" applyAlignment="1">
      <alignment horizontal="right" vertical="center"/>
    </xf>
    <xf numFmtId="2" fontId="31" fillId="19" borderId="15" xfId="0" applyNumberFormat="1" applyFont="1" applyFill="1" applyBorder="1" applyAlignment="1">
      <alignment horizontal="center" vertical="center"/>
    </xf>
    <xf numFmtId="0" fontId="31" fillId="19" borderId="15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center" vertical="center"/>
    </xf>
    <xf numFmtId="0" fontId="31" fillId="3" borderId="2" xfId="0" applyFont="1" applyFill="1" applyBorder="1" applyAlignment="1">
      <alignment horizontal="center" vertical="center"/>
    </xf>
    <xf numFmtId="0" fontId="66" fillId="0" borderId="0" xfId="0" applyFont="1" applyAlignment="1">
      <alignment horizontal="right"/>
    </xf>
    <xf numFmtId="0" fontId="66" fillId="0" borderId="0" xfId="0" applyFont="1" applyAlignment="1">
      <alignment horizontal="left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0" fontId="70" fillId="18" borderId="21" xfId="0" applyFont="1" applyFill="1" applyBorder="1" applyAlignment="1">
      <alignment horizontal="right"/>
    </xf>
    <xf numFmtId="0" fontId="0" fillId="0" borderId="11" xfId="0" applyBorder="1"/>
    <xf numFmtId="0" fontId="0" fillId="0" borderId="19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0" borderId="27" xfId="0" applyBorder="1" applyAlignment="1">
      <alignment horizontal="right"/>
    </xf>
    <xf numFmtId="0" fontId="35" fillId="0" borderId="13" xfId="0" applyFont="1" applyBorder="1" applyAlignment="1">
      <alignment horizontal="right"/>
    </xf>
    <xf numFmtId="0" fontId="35" fillId="0" borderId="20" xfId="0" applyFont="1" applyBorder="1"/>
    <xf numFmtId="0" fontId="35" fillId="0" borderId="14" xfId="0" applyFont="1" applyBorder="1"/>
    <xf numFmtId="0" fontId="0" fillId="3" borderId="28" xfId="0" applyFill="1" applyBorder="1"/>
    <xf numFmtId="0" fontId="0" fillId="4" borderId="0" xfId="0" applyFill="1"/>
    <xf numFmtId="0" fontId="73" fillId="4" borderId="0" xfId="0" applyFont="1" applyFill="1"/>
    <xf numFmtId="0" fontId="32" fillId="0" borderId="0" xfId="0" applyFont="1"/>
    <xf numFmtId="0" fontId="32" fillId="0" borderId="2" xfId="0" applyFont="1" applyBorder="1" applyAlignment="1">
      <alignment horizontal="right"/>
    </xf>
    <xf numFmtId="0" fontId="75" fillId="0" borderId="2" xfId="0" applyFont="1" applyBorder="1" applyAlignment="1">
      <alignment horizontal="right"/>
    </xf>
    <xf numFmtId="0" fontId="75" fillId="0" borderId="2" xfId="0" applyFont="1" applyBorder="1" applyAlignment="1">
      <alignment horizontal="center"/>
    </xf>
    <xf numFmtId="0" fontId="77" fillId="0" borderId="2" xfId="0" applyFont="1" applyBorder="1" applyAlignment="1">
      <alignment horizontal="right"/>
    </xf>
    <xf numFmtId="0" fontId="77" fillId="0" borderId="2" xfId="0" applyFont="1" applyBorder="1" applyAlignment="1">
      <alignment horizontal="center"/>
    </xf>
    <xf numFmtId="0" fontId="57" fillId="0" borderId="2" xfId="0" applyFont="1" applyBorder="1" applyAlignment="1">
      <alignment horizontal="center"/>
    </xf>
    <xf numFmtId="0" fontId="79" fillId="0" borderId="2" xfId="0" applyFont="1" applyBorder="1" applyAlignment="1">
      <alignment horizontal="center"/>
    </xf>
    <xf numFmtId="0" fontId="81" fillId="0" borderId="2" xfId="0" applyFont="1" applyBorder="1" applyAlignment="1">
      <alignment horizontal="right"/>
    </xf>
    <xf numFmtId="0" fontId="83" fillId="0" borderId="2" xfId="0" applyFont="1" applyBorder="1" applyAlignment="1">
      <alignment horizontal="center"/>
    </xf>
    <xf numFmtId="0" fontId="81" fillId="0" borderId="2" xfId="0" applyFont="1" applyBorder="1" applyAlignment="1">
      <alignment horizontal="center"/>
    </xf>
    <xf numFmtId="0" fontId="84" fillId="20" borderId="1" xfId="0" applyFont="1" applyFill="1" applyBorder="1"/>
    <xf numFmtId="0" fontId="0" fillId="20" borderId="41" xfId="0" applyFill="1" applyBorder="1"/>
    <xf numFmtId="0" fontId="0" fillId="20" borderId="43" xfId="0" applyFill="1" applyBorder="1"/>
    <xf numFmtId="0" fontId="66" fillId="7" borderId="2" xfId="0" applyFont="1" applyFill="1" applyBorder="1" applyAlignment="1">
      <alignment horizontal="right"/>
    </xf>
    <xf numFmtId="0" fontId="85" fillId="21" borderId="2" xfId="0" applyFont="1" applyFill="1" applyBorder="1" applyAlignment="1">
      <alignment horizontal="right"/>
    </xf>
    <xf numFmtId="0" fontId="66" fillId="10" borderId="2" xfId="0" applyFont="1" applyFill="1" applyBorder="1" applyAlignment="1">
      <alignment horizontal="right"/>
    </xf>
    <xf numFmtId="171" fontId="0" fillId="3" borderId="2" xfId="0" applyNumberFormat="1" applyFill="1" applyBorder="1"/>
    <xf numFmtId="0" fontId="24" fillId="0" borderId="2" xfId="0" applyFont="1" applyBorder="1"/>
    <xf numFmtId="172" fontId="0" fillId="3" borderId="2" xfId="0" applyNumberFormat="1" applyFill="1" applyBorder="1"/>
    <xf numFmtId="172" fontId="0" fillId="0" borderId="0" xfId="0" applyNumberFormat="1"/>
    <xf numFmtId="0" fontId="1" fillId="0" borderId="2" xfId="0" applyFont="1" applyBorder="1" applyAlignment="1">
      <alignment horizontal="right"/>
    </xf>
    <xf numFmtId="0" fontId="62" fillId="0" borderId="2" xfId="0" applyFont="1" applyBorder="1" applyAlignment="1">
      <alignment horizontal="right"/>
    </xf>
    <xf numFmtId="0" fontId="5" fillId="0" borderId="2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62" fillId="0" borderId="2" xfId="0" applyFont="1" applyBorder="1" applyAlignment="1">
      <alignment horizontal="center"/>
    </xf>
    <xf numFmtId="172" fontId="1" fillId="3" borderId="2" xfId="0" applyNumberFormat="1" applyFont="1" applyFill="1" applyBorder="1"/>
    <xf numFmtId="0" fontId="1" fillId="0" borderId="2" xfId="0" applyFont="1" applyBorder="1"/>
    <xf numFmtId="172" fontId="0" fillId="0" borderId="2" xfId="0" applyNumberFormat="1" applyBorder="1"/>
    <xf numFmtId="0" fontId="0" fillId="0" borderId="41" xfId="0" applyBorder="1" applyAlignment="1">
      <alignment horizontal="right"/>
    </xf>
    <xf numFmtId="0" fontId="0" fillId="2" borderId="18" xfId="0" applyFill="1" applyBorder="1"/>
    <xf numFmtId="172" fontId="0" fillId="3" borderId="22" xfId="0" applyNumberFormat="1" applyFill="1" applyBorder="1"/>
    <xf numFmtId="0" fontId="1" fillId="0" borderId="37" xfId="0" applyFont="1" applyBorder="1" applyAlignment="1">
      <alignment horizontal="right"/>
    </xf>
    <xf numFmtId="0" fontId="1" fillId="0" borderId="37" xfId="0" applyFont="1" applyBorder="1"/>
    <xf numFmtId="172" fontId="1" fillId="3" borderId="37" xfId="0" applyNumberFormat="1" applyFont="1" applyFill="1" applyBorder="1"/>
    <xf numFmtId="0" fontId="1" fillId="0" borderId="1" xfId="0" applyFont="1" applyBorder="1" applyAlignment="1">
      <alignment horizontal="right"/>
    </xf>
    <xf numFmtId="172" fontId="1" fillId="3" borderId="42" xfId="0" applyNumberFormat="1" applyFont="1" applyFill="1" applyBorder="1"/>
    <xf numFmtId="172" fontId="1" fillId="3" borderId="17" xfId="0" applyNumberFormat="1" applyFont="1" applyFill="1" applyBorder="1"/>
    <xf numFmtId="2" fontId="0" fillId="3" borderId="2" xfId="0" applyNumberFormat="1" applyFill="1" applyBorder="1"/>
    <xf numFmtId="0" fontId="0" fillId="0" borderId="2" xfId="0" applyBorder="1" applyAlignment="1">
      <alignment vertical="center"/>
    </xf>
    <xf numFmtId="173" fontId="0" fillId="3" borderId="2" xfId="0" applyNumberFormat="1" applyFill="1" applyBorder="1"/>
    <xf numFmtId="4" fontId="0" fillId="3" borderId="0" xfId="0" applyNumberFormat="1" applyFill="1"/>
    <xf numFmtId="173" fontId="0" fillId="0" borderId="0" xfId="0" applyNumberFormat="1"/>
    <xf numFmtId="0" fontId="90" fillId="0" borderId="0" xfId="0" applyFont="1" applyAlignment="1">
      <alignment horizontal="right"/>
    </xf>
    <xf numFmtId="0" fontId="90" fillId="0" borderId="0" xfId="0" applyFont="1"/>
    <xf numFmtId="0" fontId="91" fillId="0" borderId="0" xfId="0" applyFont="1" applyAlignment="1">
      <alignment horizontal="right"/>
    </xf>
    <xf numFmtId="0" fontId="91" fillId="0" borderId="2" xfId="0" applyFont="1" applyBorder="1" applyAlignment="1">
      <alignment horizontal="right"/>
    </xf>
    <xf numFmtId="0" fontId="31" fillId="2" borderId="2" xfId="0" applyFont="1" applyFill="1" applyBorder="1" applyAlignment="1">
      <alignment horizontal="center"/>
    </xf>
    <xf numFmtId="0" fontId="92" fillId="0" borderId="2" xfId="0" applyFont="1" applyBorder="1" applyAlignment="1">
      <alignment horizontal="right"/>
    </xf>
    <xf numFmtId="0" fontId="93" fillId="0" borderId="2" xfId="0" applyFont="1" applyBorder="1" applyAlignment="1">
      <alignment horizontal="right"/>
    </xf>
    <xf numFmtId="0" fontId="31" fillId="0" borderId="0" xfId="0" applyFont="1" applyAlignment="1">
      <alignment horizontal="center"/>
    </xf>
    <xf numFmtId="173" fontId="0" fillId="3" borderId="21" xfId="0" applyNumberFormat="1" applyFill="1" applyBorder="1"/>
    <xf numFmtId="0" fontId="0" fillId="4" borderId="3" xfId="0" applyFill="1" applyBorder="1"/>
    <xf numFmtId="0" fontId="2" fillId="4" borderId="4" xfId="0" applyFont="1" applyFill="1" applyBorder="1"/>
    <xf numFmtId="0" fontId="0" fillId="4" borderId="4" xfId="0" applyFill="1" applyBorder="1"/>
    <xf numFmtId="0" fontId="3" fillId="4" borderId="4" xfId="0" applyFont="1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7" xfId="0" applyFill="1" applyBorder="1"/>
    <xf numFmtId="0" fontId="1" fillId="4" borderId="0" xfId="0" applyFont="1" applyFill="1" applyAlignment="1">
      <alignment horizontal="right"/>
    </xf>
    <xf numFmtId="0" fontId="5" fillId="4" borderId="8" xfId="0" applyFont="1" applyFill="1" applyBorder="1"/>
    <xf numFmtId="0" fontId="5" fillId="4" borderId="9" xfId="0" applyFont="1" applyFill="1" applyBorder="1" applyAlignment="1">
      <alignment horizontal="right"/>
    </xf>
    <xf numFmtId="0" fontId="0" fillId="4" borderId="9" xfId="0" applyFill="1" applyBorder="1"/>
    <xf numFmtId="0" fontId="0" fillId="4" borderId="10" xfId="0" applyFill="1" applyBorder="1"/>
    <xf numFmtId="0" fontId="11" fillId="0" borderId="2" xfId="0" applyFont="1" applyBorder="1" applyAlignment="1">
      <alignment horizontal="right"/>
    </xf>
    <xf numFmtId="0" fontId="0" fillId="21" borderId="2" xfId="0" applyFill="1" applyBorder="1"/>
    <xf numFmtId="0" fontId="35" fillId="0" borderId="2" xfId="0" applyFont="1" applyBorder="1"/>
    <xf numFmtId="0" fontId="96" fillId="0" borderId="2" xfId="0" applyFont="1" applyBorder="1" applyAlignment="1">
      <alignment horizontal="right"/>
    </xf>
    <xf numFmtId="0" fontId="95" fillId="0" borderId="0" xfId="0" applyFont="1"/>
    <xf numFmtId="174" fontId="0" fillId="0" borderId="0" xfId="0" applyNumberFormat="1"/>
    <xf numFmtId="174" fontId="0" fillId="0" borderId="2" xfId="0" applyNumberFormat="1" applyBorder="1"/>
    <xf numFmtId="0" fontId="0" fillId="21" borderId="2" xfId="0" applyFill="1" applyBorder="1" applyAlignment="1">
      <alignment horizontal="right"/>
    </xf>
    <xf numFmtId="0" fontId="55" fillId="10" borderId="2" xfId="0" applyFont="1" applyFill="1" applyBorder="1" applyAlignment="1">
      <alignment horizontal="right"/>
    </xf>
    <xf numFmtId="0" fontId="36" fillId="0" borderId="2" xfId="0" applyFont="1" applyBorder="1"/>
    <xf numFmtId="0" fontId="0" fillId="0" borderId="37" xfId="0" applyBorder="1" applyAlignment="1">
      <alignment horizontal="right"/>
    </xf>
    <xf numFmtId="0" fontId="0" fillId="2" borderId="37" xfId="0" applyFill="1" applyBorder="1"/>
    <xf numFmtId="0" fontId="2" fillId="0" borderId="0" xfId="0" applyFont="1"/>
    <xf numFmtId="0" fontId="35" fillId="2" borderId="2" xfId="0" applyFont="1" applyFill="1" applyBorder="1" applyAlignment="1">
      <alignment horizontal="right" vertical="center"/>
    </xf>
    <xf numFmtId="4" fontId="0" fillId="3" borderId="2" xfId="0" applyNumberFormat="1" applyFill="1" applyBorder="1" applyAlignment="1">
      <alignment horizontal="right" vertical="center"/>
    </xf>
    <xf numFmtId="0" fontId="55" fillId="10" borderId="2" xfId="0" applyFont="1" applyFill="1" applyBorder="1" applyAlignment="1">
      <alignment horizontal="center" vertical="center"/>
    </xf>
    <xf numFmtId="0" fontId="55" fillId="16" borderId="2" xfId="0" applyFont="1" applyFill="1" applyBorder="1" applyAlignment="1">
      <alignment horizontal="center" vertical="center"/>
    </xf>
    <xf numFmtId="169" fontId="0" fillId="3" borderId="2" xfId="0" applyNumberFormat="1" applyFill="1" applyBorder="1" applyAlignment="1">
      <alignment vertical="center"/>
    </xf>
    <xf numFmtId="2" fontId="0" fillId="3" borderId="2" xfId="0" applyNumberFormat="1" applyFill="1" applyBorder="1" applyAlignment="1">
      <alignment vertical="center"/>
    </xf>
    <xf numFmtId="0" fontId="22" fillId="0" borderId="0" xfId="0" applyFont="1"/>
    <xf numFmtId="0" fontId="84" fillId="0" borderId="0" xfId="0" applyFont="1"/>
    <xf numFmtId="0" fontId="36" fillId="0" borderId="2" xfId="0" applyFont="1" applyBorder="1" applyAlignment="1">
      <alignment vertical="center" wrapText="1"/>
    </xf>
    <xf numFmtId="1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36" fillId="10" borderId="2" xfId="0" applyFont="1" applyFill="1" applyBorder="1" applyAlignment="1">
      <alignment horizontal="center" vertical="center" wrapText="1"/>
    </xf>
    <xf numFmtId="0" fontId="0" fillId="2" borderId="44" xfId="0" applyFill="1" applyBorder="1"/>
    <xf numFmtId="0" fontId="0" fillId="2" borderId="45" xfId="0" applyFill="1" applyBorder="1"/>
    <xf numFmtId="0" fontId="0" fillId="2" borderId="46" xfId="0" applyFill="1" applyBorder="1"/>
    <xf numFmtId="0" fontId="0" fillId="10" borderId="1" xfId="0" applyFill="1" applyBorder="1"/>
    <xf numFmtId="0" fontId="0" fillId="10" borderId="41" xfId="0" applyFill="1" applyBorder="1"/>
    <xf numFmtId="0" fontId="0" fillId="10" borderId="43" xfId="0" applyFill="1" applyBorder="1"/>
    <xf numFmtId="0" fontId="0" fillId="3" borderId="2" xfId="0" applyFill="1" applyBorder="1" applyAlignment="1">
      <alignment horizontal="left"/>
    </xf>
    <xf numFmtId="0" fontId="0" fillId="0" borderId="11" xfId="0" applyBorder="1" applyAlignment="1">
      <alignment horizontal="right"/>
    </xf>
    <xf numFmtId="0" fontId="0" fillId="3" borderId="19" xfId="0" applyFill="1" applyBorder="1"/>
    <xf numFmtId="0" fontId="0" fillId="3" borderId="12" xfId="0" applyFill="1" applyBorder="1"/>
    <xf numFmtId="0" fontId="0" fillId="0" borderId="13" xfId="0" applyBorder="1" applyAlignment="1">
      <alignment horizontal="right"/>
    </xf>
    <xf numFmtId="0" fontId="0" fillId="3" borderId="20" xfId="0" applyFill="1" applyBorder="1"/>
    <xf numFmtId="0" fontId="0" fillId="3" borderId="14" xfId="0" applyFill="1" applyBorder="1"/>
    <xf numFmtId="0" fontId="36" fillId="16" borderId="2" xfId="0" applyFont="1" applyFill="1" applyBorder="1" applyAlignment="1">
      <alignment horizontal="center" vertical="center" wrapText="1"/>
    </xf>
    <xf numFmtId="0" fontId="77" fillId="0" borderId="0" xfId="0" applyFont="1" applyAlignment="1">
      <alignment horizontal="right"/>
    </xf>
    <xf numFmtId="0" fontId="77" fillId="0" borderId="0" xfId="0" applyFont="1"/>
    <xf numFmtId="0" fontId="102" fillId="0" borderId="0" xfId="0" applyFont="1"/>
    <xf numFmtId="0" fontId="102" fillId="0" borderId="0" xfId="0" applyFont="1" applyAlignment="1">
      <alignment horizontal="right"/>
    </xf>
    <xf numFmtId="11" fontId="102" fillId="0" borderId="0" xfId="0" applyNumberFormat="1" applyFont="1"/>
    <xf numFmtId="0" fontId="0" fillId="0" borderId="27" xfId="0" applyBorder="1"/>
    <xf numFmtId="0" fontId="0" fillId="0" borderId="13" xfId="0" applyBorder="1"/>
    <xf numFmtId="0" fontId="0" fillId="0" borderId="20" xfId="0" applyBorder="1" applyAlignment="1">
      <alignment horizontal="right"/>
    </xf>
    <xf numFmtId="0" fontId="0" fillId="0" borderId="2" xfId="0" applyBorder="1" applyAlignment="1">
      <alignment horizontal="left"/>
    </xf>
    <xf numFmtId="4" fontId="0" fillId="2" borderId="19" xfId="0" applyNumberFormat="1" applyFill="1" applyBorder="1"/>
    <xf numFmtId="0" fontId="0" fillId="2" borderId="12" xfId="0" applyFill="1" applyBorder="1"/>
    <xf numFmtId="0" fontId="0" fillId="0" borderId="28" xfId="0" applyBorder="1"/>
    <xf numFmtId="4" fontId="0" fillId="3" borderId="20" xfId="0" applyNumberFormat="1" applyFill="1" applyBorder="1"/>
    <xf numFmtId="0" fontId="99" fillId="16" borderId="2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left" vertical="center"/>
    </xf>
    <xf numFmtId="169" fontId="0" fillId="3" borderId="2" xfId="0" applyNumberFormat="1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/>
    </xf>
    <xf numFmtId="0" fontId="35" fillId="16" borderId="2" xfId="0" applyFont="1" applyFill="1" applyBorder="1" applyAlignment="1">
      <alignment horizontal="center"/>
    </xf>
    <xf numFmtId="0" fontId="55" fillId="16" borderId="2" xfId="0" applyFont="1" applyFill="1" applyBorder="1"/>
    <xf numFmtId="0" fontId="95" fillId="0" borderId="2" xfId="0" applyFont="1" applyBorder="1"/>
    <xf numFmtId="0" fontId="27" fillId="0" borderId="0" xfId="0" applyFont="1" applyAlignment="1">
      <alignment vertical="center"/>
    </xf>
    <xf numFmtId="0" fontId="0" fillId="16" borderId="2" xfId="0" applyFill="1" applyBorder="1"/>
    <xf numFmtId="0" fontId="104" fillId="0" borderId="2" xfId="0" applyFont="1" applyBorder="1" applyAlignment="1">
      <alignment horizontal="right"/>
    </xf>
    <xf numFmtId="0" fontId="106" fillId="0" borderId="2" xfId="0" applyFont="1" applyBorder="1" applyAlignment="1">
      <alignment horizontal="right"/>
    </xf>
    <xf numFmtId="0" fontId="35" fillId="16" borderId="2" xfId="0" applyFont="1" applyFill="1" applyBorder="1"/>
    <xf numFmtId="0" fontId="0" fillId="10" borderId="0" xfId="0" applyFill="1"/>
    <xf numFmtId="0" fontId="0" fillId="21" borderId="0" xfId="0" applyFill="1"/>
    <xf numFmtId="0" fontId="0" fillId="3" borderId="2" xfId="0" applyFill="1" applyBorder="1" applyAlignment="1">
      <alignment horizontal="right"/>
    </xf>
    <xf numFmtId="0" fontId="109" fillId="0" borderId="2" xfId="0" applyFont="1" applyBorder="1"/>
    <xf numFmtId="0" fontId="92" fillId="0" borderId="2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92" fillId="0" borderId="7" xfId="0" applyFon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41" xfId="0" applyBorder="1" applyAlignment="1">
      <alignment wrapText="1"/>
    </xf>
    <xf numFmtId="0" fontId="0" fillId="0" borderId="48" xfId="0" applyBorder="1" applyAlignment="1">
      <alignment wrapText="1"/>
    </xf>
    <xf numFmtId="0" fontId="0" fillId="2" borderId="47" xfId="0" applyFill="1" applyBorder="1" applyAlignment="1">
      <alignment horizontal="center" vertical="center"/>
    </xf>
    <xf numFmtId="0" fontId="0" fillId="2" borderId="41" xfId="0" applyFill="1" applyBorder="1" applyAlignment="1">
      <alignment horizontal="center" vertical="center"/>
    </xf>
    <xf numFmtId="0" fontId="0" fillId="2" borderId="43" xfId="0" applyFill="1" applyBorder="1" applyAlignment="1">
      <alignment horizontal="center" vertical="center"/>
    </xf>
    <xf numFmtId="4" fontId="0" fillId="2" borderId="2" xfId="0" applyNumberFormat="1" applyFill="1" applyBorder="1"/>
    <xf numFmtId="0" fontId="0" fillId="0" borderId="2" xfId="0" applyBorder="1"/>
    <xf numFmtId="0" fontId="0" fillId="4" borderId="2" xfId="0" applyFill="1" applyBorder="1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38" fillId="16" borderId="2" xfId="0" applyFont="1" applyFill="1" applyBorder="1" applyAlignment="1">
      <alignment horizontal="left"/>
    </xf>
    <xf numFmtId="0" fontId="38" fillId="0" borderId="2" xfId="0" applyFont="1" applyBorder="1"/>
    <xf numFmtId="0" fontId="0" fillId="4" borderId="2" xfId="0" applyFill="1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21" xfId="0" applyBorder="1" applyAlignment="1">
      <alignment horizontal="right"/>
    </xf>
    <xf numFmtId="0" fontId="0" fillId="0" borderId="22" xfId="0" applyBorder="1" applyAlignment="1">
      <alignment horizontal="right"/>
    </xf>
    <xf numFmtId="0" fontId="0" fillId="0" borderId="23" xfId="0" applyBorder="1" applyAlignment="1">
      <alignment horizontal="right"/>
    </xf>
    <xf numFmtId="0" fontId="0" fillId="0" borderId="24" xfId="0" applyBorder="1" applyAlignment="1">
      <alignment horizontal="right"/>
    </xf>
    <xf numFmtId="0" fontId="0" fillId="0" borderId="25" xfId="0" applyBorder="1" applyAlignment="1">
      <alignment horizontal="right"/>
    </xf>
    <xf numFmtId="0" fontId="0" fillId="0" borderId="26" xfId="0" applyBorder="1" applyAlignment="1">
      <alignment horizontal="right"/>
    </xf>
    <xf numFmtId="0" fontId="0" fillId="4" borderId="13" xfId="0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4" borderId="20" xfId="0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4" borderId="11" xfId="0" applyFill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4" borderId="23" xfId="0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4" borderId="33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4" borderId="29" xfId="0" applyFill="1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0" fillId="4" borderId="35" xfId="0" applyFill="1" applyBorder="1" applyAlignment="1">
      <alignment horizontal="center"/>
    </xf>
    <xf numFmtId="0" fontId="0" fillId="0" borderId="36" xfId="0" applyBorder="1" applyAlignment="1">
      <alignment horizontal="center"/>
    </xf>
    <xf numFmtId="0" fontId="0" fillId="2" borderId="19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2" fillId="10" borderId="2" xfId="0" applyFont="1" applyFill="1" applyBorder="1" applyAlignment="1">
      <alignment horizontal="center" vertical="center"/>
    </xf>
    <xf numFmtId="0" fontId="0" fillId="4" borderId="37" xfId="0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</cellXfs>
  <cellStyles count="2">
    <cellStyle name="Link" xfId="1" builtinId="8"/>
    <cellStyle name="Standard" xfId="0" builtinId="0"/>
  </cellStyles>
  <dxfs count="3">
    <dxf>
      <font>
        <color theme="5" tint="-0.24994659260841701"/>
      </font>
      <fill>
        <patternFill>
          <bgColor theme="0" tint="-0.14996795556505021"/>
        </patternFill>
      </fill>
    </dxf>
    <dxf>
      <font>
        <color rgb="FF00B0F0"/>
      </font>
      <fill>
        <patternFill>
          <bgColor rgb="FF0070C0"/>
        </patternFill>
      </fill>
    </dxf>
    <dxf>
      <font>
        <color rgb="FF00B0F0"/>
      </font>
      <fill>
        <patternFill>
          <bgColor rgb="FF007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'LCR-Glieder'!$AD$10:$AE$10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'LCR-Glieder'!$AG$10:$AH$10</c:f>
              <c:numCache>
                <c:formatCode>General</c:formatCode>
                <c:ptCount val="2"/>
                <c:pt idx="0">
                  <c:v>-5.5</c:v>
                </c:pt>
                <c:pt idx="1">
                  <c:v>5.5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F5-4F7D-88FE-5A5684900578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'LCR-Glieder'!$AD$9:$AE$9</c:f>
              <c:numCache>
                <c:formatCode>General</c:formatCode>
                <c:ptCount val="2"/>
                <c:pt idx="0">
                  <c:v>-5.5</c:v>
                </c:pt>
                <c:pt idx="1">
                  <c:v>5.5</c:v>
                </c:pt>
              </c:numCache>
            </c:numRef>
          </c:xVal>
          <c:yVal>
            <c:numRef>
              <c:f>'LCR-Glieder'!$AG$9:$AH$9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F5-4F7D-88FE-5A5684900578}"/>
            </c:ext>
          </c:extLst>
        </c:ser>
        <c:ser>
          <c:idx val="0"/>
          <c:order val="2"/>
          <c:tx>
            <c:strRef>
              <c:f>'LCR-Glieder'!$X$7</c:f>
              <c:strCache>
                <c:ptCount val="1"/>
                <c:pt idx="0">
                  <c:v>R = 5Ω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'LCR-Glieder'!$AD$7:$AE$7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xVal>
          <c:yVal>
            <c:numRef>
              <c:f>'LCR-Glieder'!$AG$7:$AH$7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F5-4F7D-88FE-5A5684900578}"/>
            </c:ext>
          </c:extLst>
        </c:ser>
        <c:ser>
          <c:idx val="1"/>
          <c:order val="3"/>
          <c:tx>
            <c:strRef>
              <c:f>'LCR-Glieder'!$Z$8</c:f>
              <c:strCache>
                <c:ptCount val="1"/>
                <c:pt idx="0">
                  <c:v>XC = 1.59Ω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'LCR-Glieder'!$AD$8:$AE$8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'LCR-Glieder'!$AG$8:$AH$8</c:f>
              <c:numCache>
                <c:formatCode>General</c:formatCode>
                <c:ptCount val="2"/>
                <c:pt idx="0">
                  <c:v>0</c:v>
                </c:pt>
                <c:pt idx="1">
                  <c:v>-1.59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F5-4F7D-88FE-5A5684900578}"/>
            </c:ext>
          </c:extLst>
        </c:ser>
        <c:ser>
          <c:idx val="4"/>
          <c:order val="4"/>
          <c:tx>
            <c:strRef>
              <c:f>'LCR-Glieder'!$Z$9</c:f>
              <c:strCache>
                <c:ptCount val="1"/>
                <c:pt idx="0">
                  <c:v>ZRC = 5.25Ω</c:v>
                </c:pt>
              </c:strCache>
            </c:strRef>
          </c:tx>
          <c:spPr>
            <a:ln w="38100" cap="rnd">
              <a:solidFill>
                <a:schemeClr val="accent6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'LCR-Glieder'!$AD$11:$AE$11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xVal>
          <c:yVal>
            <c:numRef>
              <c:f>'LCR-Glieder'!$AG$11:$AH$11</c:f>
              <c:numCache>
                <c:formatCode>General</c:formatCode>
                <c:ptCount val="2"/>
                <c:pt idx="0">
                  <c:v>0</c:v>
                </c:pt>
                <c:pt idx="1">
                  <c:v>-1.59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EF5-4F7D-88FE-5A5684900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Belastete</a:t>
            </a:r>
            <a:r>
              <a:rPr lang="de-CH" baseline="0"/>
              <a:t> Spannungsquelle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3186775797417136"/>
          <c:y val="0.12766598220396988"/>
          <c:w val="0.84548937303880889"/>
          <c:h val="0.6190393954378891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'Quelle mit Innenwiderstand'!$I$12</c:f>
              <c:strCache>
                <c:ptCount val="1"/>
                <c:pt idx="0">
                  <c:v>I = U0/(Ri + RL)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Innenwiderstand'!$J$12:$AD$12</c:f>
              <c:numCache>
                <c:formatCode>#,##0.00</c:formatCode>
                <c:ptCount val="21"/>
                <c:pt idx="0">
                  <c:v>2.2142857142857144</c:v>
                </c:pt>
                <c:pt idx="1">
                  <c:v>1.9375000000000002</c:v>
                </c:pt>
                <c:pt idx="2">
                  <c:v>1.7222222222222225</c:v>
                </c:pt>
                <c:pt idx="3">
                  <c:v>1.55</c:v>
                </c:pt>
                <c:pt idx="4">
                  <c:v>1.4090909090909089</c:v>
                </c:pt>
                <c:pt idx="5">
                  <c:v>1.2916666666666667</c:v>
                </c:pt>
                <c:pt idx="6">
                  <c:v>1.1923076923076925</c:v>
                </c:pt>
                <c:pt idx="7">
                  <c:v>1.1071428571428572</c:v>
                </c:pt>
                <c:pt idx="8">
                  <c:v>1.0333333333333334</c:v>
                </c:pt>
                <c:pt idx="9">
                  <c:v>0.96875000000000011</c:v>
                </c:pt>
                <c:pt idx="10">
                  <c:v>0.91176470588235314</c:v>
                </c:pt>
                <c:pt idx="11">
                  <c:v>0.86111111111111127</c:v>
                </c:pt>
                <c:pt idx="12">
                  <c:v>0.81578947368421062</c:v>
                </c:pt>
                <c:pt idx="13">
                  <c:v>0.77500000000000002</c:v>
                </c:pt>
                <c:pt idx="14">
                  <c:v>0.73809523809523814</c:v>
                </c:pt>
                <c:pt idx="15">
                  <c:v>0.70454545454545447</c:v>
                </c:pt>
                <c:pt idx="16">
                  <c:v>0.67391304347826086</c:v>
                </c:pt>
                <c:pt idx="17">
                  <c:v>0.64583333333333326</c:v>
                </c:pt>
                <c:pt idx="18">
                  <c:v>0.61999999999999988</c:v>
                </c:pt>
                <c:pt idx="19">
                  <c:v>0.59615384615384603</c:v>
                </c:pt>
                <c:pt idx="20">
                  <c:v>0.57407407407407407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908-457F-A22A-284DFCA78046}"/>
            </c:ext>
          </c:extLst>
        </c:ser>
        <c:ser>
          <c:idx val="1"/>
          <c:order val="1"/>
          <c:tx>
            <c:strRef>
              <c:f>'Quelle mit Innenwiderstand'!$I$13</c:f>
              <c:strCache>
                <c:ptCount val="1"/>
                <c:pt idx="0">
                  <c:v>U = RL * I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Innenwiderstand'!$J$13:$AD$13</c:f>
              <c:numCache>
                <c:formatCode>#,##0.00</c:formatCode>
                <c:ptCount val="21"/>
                <c:pt idx="0">
                  <c:v>0</c:v>
                </c:pt>
                <c:pt idx="1">
                  <c:v>0.19375000000000003</c:v>
                </c:pt>
                <c:pt idx="2">
                  <c:v>0.34444444444444455</c:v>
                </c:pt>
                <c:pt idx="3">
                  <c:v>0.46500000000000008</c:v>
                </c:pt>
                <c:pt idx="4">
                  <c:v>0.5636363636363636</c:v>
                </c:pt>
                <c:pt idx="5">
                  <c:v>0.64583333333333337</c:v>
                </c:pt>
                <c:pt idx="6">
                  <c:v>0.71538461538461551</c:v>
                </c:pt>
                <c:pt idx="7">
                  <c:v>0.77500000000000002</c:v>
                </c:pt>
                <c:pt idx="8">
                  <c:v>0.82666666666666666</c:v>
                </c:pt>
                <c:pt idx="9">
                  <c:v>0.87187500000000007</c:v>
                </c:pt>
                <c:pt idx="10">
                  <c:v>0.91176470588235303</c:v>
                </c:pt>
                <c:pt idx="11">
                  <c:v>0.9472222222222223</c:v>
                </c:pt>
                <c:pt idx="12">
                  <c:v>0.97894736842105268</c:v>
                </c:pt>
                <c:pt idx="13">
                  <c:v>1.0075000000000001</c:v>
                </c:pt>
                <c:pt idx="14">
                  <c:v>1.0333333333333334</c:v>
                </c:pt>
                <c:pt idx="15">
                  <c:v>1.0568181818181819</c:v>
                </c:pt>
                <c:pt idx="16">
                  <c:v>1.0782608695652176</c:v>
                </c:pt>
                <c:pt idx="17">
                  <c:v>1.0979166666666669</c:v>
                </c:pt>
                <c:pt idx="18">
                  <c:v>1.1160000000000001</c:v>
                </c:pt>
                <c:pt idx="19">
                  <c:v>1.1326923076923079</c:v>
                </c:pt>
                <c:pt idx="20">
                  <c:v>1.1481481481481484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908-457F-A22A-284DFCA78046}"/>
            </c:ext>
          </c:extLst>
        </c:ser>
        <c:ser>
          <c:idx val="2"/>
          <c:order val="2"/>
          <c:tx>
            <c:strRef>
              <c:f>'Quelle mit Innenwiderstand'!$I$14</c:f>
              <c:strCache>
                <c:ptCount val="1"/>
                <c:pt idx="0">
                  <c:v>PRL = U * I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Innenwiderstand'!$J$14:$AD$14</c:f>
              <c:numCache>
                <c:formatCode>#,##0.00</c:formatCode>
                <c:ptCount val="21"/>
                <c:pt idx="0">
                  <c:v>0</c:v>
                </c:pt>
                <c:pt idx="1">
                  <c:v>0.37539062500000009</c:v>
                </c:pt>
                <c:pt idx="2">
                  <c:v>0.59320987654321022</c:v>
                </c:pt>
                <c:pt idx="3">
                  <c:v>0.72075000000000011</c:v>
                </c:pt>
                <c:pt idx="4">
                  <c:v>0.79421487603305774</c:v>
                </c:pt>
                <c:pt idx="5">
                  <c:v>0.83420138888888895</c:v>
                </c:pt>
                <c:pt idx="6">
                  <c:v>0.85295857988165713</c:v>
                </c:pt>
                <c:pt idx="7">
                  <c:v>0.85803571428571435</c:v>
                </c:pt>
                <c:pt idx="8">
                  <c:v>0.85422222222222233</c:v>
                </c:pt>
                <c:pt idx="9">
                  <c:v>0.8446289062500002</c:v>
                </c:pt>
                <c:pt idx="10">
                  <c:v>0.83131487889273381</c:v>
                </c:pt>
                <c:pt idx="11">
                  <c:v>0.81566358024691377</c:v>
                </c:pt>
                <c:pt idx="12">
                  <c:v>0.79861495844875363</c:v>
                </c:pt>
                <c:pt idx="13">
                  <c:v>0.78081250000000002</c:v>
                </c:pt>
                <c:pt idx="14">
                  <c:v>0.76269841269841276</c:v>
                </c:pt>
                <c:pt idx="15">
                  <c:v>0.74457644628099173</c:v>
                </c:pt>
                <c:pt idx="16">
                  <c:v>0.72665406427221191</c:v>
                </c:pt>
                <c:pt idx="17">
                  <c:v>0.70907118055555562</c:v>
                </c:pt>
                <c:pt idx="18">
                  <c:v>0.69191999999999998</c:v>
                </c:pt>
                <c:pt idx="19">
                  <c:v>0.67525887573964494</c:v>
                </c:pt>
                <c:pt idx="20">
                  <c:v>0.65912208504801106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908-457F-A22A-284DFCA78046}"/>
            </c:ext>
          </c:extLst>
        </c:ser>
        <c:ser>
          <c:idx val="3"/>
          <c:order val="3"/>
          <c:tx>
            <c:strRef>
              <c:f>'Quelle mit Innenwiderstand'!$N$5</c:f>
              <c:strCache>
                <c:ptCount val="1"/>
                <c:pt idx="0">
                  <c:v>Leistungsanpassung: RL = Ri</c:v>
                </c:pt>
              </c:strCache>
            </c:strRef>
          </c:tx>
          <c:spPr>
            <a:ln w="19050" cap="rnd">
              <a:solidFill>
                <a:srgbClr val="7030A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'Quelle mit Innenwiderstand'!$Q$6:$R$6</c:f>
              <c:numCache>
                <c:formatCode>General</c:formatCode>
                <c:ptCount val="2"/>
                <c:pt idx="0">
                  <c:v>0.7</c:v>
                </c:pt>
                <c:pt idx="1">
                  <c:v>0.7</c:v>
                </c:pt>
              </c:numCache>
            </c:numRef>
          </c:xVal>
          <c:yVal>
            <c:numRef>
              <c:f>'Quelle mit Innenwiderstand'!$Q$7:$R$7</c:f>
              <c:numCache>
                <c:formatCode>#,##0.00</c:formatCode>
                <c:ptCount val="2"/>
                <c:pt idx="0" formatCode="General">
                  <c:v>0</c:v>
                </c:pt>
                <c:pt idx="1">
                  <c:v>1.1071428571428572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908-457F-A22A-284DFCA780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167951"/>
        <c:axId val="565161711"/>
      </c:scatterChart>
      <c:valAx>
        <c:axId val="565167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200"/>
                  <a:t>R</a:t>
                </a:r>
                <a:r>
                  <a:rPr lang="de-CH" sz="1200" baseline="-25000"/>
                  <a:t>Last</a:t>
                </a:r>
                <a:endParaRPr lang="de-CH" baseline="-250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1711"/>
        <c:crosses val="autoZero"/>
        <c:crossBetween val="midCat"/>
      </c:valAx>
      <c:valAx>
        <c:axId val="56516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Strom,</a:t>
                </a:r>
                <a:r>
                  <a:rPr lang="de-CH" baseline="0"/>
                  <a:t> Spannung, Leistung</a:t>
                </a:r>
                <a:endParaRPr lang="de-CH"/>
              </a:p>
            </c:rich>
          </c:tx>
          <c:layout>
            <c:manualLayout>
              <c:xMode val="edge"/>
              <c:yMode val="edge"/>
              <c:x val="3.6215895127538193E-2"/>
              <c:y val="0.283017240914700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79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2.9292688520386512E-2"/>
          <c:y val="0.86875368505014905"/>
          <c:w val="0.74581542035741466"/>
          <c:h val="8.05003583997585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U-I Kurve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'Quelle mit Innenwiderstand'!$J$19:$J$24</c:f>
              <c:numCache>
                <c:formatCode>#,##0.00</c:formatCode>
                <c:ptCount val="6"/>
                <c:pt idx="0">
                  <c:v>178.16091954022991</c:v>
                </c:pt>
                <c:pt idx="1">
                  <c:v>329.78723404255317</c:v>
                </c:pt>
                <c:pt idx="2">
                  <c:v>704.5454545454545</c:v>
                </c:pt>
                <c:pt idx="3">
                  <c:v>1068.9655172413795</c:v>
                </c:pt>
                <c:pt idx="4">
                  <c:v>1550</c:v>
                </c:pt>
                <c:pt idx="5">
                  <c:v>2214.2857142857142</c:v>
                </c:pt>
              </c:numCache>
            </c:numRef>
          </c:xVal>
          <c:yVal>
            <c:numRef>
              <c:f>'Quelle mit Innenwiderstand'!$K$19:$K$24</c:f>
              <c:numCache>
                <c:formatCode>#,##0.00</c:formatCode>
                <c:ptCount val="6"/>
                <c:pt idx="0">
                  <c:v>1.4252873563218393</c:v>
                </c:pt>
                <c:pt idx="1">
                  <c:v>1.3191489361702127</c:v>
                </c:pt>
                <c:pt idx="2">
                  <c:v>1.0568181818181817</c:v>
                </c:pt>
                <c:pt idx="3">
                  <c:v>0.8017241379310347</c:v>
                </c:pt>
                <c:pt idx="4">
                  <c:v>0.46500000000000002</c:v>
                </c:pt>
                <c:pt idx="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B9-4A3C-ADC5-DF2176D53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7077135"/>
        <c:axId val="857076655"/>
      </c:scatterChart>
      <c:valAx>
        <c:axId val="857077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Stromstärke 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6655"/>
        <c:crosses val="autoZero"/>
        <c:crossBetween val="midCat"/>
      </c:valAx>
      <c:valAx>
        <c:axId val="857076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Klemmenspannung 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7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5641579532087145E-2"/>
          <c:y val="2.1212121672244021E-2"/>
          <c:w val="0.89009129359281547"/>
          <c:h val="0.9282547434601146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'Leistung bei Wechselstrom'!$D$10</c:f>
              <c:strCache>
                <c:ptCount val="1"/>
                <c:pt idx="0">
                  <c:v>Û * sin(x + φU)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Wechselstrom'!$F$10:$AT$10</c:f>
              <c:numCache>
                <c:formatCode>#,##0.00</c:formatCode>
                <c:ptCount val="41"/>
                <c:pt idx="0">
                  <c:v>0.86602540378443871</c:v>
                </c:pt>
                <c:pt idx="1">
                  <c:v>0.76604444311897835</c:v>
                </c:pt>
                <c:pt idx="2">
                  <c:v>0.64278760968653947</c:v>
                </c:pt>
                <c:pt idx="3">
                  <c:v>0.50000000000000033</c:v>
                </c:pt>
                <c:pt idx="4">
                  <c:v>0.34202014332566888</c:v>
                </c:pt>
                <c:pt idx="5">
                  <c:v>0.17364817766693069</c:v>
                </c:pt>
                <c:pt idx="6">
                  <c:v>1.22514845490862E-16</c:v>
                </c:pt>
                <c:pt idx="7">
                  <c:v>-0.17364817766693003</c:v>
                </c:pt>
                <c:pt idx="8">
                  <c:v>-0.34202014332566821</c:v>
                </c:pt>
                <c:pt idx="9">
                  <c:v>-0.49999999999999972</c:v>
                </c:pt>
                <c:pt idx="10">
                  <c:v>-0.64278760968653925</c:v>
                </c:pt>
                <c:pt idx="11">
                  <c:v>-0.7660444431189779</c:v>
                </c:pt>
                <c:pt idx="12">
                  <c:v>-0.86602540378443837</c:v>
                </c:pt>
                <c:pt idx="13">
                  <c:v>-0.93969262078590843</c:v>
                </c:pt>
                <c:pt idx="14">
                  <c:v>-0.98480775301220802</c:v>
                </c:pt>
                <c:pt idx="15">
                  <c:v>-1</c:v>
                </c:pt>
                <c:pt idx="16">
                  <c:v>-0.98480775301220813</c:v>
                </c:pt>
                <c:pt idx="17">
                  <c:v>-0.93969262078590854</c:v>
                </c:pt>
                <c:pt idx="18">
                  <c:v>-0.86602540378443904</c:v>
                </c:pt>
                <c:pt idx="19">
                  <c:v>-0.76604444311897812</c:v>
                </c:pt>
                <c:pt idx="20">
                  <c:v>-0.64278760968653958</c:v>
                </c:pt>
                <c:pt idx="21">
                  <c:v>-0.49999999999999967</c:v>
                </c:pt>
                <c:pt idx="22">
                  <c:v>-0.3420201433256686</c:v>
                </c:pt>
                <c:pt idx="23">
                  <c:v>-0.17364817766693039</c:v>
                </c:pt>
                <c:pt idx="24">
                  <c:v>-2.45029690981724E-16</c:v>
                </c:pt>
                <c:pt idx="25">
                  <c:v>0.17364817766692991</c:v>
                </c:pt>
                <c:pt idx="26">
                  <c:v>0.3420201433256681</c:v>
                </c:pt>
                <c:pt idx="27">
                  <c:v>0.49999999999999928</c:v>
                </c:pt>
                <c:pt idx="28">
                  <c:v>0.64278760968653847</c:v>
                </c:pt>
                <c:pt idx="29">
                  <c:v>0.76604444311897724</c:v>
                </c:pt>
                <c:pt idx="30">
                  <c:v>0.86602540378443882</c:v>
                </c:pt>
                <c:pt idx="31">
                  <c:v>0.93969262078590843</c:v>
                </c:pt>
                <c:pt idx="32">
                  <c:v>0.98480775301220802</c:v>
                </c:pt>
                <c:pt idx="33">
                  <c:v>1</c:v>
                </c:pt>
                <c:pt idx="34">
                  <c:v>0.98480775301220813</c:v>
                </c:pt>
                <c:pt idx="35">
                  <c:v>0.93969262078590865</c:v>
                </c:pt>
                <c:pt idx="36">
                  <c:v>0.86602540378443915</c:v>
                </c:pt>
                <c:pt idx="37">
                  <c:v>0.76604444311897879</c:v>
                </c:pt>
                <c:pt idx="38">
                  <c:v>0.64278760968653903</c:v>
                </c:pt>
                <c:pt idx="39">
                  <c:v>0.50000000000000133</c:v>
                </c:pt>
                <c:pt idx="40">
                  <c:v>0.34202014332566871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DD0-41F0-8B94-FEB68C71545A}"/>
            </c:ext>
          </c:extLst>
        </c:ser>
        <c:ser>
          <c:idx val="1"/>
          <c:order val="1"/>
          <c:tx>
            <c:strRef>
              <c:f>'Leistung bei Wechselstrom'!$D$11</c:f>
              <c:strCache>
                <c:ptCount val="1"/>
                <c:pt idx="0">
                  <c:v>Î * sin(x + φI)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Wechselstrom'!$F$11:$AT$11</c:f>
              <c:numCache>
                <c:formatCode>#,##0.00</c:formatCode>
                <c:ptCount val="41"/>
                <c:pt idx="0">
                  <c:v>2</c:v>
                </c:pt>
                <c:pt idx="1">
                  <c:v>1.969615506024416</c:v>
                </c:pt>
                <c:pt idx="2">
                  <c:v>1.8793852415718169</c:v>
                </c:pt>
                <c:pt idx="3">
                  <c:v>1.7320508075688774</c:v>
                </c:pt>
                <c:pt idx="4">
                  <c:v>1.532088886237956</c:v>
                </c:pt>
                <c:pt idx="5">
                  <c:v>1.2855752193730789</c:v>
                </c:pt>
                <c:pt idx="6">
                  <c:v>1.0000000000000007</c:v>
                </c:pt>
                <c:pt idx="7">
                  <c:v>0.68404028665133776</c:v>
                </c:pt>
                <c:pt idx="8">
                  <c:v>0.34729635533386055</c:v>
                </c:pt>
                <c:pt idx="9">
                  <c:v>2.45029690981724E-16</c:v>
                </c:pt>
                <c:pt idx="10">
                  <c:v>-0.34729635533386005</c:v>
                </c:pt>
                <c:pt idx="11">
                  <c:v>-0.68404028665133731</c:v>
                </c:pt>
                <c:pt idx="12">
                  <c:v>-0.99999999999999944</c:v>
                </c:pt>
                <c:pt idx="13">
                  <c:v>-1.2855752193730785</c:v>
                </c:pt>
                <c:pt idx="14">
                  <c:v>-1.5320888862379558</c:v>
                </c:pt>
                <c:pt idx="15">
                  <c:v>-1.7320508075688776</c:v>
                </c:pt>
                <c:pt idx="16">
                  <c:v>-1.8793852415718169</c:v>
                </c:pt>
                <c:pt idx="17">
                  <c:v>-1.969615506024416</c:v>
                </c:pt>
                <c:pt idx="18">
                  <c:v>-2</c:v>
                </c:pt>
                <c:pt idx="19">
                  <c:v>-1.9696155060244163</c:v>
                </c:pt>
                <c:pt idx="20">
                  <c:v>-1.8793852415718171</c:v>
                </c:pt>
                <c:pt idx="21">
                  <c:v>-1.7320508075688772</c:v>
                </c:pt>
                <c:pt idx="22">
                  <c:v>-1.5320888862379562</c:v>
                </c:pt>
                <c:pt idx="23">
                  <c:v>-1.2855752193730792</c:v>
                </c:pt>
                <c:pt idx="24">
                  <c:v>-1.0000000000000009</c:v>
                </c:pt>
                <c:pt idx="25">
                  <c:v>-0.68404028665133887</c:v>
                </c:pt>
                <c:pt idx="26">
                  <c:v>-0.34729635533386077</c:v>
                </c:pt>
                <c:pt idx="27">
                  <c:v>-4.90059381963448E-16</c:v>
                </c:pt>
                <c:pt idx="28">
                  <c:v>0.34729635533385983</c:v>
                </c:pt>
                <c:pt idx="29">
                  <c:v>0.6840402866513362</c:v>
                </c:pt>
                <c:pt idx="30">
                  <c:v>1</c:v>
                </c:pt>
                <c:pt idx="31">
                  <c:v>1.2855752193730783</c:v>
                </c:pt>
                <c:pt idx="32">
                  <c:v>1.5320888862379556</c:v>
                </c:pt>
                <c:pt idx="33">
                  <c:v>1.7320508075688767</c:v>
                </c:pt>
                <c:pt idx="34">
                  <c:v>1.8793852415718169</c:v>
                </c:pt>
                <c:pt idx="35">
                  <c:v>1.9696155060244158</c:v>
                </c:pt>
                <c:pt idx="36">
                  <c:v>2</c:v>
                </c:pt>
                <c:pt idx="37">
                  <c:v>1.9696155060244163</c:v>
                </c:pt>
                <c:pt idx="38">
                  <c:v>1.879385241571816</c:v>
                </c:pt>
                <c:pt idx="39">
                  <c:v>1.7320508075688783</c:v>
                </c:pt>
                <c:pt idx="40">
                  <c:v>1.5320888862379551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DD0-41F0-8B94-FEB68C71545A}"/>
            </c:ext>
          </c:extLst>
        </c:ser>
        <c:ser>
          <c:idx val="2"/>
          <c:order val="2"/>
          <c:tx>
            <c:strRef>
              <c:f>'Leistung bei Wechselstrom'!$D$12</c:f>
              <c:strCache>
                <c:ptCount val="1"/>
                <c:pt idx="0">
                  <c:v>Nicht gleichphasig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Wechselstrom'!$F$12:$AT$12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DD0-41F0-8B94-FEB68C71545A}"/>
            </c:ext>
          </c:extLst>
        </c:ser>
        <c:ser>
          <c:idx val="3"/>
          <c:order val="3"/>
          <c:tx>
            <c:strRef>
              <c:f>'Leistung bei Wechselstrom'!$D$13</c:f>
              <c:strCache>
                <c:ptCount val="1"/>
                <c:pt idx="0">
                  <c:v>U(t) * I(t)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Wechselstrom'!$F$13:$AT$13</c:f>
              <c:numCache>
                <c:formatCode>#,##0.00</c:formatCode>
                <c:ptCount val="41"/>
                <c:pt idx="0">
                  <c:v>1.7320508075688774</c:v>
                </c:pt>
                <c:pt idx="1">
                  <c:v>1.5088130134709785</c:v>
                </c:pt>
                <c:pt idx="2">
                  <c:v>1.2080455471101077</c:v>
                </c:pt>
                <c:pt idx="3">
                  <c:v>0.86602540378443926</c:v>
                </c:pt>
                <c:pt idx="4">
                  <c:v>0.52400526045877016</c:v>
                </c:pt>
                <c:pt idx="5">
                  <c:v>0.22323779409789982</c:v>
                </c:pt>
                <c:pt idx="6">
                  <c:v>1.2251484549086207E-16</c:v>
                </c:pt>
                <c:pt idx="7">
                  <c:v>-0.11878234922776924</c:v>
                </c:pt>
                <c:pt idx="8">
                  <c:v>-0.11878234922776919</c:v>
                </c:pt>
                <c:pt idx="9">
                  <c:v>-1.2251484549086193E-16</c:v>
                </c:pt>
                <c:pt idx="10">
                  <c:v>0.22323779409789887</c:v>
                </c:pt>
                <c:pt idx="11">
                  <c:v>0.52400526045876972</c:v>
                </c:pt>
                <c:pt idx="12">
                  <c:v>0.86602540378443793</c:v>
                </c:pt>
                <c:pt idx="13">
                  <c:v>1.2080455471101073</c:v>
                </c:pt>
                <c:pt idx="14">
                  <c:v>1.5088130134709776</c:v>
                </c:pt>
                <c:pt idx="15">
                  <c:v>1.7320508075688776</c:v>
                </c:pt>
                <c:pt idx="16">
                  <c:v>1.8508331567966469</c:v>
                </c:pt>
                <c:pt idx="17">
                  <c:v>1.8508331567966469</c:v>
                </c:pt>
                <c:pt idx="18">
                  <c:v>1.7320508075688781</c:v>
                </c:pt>
                <c:pt idx="19">
                  <c:v>1.5088130134709783</c:v>
                </c:pt>
                <c:pt idx="20">
                  <c:v>1.2080455471101081</c:v>
                </c:pt>
                <c:pt idx="21">
                  <c:v>0.86602540378443804</c:v>
                </c:pt>
                <c:pt idx="22">
                  <c:v>0.52400526045876983</c:v>
                </c:pt>
                <c:pt idx="23">
                  <c:v>0.22323779409789946</c:v>
                </c:pt>
                <c:pt idx="24">
                  <c:v>2.450296909817242E-16</c:v>
                </c:pt>
                <c:pt idx="25">
                  <c:v>-0.11878234922776935</c:v>
                </c:pt>
                <c:pt idx="26">
                  <c:v>-0.11878234922776922</c:v>
                </c:pt>
                <c:pt idx="27">
                  <c:v>-2.4502969098172366E-16</c:v>
                </c:pt>
                <c:pt idx="28">
                  <c:v>0.22323779409789846</c:v>
                </c:pt>
                <c:pt idx="29">
                  <c:v>0.52400526045876838</c:v>
                </c:pt>
                <c:pt idx="30">
                  <c:v>0.86602540378443882</c:v>
                </c:pt>
                <c:pt idx="31">
                  <c:v>1.208045547110107</c:v>
                </c:pt>
                <c:pt idx="32">
                  <c:v>1.5088130134709774</c:v>
                </c:pt>
                <c:pt idx="33">
                  <c:v>1.7320508075688767</c:v>
                </c:pt>
                <c:pt idx="34">
                  <c:v>1.8508331567966469</c:v>
                </c:pt>
                <c:pt idx="35">
                  <c:v>1.8508331567966469</c:v>
                </c:pt>
                <c:pt idx="36">
                  <c:v>1.7320508075688783</c:v>
                </c:pt>
                <c:pt idx="37">
                  <c:v>1.5088130134709796</c:v>
                </c:pt>
                <c:pt idx="38">
                  <c:v>1.2080455471101064</c:v>
                </c:pt>
                <c:pt idx="39">
                  <c:v>0.86602540378444148</c:v>
                </c:pt>
                <c:pt idx="40">
                  <c:v>0.52400526045876961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DD0-41F0-8B94-FEB68C71545A}"/>
            </c:ext>
          </c:extLst>
        </c:ser>
        <c:ser>
          <c:idx val="4"/>
          <c:order val="4"/>
          <c:tx>
            <c:strRef>
              <c:f>'Leistung bei Wechselstrom'!$T$4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Wechselstrom'!$U$4:$V$4</c:f>
              <c:numCache>
                <c:formatCode>General</c:formatCode>
                <c:ptCount val="2"/>
                <c:pt idx="0">
                  <c:v>0</c:v>
                </c:pt>
                <c:pt idx="1">
                  <c:v>400</c:v>
                </c:pt>
              </c:numCache>
            </c:numRef>
          </c:xVal>
          <c:yVal>
            <c:numRef>
              <c:f>'Leistung bei Wechselstrom'!$U$5:$V$5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DD0-41F0-8B94-FEB68C71545A}"/>
            </c:ext>
          </c:extLst>
        </c:ser>
        <c:ser>
          <c:idx val="5"/>
          <c:order val="5"/>
          <c:tx>
            <c:strRef>
              <c:f>'Leistung bei Wechselstrom'!$Y$4</c:f>
              <c:strCache>
                <c:ptCount val="1"/>
                <c:pt idx="0">
                  <c:v>y-Achse: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'Leistung bei Wechselstrom'!$Z$5:$AA$5</c:f>
              <c:numCache>
                <c:formatCode>#,##0.00</c:formatCode>
                <c:ptCount val="2"/>
                <c:pt idx="0">
                  <c:v>-2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DD0-41F0-8B94-FEB68C7154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1672687"/>
        <c:axId val="2111662607"/>
      </c:scatterChart>
      <c:valAx>
        <c:axId val="2111672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62607"/>
        <c:crosses val="autoZero"/>
        <c:crossBetween val="midCat"/>
      </c:valAx>
      <c:valAx>
        <c:axId val="2111662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726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Schiefeebene!$O$40</c:f>
              <c:strCache>
                <c:ptCount val="1"/>
                <c:pt idx="0">
                  <c:v>a = g⋅(sin(α)−μₖ​⋅cos(α))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  <a:headEnd type="none" w="med" len="med"/>
              <a:tailEnd type="none" w="med" len="med"/>
            </a:ln>
            <a:effectLst/>
          </c:spPr>
          <c:marker>
            <c:symbol val="none"/>
          </c:marker>
          <c:dPt>
            <c:idx val="3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non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7-066C-4401-A6E2-D68B063C863F}"/>
              </c:ext>
            </c:extLst>
          </c:dPt>
          <c:dPt>
            <c:idx val="17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6-066C-4401-A6E2-D68B063C863F}"/>
              </c:ext>
            </c:extLst>
          </c:dPt>
          <c:xVal>
            <c:numRef>
              <c:f>Schiefeebene!$Q$32:$AI$32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xVal>
          <c:yVal>
            <c:numRef>
              <c:f>Schiefeebene!$Q$40:$AI$40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0.64386836127657632</c:v>
                </c:pt>
                <c:pt idx="4">
                  <c:v>1.5115406840428576</c:v>
                </c:pt>
                <c:pt idx="5">
                  <c:v>2.3677092695103545</c:v>
                </c:pt>
                <c:pt idx="6">
                  <c:v>3.205858157774931</c:v>
                </c:pt>
                <c:pt idx="7">
                  <c:v>4.0196085297087603</c:v>
                </c:pt>
                <c:pt idx="8">
                  <c:v>4.8027672536255155</c:v>
                </c:pt>
                <c:pt idx="9">
                  <c:v>5.5493740187520242</c:v>
                </c:pt>
                <c:pt idx="10">
                  <c:v>6.2537466967921844</c:v>
                </c:pt>
                <c:pt idx="11">
                  <c:v>6.9105245863542581</c:v>
                </c:pt>
                <c:pt idx="12">
                  <c:v>7.514709211125342</c:v>
                </c:pt>
                <c:pt idx="13">
                  <c:v>8.0617023612942837</c:v>
                </c:pt>
                <c:pt idx="14">
                  <c:v>8.5473410887047994</c:v>
                </c:pt>
                <c:pt idx="15">
                  <c:v>8.967929389404615</c:v>
                </c:pt>
                <c:pt idx="16">
                  <c:v>9.3202663324672432</c:v>
                </c:pt>
                <c:pt idx="17">
                  <c:v>9.6016704210091195</c:v>
                </c:pt>
                <c:pt idx="18">
                  <c:v>9.81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6C-4401-A6E2-D68B063C863F}"/>
            </c:ext>
          </c:extLst>
        </c:ser>
        <c:ser>
          <c:idx val="1"/>
          <c:order val="1"/>
          <c:tx>
            <c:strRef>
              <c:f>Schiefeebene!$AH$41</c:f>
              <c:strCache>
                <c:ptCount val="1"/>
                <c:pt idx="0">
                  <c:v>Haften -&gt; Gleiten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Schiefeebene!$AI$41:$AK$41</c:f>
              <c:numCache>
                <c:formatCode>#,##0.00</c:formatCode>
                <c:ptCount val="3"/>
                <c:pt idx="0">
                  <c:v>0</c:v>
                </c:pt>
                <c:pt idx="1">
                  <c:v>30.963756532073521</c:v>
                </c:pt>
                <c:pt idx="2">
                  <c:v>30.963756532073521</c:v>
                </c:pt>
              </c:numCache>
            </c:numRef>
          </c:xVal>
          <c:yVal>
            <c:numRef>
              <c:f>Schiefeebene!$AI$42:$AK$42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3.3648022404960245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66C-4401-A6E2-D68B063C8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3863008"/>
        <c:axId val="553868288"/>
      </c:scatterChart>
      <c:valAx>
        <c:axId val="553863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8288"/>
        <c:crosses val="autoZero"/>
        <c:crossBetween val="midCat"/>
      </c:valAx>
      <c:valAx>
        <c:axId val="55386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30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Sinus_Cosinus!$F$12</c:f>
              <c:strCache>
                <c:ptCount val="1"/>
                <c:pt idx="0">
                  <c:v>1 * sin(x) =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Sinus_Cosinus!$G$12:$AU$12</c:f>
              <c:numCache>
                <c:formatCode>#,##0.00</c:formatCode>
                <c:ptCount val="41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0.76604444311897801</c:v>
                </c:pt>
                <c:pt idx="6">
                  <c:v>0.8660254037844386</c:v>
                </c:pt>
                <c:pt idx="7">
                  <c:v>0.93969262078590832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0.93969262078590843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0.64278760968653947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-0.34202014332566866</c:v>
                </c:pt>
                <c:pt idx="21">
                  <c:v>-0.50000000000000011</c:v>
                </c:pt>
                <c:pt idx="22">
                  <c:v>-0.64278760968653925</c:v>
                </c:pt>
                <c:pt idx="23">
                  <c:v>-0.7660444431189779</c:v>
                </c:pt>
                <c:pt idx="24">
                  <c:v>-0.86602540378443837</c:v>
                </c:pt>
                <c:pt idx="25">
                  <c:v>-0.93969262078590821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-0.98480775301220813</c:v>
                </c:pt>
                <c:pt idx="29">
                  <c:v>-0.93969262078590854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-0.50000000000000044</c:v>
                </c:pt>
                <c:pt idx="34">
                  <c:v>-0.3420201433256686</c:v>
                </c:pt>
                <c:pt idx="35">
                  <c:v>-0.17364817766693127</c:v>
                </c:pt>
                <c:pt idx="36">
                  <c:v>-2.45029690981724E-16</c:v>
                </c:pt>
                <c:pt idx="37">
                  <c:v>0.17364817766692991</c:v>
                </c:pt>
                <c:pt idx="38">
                  <c:v>0.34202014332566893</c:v>
                </c:pt>
                <c:pt idx="39">
                  <c:v>0.49999999999999928</c:v>
                </c:pt>
                <c:pt idx="40">
                  <c:v>0.64278760968653914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759-49E2-8EC6-0E1D02C2600D}"/>
            </c:ext>
          </c:extLst>
        </c:ser>
        <c:ser>
          <c:idx val="1"/>
          <c:order val="1"/>
          <c:tx>
            <c:strRef>
              <c:f>Sinus_Cosinus!$F$13</c:f>
              <c:strCache>
                <c:ptCount val="1"/>
                <c:pt idx="0">
                  <c:v>3 * cos(x - 180) =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Sinus_Cosinus!$G$13:$AU$13</c:f>
              <c:numCache>
                <c:formatCode>#,##0.00</c:formatCode>
                <c:ptCount val="41"/>
                <c:pt idx="0">
                  <c:v>-3</c:v>
                </c:pt>
                <c:pt idx="1">
                  <c:v>-2.9544232590366239</c:v>
                </c:pt>
                <c:pt idx="2">
                  <c:v>-2.8190778623577248</c:v>
                </c:pt>
                <c:pt idx="3">
                  <c:v>-2.598076211353316</c:v>
                </c:pt>
                <c:pt idx="4">
                  <c:v>-2.2981333293569337</c:v>
                </c:pt>
                <c:pt idx="5">
                  <c:v>-1.9283628290596182</c:v>
                </c:pt>
                <c:pt idx="6">
                  <c:v>-1.5000000000000007</c:v>
                </c:pt>
                <c:pt idx="7">
                  <c:v>-1.0260604299770062</c:v>
                </c:pt>
                <c:pt idx="8">
                  <c:v>-0.52094453300079091</c:v>
                </c:pt>
                <c:pt idx="9">
                  <c:v>1.83772268236293E-16</c:v>
                </c:pt>
                <c:pt idx="10">
                  <c:v>0.52094453300079124</c:v>
                </c:pt>
                <c:pt idx="11">
                  <c:v>1.0260604299770064</c:v>
                </c:pt>
                <c:pt idx="12">
                  <c:v>1.4999999999999996</c:v>
                </c:pt>
                <c:pt idx="13">
                  <c:v>1.9283628290596184</c:v>
                </c:pt>
                <c:pt idx="14">
                  <c:v>2.2981333293569342</c:v>
                </c:pt>
                <c:pt idx="15">
                  <c:v>2.598076211353316</c:v>
                </c:pt>
                <c:pt idx="16">
                  <c:v>2.8190778623577248</c:v>
                </c:pt>
                <c:pt idx="17">
                  <c:v>2.9544232590366244</c:v>
                </c:pt>
                <c:pt idx="18">
                  <c:v>3</c:v>
                </c:pt>
                <c:pt idx="19">
                  <c:v>2.9544232590366239</c:v>
                </c:pt>
                <c:pt idx="20">
                  <c:v>2.8190778623577248</c:v>
                </c:pt>
                <c:pt idx="21">
                  <c:v>2.5980762113533156</c:v>
                </c:pt>
                <c:pt idx="22">
                  <c:v>2.2981333293569342</c:v>
                </c:pt>
                <c:pt idx="23">
                  <c:v>1.9283628290596184</c:v>
                </c:pt>
                <c:pt idx="24">
                  <c:v>1.5000000000000009</c:v>
                </c:pt>
                <c:pt idx="25">
                  <c:v>1.0260604299770077</c:v>
                </c:pt>
                <c:pt idx="26">
                  <c:v>0.52094453300079069</c:v>
                </c:pt>
                <c:pt idx="27">
                  <c:v>1.83772268236293E-16</c:v>
                </c:pt>
                <c:pt idx="28">
                  <c:v>-0.52094453300079024</c:v>
                </c:pt>
                <c:pt idx="29">
                  <c:v>-1.0260604299770049</c:v>
                </c:pt>
                <c:pt idx="30">
                  <c:v>-1.5000000000000007</c:v>
                </c:pt>
                <c:pt idx="31">
                  <c:v>-1.9283628290596182</c:v>
                </c:pt>
                <c:pt idx="32">
                  <c:v>-2.2981333293569337</c:v>
                </c:pt>
                <c:pt idx="33">
                  <c:v>-2.5980762113533156</c:v>
                </c:pt>
                <c:pt idx="34">
                  <c:v>-2.8190778623577253</c:v>
                </c:pt>
                <c:pt idx="35">
                  <c:v>-2.9544232590366235</c:v>
                </c:pt>
                <c:pt idx="36">
                  <c:v>-3</c:v>
                </c:pt>
                <c:pt idx="37">
                  <c:v>-2.9544232590366244</c:v>
                </c:pt>
                <c:pt idx="38">
                  <c:v>-2.8190778623577248</c:v>
                </c:pt>
                <c:pt idx="39">
                  <c:v>-2.5980762113533169</c:v>
                </c:pt>
                <c:pt idx="40">
                  <c:v>-2.2981333293569342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759-49E2-8EC6-0E1D02C2600D}"/>
            </c:ext>
          </c:extLst>
        </c:ser>
        <c:ser>
          <c:idx val="2"/>
          <c:order val="2"/>
          <c:tx>
            <c:strRef>
              <c:f>Sinus_Cosinus!$AY$9</c:f>
              <c:strCache>
                <c:ptCount val="1"/>
                <c:pt idx="0">
                  <c:v>Momentanwerte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Sinus_Cosinus!$BB$3:$BC$3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Sinus_Cosinus!$BB$4:$BC$4</c:f>
              <c:numCache>
                <c:formatCode>#,##0.00</c:formatCode>
                <c:ptCount val="2"/>
                <c:pt idx="0">
                  <c:v>-1.9283628290596182</c:v>
                </c:pt>
                <c:pt idx="1">
                  <c:v>0.76604444311897801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5D4-486A-9DE0-EEDEB21B2D1F}"/>
            </c:ext>
          </c:extLst>
        </c:ser>
        <c:ser>
          <c:idx val="3"/>
          <c:order val="3"/>
          <c:tx>
            <c:strRef>
              <c:f>Sinus_Cosinus!$F$16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Sinus_Cosinus!$G$16:$AU$16</c:f>
              <c:numCache>
                <c:formatCode>#,##0.00</c:formatCode>
                <c:ptCount val="41"/>
                <c:pt idx="0">
                  <c:v>-3</c:v>
                </c:pt>
                <c:pt idx="1">
                  <c:v>-2.7807750813696934</c:v>
                </c:pt>
                <c:pt idx="2">
                  <c:v>-2.477057719032056</c:v>
                </c:pt>
                <c:pt idx="3">
                  <c:v>-2.098076211353316</c:v>
                </c:pt>
                <c:pt idx="4">
                  <c:v>-1.6553457196703945</c:v>
                </c:pt>
                <c:pt idx="5">
                  <c:v>-1.1623183859406403</c:v>
                </c:pt>
                <c:pt idx="6">
                  <c:v>-0.63397459621556207</c:v>
                </c:pt>
                <c:pt idx="7">
                  <c:v>-8.6367809191097877E-2</c:v>
                </c:pt>
                <c:pt idx="8">
                  <c:v>0.46386322001141711</c:v>
                </c:pt>
                <c:pt idx="9">
                  <c:v>1.0000000000000002</c:v>
                </c:pt>
                <c:pt idx="10">
                  <c:v>1.5057522860129993</c:v>
                </c:pt>
                <c:pt idx="11">
                  <c:v>1.9657530507629148</c:v>
                </c:pt>
                <c:pt idx="12">
                  <c:v>2.3660254037844384</c:v>
                </c:pt>
                <c:pt idx="13">
                  <c:v>2.6944072721785965</c:v>
                </c:pt>
                <c:pt idx="14">
                  <c:v>2.9409209390434734</c:v>
                </c:pt>
                <c:pt idx="15">
                  <c:v>3.098076211353316</c:v>
                </c:pt>
                <c:pt idx="16">
                  <c:v>3.1610980056833937</c:v>
                </c:pt>
                <c:pt idx="17">
                  <c:v>3.1280714367035545</c:v>
                </c:pt>
                <c:pt idx="18">
                  <c:v>3</c:v>
                </c:pt>
                <c:pt idx="19">
                  <c:v>2.7807750813696934</c:v>
                </c:pt>
                <c:pt idx="20">
                  <c:v>2.4770577190320564</c:v>
                </c:pt>
                <c:pt idx="21">
                  <c:v>2.0980762113533156</c:v>
                </c:pt>
                <c:pt idx="22">
                  <c:v>1.6553457196703949</c:v>
                </c:pt>
                <c:pt idx="23">
                  <c:v>1.1623183859406405</c:v>
                </c:pt>
                <c:pt idx="24">
                  <c:v>0.63397459621556251</c:v>
                </c:pt>
                <c:pt idx="25">
                  <c:v>8.6367809191099543E-2</c:v>
                </c:pt>
                <c:pt idx="26">
                  <c:v>-0.46386322001141733</c:v>
                </c:pt>
                <c:pt idx="27">
                  <c:v>-0.99999999999999978</c:v>
                </c:pt>
                <c:pt idx="28">
                  <c:v>-1.5057522860129984</c:v>
                </c:pt>
                <c:pt idx="29">
                  <c:v>-1.9657530507629133</c:v>
                </c:pt>
                <c:pt idx="30">
                  <c:v>-2.3660254037844393</c:v>
                </c:pt>
                <c:pt idx="31">
                  <c:v>-2.6944072721785961</c:v>
                </c:pt>
                <c:pt idx="32">
                  <c:v>-2.9409209390434734</c:v>
                </c:pt>
                <c:pt idx="33">
                  <c:v>-3.098076211353316</c:v>
                </c:pt>
                <c:pt idx="34">
                  <c:v>-3.1610980056833937</c:v>
                </c:pt>
                <c:pt idx="35">
                  <c:v>-3.1280714367035549</c:v>
                </c:pt>
                <c:pt idx="36">
                  <c:v>-3.0000000000000004</c:v>
                </c:pt>
                <c:pt idx="37">
                  <c:v>-2.7807750813696943</c:v>
                </c:pt>
                <c:pt idx="38">
                  <c:v>-2.477057719032056</c:v>
                </c:pt>
                <c:pt idx="39">
                  <c:v>-2.0980762113533178</c:v>
                </c:pt>
                <c:pt idx="40">
                  <c:v>-1.6553457196703949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90-482E-8572-0E4B124868E5}"/>
            </c:ext>
          </c:extLst>
        </c:ser>
        <c:ser>
          <c:idx val="4"/>
          <c:order val="4"/>
          <c:tx>
            <c:strRef>
              <c:f>Sinus_Cosinus!$F$17</c:f>
              <c:strCache>
                <c:ptCount val="1"/>
                <c:pt idx="0">
                  <c:v>Y1 * Y2 =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Sinus_Cosinus!$G$17:$AU$17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90-482E-8572-0E4B124868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666463"/>
        <c:axId val="88665983"/>
      </c:scatterChart>
      <c:valAx>
        <c:axId val="8866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5983"/>
        <c:crosses val="autoZero"/>
        <c:crossBetween val="midCat"/>
      </c:valAx>
      <c:valAx>
        <c:axId val="8866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#,##0.00" sourceLinked="1"/>
        <c:majorTickMark val="none"/>
        <c:minorTickMark val="none"/>
        <c:tickLblPos val="nextTo"/>
        <c:spPr>
          <a:noFill/>
          <a:ln w="2540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6266172486809316E-2"/>
          <c:y val="1.3659342976888873E-2"/>
          <c:w val="0.94202553284382662"/>
          <c:h val="0.945288216934373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Sinus_Cosinus!$E$12</c:f>
              <c:strCache>
                <c:ptCount val="1"/>
                <c:pt idx="0">
                  <c:v>y1 = 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Sinus_Cosinus!$BF$12:$BG$12</c:f>
              <c:numCache>
                <c:formatCode>0.000</c:formatCode>
                <c:ptCount val="2"/>
                <c:pt idx="0">
                  <c:v>0</c:v>
                </c:pt>
                <c:pt idx="1">
                  <c:v>0.64278760968653936</c:v>
                </c:pt>
              </c:numCache>
            </c:numRef>
          </c:xVal>
          <c:yVal>
            <c:numRef>
              <c:f>Sinus_Cosinus!$BH$12:$BI$12</c:f>
              <c:numCache>
                <c:formatCode>0.000</c:formatCode>
                <c:ptCount val="2"/>
                <c:pt idx="0">
                  <c:v>0</c:v>
                </c:pt>
                <c:pt idx="1">
                  <c:v>0.76604444311897801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C7-48E6-9D02-BDAF35CC215A}"/>
            </c:ext>
          </c:extLst>
        </c:ser>
        <c:ser>
          <c:idx val="1"/>
          <c:order val="1"/>
          <c:tx>
            <c:strRef>
              <c:f>Sinus_Cosinus!$E$13</c:f>
              <c:strCache>
                <c:ptCount val="1"/>
                <c:pt idx="0">
                  <c:v>y2 = 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Sinus_Cosinus!$BF$13:$BG$13</c:f>
              <c:numCache>
                <c:formatCode>0.000</c:formatCode>
                <c:ptCount val="2"/>
                <c:pt idx="0">
                  <c:v>0</c:v>
                </c:pt>
                <c:pt idx="1">
                  <c:v>2.2981333293569342</c:v>
                </c:pt>
              </c:numCache>
            </c:numRef>
          </c:xVal>
          <c:yVal>
            <c:numRef>
              <c:f>Sinus_Cosinus!$BH$13:$BI$13</c:f>
              <c:numCache>
                <c:formatCode>0.000</c:formatCode>
                <c:ptCount val="2"/>
                <c:pt idx="0">
                  <c:v>0</c:v>
                </c:pt>
                <c:pt idx="1">
                  <c:v>-1.9283628290596178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3C7-48E6-9D02-BDAF35CC215A}"/>
            </c:ext>
          </c:extLst>
        </c:ser>
        <c:ser>
          <c:idx val="2"/>
          <c:order val="2"/>
          <c:tx>
            <c:strRef>
              <c:f>Sinus_Cosinus!$BJ$9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Sinus_Cosinus!$BK$11:$BN$11</c:f>
              <c:numCache>
                <c:formatCode>General</c:formatCode>
                <c:ptCount val="4"/>
                <c:pt idx="0">
                  <c:v>0</c:v>
                </c:pt>
                <c:pt idx="1">
                  <c:v>3.1622776601683795</c:v>
                </c:pt>
                <c:pt idx="2">
                  <c:v>0</c:v>
                </c:pt>
                <c:pt idx="3">
                  <c:v>-3.1622776601683795</c:v>
                </c:pt>
              </c:numCache>
            </c:numRef>
          </c:xVal>
          <c:yVal>
            <c:numRef>
              <c:f>Sinus_Cosinus!$BO$11:$BR$11</c:f>
              <c:numCache>
                <c:formatCode>General</c:formatCode>
                <c:ptCount val="4"/>
                <c:pt idx="0">
                  <c:v>3.1622776601683795</c:v>
                </c:pt>
                <c:pt idx="1">
                  <c:v>0</c:v>
                </c:pt>
                <c:pt idx="2">
                  <c:v>-3.1622776601683795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3C7-48E6-9D02-BDAF35CC215A}"/>
            </c:ext>
          </c:extLst>
        </c:ser>
        <c:ser>
          <c:idx val="3"/>
          <c:order val="3"/>
          <c:tx>
            <c:strRef>
              <c:f>Sinus_Cosinus!$F$16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Sinus_Cosinus!$BF$16:$BG$16</c:f>
              <c:numCache>
                <c:formatCode>0.000</c:formatCode>
                <c:ptCount val="2"/>
                <c:pt idx="0">
                  <c:v>0</c:v>
                </c:pt>
                <c:pt idx="1">
                  <c:v>2.9409209390434734</c:v>
                </c:pt>
              </c:numCache>
            </c:numRef>
          </c:xVal>
          <c:yVal>
            <c:numRef>
              <c:f>Sinus_Cosinus!$BH$16:$BI$16</c:f>
              <c:numCache>
                <c:formatCode>0.000</c:formatCode>
                <c:ptCount val="2"/>
                <c:pt idx="0">
                  <c:v>0</c:v>
                </c:pt>
                <c:pt idx="1">
                  <c:v>-1.1623183859406399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DC9-4DFF-99A6-C586D34B2748}"/>
            </c:ext>
          </c:extLst>
        </c:ser>
        <c:ser>
          <c:idx val="4"/>
          <c:order val="4"/>
          <c:tx>
            <c:strRef>
              <c:f>Sinus_Cosinus!$BJ$15</c:f>
              <c:strCache>
                <c:ptCount val="1"/>
                <c:pt idx="0">
                  <c:v>Hilfslinie_1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Sinus_Cosinus!$BJ$16:$BK$16</c:f>
              <c:numCache>
                <c:formatCode>0.000</c:formatCode>
                <c:ptCount val="2"/>
                <c:pt idx="0">
                  <c:v>2.2981333293569342</c:v>
                </c:pt>
                <c:pt idx="1">
                  <c:v>2.9409209390434734</c:v>
                </c:pt>
              </c:numCache>
            </c:numRef>
          </c:xVal>
          <c:yVal>
            <c:numRef>
              <c:f>Sinus_Cosinus!$BL$16:$BM$16</c:f>
              <c:numCache>
                <c:formatCode>0.000</c:formatCode>
                <c:ptCount val="2"/>
                <c:pt idx="0">
                  <c:v>-1.9283628290596178</c:v>
                </c:pt>
                <c:pt idx="1">
                  <c:v>-1.1623183859406399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DC9-4DFF-99A6-C586D34B2748}"/>
            </c:ext>
          </c:extLst>
        </c:ser>
        <c:ser>
          <c:idx val="5"/>
          <c:order val="5"/>
          <c:tx>
            <c:strRef>
              <c:f>Sinus_Cosinus!$BN$15</c:f>
              <c:strCache>
                <c:ptCount val="1"/>
                <c:pt idx="0">
                  <c:v>Hilfslinie_2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Sinus_Cosinus!$BN$16:$BO$16</c:f>
              <c:numCache>
                <c:formatCode>0.000</c:formatCode>
                <c:ptCount val="2"/>
                <c:pt idx="0">
                  <c:v>0.64278760968653936</c:v>
                </c:pt>
                <c:pt idx="1">
                  <c:v>2.9409209390434734</c:v>
                </c:pt>
              </c:numCache>
            </c:numRef>
          </c:xVal>
          <c:yVal>
            <c:numRef>
              <c:f>Sinus_Cosinus!$BP$16:$BQ$16</c:f>
              <c:numCache>
                <c:formatCode>0.000</c:formatCode>
                <c:ptCount val="2"/>
                <c:pt idx="0">
                  <c:v>0.76604444311897801</c:v>
                </c:pt>
                <c:pt idx="1">
                  <c:v>-1.1623183859406399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DC9-4DFF-99A6-C586D34B27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17423"/>
        <c:axId val="11719823"/>
      </c:scatterChart>
      <c:valAx>
        <c:axId val="11717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9823"/>
        <c:crosses val="autoZero"/>
        <c:crossBetween val="midCat"/>
      </c:valAx>
      <c:valAx>
        <c:axId val="1171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7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Tangens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Sinus_Cosinus!$F$61</c:f>
              <c:strCache>
                <c:ptCount val="1"/>
                <c:pt idx="0">
                  <c:v>tan(x) =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Sinus_Cosinus!$G$61:$AU$61</c:f>
              <c:numCache>
                <c:formatCode>#,##0.00</c:formatCode>
                <c:ptCount val="41"/>
                <c:pt idx="0">
                  <c:v>0</c:v>
                </c:pt>
                <c:pt idx="1">
                  <c:v>0.17632698070846498</c:v>
                </c:pt>
                <c:pt idx="2">
                  <c:v>0.36397023426620234</c:v>
                </c:pt>
                <c:pt idx="3">
                  <c:v>0.57735026918962573</c:v>
                </c:pt>
                <c:pt idx="4">
                  <c:v>0.83909963117727993</c:v>
                </c:pt>
                <c:pt idx="5">
                  <c:v>1.19175359259421</c:v>
                </c:pt>
                <c:pt idx="6">
                  <c:v>1.7320508075688767</c:v>
                </c:pt>
                <c:pt idx="7">
                  <c:v>2.7474774194546216</c:v>
                </c:pt>
                <c:pt idx="8">
                  <c:v>5.6712818196177066</c:v>
                </c:pt>
                <c:pt idx="9">
                  <c:v>0</c:v>
                </c:pt>
                <c:pt idx="10">
                  <c:v>-5.6712818196177111</c:v>
                </c:pt>
                <c:pt idx="11">
                  <c:v>-2.7474774194546225</c:v>
                </c:pt>
                <c:pt idx="12">
                  <c:v>-1.7320508075688783</c:v>
                </c:pt>
                <c:pt idx="13">
                  <c:v>-1.19175359259421</c:v>
                </c:pt>
                <c:pt idx="14">
                  <c:v>-0.83909963117728037</c:v>
                </c:pt>
                <c:pt idx="15">
                  <c:v>-0.57735026918962573</c:v>
                </c:pt>
                <c:pt idx="16">
                  <c:v>-0.36397023426620256</c:v>
                </c:pt>
                <c:pt idx="17">
                  <c:v>-0.17632698070846489</c:v>
                </c:pt>
                <c:pt idx="18">
                  <c:v>-1.22514845490862E-16</c:v>
                </c:pt>
                <c:pt idx="19">
                  <c:v>0.17632698070846509</c:v>
                </c:pt>
                <c:pt idx="20">
                  <c:v>0.36397023426620229</c:v>
                </c:pt>
                <c:pt idx="21">
                  <c:v>0.57735026918962595</c:v>
                </c:pt>
                <c:pt idx="22">
                  <c:v>0.83909963117727993</c:v>
                </c:pt>
                <c:pt idx="23">
                  <c:v>1.1917535925942093</c:v>
                </c:pt>
                <c:pt idx="24">
                  <c:v>1.7320508075688754</c:v>
                </c:pt>
                <c:pt idx="25">
                  <c:v>2.7474774194546168</c:v>
                </c:pt>
                <c:pt idx="26">
                  <c:v>5.6712818196177102</c:v>
                </c:pt>
                <c:pt idx="27">
                  <c:v>0</c:v>
                </c:pt>
                <c:pt idx="28">
                  <c:v>-5.6712818196177226</c:v>
                </c:pt>
                <c:pt idx="29">
                  <c:v>-2.7474774194546274</c:v>
                </c:pt>
                <c:pt idx="30">
                  <c:v>-1.732050807568877</c:v>
                </c:pt>
                <c:pt idx="31">
                  <c:v>-1.1917535925942102</c:v>
                </c:pt>
                <c:pt idx="32">
                  <c:v>-0.83909963117728059</c:v>
                </c:pt>
                <c:pt idx="33">
                  <c:v>-0.57735026918962651</c:v>
                </c:pt>
                <c:pt idx="34">
                  <c:v>-0.36397023426620218</c:v>
                </c:pt>
                <c:pt idx="35">
                  <c:v>-0.17632698070846592</c:v>
                </c:pt>
                <c:pt idx="36">
                  <c:v>-2.45029690981724E-16</c:v>
                </c:pt>
                <c:pt idx="37">
                  <c:v>0.1763269807084645</c:v>
                </c:pt>
                <c:pt idx="38">
                  <c:v>0.36397023426620262</c:v>
                </c:pt>
                <c:pt idx="39">
                  <c:v>0.57735026918962462</c:v>
                </c:pt>
                <c:pt idx="40">
                  <c:v>0.8390996311772797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57-4B02-836E-96F973D3FC0A}"/>
            </c:ext>
          </c:extLst>
        </c:ser>
        <c:ser>
          <c:idx val="1"/>
          <c:order val="1"/>
          <c:tx>
            <c:strRef>
              <c:f>Sinus_Cosinus!$F$62</c:f>
              <c:strCache>
                <c:ptCount val="1"/>
                <c:pt idx="0">
                  <c:v>sin(x) =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Sinus_Cosinus!$G$62:$AU$62</c:f>
              <c:numCache>
                <c:formatCode>#,##0.00</c:formatCode>
                <c:ptCount val="41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0.76604444311897801</c:v>
                </c:pt>
                <c:pt idx="6">
                  <c:v>0.8660254037844386</c:v>
                </c:pt>
                <c:pt idx="7">
                  <c:v>0.93969262078590832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0.93969262078590843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0.64278760968653947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-0.34202014332566866</c:v>
                </c:pt>
                <c:pt idx="21">
                  <c:v>-0.50000000000000011</c:v>
                </c:pt>
                <c:pt idx="22">
                  <c:v>-0.64278760968653925</c:v>
                </c:pt>
                <c:pt idx="23">
                  <c:v>-0.7660444431189779</c:v>
                </c:pt>
                <c:pt idx="24">
                  <c:v>-0.86602540378443837</c:v>
                </c:pt>
                <c:pt idx="25">
                  <c:v>-0.93969262078590821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-0.98480775301220813</c:v>
                </c:pt>
                <c:pt idx="29">
                  <c:v>-0.93969262078590854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-0.50000000000000044</c:v>
                </c:pt>
                <c:pt idx="34">
                  <c:v>-0.3420201433256686</c:v>
                </c:pt>
                <c:pt idx="35">
                  <c:v>-0.17364817766693127</c:v>
                </c:pt>
                <c:pt idx="36">
                  <c:v>-2.45029690981724E-16</c:v>
                </c:pt>
                <c:pt idx="37">
                  <c:v>0.17364817766692991</c:v>
                </c:pt>
                <c:pt idx="38">
                  <c:v>0.34202014332566893</c:v>
                </c:pt>
                <c:pt idx="39">
                  <c:v>0.49999999999999928</c:v>
                </c:pt>
                <c:pt idx="40">
                  <c:v>0.64278760968653914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57-4B02-836E-96F973D3F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1561519"/>
        <c:axId val="2051558159"/>
      </c:scatterChart>
      <c:valAx>
        <c:axId val="2051561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58159"/>
        <c:crosses val="autoZero"/>
        <c:crossBetween val="midCat"/>
      </c:valAx>
      <c:valAx>
        <c:axId val="205155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61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7"/>
          <c:order val="0"/>
          <c:tx>
            <c:strRef>
              <c:f>Vektoroperationen!$Y$3</c:f>
              <c:strCache>
                <c:ptCount val="1"/>
                <c:pt idx="0">
                  <c:v>x-Achse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Vektoroperationen!$Z$3:$AA$3</c:f>
              <c:numCache>
                <c:formatCode>General</c:formatCode>
                <c:ptCount val="2"/>
                <c:pt idx="0">
                  <c:v>0</c:v>
                </c:pt>
                <c:pt idx="1">
                  <c:v>22</c:v>
                </c:pt>
              </c:numCache>
            </c:numRef>
          </c:xVal>
          <c:yVal>
            <c:numRef>
              <c:f>Vektoroperationen!$AB$3:$AC$3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386-44E6-995D-F084AE3590EA}"/>
            </c:ext>
          </c:extLst>
        </c:ser>
        <c:ser>
          <c:idx val="8"/>
          <c:order val="1"/>
          <c:tx>
            <c:strRef>
              <c:f>Vektoroperationen!$Y$4</c:f>
              <c:strCache>
                <c:ptCount val="1"/>
                <c:pt idx="0">
                  <c:v>y-Achse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Vektoroperationen!$Z$4:$AA$4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Vektoroperationen!$AB$4:$AC$4</c:f>
              <c:numCache>
                <c:formatCode>General</c:formatCode>
                <c:ptCount val="2"/>
                <c:pt idx="0">
                  <c:v>0</c:v>
                </c:pt>
                <c:pt idx="1">
                  <c:v>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386-44E6-995D-F084AE3590EA}"/>
            </c:ext>
          </c:extLst>
        </c:ser>
        <c:ser>
          <c:idx val="0"/>
          <c:order val="2"/>
          <c:tx>
            <c:strRef>
              <c:f>Vektoroperationen!$C$14</c:f>
              <c:strCache>
                <c:ptCount val="1"/>
                <c:pt idx="0">
                  <c:v>F1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Vektoroperationen!$P$14:$Q$14</c:f>
              <c:numCache>
                <c:formatCode>#,##0.00</c:formatCode>
                <c:ptCount val="2"/>
                <c:pt idx="0">
                  <c:v>0</c:v>
                </c:pt>
                <c:pt idx="1">
                  <c:v>10</c:v>
                </c:pt>
              </c:numCache>
            </c:numRef>
          </c:xVal>
          <c:yVal>
            <c:numRef>
              <c:f>Vektoroperationen!$R$14:$S$14</c:f>
              <c:numCache>
                <c:formatCode>#,##0.00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86-44E6-995D-F084AE3590EA}"/>
            </c:ext>
          </c:extLst>
        </c:ser>
        <c:ser>
          <c:idx val="1"/>
          <c:order val="3"/>
          <c:tx>
            <c:strRef>
              <c:f>Vektoroperationen!$C$15</c:f>
              <c:strCache>
                <c:ptCount val="1"/>
                <c:pt idx="0">
                  <c:v>F2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Vektoroperationen!$P$15:$Q$15</c:f>
              <c:numCache>
                <c:formatCode>#,##0.00</c:formatCode>
                <c:ptCount val="2"/>
                <c:pt idx="0">
                  <c:v>10</c:v>
                </c:pt>
                <c:pt idx="1">
                  <c:v>20</c:v>
                </c:pt>
              </c:numCache>
            </c:numRef>
          </c:xVal>
          <c:yVal>
            <c:numRef>
              <c:f>Vektoroperationen!$R$15:$S$15</c:f>
              <c:numCache>
                <c:formatCode>#,##0.00</c:formatCode>
                <c:ptCount val="2"/>
                <c:pt idx="0">
                  <c:v>5</c:v>
                </c:pt>
                <c:pt idx="1">
                  <c:v>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86-44E6-995D-F084AE3590EA}"/>
            </c:ext>
          </c:extLst>
        </c:ser>
        <c:ser>
          <c:idx val="2"/>
          <c:order val="4"/>
          <c:tx>
            <c:strRef>
              <c:f>Vektoroperationen!$C$16</c:f>
              <c:strCache>
                <c:ptCount val="1"/>
                <c:pt idx="0">
                  <c:v>F3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Vektoroperationen!$P$16:$Q$16</c:f>
              <c:numCache>
                <c:formatCode>#,##0.00</c:formatCode>
                <c:ptCount val="2"/>
                <c:pt idx="0">
                  <c:v>20</c:v>
                </c:pt>
                <c:pt idx="1">
                  <c:v>12</c:v>
                </c:pt>
              </c:numCache>
            </c:numRef>
          </c:xVal>
          <c:yVal>
            <c:numRef>
              <c:f>Vektoroperationen!$R$16:$S$16</c:f>
              <c:numCache>
                <c:formatCode>#,##0.00</c:formatCode>
                <c:ptCount val="2"/>
                <c:pt idx="0">
                  <c:v>-7</c:v>
                </c:pt>
                <c:pt idx="1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86-44E6-995D-F084AE3590EA}"/>
            </c:ext>
          </c:extLst>
        </c:ser>
        <c:ser>
          <c:idx val="3"/>
          <c:order val="5"/>
          <c:tx>
            <c:strRef>
              <c:f>Vektoroperationen!$C$17</c:f>
              <c:strCache>
                <c:ptCount val="1"/>
                <c:pt idx="0">
                  <c:v>F4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Vektoroperationen!$P$17:$Q$17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Vektoroperationen!$R$17:$S$17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386-44E6-995D-F084AE3590EA}"/>
            </c:ext>
          </c:extLst>
        </c:ser>
        <c:ser>
          <c:idx val="4"/>
          <c:order val="6"/>
          <c:tx>
            <c:strRef>
              <c:f>Vektoroperationen!$C$18</c:f>
              <c:strCache>
                <c:ptCount val="1"/>
                <c:pt idx="0">
                  <c:v>F5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Vektoroperationen!$P$18:$Q$18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Vektoroperationen!$R$18:$S$18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386-44E6-995D-F084AE3590EA}"/>
            </c:ext>
          </c:extLst>
        </c:ser>
        <c:ser>
          <c:idx val="5"/>
          <c:order val="7"/>
          <c:tx>
            <c:strRef>
              <c:f>Vektoroperationen!$C$19</c:f>
              <c:strCache>
                <c:ptCount val="1"/>
                <c:pt idx="0">
                  <c:v>F6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Vektoroperationen!$P$19:$Q$19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Vektoroperationen!$R$19:$S$19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386-44E6-995D-F084AE3590EA}"/>
            </c:ext>
          </c:extLst>
        </c:ser>
        <c:ser>
          <c:idx val="6"/>
          <c:order val="8"/>
          <c:tx>
            <c:strRef>
              <c:f>Vektoroperationen!$C$20</c:f>
              <c:strCache>
                <c:ptCount val="1"/>
                <c:pt idx="0">
                  <c:v>F7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Vektoroperationen!$P$20:$Q$20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Vektoroperationen!$R$20:$S$20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386-44E6-995D-F084AE3590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38752"/>
        <c:axId val="11735872"/>
      </c:scatterChart>
      <c:valAx>
        <c:axId val="11738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5872"/>
        <c:crosses val="autoZero"/>
        <c:crossBetween val="midCat"/>
      </c:valAx>
      <c:valAx>
        <c:axId val="11735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87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VektorZeitbereich!$Q$13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VektorZeitbereich!$R$15:$U$15</c:f>
              <c:numCache>
                <c:formatCode>#,##0.00</c:formatCode>
                <c:ptCount val="4"/>
                <c:pt idx="0">
                  <c:v>15.400000000000002</c:v>
                </c:pt>
                <c:pt idx="1">
                  <c:v>0</c:v>
                </c:pt>
                <c:pt idx="2">
                  <c:v>-15.400000000000002</c:v>
                </c:pt>
                <c:pt idx="3">
                  <c:v>0</c:v>
                </c:pt>
              </c:numCache>
            </c:numRef>
          </c:xVal>
          <c:yVal>
            <c:numRef>
              <c:f>VektorZeitbereich!$R$16:$U$16</c:f>
              <c:numCache>
                <c:formatCode>#,##0.00</c:formatCode>
                <c:ptCount val="4"/>
                <c:pt idx="0">
                  <c:v>0</c:v>
                </c:pt>
                <c:pt idx="1">
                  <c:v>15.400000000000002</c:v>
                </c:pt>
                <c:pt idx="2">
                  <c:v>0</c:v>
                </c:pt>
                <c:pt idx="3">
                  <c:v>-15.400000000000002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D9-40AC-9BAB-55E0AA1B41C8}"/>
            </c:ext>
          </c:extLst>
        </c:ser>
        <c:ser>
          <c:idx val="1"/>
          <c:order val="1"/>
          <c:tx>
            <c:strRef>
              <c:f>VektorZeitbereich!$B$15</c:f>
              <c:strCache>
                <c:ptCount val="1"/>
                <c:pt idx="0">
                  <c:v>V1</c:v>
                </c:pt>
              </c:strCache>
            </c:strRef>
          </c:tx>
          <c:spPr>
            <a:ln w="25400" cap="rnd">
              <a:solidFill>
                <a:srgbClr val="FFC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VektorZeitbereich!$L$15:$M$15</c:f>
              <c:numCache>
                <c:formatCode>#,##0.00</c:formatCode>
                <c:ptCount val="2"/>
                <c:pt idx="0">
                  <c:v>0</c:v>
                </c:pt>
                <c:pt idx="1">
                  <c:v>-10</c:v>
                </c:pt>
              </c:numCache>
            </c:numRef>
          </c:xVal>
          <c:yVal>
            <c:numRef>
              <c:f>VektorZeitbereich!$N$15:$O$15</c:f>
              <c:numCache>
                <c:formatCode>#,##0.00</c:formatCode>
                <c:ptCount val="2"/>
                <c:pt idx="0">
                  <c:v>0</c:v>
                </c:pt>
                <c:pt idx="1">
                  <c:v>1.22514845490862E-15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B1-43FD-8953-C7BECB15F8F3}"/>
            </c:ext>
          </c:extLst>
        </c:ser>
        <c:ser>
          <c:idx val="2"/>
          <c:order val="2"/>
          <c:tx>
            <c:strRef>
              <c:f>VektorZeitbereich!$B$16</c:f>
              <c:strCache>
                <c:ptCount val="1"/>
                <c:pt idx="0">
                  <c:v>V2</c:v>
                </c:pt>
              </c:strCache>
            </c:strRef>
          </c:tx>
          <c:spPr>
            <a:ln w="25400" cap="rnd">
              <a:solidFill>
                <a:srgbClr val="00B0F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VektorZeitbereich!$L$16:$M$16</c:f>
              <c:numCache>
                <c:formatCode>#,##0.00</c:formatCode>
                <c:ptCount val="2"/>
                <c:pt idx="0">
                  <c:v>0</c:v>
                </c:pt>
                <c:pt idx="1">
                  <c:v>-4</c:v>
                </c:pt>
              </c:numCache>
            </c:numRef>
          </c:xVal>
          <c:yVal>
            <c:numRef>
              <c:f>VektorZeitbereich!$N$16:$O$16</c:f>
              <c:numCache>
                <c:formatCode>#,##0.00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B1-43FD-8953-C7BECB15F8F3}"/>
            </c:ext>
          </c:extLst>
        </c:ser>
        <c:ser>
          <c:idx val="3"/>
          <c:order val="3"/>
          <c:tx>
            <c:strRef>
              <c:f>VektorZeitbereich!$B$17</c:f>
              <c:strCache>
                <c:ptCount val="1"/>
                <c:pt idx="0">
                  <c:v>V1 + V2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VektorZeitbereich!$L$17:$M$17</c:f>
              <c:numCache>
                <c:formatCode>#,##0.00</c:formatCode>
                <c:ptCount val="2"/>
                <c:pt idx="0">
                  <c:v>0</c:v>
                </c:pt>
                <c:pt idx="1">
                  <c:v>-14</c:v>
                </c:pt>
              </c:numCache>
            </c:numRef>
          </c:xVal>
          <c:yVal>
            <c:numRef>
              <c:f>VektorZeitbereich!$N$17:$O$17</c:f>
              <c:numCache>
                <c:formatCode>#,##0.00</c:formatCode>
                <c:ptCount val="2"/>
                <c:pt idx="0">
                  <c:v>0</c:v>
                </c:pt>
                <c:pt idx="1">
                  <c:v>5.0000000000000009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6E-4192-A1FE-08837BE608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VektorZeitbereich!$L$23</c:f>
              <c:strCache>
                <c:ptCount val="1"/>
                <c:pt idx="0">
                  <c:v>V1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VektorZeitbereich!$M$23:$AW$23</c:f>
              <c:numCache>
                <c:formatCode>General</c:formatCode>
                <c:ptCount val="37"/>
                <c:pt idx="0">
                  <c:v>1.22514845490862E-15</c:v>
                </c:pt>
                <c:pt idx="1">
                  <c:v>-1.7364817766693004</c:v>
                </c:pt>
                <c:pt idx="2">
                  <c:v>-3.4202014332566866</c:v>
                </c:pt>
                <c:pt idx="3">
                  <c:v>-4.9999999999999973</c:v>
                </c:pt>
                <c:pt idx="4">
                  <c:v>-6.4278760968653925</c:v>
                </c:pt>
                <c:pt idx="5">
                  <c:v>-7.660444431189779</c:v>
                </c:pt>
                <c:pt idx="6">
                  <c:v>-8.6602540378443837</c:v>
                </c:pt>
                <c:pt idx="7">
                  <c:v>-9.3969262078590852</c:v>
                </c:pt>
                <c:pt idx="8">
                  <c:v>-9.8480775301220795</c:v>
                </c:pt>
                <c:pt idx="9">
                  <c:v>-10</c:v>
                </c:pt>
                <c:pt idx="10">
                  <c:v>-9.8480775301220813</c:v>
                </c:pt>
                <c:pt idx="11">
                  <c:v>-9.3969262078590852</c:v>
                </c:pt>
                <c:pt idx="12">
                  <c:v>-8.6602540378443909</c:v>
                </c:pt>
                <c:pt idx="13">
                  <c:v>-7.6604444311897808</c:v>
                </c:pt>
                <c:pt idx="14">
                  <c:v>-6.4278760968653961</c:v>
                </c:pt>
                <c:pt idx="15">
                  <c:v>-4.9999999999999964</c:v>
                </c:pt>
                <c:pt idx="16">
                  <c:v>-3.4202014332566861</c:v>
                </c:pt>
                <c:pt idx="17">
                  <c:v>-1.7364817766693039</c:v>
                </c:pt>
                <c:pt idx="18">
                  <c:v>-2.45029690981724E-15</c:v>
                </c:pt>
                <c:pt idx="19">
                  <c:v>1.736481776669299</c:v>
                </c:pt>
                <c:pt idx="20">
                  <c:v>3.4202014332566808</c:v>
                </c:pt>
                <c:pt idx="21">
                  <c:v>5</c:v>
                </c:pt>
                <c:pt idx="22">
                  <c:v>6.4278760968653916</c:v>
                </c:pt>
                <c:pt idx="23">
                  <c:v>7.6604444311897781</c:v>
                </c:pt>
                <c:pt idx="24">
                  <c:v>8.6602540378443837</c:v>
                </c:pt>
                <c:pt idx="25">
                  <c:v>9.3969262078590816</c:v>
                </c:pt>
                <c:pt idx="26">
                  <c:v>9.8480775301220795</c:v>
                </c:pt>
                <c:pt idx="27">
                  <c:v>10</c:v>
                </c:pt>
                <c:pt idx="28">
                  <c:v>9.8480775301220813</c:v>
                </c:pt>
                <c:pt idx="29">
                  <c:v>9.3969262078590869</c:v>
                </c:pt>
                <c:pt idx="30">
                  <c:v>8.660254037844382</c:v>
                </c:pt>
                <c:pt idx="31">
                  <c:v>7.6604444311897755</c:v>
                </c:pt>
                <c:pt idx="32">
                  <c:v>6.4278760968653899</c:v>
                </c:pt>
                <c:pt idx="33">
                  <c:v>4.9999999999999982</c:v>
                </c:pt>
                <c:pt idx="34">
                  <c:v>3.420201433256687</c:v>
                </c:pt>
                <c:pt idx="35">
                  <c:v>1.736481776669305</c:v>
                </c:pt>
                <c:pt idx="36">
                  <c:v>3.67544536472586E-15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BD5-4A5F-8259-FAA7631A2C0C}"/>
            </c:ext>
          </c:extLst>
        </c:ser>
        <c:ser>
          <c:idx val="1"/>
          <c:order val="1"/>
          <c:tx>
            <c:strRef>
              <c:f>VektorZeitbereich!$L$24</c:f>
              <c:strCache>
                <c:ptCount val="1"/>
                <c:pt idx="0">
                  <c:v>V2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VektorZeitbereich!$M$24:$AW$24</c:f>
              <c:numCache>
                <c:formatCode>General</c:formatCode>
                <c:ptCount val="37"/>
                <c:pt idx="0">
                  <c:v>5.0000000000000009</c:v>
                </c:pt>
                <c:pt idx="1">
                  <c:v>4.2294460543933212</c:v>
                </c:pt>
                <c:pt idx="2">
                  <c:v>3.330382530626868</c:v>
                </c:pt>
                <c:pt idx="3">
                  <c:v>2.3301270189221959</c:v>
                </c:pt>
                <c:pt idx="4">
                  <c:v>1.2590717768487343</c:v>
                </c:pt>
                <c:pt idx="5">
                  <c:v>0.14976027595678734</c:v>
                </c:pt>
                <c:pt idx="6">
                  <c:v>-0.9641016151377505</c:v>
                </c:pt>
                <c:pt idx="7">
                  <c:v>-2.0486697665152875</c:v>
                </c:pt>
                <c:pt idx="8">
                  <c:v>-3.0709901237141795</c:v>
                </c:pt>
                <c:pt idx="9">
                  <c:v>-3.9999999999999978</c:v>
                </c:pt>
                <c:pt idx="10">
                  <c:v>-4.807471900383482</c:v>
                </c:pt>
                <c:pt idx="11">
                  <c:v>-5.4688711997719741</c:v>
                </c:pt>
                <c:pt idx="12">
                  <c:v>-5.9641016151377517</c:v>
                </c:pt>
                <c:pt idx="13">
                  <c:v>-6.2781158209086083</c:v>
                </c:pt>
                <c:pt idx="14">
                  <c:v>-6.4013726543410474</c:v>
                </c:pt>
                <c:pt idx="15">
                  <c:v>-6.3301270189221928</c:v>
                </c:pt>
                <c:pt idx="16">
                  <c:v>-6.0665436772322172</c:v>
                </c:pt>
                <c:pt idx="17">
                  <c:v>-5.6186314757287628</c:v>
                </c:pt>
                <c:pt idx="18">
                  <c:v>-5.0000000000000018</c:v>
                </c:pt>
                <c:pt idx="19">
                  <c:v>-4.2294460543933221</c:v>
                </c:pt>
                <c:pt idx="20">
                  <c:v>-3.3303825306268715</c:v>
                </c:pt>
                <c:pt idx="21">
                  <c:v>-2.3301270189221941</c:v>
                </c:pt>
                <c:pt idx="22">
                  <c:v>-1.2590717768487352</c:v>
                </c:pt>
                <c:pt idx="23">
                  <c:v>-0.14976027595678815</c:v>
                </c:pt>
                <c:pt idx="24">
                  <c:v>0.96410161513774961</c:v>
                </c:pt>
                <c:pt idx="25">
                  <c:v>2.048669766515284</c:v>
                </c:pt>
                <c:pt idx="26">
                  <c:v>3.070990123714179</c:v>
                </c:pt>
                <c:pt idx="27">
                  <c:v>3.9999999999999973</c:v>
                </c:pt>
                <c:pt idx="28">
                  <c:v>4.8074719003834812</c:v>
                </c:pt>
                <c:pt idx="29">
                  <c:v>5.4688711997719741</c:v>
                </c:pt>
                <c:pt idx="30">
                  <c:v>5.9641016151377544</c:v>
                </c:pt>
                <c:pt idx="31">
                  <c:v>6.2781158209086083</c:v>
                </c:pt>
                <c:pt idx="32">
                  <c:v>6.4013726543410474</c:v>
                </c:pt>
                <c:pt idx="33">
                  <c:v>6.3301270189221928</c:v>
                </c:pt>
                <c:pt idx="34">
                  <c:v>6.0665436772322172</c:v>
                </c:pt>
                <c:pt idx="35">
                  <c:v>5.6186314757287628</c:v>
                </c:pt>
                <c:pt idx="36">
                  <c:v>5.0000000000000027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BD5-4A5F-8259-FAA7631A2C0C}"/>
            </c:ext>
          </c:extLst>
        </c:ser>
        <c:ser>
          <c:idx val="2"/>
          <c:order val="2"/>
          <c:tx>
            <c:strRef>
              <c:f>VektorZeitbereich!$L$25</c:f>
              <c:strCache>
                <c:ptCount val="1"/>
                <c:pt idx="0">
                  <c:v>V1 + V2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VektorZeitbereich!$M$25:$AW$25</c:f>
              <c:numCache>
                <c:formatCode>General</c:formatCode>
                <c:ptCount val="37"/>
                <c:pt idx="0">
                  <c:v>5.0000000000000018</c:v>
                </c:pt>
                <c:pt idx="1">
                  <c:v>2.4929642777240208</c:v>
                </c:pt>
                <c:pt idx="2">
                  <c:v>-8.981890262981862E-2</c:v>
                </c:pt>
                <c:pt idx="3">
                  <c:v>-2.6698729810778015</c:v>
                </c:pt>
                <c:pt idx="4">
                  <c:v>-5.1688043200166582</c:v>
                </c:pt>
                <c:pt idx="5">
                  <c:v>-7.5106841552329913</c:v>
                </c:pt>
                <c:pt idx="6">
                  <c:v>-9.6243556529821337</c:v>
                </c:pt>
                <c:pt idx="7">
                  <c:v>-11.445595974374372</c:v>
                </c:pt>
                <c:pt idx="8">
                  <c:v>-12.919067653836258</c:v>
                </c:pt>
                <c:pt idx="9">
                  <c:v>-13.999999999999998</c:v>
                </c:pt>
                <c:pt idx="10">
                  <c:v>-14.655549430505562</c:v>
                </c:pt>
                <c:pt idx="11">
                  <c:v>-14.86579740763106</c:v>
                </c:pt>
                <c:pt idx="12">
                  <c:v>-14.624355652982143</c:v>
                </c:pt>
                <c:pt idx="13">
                  <c:v>-13.938560252098389</c:v>
                </c:pt>
                <c:pt idx="14">
                  <c:v>-12.829248751206443</c:v>
                </c:pt>
                <c:pt idx="15">
                  <c:v>-11.330127018922189</c:v>
                </c:pt>
                <c:pt idx="16">
                  <c:v>-9.4867451104889042</c:v>
                </c:pt>
                <c:pt idx="17">
                  <c:v>-7.3551132523980662</c:v>
                </c:pt>
                <c:pt idx="18">
                  <c:v>-5.0000000000000044</c:v>
                </c:pt>
                <c:pt idx="19">
                  <c:v>-2.4929642777240231</c:v>
                </c:pt>
                <c:pt idx="20">
                  <c:v>8.9818902629809294E-2</c:v>
                </c:pt>
                <c:pt idx="21">
                  <c:v>2.6698729810778059</c:v>
                </c:pt>
                <c:pt idx="22">
                  <c:v>5.1688043200166565</c:v>
                </c:pt>
                <c:pt idx="23">
                  <c:v>7.5106841552329904</c:v>
                </c:pt>
                <c:pt idx="24">
                  <c:v>9.6243556529821337</c:v>
                </c:pt>
                <c:pt idx="25">
                  <c:v>11.445595974374365</c:v>
                </c:pt>
                <c:pt idx="26">
                  <c:v>12.919067653836258</c:v>
                </c:pt>
                <c:pt idx="27">
                  <c:v>13.999999999999996</c:v>
                </c:pt>
                <c:pt idx="28">
                  <c:v>14.655549430505562</c:v>
                </c:pt>
                <c:pt idx="29">
                  <c:v>14.86579740763106</c:v>
                </c:pt>
                <c:pt idx="30">
                  <c:v>14.624355652982135</c:v>
                </c:pt>
                <c:pt idx="31">
                  <c:v>13.938560252098384</c:v>
                </c:pt>
                <c:pt idx="32">
                  <c:v>12.829248751206437</c:v>
                </c:pt>
                <c:pt idx="33">
                  <c:v>11.330127018922191</c:v>
                </c:pt>
                <c:pt idx="34">
                  <c:v>9.4867451104889042</c:v>
                </c:pt>
                <c:pt idx="35">
                  <c:v>7.355113252398068</c:v>
                </c:pt>
                <c:pt idx="36">
                  <c:v>5.0000000000000062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BD5-4A5F-8259-FAA7631A2C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Kinematik_1!$B$5</c:f>
              <c:strCache>
                <c:ptCount val="1"/>
                <c:pt idx="0">
                  <c:v>Weg s [m] gemessen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Kinematik_1!$C$5:$F$5</c:f>
              <c:numCache>
                <c:formatCode>General</c:formatCode>
                <c:ptCount val="4"/>
                <c:pt idx="0">
                  <c:v>10</c:v>
                </c:pt>
                <c:pt idx="1">
                  <c:v>19.899999999999999</c:v>
                </c:pt>
                <c:pt idx="2">
                  <c:v>30.05</c:v>
                </c:pt>
                <c:pt idx="3">
                  <c:v>40.5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034-49E4-8CED-60D4545B8694}"/>
            </c:ext>
          </c:extLst>
        </c:ser>
        <c:ser>
          <c:idx val="1"/>
          <c:order val="1"/>
          <c:tx>
            <c:strRef>
              <c:f>Kinematik_1!$B$8</c:f>
              <c:strCache>
                <c:ptCount val="1"/>
                <c:pt idx="0">
                  <c:v>Weg s = v*t [m] gerechnet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Kinematik_1!$C$8:$F$8</c:f>
              <c:numCache>
                <c:formatCode>General</c:formatCode>
                <c:ptCount val="4"/>
                <c:pt idx="0">
                  <c:v>10.022916666666667</c:v>
                </c:pt>
                <c:pt idx="1">
                  <c:v>20.045833333333334</c:v>
                </c:pt>
                <c:pt idx="2">
                  <c:v>30.068750000000001</c:v>
                </c:pt>
                <c:pt idx="3">
                  <c:v>40.091666666666669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034-49E4-8CED-60D4545B8694}"/>
            </c:ext>
          </c:extLst>
        </c:ser>
        <c:ser>
          <c:idx val="2"/>
          <c:order val="2"/>
          <c:tx>
            <c:strRef>
              <c:f>Kinematik_1!$I$18</c:f>
              <c:strCache>
                <c:ptCount val="1"/>
                <c:pt idx="0">
                  <c:v>y = ax + b</c:v>
                </c:pt>
              </c:strCache>
            </c:strRef>
          </c:tx>
          <c:spPr>
            <a:ln w="952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Kinematik_1!$J$17:$AO$17</c:f>
              <c:numCache>
                <c:formatCode>General</c:formatCode>
                <c:ptCount val="32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</c:numCache>
            </c:numRef>
          </c:xVal>
          <c:yVal>
            <c:numRef>
              <c:f>Kinematik_1!$J$18:$AO$18</c:f>
              <c:numCache>
                <c:formatCode>General</c:formatCode>
                <c:ptCount val="32"/>
                <c:pt idx="0">
                  <c:v>10</c:v>
                </c:pt>
                <c:pt idx="1">
                  <c:v>12.5</c:v>
                </c:pt>
                <c:pt idx="2">
                  <c:v>15</c:v>
                </c:pt>
                <c:pt idx="3">
                  <c:v>17.5</c:v>
                </c:pt>
                <c:pt idx="4">
                  <c:v>20</c:v>
                </c:pt>
                <c:pt idx="5">
                  <c:v>22.5</c:v>
                </c:pt>
                <c:pt idx="6">
                  <c:v>25</c:v>
                </c:pt>
                <c:pt idx="7">
                  <c:v>27.5</c:v>
                </c:pt>
                <c:pt idx="8">
                  <c:v>30</c:v>
                </c:pt>
                <c:pt idx="9">
                  <c:v>32.5</c:v>
                </c:pt>
                <c:pt idx="10">
                  <c:v>35</c:v>
                </c:pt>
                <c:pt idx="11">
                  <c:v>37.5</c:v>
                </c:pt>
                <c:pt idx="12">
                  <c:v>40</c:v>
                </c:pt>
                <c:pt idx="13">
                  <c:v>42.5</c:v>
                </c:pt>
                <c:pt idx="14">
                  <c:v>45</c:v>
                </c:pt>
                <c:pt idx="15">
                  <c:v>47.5</c:v>
                </c:pt>
                <c:pt idx="16">
                  <c:v>50</c:v>
                </c:pt>
                <c:pt idx="17">
                  <c:v>52.5</c:v>
                </c:pt>
                <c:pt idx="18">
                  <c:v>55</c:v>
                </c:pt>
                <c:pt idx="19">
                  <c:v>57.5</c:v>
                </c:pt>
                <c:pt idx="20">
                  <c:v>60</c:v>
                </c:pt>
                <c:pt idx="21">
                  <c:v>62.5</c:v>
                </c:pt>
                <c:pt idx="22">
                  <c:v>65</c:v>
                </c:pt>
                <c:pt idx="23">
                  <c:v>67.5</c:v>
                </c:pt>
                <c:pt idx="24">
                  <c:v>70</c:v>
                </c:pt>
                <c:pt idx="25">
                  <c:v>72.5</c:v>
                </c:pt>
                <c:pt idx="26">
                  <c:v>75</c:v>
                </c:pt>
                <c:pt idx="27">
                  <c:v>77.5</c:v>
                </c:pt>
                <c:pt idx="28">
                  <c:v>80</c:v>
                </c:pt>
                <c:pt idx="29">
                  <c:v>82.5</c:v>
                </c:pt>
                <c:pt idx="30">
                  <c:v>85</c:v>
                </c:pt>
                <c:pt idx="31">
                  <c:v>87.5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176-4E7C-99EF-90C15DD1E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A34-42EA-895E-E3188ED26C6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A34-42EA-895E-E3188ED26C61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C8D-421F-A5E2-66FDEFA41288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C8D-421F-A5E2-66FDEFA412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9991-4BCC-A81D-EF0D3637F6E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9991-4BCC-A81D-EF0D3637F6E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9991-4BCC-A81D-EF0D3637F6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9881294219055419E-2"/>
          <c:y val="0.15066346645309164"/>
          <c:w val="0.91498795031554891"/>
          <c:h val="0.668965647387554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'Kinematik_1 (Weg-Zeit)'!$B$12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'Kinematik_1 (Weg-Zeit)'!$F$12:$Z$12</c:f>
              <c:numCache>
                <c:formatCode>General</c:formatCode>
                <c:ptCount val="21"/>
                <c:pt idx="0">
                  <c:v>0</c:v>
                </c:pt>
                <c:pt idx="1">
                  <c:v>10.4</c:v>
                </c:pt>
                <c:pt idx="2">
                  <c:v>20.8</c:v>
                </c:pt>
                <c:pt idx="3">
                  <c:v>31.200000000000003</c:v>
                </c:pt>
                <c:pt idx="4">
                  <c:v>41.6</c:v>
                </c:pt>
                <c:pt idx="5">
                  <c:v>52</c:v>
                </c:pt>
                <c:pt idx="6">
                  <c:v>62.400000000000006</c:v>
                </c:pt>
                <c:pt idx="7">
                  <c:v>72.8</c:v>
                </c:pt>
                <c:pt idx="8">
                  <c:v>83.2</c:v>
                </c:pt>
                <c:pt idx="9">
                  <c:v>93.600000000000009</c:v>
                </c:pt>
                <c:pt idx="10">
                  <c:v>104</c:v>
                </c:pt>
                <c:pt idx="11">
                  <c:v>114.4</c:v>
                </c:pt>
                <c:pt idx="12">
                  <c:v>124.80000000000001</c:v>
                </c:pt>
                <c:pt idx="13">
                  <c:v>135.20000000000002</c:v>
                </c:pt>
                <c:pt idx="14">
                  <c:v>145.6</c:v>
                </c:pt>
                <c:pt idx="15">
                  <c:v>156</c:v>
                </c:pt>
                <c:pt idx="16">
                  <c:v>166.4</c:v>
                </c:pt>
                <c:pt idx="17">
                  <c:v>176.8</c:v>
                </c:pt>
                <c:pt idx="18">
                  <c:v>187.20000000000002</c:v>
                </c:pt>
                <c:pt idx="19">
                  <c:v>197.6</c:v>
                </c:pt>
                <c:pt idx="20">
                  <c:v>208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503-487D-9245-FE9E6E37F39E}"/>
            </c:ext>
          </c:extLst>
        </c:ser>
        <c:ser>
          <c:idx val="1"/>
          <c:order val="1"/>
          <c:tx>
            <c:strRef>
              <c:f>'Kinematik_1 (Weg-Zeit)'!$B$14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'Kinematik_1 (Weg-Zeit)'!$F$14:$Z$14</c:f>
              <c:numCache>
                <c:formatCode>General</c:formatCode>
                <c:ptCount val="21"/>
                <c:pt idx="0">
                  <c:v>25.641024999999999</c:v>
                </c:pt>
                <c:pt idx="1">
                  <c:v>34.188032999999997</c:v>
                </c:pt>
                <c:pt idx="2">
                  <c:v>42.735040999999995</c:v>
                </c:pt>
                <c:pt idx="3">
                  <c:v>51.282049000000001</c:v>
                </c:pt>
                <c:pt idx="4">
                  <c:v>59.829056999999999</c:v>
                </c:pt>
                <c:pt idx="5">
                  <c:v>68.376064999999997</c:v>
                </c:pt>
                <c:pt idx="6">
                  <c:v>76.923073000000002</c:v>
                </c:pt>
                <c:pt idx="7">
                  <c:v>85.470080999999993</c:v>
                </c:pt>
                <c:pt idx="8">
                  <c:v>94.017088999999999</c:v>
                </c:pt>
                <c:pt idx="9">
                  <c:v>102.564097</c:v>
                </c:pt>
                <c:pt idx="10">
                  <c:v>111.11110499999999</c:v>
                </c:pt>
                <c:pt idx="11">
                  <c:v>119.658113</c:v>
                </c:pt>
                <c:pt idx="12">
                  <c:v>128.20512100000002</c:v>
                </c:pt>
                <c:pt idx="13">
                  <c:v>136.752129</c:v>
                </c:pt>
                <c:pt idx="14">
                  <c:v>145.299137</c:v>
                </c:pt>
                <c:pt idx="15">
                  <c:v>153.84614499999998</c:v>
                </c:pt>
                <c:pt idx="16">
                  <c:v>162.39315299999998</c:v>
                </c:pt>
                <c:pt idx="17">
                  <c:v>170.94016099999999</c:v>
                </c:pt>
                <c:pt idx="18">
                  <c:v>179.48716899999999</c:v>
                </c:pt>
                <c:pt idx="19">
                  <c:v>188.034177</c:v>
                </c:pt>
                <c:pt idx="20">
                  <c:v>196.581185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503-487D-9245-FE9E6E37F39E}"/>
            </c:ext>
          </c:extLst>
        </c:ser>
        <c:ser>
          <c:idx val="2"/>
          <c:order val="2"/>
          <c:tx>
            <c:strRef>
              <c:f>'Kinematik_1 (Weg-Zeit)'!$G$39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'Kinematik_1 (Weg-Zeit)'!$H$39:$I$39</c:f>
              <c:numCache>
                <c:formatCode>General</c:formatCode>
                <c:ptCount val="2"/>
                <c:pt idx="0">
                  <c:v>0</c:v>
                </c:pt>
                <c:pt idx="1">
                  <c:v>13.837633945532412</c:v>
                </c:pt>
              </c:numCache>
            </c:numRef>
          </c:xVal>
          <c:yVal>
            <c:numRef>
              <c:f>'Kinematik_1 (Weg-Zeit)'!$H$40:$I$40</c:f>
              <c:numCache>
                <c:formatCode>General</c:formatCode>
                <c:ptCount val="2"/>
                <c:pt idx="0">
                  <c:v>143.91139303353708</c:v>
                </c:pt>
                <c:pt idx="1">
                  <c:v>143.91139303353708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503-487D-9245-FE9E6E37F39E}"/>
            </c:ext>
          </c:extLst>
        </c:ser>
        <c:ser>
          <c:idx val="3"/>
          <c:order val="3"/>
          <c:tx>
            <c:strRef>
              <c:f>'Kinematik_1 (Weg-Zeit)'!$G$42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'Kinematik_1 (Weg-Zeit)'!$H$42:$I$42</c:f>
              <c:numCache>
                <c:formatCode>General</c:formatCode>
                <c:ptCount val="2"/>
                <c:pt idx="0">
                  <c:v>13.837633945532412</c:v>
                </c:pt>
                <c:pt idx="1">
                  <c:v>13.837633945532412</c:v>
                </c:pt>
              </c:numCache>
            </c:numRef>
          </c:xVal>
          <c:yVal>
            <c:numRef>
              <c:f>'Kinematik_1 (Weg-Zeit)'!$H$43:$I$43</c:f>
              <c:numCache>
                <c:formatCode>General</c:formatCode>
                <c:ptCount val="2"/>
                <c:pt idx="0">
                  <c:v>0</c:v>
                </c:pt>
                <c:pt idx="1">
                  <c:v>143.91139303353708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503-487D-9245-FE9E6E37F3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81132975712699251"/>
          <c:y val="0.40776879139268785"/>
          <c:w val="0.12956060836092209"/>
          <c:h val="0.1370969960255343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'Kinematik_1 (Weg-Zeit)'!$B$12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(Weg-Zeit)'!$F$12:$Z$12</c:f>
              <c:numCache>
                <c:formatCode>General</c:formatCode>
                <c:ptCount val="21"/>
                <c:pt idx="0">
                  <c:v>0</c:v>
                </c:pt>
                <c:pt idx="1">
                  <c:v>10.4</c:v>
                </c:pt>
                <c:pt idx="2">
                  <c:v>20.8</c:v>
                </c:pt>
                <c:pt idx="3">
                  <c:v>31.200000000000003</c:v>
                </c:pt>
                <c:pt idx="4">
                  <c:v>41.6</c:v>
                </c:pt>
                <c:pt idx="5">
                  <c:v>52</c:v>
                </c:pt>
                <c:pt idx="6">
                  <c:v>62.400000000000006</c:v>
                </c:pt>
                <c:pt idx="7">
                  <c:v>72.8</c:v>
                </c:pt>
                <c:pt idx="8">
                  <c:v>83.2</c:v>
                </c:pt>
                <c:pt idx="9">
                  <c:v>93.600000000000009</c:v>
                </c:pt>
                <c:pt idx="10">
                  <c:v>104</c:v>
                </c:pt>
                <c:pt idx="11">
                  <c:v>114.4</c:v>
                </c:pt>
                <c:pt idx="12">
                  <c:v>124.80000000000001</c:v>
                </c:pt>
                <c:pt idx="13">
                  <c:v>135.20000000000002</c:v>
                </c:pt>
                <c:pt idx="14">
                  <c:v>145.6</c:v>
                </c:pt>
                <c:pt idx="15">
                  <c:v>156</c:v>
                </c:pt>
                <c:pt idx="16">
                  <c:v>166.4</c:v>
                </c:pt>
                <c:pt idx="17">
                  <c:v>176.8</c:v>
                </c:pt>
                <c:pt idx="18">
                  <c:v>187.20000000000002</c:v>
                </c:pt>
                <c:pt idx="19">
                  <c:v>197.6</c:v>
                </c:pt>
                <c:pt idx="20">
                  <c:v>208</c:v>
                </c:pt>
              </c:numCache>
            </c:numRef>
          </c:xVal>
          <c:y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F9E-4A9D-AE44-046B5F23F92D}"/>
            </c:ext>
          </c:extLst>
        </c:ser>
        <c:ser>
          <c:idx val="1"/>
          <c:order val="1"/>
          <c:tx>
            <c:strRef>
              <c:f>'Kinematik_1 (Weg-Zeit)'!$B$14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(Weg-Zeit)'!$F$14:$Z$14</c:f>
              <c:numCache>
                <c:formatCode>General</c:formatCode>
                <c:ptCount val="21"/>
                <c:pt idx="0">
                  <c:v>25.641024999999999</c:v>
                </c:pt>
                <c:pt idx="1">
                  <c:v>34.188032999999997</c:v>
                </c:pt>
                <c:pt idx="2">
                  <c:v>42.735040999999995</c:v>
                </c:pt>
                <c:pt idx="3">
                  <c:v>51.282049000000001</c:v>
                </c:pt>
                <c:pt idx="4">
                  <c:v>59.829056999999999</c:v>
                </c:pt>
                <c:pt idx="5">
                  <c:v>68.376064999999997</c:v>
                </c:pt>
                <c:pt idx="6">
                  <c:v>76.923073000000002</c:v>
                </c:pt>
                <c:pt idx="7">
                  <c:v>85.470080999999993</c:v>
                </c:pt>
                <c:pt idx="8">
                  <c:v>94.017088999999999</c:v>
                </c:pt>
                <c:pt idx="9">
                  <c:v>102.564097</c:v>
                </c:pt>
                <c:pt idx="10">
                  <c:v>111.11110499999999</c:v>
                </c:pt>
                <c:pt idx="11">
                  <c:v>119.658113</c:v>
                </c:pt>
                <c:pt idx="12">
                  <c:v>128.20512100000002</c:v>
                </c:pt>
                <c:pt idx="13">
                  <c:v>136.752129</c:v>
                </c:pt>
                <c:pt idx="14">
                  <c:v>145.299137</c:v>
                </c:pt>
                <c:pt idx="15">
                  <c:v>153.84614499999998</c:v>
                </c:pt>
                <c:pt idx="16">
                  <c:v>162.39315299999998</c:v>
                </c:pt>
                <c:pt idx="17">
                  <c:v>170.94016099999999</c:v>
                </c:pt>
                <c:pt idx="18">
                  <c:v>179.48716899999999</c:v>
                </c:pt>
                <c:pt idx="19">
                  <c:v>188.034177</c:v>
                </c:pt>
                <c:pt idx="20">
                  <c:v>196.581185</c:v>
                </c:pt>
              </c:numCache>
            </c:numRef>
          </c:xVal>
          <c:y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F9E-4A9D-AE44-046B5F23F9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Geschwindigkeit-Zeit</a:t>
            </a:r>
            <a:r>
              <a:rPr lang="de-CH" baseline="0"/>
              <a:t> Diagramm</a:t>
            </a:r>
            <a:endParaRPr lang="de-CH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CH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Kinematik_2!$C$10</c:f>
              <c:strCache>
                <c:ptCount val="1"/>
                <c:pt idx="0">
                  <c:v>v = a * t + v0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Kinematik_2!$E$9:$Y$9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Kinematik_2!$E$10:$Y$10</c:f>
              <c:numCache>
                <c:formatCode>General</c:formatCode>
                <c:ptCount val="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5BB-4B4D-883F-3319D7F46756}"/>
            </c:ext>
          </c:extLst>
        </c:ser>
        <c:ser>
          <c:idx val="1"/>
          <c:order val="1"/>
          <c:tx>
            <c:strRef>
              <c:f>Kinematik_2!$M$2</c:f>
              <c:strCache>
                <c:ptCount val="1"/>
                <c:pt idx="0">
                  <c:v>Senkrechte</c:v>
                </c:pt>
              </c:strCache>
            </c:strRef>
          </c:tx>
          <c:spPr>
            <a:ln w="12700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Kinematik_2!$M$3:$N$3</c:f>
              <c:numCache>
                <c:formatCode>General</c:formatCode>
                <c:ptCount val="2"/>
                <c:pt idx="0">
                  <c:v>7</c:v>
                </c:pt>
                <c:pt idx="1">
                  <c:v>7</c:v>
                </c:pt>
              </c:numCache>
            </c:numRef>
          </c:xVal>
          <c:yVal>
            <c:numRef>
              <c:f>Kinematik_2!$M$4:$N$4</c:f>
              <c:numCache>
                <c:formatCode>General</c:formatCode>
                <c:ptCount val="2"/>
                <c:pt idx="0">
                  <c:v>0</c:v>
                </c:pt>
                <c:pt idx="1">
                  <c:v>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5BB-4B4D-883F-3319D7F46756}"/>
            </c:ext>
          </c:extLst>
        </c:ser>
        <c:ser>
          <c:idx val="2"/>
          <c:order val="2"/>
          <c:tx>
            <c:strRef>
              <c:f>Kinematik_2!$P$2</c:f>
              <c:strCache>
                <c:ptCount val="1"/>
                <c:pt idx="0">
                  <c:v>Vertikale Hilfslinie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Kinematik_2!$P$3:$Q$3</c:f>
              <c:numCache>
                <c:formatCode>General</c:formatCode>
                <c:ptCount val="2"/>
                <c:pt idx="0">
                  <c:v>0</c:v>
                </c:pt>
                <c:pt idx="1">
                  <c:v>7</c:v>
                </c:pt>
              </c:numCache>
            </c:numRef>
          </c:xVal>
          <c:yVal>
            <c:numRef>
              <c:f>Kinematik_2!$P$4:$Q$4</c:f>
              <c:numCache>
                <c:formatCode>General</c:formatCode>
                <c:ptCount val="2"/>
                <c:pt idx="0">
                  <c:v>10</c:v>
                </c:pt>
                <c:pt idx="1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5BB-4B4D-883F-3319D7F46756}"/>
            </c:ext>
          </c:extLst>
        </c:ser>
        <c:ser>
          <c:idx val="3"/>
          <c:order val="3"/>
          <c:tx>
            <c:strRef>
              <c:f>Kinematik_2!$S$2</c:f>
              <c:strCache>
                <c:ptCount val="1"/>
                <c:pt idx="0">
                  <c:v>Vertikale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Kinematik_2!$S$3:$T$3</c:f>
              <c:numCache>
                <c:formatCode>General</c:formatCode>
                <c:ptCount val="2"/>
                <c:pt idx="0">
                  <c:v>0</c:v>
                </c:pt>
                <c:pt idx="1">
                  <c:v>7</c:v>
                </c:pt>
              </c:numCache>
            </c:numRef>
          </c:xVal>
          <c:yVal>
            <c:numRef>
              <c:f>Kinematik_2!$S$4:$T$4</c:f>
              <c:numCache>
                <c:formatCode>General</c:formatCode>
                <c:ptCount val="2"/>
                <c:pt idx="0">
                  <c:v>17</c:v>
                </c:pt>
                <c:pt idx="1">
                  <c:v>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020-4E87-B567-157405C2BD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0405664"/>
        <c:axId val="1130406144"/>
      </c:scatterChart>
      <c:valAx>
        <c:axId val="113040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6144"/>
        <c:crosses val="autoZero"/>
        <c:crossBetween val="midCat"/>
      </c:valAx>
      <c:valAx>
        <c:axId val="113040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Geschwindigkeit v [m/s]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56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Weg-Zeit Diagramm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Kinematik_2!$C$11</c:f>
              <c:strCache>
                <c:ptCount val="1"/>
                <c:pt idx="0">
                  <c:v>s = a/2 * t2 + v0*t  +  s0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Kinematik_2!$E$9:$Y$9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Kinematik_2!$E$11:$Y$11</c:f>
              <c:numCache>
                <c:formatCode>General</c:formatCode>
                <c:ptCount val="21"/>
                <c:pt idx="0">
                  <c:v>50</c:v>
                </c:pt>
                <c:pt idx="1">
                  <c:v>60.5</c:v>
                </c:pt>
                <c:pt idx="2">
                  <c:v>72</c:v>
                </c:pt>
                <c:pt idx="3">
                  <c:v>84.5</c:v>
                </c:pt>
                <c:pt idx="4">
                  <c:v>98</c:v>
                </c:pt>
                <c:pt idx="5">
                  <c:v>112.5</c:v>
                </c:pt>
                <c:pt idx="6">
                  <c:v>128</c:v>
                </c:pt>
                <c:pt idx="7">
                  <c:v>144.5</c:v>
                </c:pt>
                <c:pt idx="8">
                  <c:v>162</c:v>
                </c:pt>
                <c:pt idx="9">
                  <c:v>180.5</c:v>
                </c:pt>
                <c:pt idx="10">
                  <c:v>200</c:v>
                </c:pt>
                <c:pt idx="11">
                  <c:v>220.5</c:v>
                </c:pt>
                <c:pt idx="12">
                  <c:v>242</c:v>
                </c:pt>
                <c:pt idx="13">
                  <c:v>264.5</c:v>
                </c:pt>
                <c:pt idx="14">
                  <c:v>288</c:v>
                </c:pt>
                <c:pt idx="15">
                  <c:v>312.5</c:v>
                </c:pt>
                <c:pt idx="16">
                  <c:v>338</c:v>
                </c:pt>
                <c:pt idx="17">
                  <c:v>364.5</c:v>
                </c:pt>
                <c:pt idx="18">
                  <c:v>392</c:v>
                </c:pt>
                <c:pt idx="19">
                  <c:v>420.5</c:v>
                </c:pt>
                <c:pt idx="20">
                  <c:v>450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0D-4EC4-B2CF-F9F2CB1F2A6C}"/>
            </c:ext>
          </c:extLst>
        </c:ser>
        <c:ser>
          <c:idx val="1"/>
          <c:order val="1"/>
          <c:tx>
            <c:strRef>
              <c:f>Kinematik_2!$W$2</c:f>
              <c:strCache>
                <c:ptCount val="1"/>
                <c:pt idx="0">
                  <c:v>Senkrechte_2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Kinematik_2!$W$3:$X$3</c:f>
              <c:numCache>
                <c:formatCode>General</c:formatCode>
                <c:ptCount val="2"/>
                <c:pt idx="0">
                  <c:v>7</c:v>
                </c:pt>
                <c:pt idx="1">
                  <c:v>7</c:v>
                </c:pt>
              </c:numCache>
            </c:numRef>
          </c:xVal>
          <c:yVal>
            <c:numRef>
              <c:f>Kinematik_2!$W$4:$X$4</c:f>
              <c:numCache>
                <c:formatCode>General</c:formatCode>
                <c:ptCount val="2"/>
                <c:pt idx="0">
                  <c:v>0</c:v>
                </c:pt>
                <c:pt idx="1">
                  <c:v>144.5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34-4A3D-AC4F-58A3941EEC57}"/>
            </c:ext>
          </c:extLst>
        </c:ser>
        <c:ser>
          <c:idx val="2"/>
          <c:order val="2"/>
          <c:tx>
            <c:strRef>
              <c:f>Kinematik_2!$Z$2</c:f>
              <c:strCache>
                <c:ptCount val="1"/>
                <c:pt idx="0">
                  <c:v>Vertikale_2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Kinematik_2!$Z$3:$AA$3</c:f>
              <c:numCache>
                <c:formatCode>General</c:formatCode>
                <c:ptCount val="2"/>
                <c:pt idx="0">
                  <c:v>0</c:v>
                </c:pt>
                <c:pt idx="1">
                  <c:v>7</c:v>
                </c:pt>
              </c:numCache>
            </c:numRef>
          </c:xVal>
          <c:yVal>
            <c:numRef>
              <c:f>Kinematik_2!$Z$4:$AA$4</c:f>
              <c:numCache>
                <c:formatCode>General</c:formatCode>
                <c:ptCount val="2"/>
                <c:pt idx="0">
                  <c:v>144.5</c:v>
                </c:pt>
                <c:pt idx="1">
                  <c:v>144.5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34-4A3D-AC4F-58A3941EEC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1584816"/>
        <c:axId val="631581936"/>
      </c:scatterChart>
      <c:valAx>
        <c:axId val="631584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1936"/>
        <c:crosses val="autoZero"/>
        <c:crossBetween val="midCat"/>
      </c:valAx>
      <c:valAx>
        <c:axId val="63158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Strecke</a:t>
                </a:r>
                <a:r>
                  <a:rPr lang="de-CH" baseline="0"/>
                  <a:t> s [m]</a:t>
                </a: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4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6536-4FC4-B690-E597D463668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6536-4FC4-B690-E597D463668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6536-4FC4-B690-E597D46366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9881294219055419E-2"/>
          <c:y val="0.15066346645309164"/>
          <c:w val="0.91498795031554891"/>
          <c:h val="0.668965647387554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'Kinematik_2 (Weg-Zeit)'!$B$13</c:f>
              <c:strCache>
                <c:ptCount val="1"/>
                <c:pt idx="0">
                  <c:v>v1 = a1*t + v01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'Kinematik_2 (Weg-Zeit)'!$G$13:$AA$13</c:f>
              <c:numCache>
                <c:formatCode>General</c:formatCode>
                <c:ptCount val="21"/>
                <c:pt idx="0">
                  <c:v>30.000000000000004</c:v>
                </c:pt>
                <c:pt idx="1">
                  <c:v>33.6</c:v>
                </c:pt>
                <c:pt idx="2">
                  <c:v>37.200000000000003</c:v>
                </c:pt>
                <c:pt idx="3">
                  <c:v>40.800000000000004</c:v>
                </c:pt>
                <c:pt idx="4">
                  <c:v>44.400000000000006</c:v>
                </c:pt>
                <c:pt idx="5">
                  <c:v>48</c:v>
                </c:pt>
                <c:pt idx="6">
                  <c:v>51.6</c:v>
                </c:pt>
                <c:pt idx="7">
                  <c:v>55.2</c:v>
                </c:pt>
                <c:pt idx="8">
                  <c:v>58.800000000000011</c:v>
                </c:pt>
                <c:pt idx="9">
                  <c:v>62.400000000000013</c:v>
                </c:pt>
                <c:pt idx="10">
                  <c:v>66.000000000000014</c:v>
                </c:pt>
                <c:pt idx="11">
                  <c:v>69.600000000000009</c:v>
                </c:pt>
                <c:pt idx="12">
                  <c:v>73.200000000000017</c:v>
                </c:pt>
                <c:pt idx="13">
                  <c:v>76.800000000000011</c:v>
                </c:pt>
                <c:pt idx="14">
                  <c:v>80.400000000000006</c:v>
                </c:pt>
                <c:pt idx="15">
                  <c:v>84.000000000000014</c:v>
                </c:pt>
                <c:pt idx="16">
                  <c:v>87.600000000000009</c:v>
                </c:pt>
                <c:pt idx="17">
                  <c:v>91.200000000000017</c:v>
                </c:pt>
                <c:pt idx="18">
                  <c:v>94.800000000000011</c:v>
                </c:pt>
                <c:pt idx="19">
                  <c:v>98.4</c:v>
                </c:pt>
                <c:pt idx="20">
                  <c:v>102.00000000000001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64-4360-819F-5918B5774B37}"/>
            </c:ext>
          </c:extLst>
        </c:ser>
        <c:ser>
          <c:idx val="1"/>
          <c:order val="1"/>
          <c:tx>
            <c:strRef>
              <c:f>'Kinematik_2 (Weg-Zeit)'!$B$18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'Kinematik_2 (Weg-Zeit)'!$G$18:$AA$18</c:f>
              <c:numCache>
                <c:formatCode>General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64-4360-819F-5918B5774B37}"/>
            </c:ext>
          </c:extLst>
        </c:ser>
        <c:ser>
          <c:idx val="2"/>
          <c:order val="2"/>
          <c:tx>
            <c:strRef>
              <c:f>'Kinematik_2 (Weg-Zeit)'!$H$45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'Kinematik_2 (Weg-Zeit)'!$I$45:$J$45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'Kinematik_2 (Weg-Zeit)'!$I$46:$J$46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64-4360-819F-5918B5774B37}"/>
            </c:ext>
          </c:extLst>
        </c:ser>
        <c:ser>
          <c:idx val="3"/>
          <c:order val="3"/>
          <c:tx>
            <c:strRef>
              <c:f>'Kinematik_2 (Weg-Zeit)'!$H$48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'Kinematik_2 (Weg-Zeit)'!$I$48:$J$48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'Kinematik_2 (Weg-Zeit)'!$I$49:$J$49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E64-4360-819F-5918B5774B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81135788180128132"/>
          <c:y val="0.19603205928242115"/>
          <c:w val="0.13674474718442198"/>
          <c:h val="0.137096996025534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'Kinematik_2 (Weg-Zeit)'!$B$13</c:f>
              <c:strCache>
                <c:ptCount val="1"/>
                <c:pt idx="0">
                  <c:v>v1 = a1*t + v01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(Weg-Zeit)'!$G$13:$AA$13</c:f>
              <c:numCache>
                <c:formatCode>General</c:formatCode>
                <c:ptCount val="21"/>
                <c:pt idx="0">
                  <c:v>30.000000000000004</c:v>
                </c:pt>
                <c:pt idx="1">
                  <c:v>33.6</c:v>
                </c:pt>
                <c:pt idx="2">
                  <c:v>37.200000000000003</c:v>
                </c:pt>
                <c:pt idx="3">
                  <c:v>40.800000000000004</c:v>
                </c:pt>
                <c:pt idx="4">
                  <c:v>44.400000000000006</c:v>
                </c:pt>
                <c:pt idx="5">
                  <c:v>48</c:v>
                </c:pt>
                <c:pt idx="6">
                  <c:v>51.6</c:v>
                </c:pt>
                <c:pt idx="7">
                  <c:v>55.2</c:v>
                </c:pt>
                <c:pt idx="8">
                  <c:v>58.800000000000011</c:v>
                </c:pt>
                <c:pt idx="9">
                  <c:v>62.400000000000013</c:v>
                </c:pt>
                <c:pt idx="10">
                  <c:v>66.000000000000014</c:v>
                </c:pt>
                <c:pt idx="11">
                  <c:v>69.600000000000009</c:v>
                </c:pt>
                <c:pt idx="12">
                  <c:v>73.200000000000017</c:v>
                </c:pt>
                <c:pt idx="13">
                  <c:v>76.800000000000011</c:v>
                </c:pt>
                <c:pt idx="14">
                  <c:v>80.400000000000006</c:v>
                </c:pt>
                <c:pt idx="15">
                  <c:v>84.000000000000014</c:v>
                </c:pt>
                <c:pt idx="16">
                  <c:v>87.600000000000009</c:v>
                </c:pt>
                <c:pt idx="17">
                  <c:v>91.200000000000017</c:v>
                </c:pt>
                <c:pt idx="18">
                  <c:v>94.800000000000011</c:v>
                </c:pt>
                <c:pt idx="19">
                  <c:v>98.4</c:v>
                </c:pt>
                <c:pt idx="20">
                  <c:v>102.00000000000001</c:v>
                </c:pt>
              </c:numCache>
            </c:numRef>
          </c:xVal>
          <c:y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337-4341-990A-A1B6DA74C00F}"/>
            </c:ext>
          </c:extLst>
        </c:ser>
        <c:ser>
          <c:idx val="1"/>
          <c:order val="1"/>
          <c:tx>
            <c:strRef>
              <c:f>'Kinematik_2 (Weg-Zeit)'!$B$18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(Weg-Zeit)'!$G$18:$AA$18</c:f>
              <c:numCache>
                <c:formatCode>General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</c:numCache>
            </c:numRef>
          </c:xVal>
          <c:y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337-4341-990A-A1B6DA74C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Fourierreihe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3.5689214731536877E-2"/>
          <c:y val="5.5460561318852915E-2"/>
          <c:w val="0.87486611239984313"/>
          <c:h val="0.9051218124333203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Fourierreihe!$M$15</c:f>
              <c:strCache>
                <c:ptCount val="1"/>
                <c:pt idx="0">
                  <c:v>y0 =  sin(2*pi * 50Hz * t ) =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Fourierreihe!$P$15:$BB$15</c:f>
              <c:numCache>
                <c:formatCode>0.00</c:formatCode>
                <c:ptCount val="39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0.76604444311897812</c:v>
                </c:pt>
                <c:pt idx="6">
                  <c:v>0.8660254037844386</c:v>
                </c:pt>
                <c:pt idx="7">
                  <c:v>0.93969262078590843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0.93969262078590832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0.64278760968653914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-0.34202014332566905</c:v>
                </c:pt>
                <c:pt idx="21">
                  <c:v>-0.50000000000000011</c:v>
                </c:pt>
                <c:pt idx="22">
                  <c:v>-0.64278760968653958</c:v>
                </c:pt>
                <c:pt idx="23">
                  <c:v>-0.76604444311897846</c:v>
                </c:pt>
                <c:pt idx="24">
                  <c:v>-0.86602540378443837</c:v>
                </c:pt>
                <c:pt idx="25">
                  <c:v>-0.93969262078590843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-0.98480775301220802</c:v>
                </c:pt>
                <c:pt idx="29">
                  <c:v>-0.93969262078590832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-0.49999999999999967</c:v>
                </c:pt>
                <c:pt idx="34">
                  <c:v>-0.3420201433256686</c:v>
                </c:pt>
                <c:pt idx="35">
                  <c:v>-0.17364817766693039</c:v>
                </c:pt>
                <c:pt idx="36">
                  <c:v>-2.45029690981724E-16</c:v>
                </c:pt>
                <c:pt idx="37">
                  <c:v>0.17364817766693078</c:v>
                </c:pt>
                <c:pt idx="38">
                  <c:v>0.34202014332566893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17-4BF7-A82C-D744D19A61BA}"/>
            </c:ext>
          </c:extLst>
        </c:ser>
        <c:ser>
          <c:idx val="1"/>
          <c:order val="1"/>
          <c:tx>
            <c:strRef>
              <c:f>Fourierreihe!$M$16</c:f>
              <c:strCache>
                <c:ptCount val="1"/>
                <c:pt idx="0">
                  <c:v>y1 = 0.33 * sin(2*pi * 150Hz * t ) = 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Fourierreihe!$P$16:$BB$16</c:f>
              <c:numCache>
                <c:formatCode>0.00</c:formatCode>
                <c:ptCount val="39"/>
                <c:pt idx="0">
                  <c:v>0</c:v>
                </c:pt>
                <c:pt idx="1">
                  <c:v>0.16666666666666663</c:v>
                </c:pt>
                <c:pt idx="2">
                  <c:v>0.28867513459481287</c:v>
                </c:pt>
                <c:pt idx="3">
                  <c:v>0.33333333333333331</c:v>
                </c:pt>
                <c:pt idx="4">
                  <c:v>0.28867513459481287</c:v>
                </c:pt>
                <c:pt idx="5">
                  <c:v>0.16666666666666663</c:v>
                </c:pt>
                <c:pt idx="6">
                  <c:v>1.8886801844697487E-16</c:v>
                </c:pt>
                <c:pt idx="7">
                  <c:v>-0.16666666666666669</c:v>
                </c:pt>
                <c:pt idx="8">
                  <c:v>-0.28867513459481275</c:v>
                </c:pt>
                <c:pt idx="9">
                  <c:v>-0.33333333333333331</c:v>
                </c:pt>
                <c:pt idx="10">
                  <c:v>-0.28867513459481287</c:v>
                </c:pt>
                <c:pt idx="11">
                  <c:v>-0.16666666666666655</c:v>
                </c:pt>
                <c:pt idx="12">
                  <c:v>-3.7773603689394974E-16</c:v>
                </c:pt>
                <c:pt idx="13">
                  <c:v>0.16666666666666666</c:v>
                </c:pt>
                <c:pt idx="14">
                  <c:v>0.28867513459481292</c:v>
                </c:pt>
                <c:pt idx="15">
                  <c:v>0.33333333333333331</c:v>
                </c:pt>
                <c:pt idx="16">
                  <c:v>0.28867513459481303</c:v>
                </c:pt>
                <c:pt idx="17">
                  <c:v>0.16666666666666657</c:v>
                </c:pt>
                <c:pt idx="18">
                  <c:v>1.22514845490862E-16</c:v>
                </c:pt>
                <c:pt idx="19">
                  <c:v>-0.16666666666666638</c:v>
                </c:pt>
                <c:pt idx="20">
                  <c:v>-0.28867513459481287</c:v>
                </c:pt>
                <c:pt idx="21">
                  <c:v>-0.33333333333333331</c:v>
                </c:pt>
                <c:pt idx="22">
                  <c:v>-0.28867513459481275</c:v>
                </c:pt>
                <c:pt idx="23">
                  <c:v>-0.16666666666666663</c:v>
                </c:pt>
                <c:pt idx="24">
                  <c:v>-7.5547207378789949E-16</c:v>
                </c:pt>
                <c:pt idx="25">
                  <c:v>0.16666666666666635</c:v>
                </c:pt>
                <c:pt idx="26">
                  <c:v>0.28867513459481287</c:v>
                </c:pt>
                <c:pt idx="27">
                  <c:v>0.33333333333333331</c:v>
                </c:pt>
                <c:pt idx="28">
                  <c:v>0.28867513459481275</c:v>
                </c:pt>
                <c:pt idx="29">
                  <c:v>0.16666666666666718</c:v>
                </c:pt>
                <c:pt idx="30">
                  <c:v>2.0419140915143666E-16</c:v>
                </c:pt>
                <c:pt idx="31">
                  <c:v>-0.1666666666666663</c:v>
                </c:pt>
                <c:pt idx="32">
                  <c:v>-0.28867513459481253</c:v>
                </c:pt>
                <c:pt idx="33">
                  <c:v>-0.33333333333333331</c:v>
                </c:pt>
                <c:pt idx="34">
                  <c:v>-0.28867513459481275</c:v>
                </c:pt>
                <c:pt idx="35">
                  <c:v>-0.16666666666666669</c:v>
                </c:pt>
                <c:pt idx="36">
                  <c:v>-2.45029690981724E-16</c:v>
                </c:pt>
                <c:pt idx="37">
                  <c:v>0.16666666666666627</c:v>
                </c:pt>
                <c:pt idx="38">
                  <c:v>0.28867513459481253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17-4BF7-A82C-D744D19A61BA}"/>
            </c:ext>
          </c:extLst>
        </c:ser>
        <c:ser>
          <c:idx val="2"/>
          <c:order val="2"/>
          <c:tx>
            <c:strRef>
              <c:f>Fourierreihe!$M$17</c:f>
              <c:strCache>
                <c:ptCount val="1"/>
                <c:pt idx="0">
                  <c:v>y2 = 0.2 * sin(2*pi * 250Hz * t ) = 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Fourierreihe!$P$17:$BB$17</c:f>
              <c:numCache>
                <c:formatCode>0.00</c:formatCode>
                <c:ptCount val="39"/>
                <c:pt idx="0">
                  <c:v>0</c:v>
                </c:pt>
                <c:pt idx="1">
                  <c:v>0.15320888862379559</c:v>
                </c:pt>
                <c:pt idx="2">
                  <c:v>0.19696155060244164</c:v>
                </c:pt>
                <c:pt idx="3">
                  <c:v>0.10000000000000007</c:v>
                </c:pt>
                <c:pt idx="4">
                  <c:v>-6.8404028665133648E-2</c:v>
                </c:pt>
                <c:pt idx="5">
                  <c:v>-0.18793852415718165</c:v>
                </c:pt>
                <c:pt idx="6">
                  <c:v>-0.17320508075688781</c:v>
                </c:pt>
                <c:pt idx="7">
                  <c:v>-3.472963553338608E-2</c:v>
                </c:pt>
                <c:pt idx="8">
                  <c:v>0.12855752193730771</c:v>
                </c:pt>
                <c:pt idx="9">
                  <c:v>0.2</c:v>
                </c:pt>
                <c:pt idx="10">
                  <c:v>0.12855752193730807</c:v>
                </c:pt>
                <c:pt idx="11">
                  <c:v>-3.4729635533385955E-2</c:v>
                </c:pt>
                <c:pt idx="12">
                  <c:v>-0.17320508075688756</c:v>
                </c:pt>
                <c:pt idx="13">
                  <c:v>-0.18793852415718174</c:v>
                </c:pt>
                <c:pt idx="14">
                  <c:v>-6.8404028665133773E-2</c:v>
                </c:pt>
                <c:pt idx="15">
                  <c:v>9.9999999999999811E-2</c:v>
                </c:pt>
                <c:pt idx="16">
                  <c:v>0.19696155060244155</c:v>
                </c:pt>
                <c:pt idx="17">
                  <c:v>0.15320888862379578</c:v>
                </c:pt>
                <c:pt idx="18">
                  <c:v>1.22514845490862E-16</c:v>
                </c:pt>
                <c:pt idx="19">
                  <c:v>-0.15320888862379542</c:v>
                </c:pt>
                <c:pt idx="20">
                  <c:v>-0.19696155060244172</c:v>
                </c:pt>
                <c:pt idx="21">
                  <c:v>-0.10000000000000003</c:v>
                </c:pt>
                <c:pt idx="22">
                  <c:v>6.8404028665133537E-2</c:v>
                </c:pt>
                <c:pt idx="23">
                  <c:v>0.18793852415718154</c:v>
                </c:pt>
                <c:pt idx="24">
                  <c:v>0.17320508075688806</c:v>
                </c:pt>
                <c:pt idx="25">
                  <c:v>3.4729635533386899E-2</c:v>
                </c:pt>
                <c:pt idx="26">
                  <c:v>-0.1285575219373076</c:v>
                </c:pt>
                <c:pt idx="27">
                  <c:v>-0.2</c:v>
                </c:pt>
                <c:pt idx="28">
                  <c:v>-0.12855752193730791</c:v>
                </c:pt>
                <c:pt idx="29">
                  <c:v>3.4729635533385143E-2</c:v>
                </c:pt>
                <c:pt idx="30">
                  <c:v>0.17320508075688754</c:v>
                </c:pt>
                <c:pt idx="31">
                  <c:v>0.18793852415718193</c:v>
                </c:pt>
                <c:pt idx="32">
                  <c:v>6.840402866513455E-2</c:v>
                </c:pt>
                <c:pt idx="33">
                  <c:v>-9.99999999999997E-2</c:v>
                </c:pt>
                <c:pt idx="34">
                  <c:v>-0.19696155060244153</c:v>
                </c:pt>
                <c:pt idx="35">
                  <c:v>-0.15320888862379611</c:v>
                </c:pt>
                <c:pt idx="36">
                  <c:v>-2.45029690981724E-16</c:v>
                </c:pt>
                <c:pt idx="37">
                  <c:v>0.15320888862379489</c:v>
                </c:pt>
                <c:pt idx="38">
                  <c:v>0.19696155060244172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17-4BF7-A82C-D744D19A61BA}"/>
            </c:ext>
          </c:extLst>
        </c:ser>
        <c:ser>
          <c:idx val="3"/>
          <c:order val="3"/>
          <c:tx>
            <c:strRef>
              <c:f>Fourierreihe!$M$18</c:f>
              <c:strCache>
                <c:ptCount val="1"/>
                <c:pt idx="0">
                  <c:v>y3 = 0.14 * sin(2*pi * 350Hz * t ) =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Fourierreihe!$P$18:$BB$18</c:f>
              <c:numCache>
                <c:formatCode>0.00</c:formatCode>
                <c:ptCount val="39"/>
                <c:pt idx="0">
                  <c:v>0</c:v>
                </c:pt>
                <c:pt idx="1">
                  <c:v>0.13424180296941546</c:v>
                </c:pt>
                <c:pt idx="2">
                  <c:v>9.1826801383791345E-2</c:v>
                </c:pt>
                <c:pt idx="3">
                  <c:v>-7.1428571428571341E-2</c:v>
                </c:pt>
                <c:pt idx="4">
                  <c:v>-0.14068682185888687</c:v>
                </c:pt>
                <c:pt idx="5">
                  <c:v>-2.4806882523847322E-2</c:v>
                </c:pt>
                <c:pt idx="6">
                  <c:v>0.12371791482634827</c:v>
                </c:pt>
                <c:pt idx="7">
                  <c:v>0.10943492044556839</c:v>
                </c:pt>
                <c:pt idx="8">
                  <c:v>-4.8860020475095425E-2</c:v>
                </c:pt>
                <c:pt idx="9">
                  <c:v>-0.14285714285714285</c:v>
                </c:pt>
                <c:pt idx="10">
                  <c:v>-4.8860020475095779E-2</c:v>
                </c:pt>
                <c:pt idx="11">
                  <c:v>0.10943492044556814</c:v>
                </c:pt>
                <c:pt idx="12">
                  <c:v>0.12371791482634859</c:v>
                </c:pt>
                <c:pt idx="13">
                  <c:v>-2.4806882523847079E-2</c:v>
                </c:pt>
                <c:pt idx="14">
                  <c:v>-0.14068682185888681</c:v>
                </c:pt>
                <c:pt idx="15">
                  <c:v>-7.1428571428571883E-2</c:v>
                </c:pt>
                <c:pt idx="16">
                  <c:v>9.1826801383791151E-2</c:v>
                </c:pt>
                <c:pt idx="17">
                  <c:v>0.13424180296941562</c:v>
                </c:pt>
                <c:pt idx="18">
                  <c:v>1.22514845490862E-16</c:v>
                </c:pt>
                <c:pt idx="19">
                  <c:v>-0.13424180296941537</c:v>
                </c:pt>
                <c:pt idx="20">
                  <c:v>-9.1826801383791734E-2</c:v>
                </c:pt>
                <c:pt idx="21">
                  <c:v>7.142857142857123E-2</c:v>
                </c:pt>
                <c:pt idx="22">
                  <c:v>0.14068682185888692</c:v>
                </c:pt>
                <c:pt idx="23">
                  <c:v>2.4806882523847319E-2</c:v>
                </c:pt>
                <c:pt idx="24">
                  <c:v>-0.12371791482634795</c:v>
                </c:pt>
                <c:pt idx="25">
                  <c:v>-0.10943492044556863</c:v>
                </c:pt>
                <c:pt idx="26">
                  <c:v>4.8860020475095314E-2</c:v>
                </c:pt>
                <c:pt idx="27">
                  <c:v>0.14285714285714285</c:v>
                </c:pt>
                <c:pt idx="28">
                  <c:v>4.8860020475096133E-2</c:v>
                </c:pt>
                <c:pt idx="29">
                  <c:v>-0.10943492044556806</c:v>
                </c:pt>
                <c:pt idx="30">
                  <c:v>-0.1237179148263489</c:v>
                </c:pt>
                <c:pt idx="31">
                  <c:v>2.4806882523846455E-2</c:v>
                </c:pt>
                <c:pt idx="32">
                  <c:v>0.14068682185888678</c:v>
                </c:pt>
                <c:pt idx="33">
                  <c:v>7.1428571428572424E-2</c:v>
                </c:pt>
                <c:pt idx="34">
                  <c:v>-9.1826801383790679E-2</c:v>
                </c:pt>
                <c:pt idx="35">
                  <c:v>-0.13424180296941565</c:v>
                </c:pt>
                <c:pt idx="36">
                  <c:v>-2.45029690981724E-16</c:v>
                </c:pt>
                <c:pt idx="37">
                  <c:v>0.13424180296941515</c:v>
                </c:pt>
                <c:pt idx="38">
                  <c:v>9.1826801383791817E-2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617-4BF7-A82C-D744D19A61BA}"/>
            </c:ext>
          </c:extLst>
        </c:ser>
        <c:ser>
          <c:idx val="4"/>
          <c:order val="4"/>
          <c:tx>
            <c:strRef>
              <c:f>Fourierreihe!$M$19</c:f>
              <c:strCache>
                <c:ptCount val="1"/>
                <c:pt idx="0">
                  <c:v>yResultierend = y0 + y1 + y2 + y3 = </c:v>
                </c:pt>
              </c:strCache>
            </c:strRef>
          </c:tx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Fourierreihe!$P$19:$BB$19</c:f>
              <c:numCache>
                <c:formatCode>0.00</c:formatCode>
                <c:ptCount val="39"/>
                <c:pt idx="0">
                  <c:v>0</c:v>
                </c:pt>
                <c:pt idx="1">
                  <c:v>0.62776553592680795</c:v>
                </c:pt>
                <c:pt idx="2">
                  <c:v>0.91948362990671439</c:v>
                </c:pt>
                <c:pt idx="3">
                  <c:v>0.86190476190476195</c:v>
                </c:pt>
                <c:pt idx="4">
                  <c:v>0.72237189375733157</c:v>
                </c:pt>
                <c:pt idx="5">
                  <c:v>0.71996570310461572</c:v>
                </c:pt>
                <c:pt idx="6">
                  <c:v>0.81653823785389934</c:v>
                </c:pt>
                <c:pt idx="7">
                  <c:v>0.847731239031424</c:v>
                </c:pt>
                <c:pt idx="8">
                  <c:v>0.77583011987960759</c:v>
                </c:pt>
                <c:pt idx="9">
                  <c:v>0.7238095238095239</c:v>
                </c:pt>
                <c:pt idx="10">
                  <c:v>0.77583011987960748</c:v>
                </c:pt>
                <c:pt idx="11">
                  <c:v>0.847731239031424</c:v>
                </c:pt>
                <c:pt idx="12">
                  <c:v>0.81653823785389945</c:v>
                </c:pt>
                <c:pt idx="13">
                  <c:v>0.71996570310461583</c:v>
                </c:pt>
                <c:pt idx="14">
                  <c:v>0.72237189375733157</c:v>
                </c:pt>
                <c:pt idx="15">
                  <c:v>0.86190476190476129</c:v>
                </c:pt>
                <c:pt idx="16">
                  <c:v>0.91948362990671473</c:v>
                </c:pt>
                <c:pt idx="17">
                  <c:v>0.62776553592680817</c:v>
                </c:pt>
                <c:pt idx="18">
                  <c:v>4.90059381963448E-16</c:v>
                </c:pt>
                <c:pt idx="19">
                  <c:v>-0.62776553592680762</c:v>
                </c:pt>
                <c:pt idx="20">
                  <c:v>-0.91948362990671539</c:v>
                </c:pt>
                <c:pt idx="21">
                  <c:v>-0.8619047619047624</c:v>
                </c:pt>
                <c:pt idx="22">
                  <c:v>-0.72237189375733191</c:v>
                </c:pt>
                <c:pt idx="23">
                  <c:v>-0.71996570310461616</c:v>
                </c:pt>
                <c:pt idx="24">
                  <c:v>-0.81653823785389912</c:v>
                </c:pt>
                <c:pt idx="25">
                  <c:v>-0.84773123903142378</c:v>
                </c:pt>
                <c:pt idx="26">
                  <c:v>-0.77583011987960748</c:v>
                </c:pt>
                <c:pt idx="27">
                  <c:v>-0.7238095238095239</c:v>
                </c:pt>
                <c:pt idx="28">
                  <c:v>-0.77583011987960693</c:v>
                </c:pt>
                <c:pt idx="29">
                  <c:v>-0.847731239031424</c:v>
                </c:pt>
                <c:pt idx="30">
                  <c:v>-0.81653823785389967</c:v>
                </c:pt>
                <c:pt idx="31">
                  <c:v>-0.71996570310461605</c:v>
                </c:pt>
                <c:pt idx="32">
                  <c:v>-0.7223718937573308</c:v>
                </c:pt>
                <c:pt idx="33">
                  <c:v>-0.86190476190476029</c:v>
                </c:pt>
                <c:pt idx="34">
                  <c:v>-0.91948362990671351</c:v>
                </c:pt>
                <c:pt idx="35">
                  <c:v>-0.62776553592680884</c:v>
                </c:pt>
                <c:pt idx="36">
                  <c:v>-9.8011876392689601E-16</c:v>
                </c:pt>
                <c:pt idx="37">
                  <c:v>0.62776553592680706</c:v>
                </c:pt>
                <c:pt idx="38">
                  <c:v>0.91948362990671506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617-4BF7-A82C-D744D19A61BA}"/>
            </c:ext>
          </c:extLst>
        </c:ser>
        <c:ser>
          <c:idx val="5"/>
          <c:order val="5"/>
          <c:tx>
            <c:strRef>
              <c:f>Fourierreihe!$V$4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Fourierreihe!$Z$5:$AA$5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Fourierreihe!$Z$6:$AA$6</c:f>
              <c:numCache>
                <c:formatCode>General</c:formatCode>
                <c:ptCount val="2"/>
                <c:pt idx="0">
                  <c:v>0</c:v>
                </c:pt>
                <c:pt idx="1">
                  <c:v>0.76604444311897812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CB1-4989-AFCF-57F354435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074943"/>
        <c:axId val="192078783"/>
      </c:scatterChart>
      <c:valAx>
        <c:axId val="192074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 phi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8783"/>
        <c:crosses val="autoZero"/>
        <c:crossBetween val="midCat"/>
      </c:valAx>
      <c:valAx>
        <c:axId val="19207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  <a:p>
                <a:pPr>
                  <a:defRPr/>
                </a:pP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49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05293305049966E-2"/>
          <c:y val="2.429473953674088E-2"/>
          <c:w val="0.90193554992787428"/>
          <c:h val="0.7588083647640366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Scheinleistung!$J$14</c:f>
              <c:strCache>
                <c:ptCount val="1"/>
                <c:pt idx="0">
                  <c:v>U =  sin(x 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Scheinleistung!$M$14:$AY$14</c:f>
              <c:numCache>
                <c:formatCode>0.00</c:formatCode>
                <c:ptCount val="39"/>
                <c:pt idx="0">
                  <c:v>0</c:v>
                </c:pt>
                <c:pt idx="1">
                  <c:v>0.25881904510252074</c:v>
                </c:pt>
                <c:pt idx="2">
                  <c:v>0.49999999999999994</c:v>
                </c:pt>
                <c:pt idx="3">
                  <c:v>0.70710678118654746</c:v>
                </c:pt>
                <c:pt idx="4">
                  <c:v>0.8660254037844386</c:v>
                </c:pt>
                <c:pt idx="5">
                  <c:v>0.96592582628906831</c:v>
                </c:pt>
                <c:pt idx="6">
                  <c:v>1</c:v>
                </c:pt>
                <c:pt idx="7">
                  <c:v>0.96592582628906831</c:v>
                </c:pt>
                <c:pt idx="8">
                  <c:v>0.86602540378443871</c:v>
                </c:pt>
                <c:pt idx="9">
                  <c:v>0.70710678118654757</c:v>
                </c:pt>
                <c:pt idx="10">
                  <c:v>0.49999999999999994</c:v>
                </c:pt>
                <c:pt idx="11">
                  <c:v>0.25881904510252102</c:v>
                </c:pt>
                <c:pt idx="12">
                  <c:v>1.22514845490862E-16</c:v>
                </c:pt>
                <c:pt idx="13">
                  <c:v>-0.25881904510252035</c:v>
                </c:pt>
                <c:pt idx="14">
                  <c:v>-0.50000000000000011</c:v>
                </c:pt>
                <c:pt idx="15">
                  <c:v>-0.70710678118654746</c:v>
                </c:pt>
                <c:pt idx="16">
                  <c:v>-0.86602540378443837</c:v>
                </c:pt>
                <c:pt idx="17">
                  <c:v>-0.96592582628906831</c:v>
                </c:pt>
                <c:pt idx="18">
                  <c:v>-1</c:v>
                </c:pt>
                <c:pt idx="19">
                  <c:v>-0.9659258262890682</c:v>
                </c:pt>
                <c:pt idx="20">
                  <c:v>-0.8660254037844386</c:v>
                </c:pt>
                <c:pt idx="21">
                  <c:v>-0.70710678118654768</c:v>
                </c:pt>
                <c:pt idx="22">
                  <c:v>-0.50000000000000044</c:v>
                </c:pt>
                <c:pt idx="23">
                  <c:v>-0.25881904510252068</c:v>
                </c:pt>
                <c:pt idx="24">
                  <c:v>-2.45029690981724E-16</c:v>
                </c:pt>
                <c:pt idx="25">
                  <c:v>0.25881904510252024</c:v>
                </c:pt>
                <c:pt idx="26">
                  <c:v>0.49999999999999928</c:v>
                </c:pt>
                <c:pt idx="27">
                  <c:v>0.70710678118654668</c:v>
                </c:pt>
                <c:pt idx="28">
                  <c:v>0.86602540378443882</c:v>
                </c:pt>
                <c:pt idx="29">
                  <c:v>0.96592582628906831</c:v>
                </c:pt>
                <c:pt idx="30">
                  <c:v>1</c:v>
                </c:pt>
                <c:pt idx="31">
                  <c:v>0.96592582628906842</c:v>
                </c:pt>
                <c:pt idx="32">
                  <c:v>0.86602540378443915</c:v>
                </c:pt>
                <c:pt idx="33">
                  <c:v>0.70710678118654713</c:v>
                </c:pt>
                <c:pt idx="34">
                  <c:v>0.49999999999999978</c:v>
                </c:pt>
                <c:pt idx="35">
                  <c:v>0.25881904510252079</c:v>
                </c:pt>
                <c:pt idx="36">
                  <c:v>3.67544536472586E-16</c:v>
                </c:pt>
                <c:pt idx="37">
                  <c:v>-0.25881904510252185</c:v>
                </c:pt>
                <c:pt idx="38">
                  <c:v>-0.50000000000000067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D5-4B17-87D9-4BBF3EBE3CE3}"/>
            </c:ext>
          </c:extLst>
        </c:ser>
        <c:ser>
          <c:idx val="1"/>
          <c:order val="1"/>
          <c:tx>
            <c:strRef>
              <c:f>Scheinleistung!$J$15</c:f>
              <c:strCache>
                <c:ptCount val="1"/>
                <c:pt idx="0">
                  <c:v>I =  sin(x  + -60°) = 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Scheinleistung!$M$15:$AY$15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-0.70710678118654746</c:v>
                </c:pt>
                <c:pt idx="2">
                  <c:v>-0.49999999999999994</c:v>
                </c:pt>
                <c:pt idx="3">
                  <c:v>-0.25881904510252068</c:v>
                </c:pt>
                <c:pt idx="4">
                  <c:v>0</c:v>
                </c:pt>
                <c:pt idx="5">
                  <c:v>0.25881904510252091</c:v>
                </c:pt>
                <c:pt idx="6">
                  <c:v>0.5</c:v>
                </c:pt>
                <c:pt idx="7">
                  <c:v>0.70710678118654768</c:v>
                </c:pt>
                <c:pt idx="8">
                  <c:v>0.8660254037844386</c:v>
                </c:pt>
                <c:pt idx="9">
                  <c:v>0.96592582628906831</c:v>
                </c:pt>
                <c:pt idx="10">
                  <c:v>1</c:v>
                </c:pt>
                <c:pt idx="11">
                  <c:v>0.96592582628906831</c:v>
                </c:pt>
                <c:pt idx="12">
                  <c:v>0.86602540378443849</c:v>
                </c:pt>
                <c:pt idx="13">
                  <c:v>0.70710678118654757</c:v>
                </c:pt>
                <c:pt idx="14">
                  <c:v>0.49999999999999956</c:v>
                </c:pt>
                <c:pt idx="15">
                  <c:v>0.25881904510252057</c:v>
                </c:pt>
                <c:pt idx="16">
                  <c:v>1.22514845490862E-16</c:v>
                </c:pt>
                <c:pt idx="17">
                  <c:v>-0.25881904510252118</c:v>
                </c:pt>
                <c:pt idx="18">
                  <c:v>-0.50000000000000011</c:v>
                </c:pt>
                <c:pt idx="19">
                  <c:v>-0.70710678118654802</c:v>
                </c:pt>
                <c:pt idx="20">
                  <c:v>-0.86602540378443882</c:v>
                </c:pt>
                <c:pt idx="21">
                  <c:v>-0.96592582628906831</c:v>
                </c:pt>
                <c:pt idx="22">
                  <c:v>-1</c:v>
                </c:pt>
                <c:pt idx="23">
                  <c:v>-0.9659258262890682</c:v>
                </c:pt>
                <c:pt idx="24">
                  <c:v>-0.8660254037844386</c:v>
                </c:pt>
                <c:pt idx="25">
                  <c:v>-0.70710678118654768</c:v>
                </c:pt>
                <c:pt idx="26">
                  <c:v>-0.50000000000000044</c:v>
                </c:pt>
                <c:pt idx="27">
                  <c:v>-0.25881904510252157</c:v>
                </c:pt>
                <c:pt idx="28">
                  <c:v>6.4314872871840123E-16</c:v>
                </c:pt>
                <c:pt idx="29">
                  <c:v>0.25881904510252107</c:v>
                </c:pt>
                <c:pt idx="30">
                  <c:v>0.5</c:v>
                </c:pt>
                <c:pt idx="31">
                  <c:v>0.70710678118654735</c:v>
                </c:pt>
                <c:pt idx="32">
                  <c:v>0.86602540378443837</c:v>
                </c:pt>
                <c:pt idx="33">
                  <c:v>0.96592582628906853</c:v>
                </c:pt>
                <c:pt idx="34">
                  <c:v>1</c:v>
                </c:pt>
                <c:pt idx="35">
                  <c:v>0.96592582628906842</c:v>
                </c:pt>
                <c:pt idx="36">
                  <c:v>0.86602540378443915</c:v>
                </c:pt>
                <c:pt idx="37">
                  <c:v>0.70710678118654713</c:v>
                </c:pt>
                <c:pt idx="38">
                  <c:v>0.49999999999999978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0D5-4B17-87D9-4BBF3EBE3CE3}"/>
            </c:ext>
          </c:extLst>
        </c:ser>
        <c:ser>
          <c:idx val="2"/>
          <c:order val="2"/>
          <c:tx>
            <c:strRef>
              <c:f>Scheinleistung!$J$21</c:f>
              <c:strCache>
                <c:ptCount val="1"/>
                <c:pt idx="0">
                  <c:v>Scheinleistung S = U *I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Scheinleistung!$M$21:$AY$21</c:f>
              <c:numCache>
                <c:formatCode>0.00</c:formatCode>
                <c:ptCount val="39"/>
                <c:pt idx="0">
                  <c:v>0</c:v>
                </c:pt>
                <c:pt idx="1">
                  <c:v>-0.1830127018922193</c:v>
                </c:pt>
                <c:pt idx="2">
                  <c:v>-0.24999999999999994</c:v>
                </c:pt>
                <c:pt idx="3">
                  <c:v>-0.18301270189221924</c:v>
                </c:pt>
                <c:pt idx="4">
                  <c:v>0</c:v>
                </c:pt>
                <c:pt idx="5">
                  <c:v>0.25000000000000017</c:v>
                </c:pt>
                <c:pt idx="6">
                  <c:v>0.5</c:v>
                </c:pt>
                <c:pt idx="7">
                  <c:v>0.68301270189221952</c:v>
                </c:pt>
                <c:pt idx="8">
                  <c:v>0.75</c:v>
                </c:pt>
                <c:pt idx="9">
                  <c:v>0.68301270189221941</c:v>
                </c:pt>
                <c:pt idx="10">
                  <c:v>0.49999999999999994</c:v>
                </c:pt>
                <c:pt idx="11">
                  <c:v>0.25000000000000028</c:v>
                </c:pt>
                <c:pt idx="12">
                  <c:v>1.0610096853581185E-16</c:v>
                </c:pt>
                <c:pt idx="13">
                  <c:v>-0.18301270189221905</c:v>
                </c:pt>
                <c:pt idx="14">
                  <c:v>-0.24999999999999983</c:v>
                </c:pt>
                <c:pt idx="15">
                  <c:v>-0.18301270189221916</c:v>
                </c:pt>
                <c:pt idx="16">
                  <c:v>-1.0610096853581184E-16</c:v>
                </c:pt>
                <c:pt idx="17">
                  <c:v>0.25000000000000039</c:v>
                </c:pt>
                <c:pt idx="18">
                  <c:v>0.50000000000000011</c:v>
                </c:pt>
                <c:pt idx="19">
                  <c:v>0.68301270189221974</c:v>
                </c:pt>
                <c:pt idx="20">
                  <c:v>0.75000000000000011</c:v>
                </c:pt>
                <c:pt idx="21">
                  <c:v>0.68301270189221952</c:v>
                </c:pt>
                <c:pt idx="22">
                  <c:v>0.50000000000000044</c:v>
                </c:pt>
                <c:pt idx="23">
                  <c:v>0.24999999999999989</c:v>
                </c:pt>
                <c:pt idx="24">
                  <c:v>2.1220193707162375E-16</c:v>
                </c:pt>
                <c:pt idx="25">
                  <c:v>-0.18301270189221899</c:v>
                </c:pt>
                <c:pt idx="26">
                  <c:v>-0.24999999999999986</c:v>
                </c:pt>
                <c:pt idx="27">
                  <c:v>-0.18301270189221969</c:v>
                </c:pt>
                <c:pt idx="28">
                  <c:v>5.5698313748180192E-16</c:v>
                </c:pt>
                <c:pt idx="29">
                  <c:v>0.25000000000000033</c:v>
                </c:pt>
                <c:pt idx="30">
                  <c:v>0.5</c:v>
                </c:pt>
                <c:pt idx="31">
                  <c:v>0.6830127018922193</c:v>
                </c:pt>
                <c:pt idx="32">
                  <c:v>0.75000000000000022</c:v>
                </c:pt>
                <c:pt idx="33">
                  <c:v>0.68301270189221908</c:v>
                </c:pt>
                <c:pt idx="34">
                  <c:v>0.49999999999999978</c:v>
                </c:pt>
                <c:pt idx="35">
                  <c:v>0.25000000000000006</c:v>
                </c:pt>
                <c:pt idx="36">
                  <c:v>3.183029056074358E-16</c:v>
                </c:pt>
                <c:pt idx="37">
                  <c:v>-0.18301270189221999</c:v>
                </c:pt>
                <c:pt idx="38">
                  <c:v>-0.25000000000000022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0D5-4B17-87D9-4BBF3EBE3CE3}"/>
            </c:ext>
          </c:extLst>
        </c:ser>
        <c:ser>
          <c:idx val="3"/>
          <c:order val="3"/>
          <c:tx>
            <c:strRef>
              <c:f>Scheinleistung!$S$4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triangl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Scheinleistung!$W$5:$X$5</c:f>
              <c:numCache>
                <c:formatCode>General</c:formatCode>
                <c:ptCount val="2"/>
                <c:pt idx="0">
                  <c:v>60</c:v>
                </c:pt>
                <c:pt idx="1">
                  <c:v>60</c:v>
                </c:pt>
              </c:numCache>
            </c:numRef>
          </c:xVal>
          <c:yVal>
            <c:numRef>
              <c:f>Scheinleistung!$W$6:$X$6</c:f>
              <c:numCache>
                <c:formatCode>0.00</c:formatCode>
                <c:ptCount val="2"/>
                <c:pt idx="0">
                  <c:v>-0.43301270189221958</c:v>
                </c:pt>
                <c:pt idx="1">
                  <c:v>0.8660254037844386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0D5-4B17-87D9-4BBF3EBE3CE3}"/>
            </c:ext>
          </c:extLst>
        </c:ser>
        <c:ser>
          <c:idx val="4"/>
          <c:order val="4"/>
          <c:tx>
            <c:strRef>
              <c:f>Scheinleistung!$J$16</c:f>
              <c:strCache>
                <c:ptCount val="1"/>
                <c:pt idx="0">
                  <c:v>IP = 0.5 * sin(x 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Scheinleistung!$M$16:$AY$16</c:f>
              <c:numCache>
                <c:formatCode>0.00</c:formatCode>
                <c:ptCount val="39"/>
                <c:pt idx="0">
                  <c:v>0</c:v>
                </c:pt>
                <c:pt idx="1">
                  <c:v>0.1294095225512604</c:v>
                </c:pt>
                <c:pt idx="2">
                  <c:v>0.25</c:v>
                </c:pt>
                <c:pt idx="3">
                  <c:v>0.35355339059327379</c:v>
                </c:pt>
                <c:pt idx="4">
                  <c:v>0.43301270189221941</c:v>
                </c:pt>
                <c:pt idx="5">
                  <c:v>0.48296291314453427</c:v>
                </c:pt>
                <c:pt idx="6">
                  <c:v>0.50000000000000011</c:v>
                </c:pt>
                <c:pt idx="7">
                  <c:v>0.48296291314453427</c:v>
                </c:pt>
                <c:pt idx="8">
                  <c:v>0.43301270189221946</c:v>
                </c:pt>
                <c:pt idx="9">
                  <c:v>0.35355339059327384</c:v>
                </c:pt>
                <c:pt idx="10">
                  <c:v>0.25</c:v>
                </c:pt>
                <c:pt idx="11">
                  <c:v>0.12940952255126054</c:v>
                </c:pt>
                <c:pt idx="12">
                  <c:v>6.1257422745431013E-17</c:v>
                </c:pt>
                <c:pt idx="13">
                  <c:v>-0.1294095225512602</c:v>
                </c:pt>
                <c:pt idx="14">
                  <c:v>-0.25000000000000011</c:v>
                </c:pt>
                <c:pt idx="15">
                  <c:v>-0.35355339059327379</c:v>
                </c:pt>
                <c:pt idx="16">
                  <c:v>-0.4330127018922193</c:v>
                </c:pt>
                <c:pt idx="17">
                  <c:v>-0.48296291314453427</c:v>
                </c:pt>
                <c:pt idx="18">
                  <c:v>-0.50000000000000011</c:v>
                </c:pt>
                <c:pt idx="19">
                  <c:v>-0.48296291314453421</c:v>
                </c:pt>
                <c:pt idx="20">
                  <c:v>-0.43301270189221941</c:v>
                </c:pt>
                <c:pt idx="21">
                  <c:v>-0.3535533905932739</c:v>
                </c:pt>
                <c:pt idx="22">
                  <c:v>-0.25000000000000028</c:v>
                </c:pt>
                <c:pt idx="23">
                  <c:v>-0.12940952255126037</c:v>
                </c:pt>
                <c:pt idx="24">
                  <c:v>-1.2251484549086203E-16</c:v>
                </c:pt>
                <c:pt idx="25">
                  <c:v>0.12940952255126015</c:v>
                </c:pt>
                <c:pt idx="26">
                  <c:v>0.24999999999999969</c:v>
                </c:pt>
                <c:pt idx="27">
                  <c:v>0.3535533905932734</c:v>
                </c:pt>
                <c:pt idx="28">
                  <c:v>0.43301270189221952</c:v>
                </c:pt>
                <c:pt idx="29">
                  <c:v>0.48296291314453427</c:v>
                </c:pt>
                <c:pt idx="30">
                  <c:v>0.50000000000000011</c:v>
                </c:pt>
                <c:pt idx="31">
                  <c:v>0.48296291314453432</c:v>
                </c:pt>
                <c:pt idx="32">
                  <c:v>0.43301270189221969</c:v>
                </c:pt>
                <c:pt idx="33">
                  <c:v>0.35355339059327362</c:v>
                </c:pt>
                <c:pt idx="34">
                  <c:v>0.24999999999999994</c:v>
                </c:pt>
                <c:pt idx="35">
                  <c:v>0.12940952255126043</c:v>
                </c:pt>
                <c:pt idx="36">
                  <c:v>1.8377226823629305E-16</c:v>
                </c:pt>
                <c:pt idx="37">
                  <c:v>-0.12940952255126095</c:v>
                </c:pt>
                <c:pt idx="38">
                  <c:v>-0.25000000000000039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34B-4BFE-BDB8-3E859255A479}"/>
            </c:ext>
          </c:extLst>
        </c:ser>
        <c:ser>
          <c:idx val="5"/>
          <c:order val="5"/>
          <c:tx>
            <c:strRef>
              <c:f>Scheinleistung!$J$17</c:f>
              <c:strCache>
                <c:ptCount val="1"/>
                <c:pt idx="0">
                  <c:v>IQ = -0.87 * sin(x  + 90°)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Scheinleistung!$M$17:$AY$17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-0.83651630373780783</c:v>
                </c:pt>
                <c:pt idx="2">
                  <c:v>-0.75</c:v>
                </c:pt>
                <c:pt idx="3">
                  <c:v>-0.61237243569579458</c:v>
                </c:pt>
                <c:pt idx="4">
                  <c:v>-0.43301270189221958</c:v>
                </c:pt>
                <c:pt idx="5">
                  <c:v>-0.22414386804201319</c:v>
                </c:pt>
                <c:pt idx="6">
                  <c:v>-1.0610096853581188E-16</c:v>
                </c:pt>
                <c:pt idx="7">
                  <c:v>0.22414386804201339</c:v>
                </c:pt>
                <c:pt idx="8">
                  <c:v>0.43301270189221908</c:v>
                </c:pt>
                <c:pt idx="9">
                  <c:v>0.61237243569579447</c:v>
                </c:pt>
                <c:pt idx="10">
                  <c:v>0.75000000000000011</c:v>
                </c:pt>
                <c:pt idx="11">
                  <c:v>0.83651630373780783</c:v>
                </c:pt>
                <c:pt idx="12">
                  <c:v>0.8660254037844386</c:v>
                </c:pt>
                <c:pt idx="13">
                  <c:v>0.83651630373780794</c:v>
                </c:pt>
                <c:pt idx="14">
                  <c:v>0.74999999999999989</c:v>
                </c:pt>
                <c:pt idx="15">
                  <c:v>0.61237243569579458</c:v>
                </c:pt>
                <c:pt idx="16">
                  <c:v>0.43301270189221969</c:v>
                </c:pt>
                <c:pt idx="17">
                  <c:v>0.22414386804201331</c:v>
                </c:pt>
                <c:pt idx="18">
                  <c:v>2.1220193707162375E-16</c:v>
                </c:pt>
                <c:pt idx="19">
                  <c:v>-0.22414386804201364</c:v>
                </c:pt>
                <c:pt idx="20">
                  <c:v>-0.4330127018922193</c:v>
                </c:pt>
                <c:pt idx="21">
                  <c:v>-0.61237243569579436</c:v>
                </c:pt>
                <c:pt idx="22">
                  <c:v>-0.74999999999999967</c:v>
                </c:pt>
                <c:pt idx="23">
                  <c:v>-0.83651630373780783</c:v>
                </c:pt>
                <c:pt idx="24">
                  <c:v>-0.8660254037844386</c:v>
                </c:pt>
                <c:pt idx="25">
                  <c:v>-0.83651630373780794</c:v>
                </c:pt>
                <c:pt idx="26">
                  <c:v>-0.75000000000000044</c:v>
                </c:pt>
                <c:pt idx="27">
                  <c:v>-0.61237243569579525</c:v>
                </c:pt>
                <c:pt idx="28">
                  <c:v>-0.43301270189221913</c:v>
                </c:pt>
                <c:pt idx="29">
                  <c:v>-0.22414386804201339</c:v>
                </c:pt>
                <c:pt idx="30">
                  <c:v>-3.183029056074356E-16</c:v>
                </c:pt>
                <c:pt idx="31">
                  <c:v>0.22414386804201281</c:v>
                </c:pt>
                <c:pt idx="32">
                  <c:v>0.43301270189221858</c:v>
                </c:pt>
                <c:pt idx="33">
                  <c:v>0.6123724356957948</c:v>
                </c:pt>
                <c:pt idx="34">
                  <c:v>0.75</c:v>
                </c:pt>
                <c:pt idx="35">
                  <c:v>0.83651630373780783</c:v>
                </c:pt>
                <c:pt idx="36">
                  <c:v>0.8660254037844386</c:v>
                </c:pt>
                <c:pt idx="37">
                  <c:v>0.83651630373780761</c:v>
                </c:pt>
                <c:pt idx="38">
                  <c:v>0.74999999999999967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34B-4BFE-BDB8-3E859255A479}"/>
            </c:ext>
          </c:extLst>
        </c:ser>
        <c:ser>
          <c:idx val="6"/>
          <c:order val="6"/>
          <c:tx>
            <c:strRef>
              <c:f>Scheinleistung!$J$18</c:f>
              <c:strCache>
                <c:ptCount val="1"/>
                <c:pt idx="0">
                  <c:v>I = IP + IQ = </c:v>
                </c:pt>
              </c:strCache>
            </c:strRef>
          </c:tx>
          <c:spPr>
            <a:ln w="190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Scheinleistung!$M$18:$AY$18</c:f>
              <c:numCache>
                <c:formatCode>0.00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34B-4BFE-BDB8-3E859255A479}"/>
            </c:ext>
          </c:extLst>
        </c:ser>
        <c:ser>
          <c:idx val="7"/>
          <c:order val="7"/>
          <c:tx>
            <c:strRef>
              <c:f>Scheinleistung!$J$22</c:f>
              <c:strCache>
                <c:ptCount val="1"/>
                <c:pt idx="0">
                  <c:v>Wirkleistung P = U *IP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Scheinleistung!$M$22:$AY$22</c:f>
              <c:numCache>
                <c:formatCode>0.00</c:formatCode>
                <c:ptCount val="39"/>
                <c:pt idx="0">
                  <c:v>0</c:v>
                </c:pt>
                <c:pt idx="1">
                  <c:v>3.3493649053890337E-2</c:v>
                </c:pt>
                <c:pt idx="2">
                  <c:v>0.12499999999999999</c:v>
                </c:pt>
                <c:pt idx="3">
                  <c:v>0.25</c:v>
                </c:pt>
                <c:pt idx="4">
                  <c:v>0.37500000000000006</c:v>
                </c:pt>
                <c:pt idx="5">
                  <c:v>0.46650635094610982</c:v>
                </c:pt>
                <c:pt idx="6">
                  <c:v>0.50000000000000011</c:v>
                </c:pt>
                <c:pt idx="7">
                  <c:v>0.46650635094610982</c:v>
                </c:pt>
                <c:pt idx="8">
                  <c:v>0.37500000000000017</c:v>
                </c:pt>
                <c:pt idx="9">
                  <c:v>0.25000000000000006</c:v>
                </c:pt>
                <c:pt idx="10">
                  <c:v>0.12499999999999999</c:v>
                </c:pt>
                <c:pt idx="11">
                  <c:v>3.3493649053890413E-2</c:v>
                </c:pt>
                <c:pt idx="12">
                  <c:v>7.504943682824896E-33</c:v>
                </c:pt>
                <c:pt idx="13">
                  <c:v>3.349364905389024E-2</c:v>
                </c:pt>
                <c:pt idx="14">
                  <c:v>0.12500000000000008</c:v>
                </c:pt>
                <c:pt idx="15">
                  <c:v>0.25</c:v>
                </c:pt>
                <c:pt idx="16">
                  <c:v>0.37499999999999983</c:v>
                </c:pt>
                <c:pt idx="17">
                  <c:v>0.46650635094610982</c:v>
                </c:pt>
                <c:pt idx="18">
                  <c:v>0.50000000000000011</c:v>
                </c:pt>
                <c:pt idx="19">
                  <c:v>0.4665063509461097</c:v>
                </c:pt>
                <c:pt idx="20">
                  <c:v>0.37500000000000006</c:v>
                </c:pt>
                <c:pt idx="21">
                  <c:v>0.25000000000000017</c:v>
                </c:pt>
                <c:pt idx="22">
                  <c:v>0.12500000000000025</c:v>
                </c:pt>
                <c:pt idx="23">
                  <c:v>3.3493649053890323E-2</c:v>
                </c:pt>
                <c:pt idx="24">
                  <c:v>3.0019774731299584E-32</c:v>
                </c:pt>
                <c:pt idx="25">
                  <c:v>3.3493649053890212E-2</c:v>
                </c:pt>
                <c:pt idx="26">
                  <c:v>0.12499999999999967</c:v>
                </c:pt>
                <c:pt idx="27">
                  <c:v>0.24999999999999944</c:v>
                </c:pt>
                <c:pt idx="28">
                  <c:v>0.37500000000000022</c:v>
                </c:pt>
                <c:pt idx="29">
                  <c:v>0.46650635094610982</c:v>
                </c:pt>
                <c:pt idx="30">
                  <c:v>0.50000000000000011</c:v>
                </c:pt>
                <c:pt idx="31">
                  <c:v>0.46650635094610993</c:v>
                </c:pt>
                <c:pt idx="32">
                  <c:v>0.37500000000000056</c:v>
                </c:pt>
                <c:pt idx="33">
                  <c:v>0.24999999999999975</c:v>
                </c:pt>
                <c:pt idx="34">
                  <c:v>0.12499999999999992</c:v>
                </c:pt>
                <c:pt idx="35">
                  <c:v>3.3493649053890351E-2</c:v>
                </c:pt>
                <c:pt idx="36">
                  <c:v>6.7544493145424073E-32</c:v>
                </c:pt>
                <c:pt idx="37">
                  <c:v>3.3493649053890628E-2</c:v>
                </c:pt>
                <c:pt idx="38">
                  <c:v>0.12500000000000036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34B-4BFE-BDB8-3E859255A479}"/>
            </c:ext>
          </c:extLst>
        </c:ser>
        <c:ser>
          <c:idx val="8"/>
          <c:order val="8"/>
          <c:tx>
            <c:strRef>
              <c:f>Scheinleistung!$J$23</c:f>
              <c:strCache>
                <c:ptCount val="1"/>
                <c:pt idx="0">
                  <c:v>Blindleistung Q = U *IQ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Scheinleistung!$M$23:$AY$23</c:f>
              <c:numCache>
                <c:formatCode>0.00</c:formatCode>
                <c:ptCount val="39"/>
                <c:pt idx="0">
                  <c:v>0</c:v>
                </c:pt>
                <c:pt idx="1">
                  <c:v>-0.21650635094610962</c:v>
                </c:pt>
                <c:pt idx="2">
                  <c:v>-0.37499999999999994</c:v>
                </c:pt>
                <c:pt idx="3">
                  <c:v>-0.4330127018922193</c:v>
                </c:pt>
                <c:pt idx="4">
                  <c:v>-0.37500000000000022</c:v>
                </c:pt>
                <c:pt idx="5">
                  <c:v>-0.21650635094610948</c:v>
                </c:pt>
                <c:pt idx="6">
                  <c:v>-1.0610096853581188E-16</c:v>
                </c:pt>
                <c:pt idx="7">
                  <c:v>0.21650635094610968</c:v>
                </c:pt>
                <c:pt idx="8">
                  <c:v>0.37499999999999983</c:v>
                </c:pt>
                <c:pt idx="9">
                  <c:v>0.4330127018922193</c:v>
                </c:pt>
                <c:pt idx="10">
                  <c:v>0.375</c:v>
                </c:pt>
                <c:pt idx="11">
                  <c:v>0.21650635094610984</c:v>
                </c:pt>
                <c:pt idx="12">
                  <c:v>1.0610096853581188E-16</c:v>
                </c:pt>
                <c:pt idx="13">
                  <c:v>-0.21650635094610932</c:v>
                </c:pt>
                <c:pt idx="14">
                  <c:v>-0.375</c:v>
                </c:pt>
                <c:pt idx="15">
                  <c:v>-0.4330127018922193</c:v>
                </c:pt>
                <c:pt idx="16">
                  <c:v>-0.37500000000000022</c:v>
                </c:pt>
                <c:pt idx="17">
                  <c:v>-0.21650635094610959</c:v>
                </c:pt>
                <c:pt idx="18">
                  <c:v>-2.1220193707162375E-16</c:v>
                </c:pt>
                <c:pt idx="19">
                  <c:v>0.2165063509461099</c:v>
                </c:pt>
                <c:pt idx="20">
                  <c:v>0.37499999999999994</c:v>
                </c:pt>
                <c:pt idx="21">
                  <c:v>0.4330127018922193</c:v>
                </c:pt>
                <c:pt idx="22">
                  <c:v>0.37500000000000017</c:v>
                </c:pt>
                <c:pt idx="23">
                  <c:v>0.21650635094610957</c:v>
                </c:pt>
                <c:pt idx="24">
                  <c:v>2.1220193707162375E-16</c:v>
                </c:pt>
                <c:pt idx="25">
                  <c:v>-0.21650635094610923</c:v>
                </c:pt>
                <c:pt idx="26">
                  <c:v>-0.37499999999999967</c:v>
                </c:pt>
                <c:pt idx="27">
                  <c:v>-0.4330127018922193</c:v>
                </c:pt>
                <c:pt idx="28">
                  <c:v>-0.37499999999999989</c:v>
                </c:pt>
                <c:pt idx="29">
                  <c:v>-0.21650635094610968</c:v>
                </c:pt>
                <c:pt idx="30">
                  <c:v>-3.183029056074356E-16</c:v>
                </c:pt>
                <c:pt idx="31">
                  <c:v>0.21650635094610915</c:v>
                </c:pt>
                <c:pt idx="32">
                  <c:v>0.37499999999999956</c:v>
                </c:pt>
                <c:pt idx="33">
                  <c:v>0.4330127018922193</c:v>
                </c:pt>
                <c:pt idx="34">
                  <c:v>0.37499999999999983</c:v>
                </c:pt>
                <c:pt idx="35">
                  <c:v>0.21650635094610968</c:v>
                </c:pt>
                <c:pt idx="36">
                  <c:v>3.183029056074356E-16</c:v>
                </c:pt>
                <c:pt idx="37">
                  <c:v>-0.21650635094611048</c:v>
                </c:pt>
                <c:pt idx="38">
                  <c:v>-0.37500000000000033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34B-4BFE-BDB8-3E859255A479}"/>
            </c:ext>
          </c:extLst>
        </c:ser>
        <c:ser>
          <c:idx val="9"/>
          <c:order val="9"/>
          <c:tx>
            <c:strRef>
              <c:f>Scheinleistung!$Z$4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Scheinleistung!$Z$5:$AA$5</c:f>
              <c:numCache>
                <c:formatCode>General</c:formatCode>
                <c:ptCount val="2"/>
                <c:pt idx="0">
                  <c:v>0</c:v>
                </c:pt>
                <c:pt idx="1">
                  <c:v>570</c:v>
                </c:pt>
              </c:numCache>
            </c:numRef>
          </c:xVal>
          <c:yVal>
            <c:numRef>
              <c:f>Scheinleistung!$Z$6:$AA$6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34B-4BFE-BDB8-3E859255A479}"/>
            </c:ext>
          </c:extLst>
        </c:ser>
        <c:ser>
          <c:idx val="10"/>
          <c:order val="10"/>
          <c:tx>
            <c:strRef>
              <c:f>Scheinleistung!$AC$4</c:f>
              <c:strCache>
                <c:ptCount val="1"/>
                <c:pt idx="0">
                  <c:v>y-Achse: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Scheinleistung!$AC$5:$AD$5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Scheinleistung!$AC$6:$AD$6</c:f>
              <c:numCache>
                <c:formatCode>0.00</c:formatCode>
                <c:ptCount val="2"/>
                <c:pt idx="0">
                  <c:v>-1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34B-4BFE-BDB8-3E859255A4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0486639"/>
        <c:axId val="970485199"/>
      </c:scatterChart>
      <c:valAx>
        <c:axId val="970486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Phasenwinkel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5199"/>
        <c:crosses val="autoZero"/>
        <c:crossBetween val="midCat"/>
      </c:valAx>
      <c:valAx>
        <c:axId val="97048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>
                    <a:solidFill>
                      <a:srgbClr val="00B0F0"/>
                    </a:solidFill>
                  </a:rPr>
                  <a:t>Spannung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0000"/>
                    </a:solidFill>
                  </a:rPr>
                  <a:t>Stromstärke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C000"/>
                    </a:solidFill>
                  </a:rPr>
                  <a:t>Leistung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66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3"/>
        <c:delete val="1"/>
      </c:legendEntry>
      <c:legendEntry>
        <c:idx val="6"/>
        <c:delete val="1"/>
      </c:legendEntry>
      <c:legendEntry>
        <c:idx val="9"/>
        <c:delete val="1"/>
      </c:legendEntry>
      <c:layout>
        <c:manualLayout>
          <c:xMode val="edge"/>
          <c:yMode val="edge"/>
          <c:x val="5.898518426161177E-2"/>
          <c:y val="0.84164438344576964"/>
          <c:w val="0.77190440883160338"/>
          <c:h val="0.158355571197849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6057301282007805E-2"/>
          <c:y val="3.3732357816931936E-2"/>
          <c:w val="0.89301102557668788"/>
          <c:h val="0.93253523367945446"/>
        </c:manualLayout>
      </c:layout>
      <c:scatterChart>
        <c:scatterStyle val="lineMarker"/>
        <c:varyColors val="0"/>
        <c:ser>
          <c:idx val="0"/>
          <c:order val="0"/>
          <c:tx>
            <c:strRef>
              <c:f>'3-Phasenstrom'!$R$9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'3-Phasenstrom'!$S$11:$V$11</c:f>
              <c:numCache>
                <c:formatCode>#,##0.00</c:formatCode>
                <c:ptCount val="4"/>
                <c:pt idx="0">
                  <c:v>357.79603128039309</c:v>
                </c:pt>
                <c:pt idx="1">
                  <c:v>0</c:v>
                </c:pt>
                <c:pt idx="2">
                  <c:v>-357.79603128039309</c:v>
                </c:pt>
                <c:pt idx="3">
                  <c:v>0</c:v>
                </c:pt>
              </c:numCache>
            </c:numRef>
          </c:xVal>
          <c:yVal>
            <c:numRef>
              <c:f>'3-Phasenstrom'!$S$12:$V$12</c:f>
              <c:numCache>
                <c:formatCode>#,##0.00</c:formatCode>
                <c:ptCount val="4"/>
                <c:pt idx="0">
                  <c:v>0</c:v>
                </c:pt>
                <c:pt idx="1">
                  <c:v>357.79603128039309</c:v>
                </c:pt>
                <c:pt idx="2">
                  <c:v>0</c:v>
                </c:pt>
                <c:pt idx="3">
                  <c:v>-357.79603128039309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67-4F94-8E75-33D0B3E188C6}"/>
            </c:ext>
          </c:extLst>
        </c:ser>
        <c:ser>
          <c:idx val="1"/>
          <c:order val="1"/>
          <c:tx>
            <c:strRef>
              <c:f>'3-Phasenstrom'!$B$11</c:f>
              <c:strCache>
                <c:ptCount val="1"/>
                <c:pt idx="0">
                  <c:v>L1</c:v>
                </c:pt>
              </c:strCache>
            </c:strRef>
          </c:tx>
          <c:spPr>
            <a:ln w="25400" cap="rnd">
              <a:solidFill>
                <a:schemeClr val="accent2">
                  <a:lumMod val="7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'3-Phasenstrom'!$M$11:$N$11</c:f>
              <c:numCache>
                <c:formatCode>#,##0.00</c:formatCode>
                <c:ptCount val="2"/>
                <c:pt idx="0">
                  <c:v>0</c:v>
                </c:pt>
                <c:pt idx="1">
                  <c:v>325.26911934581187</c:v>
                </c:pt>
              </c:numCache>
            </c:numRef>
          </c:xVal>
          <c:yVal>
            <c:numRef>
              <c:f>'3-Phasenstrom'!$O$11:$P$11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67-4F94-8E75-33D0B3E188C6}"/>
            </c:ext>
          </c:extLst>
        </c:ser>
        <c:ser>
          <c:idx val="2"/>
          <c:order val="2"/>
          <c:tx>
            <c:strRef>
              <c:f>'3-Phasenstrom'!$B$12</c:f>
              <c:strCache>
                <c:ptCount val="1"/>
                <c:pt idx="0">
                  <c:v>L2</c:v>
                </c:pt>
              </c:strCache>
            </c:strRef>
          </c:tx>
          <c:spPr>
            <a:ln w="25400" cap="rnd">
              <a:solidFill>
                <a:schemeClr val="tx1">
                  <a:lumMod val="95000"/>
                  <a:lumOff val="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'3-Phasenstrom'!$M$12:$N$12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'3-Phasenstrom'!$O$12:$P$12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F67-4F94-8E75-33D0B3E188C6}"/>
            </c:ext>
          </c:extLst>
        </c:ser>
        <c:ser>
          <c:idx val="6"/>
          <c:order val="3"/>
          <c:tx>
            <c:strRef>
              <c:f>'3-Phasenstrom'!$B$13</c:f>
              <c:strCache>
                <c:ptCount val="1"/>
                <c:pt idx="0">
                  <c:v>L3</c:v>
                </c:pt>
              </c:strCache>
            </c:strRef>
          </c:tx>
          <c:spPr>
            <a:ln w="25400" cap="rnd">
              <a:solidFill>
                <a:schemeClr val="bg1">
                  <a:lumMod val="50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'3-Phasenstrom'!$M$13:$N$13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-162.63455967290608</c:v>
                </c:pt>
              </c:numCache>
            </c:numRef>
          </c:xVal>
          <c:yVal>
            <c:numRef>
              <c:f>'3-Phasenstrom'!$O$13:$P$13</c:f>
              <c:numCache>
                <c:formatCode>#,##0.00</c:formatCode>
                <c:ptCount val="2"/>
                <c:pt idx="0">
                  <c:v>0</c:v>
                </c:pt>
                <c:pt idx="1">
                  <c:v>-281.69132042006538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7E-45B9-8F1E-B96AB731D0ED}"/>
            </c:ext>
          </c:extLst>
        </c:ser>
        <c:ser>
          <c:idx val="3"/>
          <c:order val="4"/>
          <c:tx>
            <c:strRef>
              <c:f>'3-Phasenstrom'!$B$14</c:f>
              <c:strCache>
                <c:ptCount val="1"/>
                <c:pt idx="0">
                  <c:v>L1 - L2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'3-Phasenstrom'!$M$14:$N$14</c:f>
              <c:numCache>
                <c:formatCode>#,##0.00</c:formatCode>
                <c:ptCount val="2"/>
                <c:pt idx="0">
                  <c:v>325.26911934581187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'3-Phasenstrom'!$O$14:$P$14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F67-4F94-8E75-33D0B3E188C6}"/>
            </c:ext>
          </c:extLst>
        </c:ser>
        <c:ser>
          <c:idx val="4"/>
          <c:order val="5"/>
          <c:tx>
            <c:strRef>
              <c:f>'3-Phasenstrom'!$X$9</c:f>
              <c:strCache>
                <c:ptCount val="1"/>
                <c:pt idx="0">
                  <c:v>Horizontale L2H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'3-Phasenstrom'!$X$10:$Y$10</c:f>
              <c:numCache>
                <c:formatCode>General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'3-Phasenstrom'!$X$11:$Y$11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E4-47A4-9968-E92710E7BD37}"/>
            </c:ext>
          </c:extLst>
        </c:ser>
        <c:ser>
          <c:idx val="5"/>
          <c:order val="6"/>
          <c:tx>
            <c:strRef>
              <c:f>'3-Phasenstrom'!$AA$9</c:f>
              <c:strCache>
                <c:ptCount val="1"/>
                <c:pt idx="0">
                  <c:v>Vertikale L2V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'3-Phasenstrom'!$AA$10:$AB$10</c:f>
              <c:numCache>
                <c:formatCode>General</c:formatCode>
                <c:ptCount val="2"/>
                <c:pt idx="0">
                  <c:v>-162.63455967290585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'3-Phasenstrom'!$AA$11:$AB$11</c:f>
              <c:numCache>
                <c:formatCode>General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D8-49F0-ABDA-D2D27E06D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'3-Phasenstrom'!$Q$22</c:f>
              <c:strCache>
                <c:ptCount val="1"/>
                <c:pt idx="0">
                  <c:v>L1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'3-Phasenstrom'!$R$22:$BB$22</c:f>
              <c:numCache>
                <c:formatCode>General</c:formatCode>
                <c:ptCount val="37"/>
                <c:pt idx="0">
                  <c:v>0</c:v>
                </c:pt>
                <c:pt idx="1">
                  <c:v>56.482389825727509</c:v>
                </c:pt>
                <c:pt idx="2">
                  <c:v>111.24859081806862</c:v>
                </c:pt>
                <c:pt idx="3">
                  <c:v>162.63455967290591</c:v>
                </c:pt>
                <c:pt idx="4">
                  <c:v>209.07895972914008</c:v>
                </c:pt>
                <c:pt idx="5">
                  <c:v>249.17060139306287</c:v>
                </c:pt>
                <c:pt idx="6">
                  <c:v>281.69132042006549</c:v>
                </c:pt>
                <c:pt idx="7">
                  <c:v>305.65299121879036</c:v>
                </c:pt>
                <c:pt idx="8">
                  <c:v>320.32755054720872</c:v>
                </c:pt>
                <c:pt idx="9">
                  <c:v>325.26911934581187</c:v>
                </c:pt>
                <c:pt idx="10">
                  <c:v>320.32755054720872</c:v>
                </c:pt>
                <c:pt idx="11">
                  <c:v>305.65299121879036</c:v>
                </c:pt>
                <c:pt idx="12">
                  <c:v>281.69132042006549</c:v>
                </c:pt>
                <c:pt idx="13">
                  <c:v>249.17060139306287</c:v>
                </c:pt>
                <c:pt idx="14">
                  <c:v>209.07895972914014</c:v>
                </c:pt>
                <c:pt idx="15">
                  <c:v>162.63455967290591</c:v>
                </c:pt>
                <c:pt idx="16">
                  <c:v>111.24859081806868</c:v>
                </c:pt>
                <c:pt idx="17">
                  <c:v>56.482389825727488</c:v>
                </c:pt>
                <c:pt idx="18">
                  <c:v>3.9850295899600895E-14</c:v>
                </c:pt>
                <c:pt idx="19">
                  <c:v>-56.482389825727552</c:v>
                </c:pt>
                <c:pt idx="20">
                  <c:v>-111.24859081806861</c:v>
                </c:pt>
                <c:pt idx="21">
                  <c:v>-162.63455967290597</c:v>
                </c:pt>
                <c:pt idx="22">
                  <c:v>-209.07895972914008</c:v>
                </c:pt>
                <c:pt idx="23">
                  <c:v>-249.17060139306281</c:v>
                </c:pt>
                <c:pt idx="24">
                  <c:v>-281.69132042006538</c:v>
                </c:pt>
                <c:pt idx="25">
                  <c:v>-305.65299121879031</c:v>
                </c:pt>
                <c:pt idx="26">
                  <c:v>-320.32755054720872</c:v>
                </c:pt>
                <c:pt idx="27">
                  <c:v>-325.26911934581187</c:v>
                </c:pt>
                <c:pt idx="28">
                  <c:v>-320.32755054720877</c:v>
                </c:pt>
                <c:pt idx="29">
                  <c:v>-305.65299121879042</c:v>
                </c:pt>
                <c:pt idx="30">
                  <c:v>-281.69132042006549</c:v>
                </c:pt>
                <c:pt idx="31">
                  <c:v>-249.1706013930629</c:v>
                </c:pt>
                <c:pt idx="32">
                  <c:v>-209.07895972914019</c:v>
                </c:pt>
                <c:pt idx="33">
                  <c:v>-162.63455967290608</c:v>
                </c:pt>
                <c:pt idx="34">
                  <c:v>-111.24859081806858</c:v>
                </c:pt>
                <c:pt idx="35">
                  <c:v>-56.482389825727815</c:v>
                </c:pt>
                <c:pt idx="36">
                  <c:v>-7.9700591799201791E-14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280-4BE0-900A-AB7A282E3B42}"/>
            </c:ext>
          </c:extLst>
        </c:ser>
        <c:ser>
          <c:idx val="1"/>
          <c:order val="1"/>
          <c:tx>
            <c:strRef>
              <c:f>'3-Phasenstrom'!$Q$23</c:f>
              <c:strCache>
                <c:ptCount val="1"/>
                <c:pt idx="0">
                  <c:v>L2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'3-Phasenstrom'!$R$23:$BB$23</c:f>
              <c:numCache>
                <c:formatCode>General</c:formatCode>
                <c:ptCount val="37"/>
                <c:pt idx="0">
                  <c:v>281.69132042006549</c:v>
                </c:pt>
                <c:pt idx="1">
                  <c:v>249.17060139306295</c:v>
                </c:pt>
                <c:pt idx="2">
                  <c:v>209.07895972914014</c:v>
                </c:pt>
                <c:pt idx="3">
                  <c:v>162.63455967290605</c:v>
                </c:pt>
                <c:pt idx="4">
                  <c:v>111.24859081806868</c:v>
                </c:pt>
                <c:pt idx="5">
                  <c:v>56.482389825727623</c:v>
                </c:pt>
                <c:pt idx="6">
                  <c:v>3.9850295899600895E-14</c:v>
                </c:pt>
                <c:pt idx="7">
                  <c:v>-56.48238982572741</c:v>
                </c:pt>
                <c:pt idx="8">
                  <c:v>-111.24859081806845</c:v>
                </c:pt>
                <c:pt idx="9">
                  <c:v>-162.63455967290585</c:v>
                </c:pt>
                <c:pt idx="10">
                  <c:v>-209.07895972914008</c:v>
                </c:pt>
                <c:pt idx="11">
                  <c:v>-249.17060139306281</c:v>
                </c:pt>
                <c:pt idx="12">
                  <c:v>-281.69132042006538</c:v>
                </c:pt>
                <c:pt idx="13">
                  <c:v>-305.65299121879036</c:v>
                </c:pt>
                <c:pt idx="14">
                  <c:v>-320.32755054720872</c:v>
                </c:pt>
                <c:pt idx="15">
                  <c:v>-325.26911934581187</c:v>
                </c:pt>
                <c:pt idx="16">
                  <c:v>-320.32755054720877</c:v>
                </c:pt>
                <c:pt idx="17">
                  <c:v>-305.65299121879042</c:v>
                </c:pt>
                <c:pt idx="18">
                  <c:v>-281.69132042006561</c:v>
                </c:pt>
                <c:pt idx="19">
                  <c:v>-249.1706013930629</c:v>
                </c:pt>
                <c:pt idx="20">
                  <c:v>-209.07895972914019</c:v>
                </c:pt>
                <c:pt idx="21">
                  <c:v>-162.63455967290582</c:v>
                </c:pt>
                <c:pt idx="22">
                  <c:v>-111.24859081806858</c:v>
                </c:pt>
                <c:pt idx="23">
                  <c:v>-56.482389825727523</c:v>
                </c:pt>
                <c:pt idx="24">
                  <c:v>-7.9700591799201791E-14</c:v>
                </c:pt>
                <c:pt idx="25">
                  <c:v>56.482389825727374</c:v>
                </c:pt>
                <c:pt idx="26">
                  <c:v>111.24859081806842</c:v>
                </c:pt>
                <c:pt idx="27">
                  <c:v>162.63455967290571</c:v>
                </c:pt>
                <c:pt idx="28">
                  <c:v>209.07895972913983</c:v>
                </c:pt>
                <c:pt idx="29">
                  <c:v>249.17060139306261</c:v>
                </c:pt>
                <c:pt idx="30">
                  <c:v>281.69132042006555</c:v>
                </c:pt>
                <c:pt idx="31">
                  <c:v>305.65299121879036</c:v>
                </c:pt>
                <c:pt idx="32">
                  <c:v>320.32755054720872</c:v>
                </c:pt>
                <c:pt idx="33">
                  <c:v>325.26911934581187</c:v>
                </c:pt>
                <c:pt idx="34">
                  <c:v>320.32755054720877</c:v>
                </c:pt>
                <c:pt idx="35">
                  <c:v>305.65299121879048</c:v>
                </c:pt>
                <c:pt idx="36">
                  <c:v>281.69132042006567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280-4BE0-900A-AB7A282E3B42}"/>
            </c:ext>
          </c:extLst>
        </c:ser>
        <c:ser>
          <c:idx val="2"/>
          <c:order val="2"/>
          <c:tx>
            <c:strRef>
              <c:f>'3-Phasenstrom'!$Q$25</c:f>
              <c:strCache>
                <c:ptCount val="1"/>
                <c:pt idx="0">
                  <c:v>L1 - L2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'3-Phasenstrom'!$R$25:$BB$25</c:f>
            </c:numRef>
          </c:yVal>
          <c:smooth val="1"/>
          <c:extLst>
            <c:ext xmlns:c16="http://schemas.microsoft.com/office/drawing/2014/chart" uri="{C3380CC4-5D6E-409C-BE32-E72D297353CC}">
              <c16:uniqueId val="{00000002-1280-4BE0-900A-AB7A282E3B42}"/>
            </c:ext>
          </c:extLst>
        </c:ser>
        <c:ser>
          <c:idx val="3"/>
          <c:order val="3"/>
          <c:tx>
            <c:strRef>
              <c:f>'3-Phasenstrom'!$Q$24</c:f>
              <c:strCache>
                <c:ptCount val="1"/>
                <c:pt idx="0">
                  <c:v>L3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'3-Phasenstrom'!$R$24:$BB$24</c:f>
              <c:numCache>
                <c:formatCode>General</c:formatCode>
                <c:ptCount val="37"/>
                <c:pt idx="0">
                  <c:v>-281.69132042006538</c:v>
                </c:pt>
                <c:pt idx="1">
                  <c:v>-305.65299121879031</c:v>
                </c:pt>
                <c:pt idx="2">
                  <c:v>-320.32755054720866</c:v>
                </c:pt>
                <c:pt idx="3">
                  <c:v>-325.26911934581187</c:v>
                </c:pt>
                <c:pt idx="4">
                  <c:v>-320.32755054720877</c:v>
                </c:pt>
                <c:pt idx="5">
                  <c:v>-305.65299121879042</c:v>
                </c:pt>
                <c:pt idx="6">
                  <c:v>-281.69132042006561</c:v>
                </c:pt>
                <c:pt idx="7">
                  <c:v>-249.17060139306307</c:v>
                </c:pt>
                <c:pt idx="8">
                  <c:v>-209.07895972914019</c:v>
                </c:pt>
                <c:pt idx="9">
                  <c:v>-162.63455967290608</c:v>
                </c:pt>
                <c:pt idx="10">
                  <c:v>-111.24859081806885</c:v>
                </c:pt>
                <c:pt idx="11">
                  <c:v>-56.482389825727523</c:v>
                </c:pt>
                <c:pt idx="12">
                  <c:v>-7.9700591799201791E-14</c:v>
                </c:pt>
                <c:pt idx="13">
                  <c:v>56.482389825727374</c:v>
                </c:pt>
                <c:pt idx="14">
                  <c:v>111.24859081806842</c:v>
                </c:pt>
                <c:pt idx="15">
                  <c:v>162.63455967290571</c:v>
                </c:pt>
                <c:pt idx="16">
                  <c:v>209.07895972913983</c:v>
                </c:pt>
                <c:pt idx="17">
                  <c:v>249.17060139306278</c:v>
                </c:pt>
                <c:pt idx="18">
                  <c:v>281.69132042006538</c:v>
                </c:pt>
                <c:pt idx="19">
                  <c:v>305.65299121879036</c:v>
                </c:pt>
                <c:pt idx="20">
                  <c:v>320.32755054720872</c:v>
                </c:pt>
                <c:pt idx="21">
                  <c:v>325.26911934581187</c:v>
                </c:pt>
                <c:pt idx="22">
                  <c:v>320.32755054720877</c:v>
                </c:pt>
                <c:pt idx="23">
                  <c:v>305.65299121879048</c:v>
                </c:pt>
                <c:pt idx="24">
                  <c:v>281.69132042006567</c:v>
                </c:pt>
                <c:pt idx="25">
                  <c:v>249.17060139306309</c:v>
                </c:pt>
                <c:pt idx="26">
                  <c:v>209.07895972914</c:v>
                </c:pt>
                <c:pt idx="27">
                  <c:v>162.63455967290585</c:v>
                </c:pt>
                <c:pt idx="28">
                  <c:v>111.24859081806862</c:v>
                </c:pt>
                <c:pt idx="29">
                  <c:v>56.482389825727559</c:v>
                </c:pt>
                <c:pt idx="30">
                  <c:v>1.1955088769880268E-13</c:v>
                </c:pt>
                <c:pt idx="31">
                  <c:v>-56.482389825727324</c:v>
                </c:pt>
                <c:pt idx="32">
                  <c:v>-111.24859081806838</c:v>
                </c:pt>
                <c:pt idx="33">
                  <c:v>-162.63455967290565</c:v>
                </c:pt>
                <c:pt idx="34">
                  <c:v>-209.0789597291398</c:v>
                </c:pt>
                <c:pt idx="35">
                  <c:v>-249.17060139306255</c:v>
                </c:pt>
                <c:pt idx="36">
                  <c:v>-281.69132042006521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451-4066-8236-E0D183FFA540}"/>
            </c:ext>
          </c:extLst>
        </c:ser>
        <c:ser>
          <c:idx val="4"/>
          <c:order val="4"/>
          <c:tx>
            <c:strRef>
              <c:f>'3-Phasenstrom'!$Q$26</c:f>
              <c:strCache>
                <c:ptCount val="1"/>
                <c:pt idx="0">
                  <c:v>L1 - L2</c:v>
                </c:pt>
              </c:strCache>
            </c:strRef>
          </c:tx>
          <c:spPr>
            <a:ln w="3810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'3-Phasenstrom'!$R$26:$BB$26</c:f>
              <c:numCache>
                <c:formatCode>General</c:formatCode>
                <c:ptCount val="37"/>
                <c:pt idx="0">
                  <c:v>-281.69132042006549</c:v>
                </c:pt>
                <c:pt idx="1">
                  <c:v>-192.68821156733543</c:v>
                </c:pt>
                <c:pt idx="2">
                  <c:v>-97.830368911071517</c:v>
                </c:pt>
                <c:pt idx="3">
                  <c:v>0</c:v>
                </c:pt>
                <c:pt idx="4">
                  <c:v>97.830368911071403</c:v>
                </c:pt>
                <c:pt idx="5">
                  <c:v>192.68821156733526</c:v>
                </c:pt>
                <c:pt idx="6">
                  <c:v>281.69132042006544</c:v>
                </c:pt>
                <c:pt idx="7">
                  <c:v>362.13538104451777</c:v>
                </c:pt>
                <c:pt idx="8">
                  <c:v>431.57614136527718</c:v>
                </c:pt>
                <c:pt idx="9">
                  <c:v>487.90367901871775</c:v>
                </c:pt>
                <c:pt idx="10">
                  <c:v>529.40651027634885</c:v>
                </c:pt>
                <c:pt idx="11">
                  <c:v>554.8235926118532</c:v>
                </c:pt>
                <c:pt idx="12">
                  <c:v>563.38264084013088</c:v>
                </c:pt>
                <c:pt idx="13">
                  <c:v>554.8235926118532</c:v>
                </c:pt>
                <c:pt idx="14">
                  <c:v>529.40651027634885</c:v>
                </c:pt>
                <c:pt idx="15">
                  <c:v>487.90367901871775</c:v>
                </c:pt>
                <c:pt idx="16">
                  <c:v>431.57614136527746</c:v>
                </c:pt>
                <c:pt idx="17">
                  <c:v>362.13538104451789</c:v>
                </c:pt>
                <c:pt idx="18">
                  <c:v>281.69132042006567</c:v>
                </c:pt>
                <c:pt idx="19">
                  <c:v>192.68821156733534</c:v>
                </c:pt>
                <c:pt idx="20">
                  <c:v>97.830368911071588</c:v>
                </c:pt>
                <c:pt idx="21">
                  <c:v>0</c:v>
                </c:pt>
                <c:pt idx="22">
                  <c:v>-97.830368911071503</c:v>
                </c:pt>
                <c:pt idx="23">
                  <c:v>-192.68821156733529</c:v>
                </c:pt>
                <c:pt idx="24">
                  <c:v>-281.69132042006532</c:v>
                </c:pt>
                <c:pt idx="25">
                  <c:v>-362.13538104451766</c:v>
                </c:pt>
                <c:pt idx="26">
                  <c:v>-431.57614136527712</c:v>
                </c:pt>
                <c:pt idx="27">
                  <c:v>-487.90367901871758</c:v>
                </c:pt>
                <c:pt idx="28">
                  <c:v>-529.40651027634863</c:v>
                </c:pt>
                <c:pt idx="29">
                  <c:v>-554.82359261185297</c:v>
                </c:pt>
                <c:pt idx="30">
                  <c:v>-563.38264084013099</c:v>
                </c:pt>
                <c:pt idx="31">
                  <c:v>-554.8235926118532</c:v>
                </c:pt>
                <c:pt idx="32">
                  <c:v>-529.40651027634885</c:v>
                </c:pt>
                <c:pt idx="33">
                  <c:v>-487.90367901871798</c:v>
                </c:pt>
                <c:pt idx="34">
                  <c:v>-431.57614136527735</c:v>
                </c:pt>
                <c:pt idx="35">
                  <c:v>-362.13538104451828</c:v>
                </c:pt>
                <c:pt idx="36">
                  <c:v>-281.69132042006572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D82-469D-A603-4C1FD6D593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0733614284129978E-2"/>
          <c:y val="4.8148834488828583E-2"/>
          <c:w val="0.9249412918567318"/>
          <c:h val="0.81172756137107138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'3-Phasenstrom'!$M$123</c:f>
              <c:strCache>
                <c:ptCount val="1"/>
                <c:pt idx="0">
                  <c:v>xAchse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'3-Phasenstrom'!$N$123:$O$123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xVal>
          <c:yVal>
            <c:numRef>
              <c:f>'3-Phasenstrom'!$N$124:$O$124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1FC-459D-87F2-C1C108BA2DD0}"/>
            </c:ext>
          </c:extLst>
        </c:ser>
        <c:ser>
          <c:idx val="5"/>
          <c:order val="1"/>
          <c:tx>
            <c:strRef>
              <c:f>'3-Phasenstrom'!$M$125</c:f>
              <c:strCache>
                <c:ptCount val="1"/>
                <c:pt idx="0">
                  <c:v>yAchse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'3-Phasenstrom'!$N$125:$O$125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'3-Phasenstrom'!$N$126:$O$126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1FC-459D-87F2-C1C108BA2DD0}"/>
            </c:ext>
          </c:extLst>
        </c:ser>
        <c:ser>
          <c:idx val="0"/>
          <c:order val="2"/>
          <c:tx>
            <c:strRef>
              <c:f>'3-Phasenstrom'!$J$115</c:f>
              <c:strCache>
                <c:ptCount val="1"/>
                <c:pt idx="0">
                  <c:v>I1: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'3-Phasenstrom'!$K$115:$L$115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7.5</c:v>
                </c:pt>
              </c:numCache>
            </c:numRef>
          </c:xVal>
          <c:yVal>
            <c:numRef>
              <c:f>'3-Phasenstrom'!$M$115:$N$115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861-438A-A054-66461F40D5A9}"/>
            </c:ext>
          </c:extLst>
        </c:ser>
        <c:ser>
          <c:idx val="1"/>
          <c:order val="3"/>
          <c:tx>
            <c:strRef>
              <c:f>'3-Phasenstrom'!$J$116</c:f>
              <c:strCache>
                <c:ptCount val="1"/>
                <c:pt idx="0">
                  <c:v>I2: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'3-Phasenstrom'!$K$116:$L$116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-1.8749999999999991</c:v>
                </c:pt>
              </c:numCache>
            </c:numRef>
          </c:xVal>
          <c:yVal>
            <c:numRef>
              <c:f>'3-Phasenstrom'!$M$116:$N$116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3.247595264191645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861-438A-A054-66461F40D5A9}"/>
            </c:ext>
          </c:extLst>
        </c:ser>
        <c:ser>
          <c:idx val="2"/>
          <c:order val="4"/>
          <c:tx>
            <c:strRef>
              <c:f>'3-Phasenstrom'!$J$117</c:f>
              <c:strCache>
                <c:ptCount val="1"/>
                <c:pt idx="0">
                  <c:v>I3: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ys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rgbClr val="FF0000"/>
                </a:solidFill>
                <a:prstDash val="sysDash"/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4-F861-438A-A054-66461F40D5A9}"/>
              </c:ext>
            </c:extLst>
          </c:dPt>
          <c:xVal>
            <c:numRef>
              <c:f>'3-Phasenstrom'!$K$117:$L$117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-0.93750000000000089</c:v>
                </c:pt>
              </c:numCache>
            </c:numRef>
          </c:xVal>
          <c:yVal>
            <c:numRef>
              <c:f>'3-Phasenstrom'!$M$117:$N$117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-1.6237976320958221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861-438A-A054-66461F40D5A9}"/>
            </c:ext>
          </c:extLst>
        </c:ser>
        <c:ser>
          <c:idx val="3"/>
          <c:order val="5"/>
          <c:tx>
            <c:strRef>
              <c:f>'3-Phasenstrom'!$J$118</c:f>
              <c:strCache>
                <c:ptCount val="1"/>
                <c:pt idx="0">
                  <c:v>ITotal:</c:v>
                </c:pt>
              </c:strCache>
            </c:strRef>
          </c:tx>
          <c:spPr>
            <a:ln w="38100" cap="rnd">
              <a:solidFill>
                <a:srgbClr val="FF0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'3-Phasenstrom'!$K$118:$L$118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4.6875</c:v>
                </c:pt>
              </c:numCache>
            </c:numRef>
          </c:xVal>
          <c:yVal>
            <c:numRef>
              <c:f>'3-Phasenstrom'!$M$118:$N$118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1.623797632095823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861-438A-A054-66461F40D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688416"/>
        <c:axId val="113689856"/>
      </c:scatterChart>
      <c:valAx>
        <c:axId val="113688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9856"/>
        <c:crosses val="autoZero"/>
        <c:crossBetween val="midCat"/>
      </c:valAx>
      <c:valAx>
        <c:axId val="11368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8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2706569073232043"/>
          <c:y val="0.88531508970007367"/>
          <c:w val="0.41948393774721832"/>
          <c:h val="0.113847167518543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Polygone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'Fläche eines Polygones'!$D$23:$D$36</c:f>
              <c:numCache>
                <c:formatCode>General</c:formatCode>
                <c:ptCount val="14"/>
                <c:pt idx="0">
                  <c:v>0</c:v>
                </c:pt>
                <c:pt idx="1">
                  <c:v>4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xVal>
          <c:yVal>
            <c:numRef>
              <c:f>'Fläche eines Polygones'!$E$23:$E$36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F4-464B-B01F-A5D60F4C1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0821375"/>
        <c:axId val="570809855"/>
      </c:scatterChart>
      <c:valAx>
        <c:axId val="570821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09855"/>
        <c:crosses val="autoZero"/>
        <c:crossBetween val="midCat"/>
      </c:valAx>
      <c:valAx>
        <c:axId val="57080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2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#TOC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hyperlink" Target="#TOC!A1"/><Relationship Id="rId4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hyperlink" Target="#TOC!A1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hyperlink" Target="#TOC!A1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hyperlink" Target="#TOC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hyperlink" Target="#TOC!A1"/><Relationship Id="rId4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hyperlink" Target="#TOC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hyperlink" Target="#TOC!A1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hyperlink" Target="#TOC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4" Type="http://schemas.openxmlformats.org/officeDocument/2006/relationships/chart" Target="../charts/chart16.xml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0.xml"/><Relationship Id="rId1" Type="http://schemas.openxmlformats.org/officeDocument/2006/relationships/chart" Target="../charts/chart19.xml"/><Relationship Id="rId4" Type="http://schemas.openxmlformats.org/officeDocument/2006/relationships/chart" Target="../charts/chart21.xml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hyperlink" Target="#TOC!A1"/><Relationship Id="rId1" Type="http://schemas.openxmlformats.org/officeDocument/2006/relationships/chart" Target="../charts/chart22.xml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chart" Target="../charts/chart23.xml"/><Relationship Id="rId1" Type="http://schemas.openxmlformats.org/officeDocument/2006/relationships/hyperlink" Target="#TOC!A1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5.xml"/><Relationship Id="rId2" Type="http://schemas.openxmlformats.org/officeDocument/2006/relationships/chart" Target="../charts/chart24.xml"/><Relationship Id="rId1" Type="http://schemas.openxmlformats.org/officeDocument/2006/relationships/hyperlink" Target="#TOC!A1"/><Relationship Id="rId5" Type="http://schemas.openxmlformats.org/officeDocument/2006/relationships/chart" Target="../charts/chart26.xml"/><Relationship Id="rId4" Type="http://schemas.openxmlformats.org/officeDocument/2006/relationships/image" Target="../media/image8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2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5.png"/><Relationship Id="rId3" Type="http://schemas.openxmlformats.org/officeDocument/2006/relationships/image" Target="../media/image10.png"/><Relationship Id="rId7" Type="http://schemas.openxmlformats.org/officeDocument/2006/relationships/image" Target="../media/image14.png"/><Relationship Id="rId2" Type="http://schemas.openxmlformats.org/officeDocument/2006/relationships/image" Target="../media/image9.png"/><Relationship Id="rId1" Type="http://schemas.openxmlformats.org/officeDocument/2006/relationships/hyperlink" Target="#TOC!A1"/><Relationship Id="rId6" Type="http://schemas.openxmlformats.org/officeDocument/2006/relationships/image" Target="../media/image13.png"/><Relationship Id="rId5" Type="http://schemas.openxmlformats.org/officeDocument/2006/relationships/image" Target="../media/image12.png"/><Relationship Id="rId4" Type="http://schemas.openxmlformats.org/officeDocument/2006/relationships/image" Target="../media/image11.png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7.png"/><Relationship Id="rId2" Type="http://schemas.openxmlformats.org/officeDocument/2006/relationships/image" Target="../media/image16.png"/><Relationship Id="rId1" Type="http://schemas.openxmlformats.org/officeDocument/2006/relationships/hyperlink" Target="#TOC!A1"/><Relationship Id="rId4" Type="http://schemas.openxmlformats.org/officeDocument/2006/relationships/chart" Target="../charts/chart2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723899</xdr:colOff>
      <xdr:row>1</xdr:row>
      <xdr:rowOff>9524</xdr:rowOff>
    </xdr:from>
    <xdr:to>
      <xdr:col>1</xdr:col>
      <xdr:colOff>565149</xdr:colOff>
      <xdr:row>2</xdr:row>
      <xdr:rowOff>163755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6B8650E-F871-46C6-920C-5CFC63BCFB01}"/>
            </a:ext>
          </a:extLst>
        </xdr:cNvPr>
        <xdr:cNvSpPr/>
      </xdr:nvSpPr>
      <xdr:spPr>
        <a:xfrm rot="10800000">
          <a:off x="723899" y="193674"/>
          <a:ext cx="600075" cy="44315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132522</xdr:colOff>
      <xdr:row>93</xdr:row>
      <xdr:rowOff>87933</xdr:rowOff>
    </xdr:from>
    <xdr:to>
      <xdr:col>1</xdr:col>
      <xdr:colOff>495132</xdr:colOff>
      <xdr:row>106</xdr:row>
      <xdr:rowOff>64189</xdr:rowOff>
    </xdr:to>
    <xdr:sp macro="" textlink="">
      <xdr:nvSpPr>
        <xdr:cNvPr id="295" name="Rechteck 294">
          <a:extLst>
            <a:ext uri="{FF2B5EF4-FFF2-40B4-BE49-F238E27FC236}">
              <a16:creationId xmlns:a16="http://schemas.microsoft.com/office/drawing/2014/main" id="{C450F14E-FDDB-471A-A63A-72C9D88F353A}"/>
            </a:ext>
          </a:extLst>
        </xdr:cNvPr>
        <xdr:cNvSpPr/>
      </xdr:nvSpPr>
      <xdr:spPr>
        <a:xfrm>
          <a:off x="132522" y="17150107"/>
          <a:ext cx="1124610" cy="2345082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600">
              <a:solidFill>
                <a:schemeClr val="tx1">
                  <a:lumMod val="95000"/>
                  <a:lumOff val="5000"/>
                </a:schemeClr>
              </a:solidFill>
            </a:rPr>
            <a:t>Reale Spannungsquelle</a:t>
          </a:r>
        </a:p>
      </xdr:txBody>
    </xdr:sp>
    <xdr:clientData/>
  </xdr:twoCellAnchor>
  <xdr:twoCellAnchor>
    <xdr:from>
      <xdr:col>0</xdr:col>
      <xdr:colOff>723899</xdr:colOff>
      <xdr:row>1</xdr:row>
      <xdr:rowOff>9524</xdr:rowOff>
    </xdr:from>
    <xdr:to>
      <xdr:col>1</xdr:col>
      <xdr:colOff>565149</xdr:colOff>
      <xdr:row>2</xdr:row>
      <xdr:rowOff>163755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BE54208-D6A8-4E5A-822D-AD69C526699C}"/>
            </a:ext>
          </a:extLst>
        </xdr:cNvPr>
        <xdr:cNvSpPr/>
      </xdr:nvSpPr>
      <xdr:spPr>
        <a:xfrm rot="10800000">
          <a:off x="723899" y="190499"/>
          <a:ext cx="603250" cy="33520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330200</xdr:colOff>
      <xdr:row>6</xdr:row>
      <xdr:rowOff>21647</xdr:rowOff>
    </xdr:from>
    <xdr:to>
      <xdr:col>3</xdr:col>
      <xdr:colOff>502352</xdr:colOff>
      <xdr:row>12</xdr:row>
      <xdr:rowOff>102114</xdr:rowOff>
    </xdr:to>
    <xdr:grpSp>
      <xdr:nvGrpSpPr>
        <xdr:cNvPr id="65" name="Gruppieren 64">
          <a:extLst>
            <a:ext uri="{FF2B5EF4-FFF2-40B4-BE49-F238E27FC236}">
              <a16:creationId xmlns:a16="http://schemas.microsoft.com/office/drawing/2014/main" id="{3DE2816A-4B28-EF17-3786-1177127E3B47}"/>
            </a:ext>
          </a:extLst>
        </xdr:cNvPr>
        <xdr:cNvGrpSpPr/>
      </xdr:nvGrpSpPr>
      <xdr:grpSpPr>
        <a:xfrm>
          <a:off x="1092200" y="1230908"/>
          <a:ext cx="1696152" cy="1173771"/>
          <a:chOff x="1092200" y="1225261"/>
          <a:chExt cx="1696152" cy="1171512"/>
        </a:xfrm>
      </xdr:grpSpPr>
      <xdr:grpSp>
        <xdr:nvGrpSpPr>
          <xdr:cNvPr id="4" name="Gruppieren 3">
            <a:extLst>
              <a:ext uri="{FF2B5EF4-FFF2-40B4-BE49-F238E27FC236}">
                <a16:creationId xmlns:a16="http://schemas.microsoft.com/office/drawing/2014/main" id="{FB9901ED-7F21-5470-AEDB-C5DB92A46E60}"/>
              </a:ext>
            </a:extLst>
          </xdr:cNvPr>
          <xdr:cNvGrpSpPr/>
        </xdr:nvGrpSpPr>
        <xdr:grpSpPr>
          <a:xfrm>
            <a:off x="1762453" y="1225261"/>
            <a:ext cx="535457" cy="1174687"/>
            <a:chOff x="1249760" y="11144956"/>
            <a:chExt cx="542131" cy="1164393"/>
          </a:xfrm>
        </xdr:grpSpPr>
        <xdr:cxnSp macro="">
          <xdr:nvCxnSpPr>
            <xdr:cNvPr id="17" name="Gerader Verbinder 16">
              <a:extLst>
                <a:ext uri="{FF2B5EF4-FFF2-40B4-BE49-F238E27FC236}">
                  <a16:creationId xmlns:a16="http://schemas.microsoft.com/office/drawing/2014/main" id="{637FCD80-D898-3758-CBFF-470517EAAEBE}"/>
                </a:ext>
              </a:extLst>
            </xdr:cNvPr>
            <xdr:cNvCxnSpPr>
              <a:cxnSpLocks/>
            </xdr:cNvCxnSpPr>
          </xdr:nvCxnSpPr>
          <xdr:spPr>
            <a:xfrm flipV="1">
              <a:off x="1533127" y="11144956"/>
              <a:ext cx="1228" cy="37130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1" name="Gerader Verbinder 10">
              <a:extLst>
                <a:ext uri="{FF2B5EF4-FFF2-40B4-BE49-F238E27FC236}">
                  <a16:creationId xmlns:a16="http://schemas.microsoft.com/office/drawing/2014/main" id="{62163429-B7B3-202D-382A-F417185960F9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2" name="Gerader Verbinder 11">
              <a:extLst>
                <a:ext uri="{FF2B5EF4-FFF2-40B4-BE49-F238E27FC236}">
                  <a16:creationId xmlns:a16="http://schemas.microsoft.com/office/drawing/2014/main" id="{EB35F0B4-0BDB-4EFF-546E-BAF0CE97755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" name="Gerader Verbinder 12">
              <a:extLst>
                <a:ext uri="{FF2B5EF4-FFF2-40B4-BE49-F238E27FC236}">
                  <a16:creationId xmlns:a16="http://schemas.microsoft.com/office/drawing/2014/main" id="{29E22F89-79C8-1CEA-61CB-83502EA21AD5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" name="Gerader Verbinder 13">
              <a:extLst>
                <a:ext uri="{FF2B5EF4-FFF2-40B4-BE49-F238E27FC236}">
                  <a16:creationId xmlns:a16="http://schemas.microsoft.com/office/drawing/2014/main" id="{64BC1E4B-2ABA-C641-5853-BC39C6E3467C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5" name="Gerader Verbinder 14">
              <a:extLst>
                <a:ext uri="{FF2B5EF4-FFF2-40B4-BE49-F238E27FC236}">
                  <a16:creationId xmlns:a16="http://schemas.microsoft.com/office/drawing/2014/main" id="{4E09B178-94C5-7785-62BD-91564F908077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6" name="Gerader Verbinder 15">
              <a:extLst>
                <a:ext uri="{FF2B5EF4-FFF2-40B4-BE49-F238E27FC236}">
                  <a16:creationId xmlns:a16="http://schemas.microsoft.com/office/drawing/2014/main" id="{CA439E79-F50A-E84F-E1ED-BD48FFB030B8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10" name="Textfeld 9">
            <a:extLst>
              <a:ext uri="{FF2B5EF4-FFF2-40B4-BE49-F238E27FC236}">
                <a16:creationId xmlns:a16="http://schemas.microsoft.com/office/drawing/2014/main" id="{26A16F5B-5C95-E8CA-4DDE-A362525B1B82}"/>
              </a:ext>
            </a:extLst>
          </xdr:cNvPr>
          <xdr:cNvSpPr txBox="1"/>
        </xdr:nvSpPr>
        <xdr:spPr>
          <a:xfrm>
            <a:off x="2083942" y="1319453"/>
            <a:ext cx="704410" cy="2652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0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7" name="Gerader Verbinder 6">
            <a:extLst>
              <a:ext uri="{FF2B5EF4-FFF2-40B4-BE49-F238E27FC236}">
                <a16:creationId xmlns:a16="http://schemas.microsoft.com/office/drawing/2014/main" id="{5E6F2402-6DC5-05D2-80C6-4D637C8B841B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" name="Textfeld 7">
            <a:extLst>
              <a:ext uri="{FF2B5EF4-FFF2-40B4-BE49-F238E27FC236}">
                <a16:creationId xmlns:a16="http://schemas.microsoft.com/office/drawing/2014/main" id="{F4B9AA6B-35D7-CBC2-6C83-6BCAF8132488}"/>
              </a:ext>
            </a:extLst>
          </xdr:cNvPr>
          <xdr:cNvSpPr txBox="1"/>
        </xdr:nvSpPr>
        <xdr:spPr>
          <a:xfrm>
            <a:off x="1092200" y="1654164"/>
            <a:ext cx="61545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0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</xdr:grpSp>
    <xdr:clientData/>
  </xdr:twoCellAnchor>
  <xdr:twoCellAnchor>
    <xdr:from>
      <xdr:col>4</xdr:col>
      <xdr:colOff>69549</xdr:colOff>
      <xdr:row>5</xdr:row>
      <xdr:rowOff>143567</xdr:rowOff>
    </xdr:from>
    <xdr:to>
      <xdr:col>6</xdr:col>
      <xdr:colOff>126988</xdr:colOff>
      <xdr:row>14</xdr:row>
      <xdr:rowOff>140</xdr:rowOff>
    </xdr:to>
    <xdr:grpSp>
      <xdr:nvGrpSpPr>
        <xdr:cNvPr id="66" name="Gruppieren 65">
          <a:extLst>
            <a:ext uri="{FF2B5EF4-FFF2-40B4-BE49-F238E27FC236}">
              <a16:creationId xmlns:a16="http://schemas.microsoft.com/office/drawing/2014/main" id="{BF9E62BC-AECB-7E69-1126-8ECF80D0BE72}"/>
            </a:ext>
          </a:extLst>
        </xdr:cNvPr>
        <xdr:cNvGrpSpPr/>
      </xdr:nvGrpSpPr>
      <xdr:grpSpPr>
        <a:xfrm>
          <a:off x="3117549" y="1170610"/>
          <a:ext cx="1581439" cy="1496530"/>
          <a:chOff x="3121602" y="1395266"/>
          <a:chExt cx="1581439" cy="1493694"/>
        </a:xfrm>
      </xdr:grpSpPr>
      <xdr:grpSp>
        <xdr:nvGrpSpPr>
          <xdr:cNvPr id="33" name="Gruppieren 32">
            <a:extLst>
              <a:ext uri="{FF2B5EF4-FFF2-40B4-BE49-F238E27FC236}">
                <a16:creationId xmlns:a16="http://schemas.microsoft.com/office/drawing/2014/main" id="{65580D93-5B7F-4DC4-A1BF-0CD301CEEEFA}"/>
              </a:ext>
            </a:extLst>
          </xdr:cNvPr>
          <xdr:cNvGrpSpPr/>
        </xdr:nvGrpSpPr>
        <xdr:grpSpPr>
          <a:xfrm>
            <a:off x="3810000" y="1392091"/>
            <a:ext cx="264365" cy="1493694"/>
            <a:chOff x="3542531" y="10266032"/>
            <a:chExt cx="264365" cy="1473212"/>
          </a:xfrm>
        </xdr:grpSpPr>
        <xdr:cxnSp macro="">
          <xdr:nvCxnSpPr>
            <xdr:cNvPr id="34" name="Gerader Verbinder 33">
              <a:extLst>
                <a:ext uri="{FF2B5EF4-FFF2-40B4-BE49-F238E27FC236}">
                  <a16:creationId xmlns:a16="http://schemas.microsoft.com/office/drawing/2014/main" id="{AA9AB415-1F21-3036-C5EB-BB57AB860C0B}"/>
                </a:ext>
              </a:extLst>
            </xdr:cNvPr>
            <xdr:cNvCxnSpPr>
              <a:cxnSpLocks/>
              <a:endCxn id="35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5" name="Textfeld 34">
              <a:extLst>
                <a:ext uri="{FF2B5EF4-FFF2-40B4-BE49-F238E27FC236}">
                  <a16:creationId xmlns:a16="http://schemas.microsoft.com/office/drawing/2014/main" id="{8DE282DA-877F-255E-E983-94E2EA92DB5A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i </a:t>
              </a:r>
              <a:r>
                <a:rPr lang="de-CH" sz="900" baseline="0"/>
                <a:t>= 100k</a:t>
              </a:r>
              <a:r>
                <a:rPr lang="el-GR" sz="900" baseline="0"/>
                <a:t>Ω</a:t>
              </a:r>
              <a:endParaRPr lang="de-CH" sz="900" baseline="-25000"/>
            </a:p>
          </xdr:txBody>
        </xdr:sp>
        <xdr:cxnSp macro="">
          <xdr:nvCxnSpPr>
            <xdr:cNvPr id="36" name="Gerader Verbinder 35">
              <a:extLst>
                <a:ext uri="{FF2B5EF4-FFF2-40B4-BE49-F238E27FC236}">
                  <a16:creationId xmlns:a16="http://schemas.microsoft.com/office/drawing/2014/main" id="{7F7CAF42-235C-BA22-4B4A-B018FC97B035}"/>
                </a:ext>
              </a:extLst>
            </xdr:cNvPr>
            <xdr:cNvCxnSpPr>
              <a:cxnSpLocks/>
              <a:endCxn id="35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52" name="Gerader Verbinder 51">
            <a:extLst>
              <a:ext uri="{FF2B5EF4-FFF2-40B4-BE49-F238E27FC236}">
                <a16:creationId xmlns:a16="http://schemas.microsoft.com/office/drawing/2014/main" id="{4D8F39E0-0092-416C-903A-58E1DDC576AB}"/>
              </a:ext>
            </a:extLst>
          </xdr:cNvPr>
          <xdr:cNvCxnSpPr>
            <a:cxnSpLocks/>
          </xdr:cNvCxnSpPr>
        </xdr:nvCxnSpPr>
        <xdr:spPr>
          <a:xfrm flipV="1">
            <a:off x="3736398" y="1669184"/>
            <a:ext cx="4329" cy="89275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53" name="Textfeld 52">
            <a:extLst>
              <a:ext uri="{FF2B5EF4-FFF2-40B4-BE49-F238E27FC236}">
                <a16:creationId xmlns:a16="http://schemas.microsoft.com/office/drawing/2014/main" id="{B4B72364-ED10-4B2B-8076-C6BC88B85C68}"/>
              </a:ext>
            </a:extLst>
          </xdr:cNvPr>
          <xdr:cNvSpPr txBox="1"/>
        </xdr:nvSpPr>
        <xdr:spPr>
          <a:xfrm>
            <a:off x="3121602" y="1976213"/>
            <a:ext cx="609107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59" name="Gerade Verbindung mit Pfeil 58">
            <a:extLst>
              <a:ext uri="{FF2B5EF4-FFF2-40B4-BE49-F238E27FC236}">
                <a16:creationId xmlns:a16="http://schemas.microsoft.com/office/drawing/2014/main" id="{8212BEEF-517F-8968-69F6-D6F873E2B2C3}"/>
              </a:ext>
            </a:extLst>
          </xdr:cNvPr>
          <xdr:cNvCxnSpPr/>
        </xdr:nvCxnSpPr>
        <xdr:spPr>
          <a:xfrm flipV="1">
            <a:off x="3942074" y="1528835"/>
            <a:ext cx="0" cy="95604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4" name="Textfeld 63">
            <a:extLst>
              <a:ext uri="{FF2B5EF4-FFF2-40B4-BE49-F238E27FC236}">
                <a16:creationId xmlns:a16="http://schemas.microsoft.com/office/drawing/2014/main" id="{CCA4403D-9061-43DF-776E-1C47BB12489D}"/>
              </a:ext>
            </a:extLst>
          </xdr:cNvPr>
          <xdr:cNvSpPr txBox="1"/>
        </xdr:nvSpPr>
        <xdr:spPr>
          <a:xfrm>
            <a:off x="3998631" y="1422154"/>
            <a:ext cx="704410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</xdr:grpSp>
    <xdr:clientData/>
  </xdr:twoCellAnchor>
  <xdr:twoCellAnchor>
    <xdr:from>
      <xdr:col>2</xdr:col>
      <xdr:colOff>524372</xdr:colOff>
      <xdr:row>7</xdr:row>
      <xdr:rowOff>21616</xdr:rowOff>
    </xdr:from>
    <xdr:to>
      <xdr:col>2</xdr:col>
      <xdr:colOff>524372</xdr:colOff>
      <xdr:row>7</xdr:row>
      <xdr:rowOff>114045</xdr:rowOff>
    </xdr:to>
    <xdr:cxnSp macro="">
      <xdr:nvCxnSpPr>
        <xdr:cNvPr id="9" name="Gerade Verbindung mit Pfeil 8">
          <a:extLst>
            <a:ext uri="{FF2B5EF4-FFF2-40B4-BE49-F238E27FC236}">
              <a16:creationId xmlns:a16="http://schemas.microsoft.com/office/drawing/2014/main" id="{03A7782C-ADC2-2CC5-E90C-22ACB1A8EA9E}"/>
            </a:ext>
          </a:extLst>
        </xdr:cNvPr>
        <xdr:cNvCxnSpPr/>
      </xdr:nvCxnSpPr>
      <xdr:spPr>
        <a:xfrm flipV="1">
          <a:off x="2048372" y="1399648"/>
          <a:ext cx="0" cy="92429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656617</xdr:colOff>
      <xdr:row>5</xdr:row>
      <xdr:rowOff>161006</xdr:rowOff>
    </xdr:from>
    <xdr:to>
      <xdr:col>10</xdr:col>
      <xdr:colOff>253893</xdr:colOff>
      <xdr:row>9</xdr:row>
      <xdr:rowOff>141783</xdr:rowOff>
    </xdr:to>
    <xdr:grpSp>
      <xdr:nvGrpSpPr>
        <xdr:cNvPr id="5" name="Gruppieren 4">
          <a:extLst>
            <a:ext uri="{FF2B5EF4-FFF2-40B4-BE49-F238E27FC236}">
              <a16:creationId xmlns:a16="http://schemas.microsoft.com/office/drawing/2014/main" id="{421CD423-9E18-EFC3-522B-F21E02B44E6F}"/>
            </a:ext>
          </a:extLst>
        </xdr:cNvPr>
        <xdr:cNvGrpSpPr/>
      </xdr:nvGrpSpPr>
      <xdr:grpSpPr>
        <a:xfrm>
          <a:off x="5228617" y="1188049"/>
          <a:ext cx="2645276" cy="709647"/>
          <a:chOff x="5334000" y="1420407"/>
          <a:chExt cx="2650094" cy="717842"/>
        </a:xfrm>
      </xdr:grpSpPr>
      <xdr:sp macro="" textlink="">
        <xdr:nvSpPr>
          <xdr:cNvPr id="89" name="Textfeld 88">
            <a:extLst>
              <a:ext uri="{FF2B5EF4-FFF2-40B4-BE49-F238E27FC236}">
                <a16:creationId xmlns:a16="http://schemas.microsoft.com/office/drawing/2014/main" id="{8820BA66-905D-4C53-9ADA-885F6237BD4B}"/>
              </a:ext>
            </a:extLst>
          </xdr:cNvPr>
          <xdr:cNvSpPr txBox="1"/>
        </xdr:nvSpPr>
        <xdr:spPr>
          <a:xfrm>
            <a:off x="7280118" y="1869065"/>
            <a:ext cx="703976" cy="26918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0FC1B0E8-98FF-4A50-9A67-226C9FEF5A74}"/>
              </a:ext>
            </a:extLst>
          </xdr:cNvPr>
          <xdr:cNvCxnSpPr>
            <a:cxnSpLocks/>
            <a:stCxn id="91" idx="1"/>
          </xdr:cNvCxnSpPr>
        </xdr:nvCxnSpPr>
        <xdr:spPr>
          <a:xfrm>
            <a:off x="7305049" y="1898565"/>
            <a:ext cx="332585" cy="192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A941A824-8AD1-4874-B613-4DB58D4CB868}"/>
              </a:ext>
            </a:extLst>
          </xdr:cNvPr>
          <xdr:cNvSpPr txBox="1"/>
        </xdr:nvSpPr>
        <xdr:spPr>
          <a:xfrm rot="10800000" flipV="1">
            <a:off x="6590983" y="1755032"/>
            <a:ext cx="723590" cy="276488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1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92" name="Gerader Verbinder 91">
            <a:extLst>
              <a:ext uri="{FF2B5EF4-FFF2-40B4-BE49-F238E27FC236}">
                <a16:creationId xmlns:a16="http://schemas.microsoft.com/office/drawing/2014/main" id="{96D93C7D-FB5B-48B5-BAD5-8298AAB30796}"/>
              </a:ext>
            </a:extLst>
          </xdr:cNvPr>
          <xdr:cNvCxnSpPr>
            <a:cxnSpLocks/>
            <a:endCxn id="91" idx="3"/>
          </xdr:cNvCxnSpPr>
        </xdr:nvCxnSpPr>
        <xdr:spPr>
          <a:xfrm>
            <a:off x="5334000" y="1898042"/>
            <a:ext cx="1256982" cy="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3" name="Textfeld 92">
            <a:extLst>
              <a:ext uri="{FF2B5EF4-FFF2-40B4-BE49-F238E27FC236}">
                <a16:creationId xmlns:a16="http://schemas.microsoft.com/office/drawing/2014/main" id="{8646C4E5-FD97-4573-BE98-7B25DBF884D2}"/>
              </a:ext>
            </a:extLst>
          </xdr:cNvPr>
          <xdr:cNvSpPr txBox="1"/>
        </xdr:nvSpPr>
        <xdr:spPr>
          <a:xfrm>
            <a:off x="6674505" y="1420407"/>
            <a:ext cx="621424" cy="25584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284C0C80-CF8B-48AD-B29F-8395262E784E}"/>
              </a:ext>
            </a:extLst>
          </xdr:cNvPr>
          <xdr:cNvCxnSpPr>
            <a:cxnSpLocks/>
          </xdr:cNvCxnSpPr>
        </xdr:nvCxnSpPr>
        <xdr:spPr>
          <a:xfrm>
            <a:off x="6514420" y="1694875"/>
            <a:ext cx="926364" cy="195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6" name="Gerade Verbindung mit Pfeil 95">
            <a:extLst>
              <a:ext uri="{FF2B5EF4-FFF2-40B4-BE49-F238E27FC236}">
                <a16:creationId xmlns:a16="http://schemas.microsoft.com/office/drawing/2014/main" id="{6C1CC825-123E-5BBA-EF3E-EA1008EA2ECE}"/>
              </a:ext>
            </a:extLst>
          </xdr:cNvPr>
          <xdr:cNvCxnSpPr/>
        </xdr:nvCxnSpPr>
        <xdr:spPr>
          <a:xfrm>
            <a:off x="7439933" y="1897906"/>
            <a:ext cx="97105" cy="2021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288465</xdr:colOff>
      <xdr:row>16</xdr:row>
      <xdr:rowOff>144088</xdr:rowOff>
    </xdr:from>
    <xdr:to>
      <xdr:col>5</xdr:col>
      <xdr:colOff>622129</xdr:colOff>
      <xdr:row>26</xdr:row>
      <xdr:rowOff>48977</xdr:rowOff>
    </xdr:to>
    <xdr:grpSp>
      <xdr:nvGrpSpPr>
        <xdr:cNvPr id="6" name="Gruppieren 5">
          <a:extLst>
            <a:ext uri="{FF2B5EF4-FFF2-40B4-BE49-F238E27FC236}">
              <a16:creationId xmlns:a16="http://schemas.microsoft.com/office/drawing/2014/main" id="{1E88790E-E74C-44DD-87BE-3B5C6776D78F}"/>
            </a:ext>
          </a:extLst>
        </xdr:cNvPr>
        <xdr:cNvGrpSpPr/>
      </xdr:nvGrpSpPr>
      <xdr:grpSpPr>
        <a:xfrm>
          <a:off x="288465" y="3175523"/>
          <a:ext cx="4143664" cy="1727063"/>
          <a:chOff x="288465" y="3175875"/>
          <a:chExt cx="4143664" cy="1728825"/>
        </a:xfrm>
      </xdr:grpSpPr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6E49F325-5899-DFB9-842B-86808BA32471}"/>
              </a:ext>
            </a:extLst>
          </xdr:cNvPr>
          <xdr:cNvSpPr txBox="1"/>
        </xdr:nvSpPr>
        <xdr:spPr>
          <a:xfrm>
            <a:off x="3169071" y="3633530"/>
            <a:ext cx="709143" cy="271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i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sp macro="" textlink="">
        <xdr:nvSpPr>
          <xdr:cNvPr id="42" name="Textfeld 41">
            <a:extLst>
              <a:ext uri="{FF2B5EF4-FFF2-40B4-BE49-F238E27FC236}">
                <a16:creationId xmlns:a16="http://schemas.microsoft.com/office/drawing/2014/main" id="{B88E8BF6-49A9-CD72-859D-12E5D5AA1150}"/>
              </a:ext>
            </a:extLst>
          </xdr:cNvPr>
          <xdr:cNvSpPr txBox="1"/>
        </xdr:nvSpPr>
        <xdr:spPr>
          <a:xfrm>
            <a:off x="2581757" y="3175875"/>
            <a:ext cx="626730" cy="26618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i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28E72D93-B1DF-BBB8-D109-AA114CCEB489}"/>
              </a:ext>
            </a:extLst>
          </xdr:cNvPr>
          <xdr:cNvCxnSpPr>
            <a:cxnSpLocks/>
            <a:stCxn id="40" idx="1"/>
          </xdr:cNvCxnSpPr>
        </xdr:nvCxnSpPr>
        <xdr:spPr>
          <a:xfrm flipV="1">
            <a:off x="3209818" y="3656195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0" name="Textfeld 39">
            <a:extLst>
              <a:ext uri="{FF2B5EF4-FFF2-40B4-BE49-F238E27FC236}">
                <a16:creationId xmlns:a16="http://schemas.microsoft.com/office/drawing/2014/main" id="{80065A8A-22AF-8BE0-815F-0FBE616F2060}"/>
              </a:ext>
            </a:extLst>
          </xdr:cNvPr>
          <xdr:cNvSpPr txBox="1"/>
        </xdr:nvSpPr>
        <xdr:spPr>
          <a:xfrm rot="10800000" flipV="1">
            <a:off x="2487443" y="3521411"/>
            <a:ext cx="722374" cy="271072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i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41" name="Gerader Verbinder 40">
            <a:extLst>
              <a:ext uri="{FF2B5EF4-FFF2-40B4-BE49-F238E27FC236}">
                <a16:creationId xmlns:a16="http://schemas.microsoft.com/office/drawing/2014/main" id="{8DC87F37-B1D6-19CB-B774-123089AE28A6}"/>
              </a:ext>
            </a:extLst>
          </xdr:cNvPr>
          <xdr:cNvCxnSpPr>
            <a:cxnSpLocks/>
            <a:endCxn id="40" idx="3"/>
          </xdr:cNvCxnSpPr>
        </xdr:nvCxnSpPr>
        <xdr:spPr>
          <a:xfrm>
            <a:off x="1235737" y="3653197"/>
            <a:ext cx="1251706" cy="375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3" name="Gerader Verbinder 42">
            <a:extLst>
              <a:ext uri="{FF2B5EF4-FFF2-40B4-BE49-F238E27FC236}">
                <a16:creationId xmlns:a16="http://schemas.microsoft.com/office/drawing/2014/main" id="{4FF0EF95-8072-4C82-B343-2D20CE4BFE58}"/>
              </a:ext>
            </a:extLst>
          </xdr:cNvPr>
          <xdr:cNvCxnSpPr>
            <a:cxnSpLocks/>
          </xdr:cNvCxnSpPr>
        </xdr:nvCxnSpPr>
        <xdr:spPr>
          <a:xfrm>
            <a:off x="2418323" y="3442422"/>
            <a:ext cx="925266" cy="439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86" name="Gerader Verbinder 85">
            <a:extLst>
              <a:ext uri="{FF2B5EF4-FFF2-40B4-BE49-F238E27FC236}">
                <a16:creationId xmlns:a16="http://schemas.microsoft.com/office/drawing/2014/main" id="{C3908D7F-FD32-918F-227E-7DE9F0BFAE7A}"/>
              </a:ext>
            </a:extLst>
          </xdr:cNvPr>
          <xdr:cNvCxnSpPr>
            <a:cxnSpLocks/>
          </xdr:cNvCxnSpPr>
        </xdr:nvCxnSpPr>
        <xdr:spPr>
          <a:xfrm flipV="1">
            <a:off x="1210724" y="4832233"/>
            <a:ext cx="308476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72" name="Gruppieren 71">
            <a:extLst>
              <a:ext uri="{FF2B5EF4-FFF2-40B4-BE49-F238E27FC236}">
                <a16:creationId xmlns:a16="http://schemas.microsoft.com/office/drawing/2014/main" id="{4077AF7E-D627-9025-BFB0-02AC11D9FC87}"/>
              </a:ext>
            </a:extLst>
          </xdr:cNvPr>
          <xdr:cNvGrpSpPr/>
        </xdr:nvGrpSpPr>
        <xdr:grpSpPr>
          <a:xfrm>
            <a:off x="288465" y="3645614"/>
            <a:ext cx="1210034" cy="1206540"/>
            <a:chOff x="1092200" y="1207509"/>
            <a:chExt cx="1205710" cy="1209349"/>
          </a:xfrm>
        </xdr:grpSpPr>
        <xdr:grpSp>
          <xdr:nvGrpSpPr>
            <xdr:cNvPr id="73" name="Gruppieren 72">
              <a:extLst>
                <a:ext uri="{FF2B5EF4-FFF2-40B4-BE49-F238E27FC236}">
                  <a16:creationId xmlns:a16="http://schemas.microsoft.com/office/drawing/2014/main" id="{1F1BF122-4C27-5C8F-CE5A-537B8FFEB2B0}"/>
                </a:ext>
              </a:extLst>
            </xdr:cNvPr>
            <xdr:cNvGrpSpPr/>
          </xdr:nvGrpSpPr>
          <xdr:grpSpPr>
            <a:xfrm>
              <a:off x="1762453" y="1207509"/>
              <a:ext cx="535457" cy="1209349"/>
              <a:chOff x="1249760" y="11127358"/>
              <a:chExt cx="542131" cy="1198751"/>
            </a:xfrm>
          </xdr:grpSpPr>
          <xdr:cxnSp macro="">
            <xdr:nvCxnSpPr>
              <xdr:cNvPr id="77" name="Gerader Verbinder 76">
                <a:extLst>
                  <a:ext uri="{FF2B5EF4-FFF2-40B4-BE49-F238E27FC236}">
                    <a16:creationId xmlns:a16="http://schemas.microsoft.com/office/drawing/2014/main" id="{36671466-E68B-3DC7-CDFF-7A36FBA313B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32310" y="11127358"/>
                <a:ext cx="817" cy="38890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8" name="Gerader Verbinder 77">
                <a:extLst>
                  <a:ext uri="{FF2B5EF4-FFF2-40B4-BE49-F238E27FC236}">
                    <a16:creationId xmlns:a16="http://schemas.microsoft.com/office/drawing/2014/main" id="{0CC1D877-6A8F-3ADC-6BC7-A6E1D15B8AED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9" name="Gerader Verbinder 78">
                <a:extLst>
                  <a:ext uri="{FF2B5EF4-FFF2-40B4-BE49-F238E27FC236}">
                    <a16:creationId xmlns:a16="http://schemas.microsoft.com/office/drawing/2014/main" id="{EA27FADF-4BF0-3FBA-E9EC-8A1C8DEF3482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0" name="Gerader Verbinder 79">
                <a:extLst>
                  <a:ext uri="{FF2B5EF4-FFF2-40B4-BE49-F238E27FC236}">
                    <a16:creationId xmlns:a16="http://schemas.microsoft.com/office/drawing/2014/main" id="{0189EC6A-9286-9800-9246-4CB1386229A1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1" name="Gerader Verbinder 80">
                <a:extLst>
                  <a:ext uri="{FF2B5EF4-FFF2-40B4-BE49-F238E27FC236}">
                    <a16:creationId xmlns:a16="http://schemas.microsoft.com/office/drawing/2014/main" id="{0816771B-557F-C475-B495-5ECE65027B37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2" name="Gerader Verbinder 81">
                <a:extLst>
                  <a:ext uri="{FF2B5EF4-FFF2-40B4-BE49-F238E27FC236}">
                    <a16:creationId xmlns:a16="http://schemas.microsoft.com/office/drawing/2014/main" id="{86E35A99-DEBF-B841-6578-D640DD4BB1E3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3" name="Gerader Verbinder 82">
                <a:extLst>
                  <a:ext uri="{FF2B5EF4-FFF2-40B4-BE49-F238E27FC236}">
                    <a16:creationId xmlns:a16="http://schemas.microsoft.com/office/drawing/2014/main" id="{CCF44564-522E-2144-120B-A1AD8B7859BD}"/>
                  </a:ext>
                </a:extLst>
              </xdr:cNvPr>
              <xdr:cNvCxnSpPr/>
            </xdr:nvCxnSpPr>
            <xdr:spPr>
              <a:xfrm flipV="1">
                <a:off x="1521174" y="11935230"/>
                <a:ext cx="47" cy="39087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75" name="Gerader Verbinder 74">
              <a:extLst>
                <a:ext uri="{FF2B5EF4-FFF2-40B4-BE49-F238E27FC236}">
                  <a16:creationId xmlns:a16="http://schemas.microsoft.com/office/drawing/2014/main" id="{74BDBD97-8045-0801-5A5F-AB8EE79838C6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76" name="Textfeld 75">
              <a:extLst>
                <a:ext uri="{FF2B5EF4-FFF2-40B4-BE49-F238E27FC236}">
                  <a16:creationId xmlns:a16="http://schemas.microsoft.com/office/drawing/2014/main" id="{3D86AD4F-E11B-CED2-A832-6AE49E06B088}"/>
                </a:ext>
              </a:extLst>
            </xdr:cNvPr>
            <xdr:cNvSpPr txBox="1"/>
          </xdr:nvSpPr>
          <xdr:spPr>
            <a:xfrm>
              <a:off x="1092200" y="1654164"/>
              <a:ext cx="615457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0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  <xdr:cxnSp macro="">
        <xdr:nvCxnSpPr>
          <xdr:cNvPr id="47" name="Gerade Verbindung mit Pfeil 46">
            <a:extLst>
              <a:ext uri="{FF2B5EF4-FFF2-40B4-BE49-F238E27FC236}">
                <a16:creationId xmlns:a16="http://schemas.microsoft.com/office/drawing/2014/main" id="{C8CBC15C-6F27-86F9-2284-4A930BC7028E}"/>
              </a:ext>
            </a:extLst>
          </xdr:cNvPr>
          <xdr:cNvCxnSpPr/>
        </xdr:nvCxnSpPr>
        <xdr:spPr>
          <a:xfrm>
            <a:off x="3324774" y="3665983"/>
            <a:ext cx="96942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0" name="Ellipse 99">
            <a:extLst>
              <a:ext uri="{FF2B5EF4-FFF2-40B4-BE49-F238E27FC236}">
                <a16:creationId xmlns:a16="http://schemas.microsoft.com/office/drawing/2014/main" id="{13481443-6843-B983-607A-5E6C288E35BC}"/>
              </a:ext>
            </a:extLst>
          </xdr:cNvPr>
          <xdr:cNvSpPr/>
        </xdr:nvSpPr>
        <xdr:spPr>
          <a:xfrm>
            <a:off x="4292879" y="3590616"/>
            <a:ext cx="136070" cy="15080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01" name="Ellipse 100">
            <a:extLst>
              <a:ext uri="{FF2B5EF4-FFF2-40B4-BE49-F238E27FC236}">
                <a16:creationId xmlns:a16="http://schemas.microsoft.com/office/drawing/2014/main" id="{2652BC7E-DA56-740C-3747-3F17D295982C}"/>
              </a:ext>
            </a:extLst>
          </xdr:cNvPr>
          <xdr:cNvSpPr/>
        </xdr:nvSpPr>
        <xdr:spPr>
          <a:xfrm>
            <a:off x="4296048" y="4766630"/>
            <a:ext cx="136081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662894</xdr:colOff>
      <xdr:row>13</xdr:row>
      <xdr:rowOff>71211</xdr:rowOff>
    </xdr:from>
    <xdr:to>
      <xdr:col>7</xdr:col>
      <xdr:colOff>30843</xdr:colOff>
      <xdr:row>14</xdr:row>
      <xdr:rowOff>30616</xdr:rowOff>
    </xdr:to>
    <xdr:sp macro="" textlink="">
      <xdr:nvSpPr>
        <xdr:cNvPr id="102" name="Ellipse 101">
          <a:extLst>
            <a:ext uri="{FF2B5EF4-FFF2-40B4-BE49-F238E27FC236}">
              <a16:creationId xmlns:a16="http://schemas.microsoft.com/office/drawing/2014/main" id="{E1EECD79-2A62-00F4-0B68-3A3099BE6081}"/>
            </a:ext>
          </a:extLst>
        </xdr:cNvPr>
        <xdr:cNvSpPr/>
      </xdr:nvSpPr>
      <xdr:spPr>
        <a:xfrm>
          <a:off x="5234894" y="2530702"/>
          <a:ext cx="129949" cy="1397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734559</xdr:colOff>
      <xdr:row>34</xdr:row>
      <xdr:rowOff>68538</xdr:rowOff>
    </xdr:from>
    <xdr:to>
      <xdr:col>6</xdr:col>
      <xdr:colOff>313654</xdr:colOff>
      <xdr:row>47</xdr:row>
      <xdr:rowOff>149676</xdr:rowOff>
    </xdr:to>
    <xdr:grpSp>
      <xdr:nvGrpSpPr>
        <xdr:cNvPr id="18" name="Gruppieren 17">
          <a:extLst>
            <a:ext uri="{FF2B5EF4-FFF2-40B4-BE49-F238E27FC236}">
              <a16:creationId xmlns:a16="http://schemas.microsoft.com/office/drawing/2014/main" id="{649833E1-F3DB-F24E-39E6-1B69724B1C30}"/>
            </a:ext>
          </a:extLst>
        </xdr:cNvPr>
        <xdr:cNvGrpSpPr/>
      </xdr:nvGrpSpPr>
      <xdr:grpSpPr>
        <a:xfrm>
          <a:off x="734559" y="6379886"/>
          <a:ext cx="4151095" cy="2449964"/>
          <a:chOff x="734559" y="6383410"/>
          <a:chExt cx="4151095" cy="2452255"/>
        </a:xfrm>
      </xdr:grpSpPr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FD7DEC17-96E6-B16B-5EC9-4721049EDE99}"/>
              </a:ext>
            </a:extLst>
          </xdr:cNvPr>
          <xdr:cNvCxnSpPr>
            <a:cxnSpLocks/>
          </xdr:cNvCxnSpPr>
        </xdr:nvCxnSpPr>
        <xdr:spPr>
          <a:xfrm flipV="1">
            <a:off x="1664250" y="6449013"/>
            <a:ext cx="309111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9" name="Gerader Verbinder 128">
            <a:extLst>
              <a:ext uri="{FF2B5EF4-FFF2-40B4-BE49-F238E27FC236}">
                <a16:creationId xmlns:a16="http://schemas.microsoft.com/office/drawing/2014/main" id="{5B91E2A0-8B45-6AE1-F76E-4AD2AF2DE3BB}"/>
              </a:ext>
            </a:extLst>
          </xdr:cNvPr>
          <xdr:cNvCxnSpPr>
            <a:cxnSpLocks/>
          </xdr:cNvCxnSpPr>
        </xdr:nvCxnSpPr>
        <xdr:spPr>
          <a:xfrm flipV="1">
            <a:off x="1647229" y="8753673"/>
            <a:ext cx="3084766" cy="1936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8" name="Ellipse 127">
            <a:extLst>
              <a:ext uri="{FF2B5EF4-FFF2-40B4-BE49-F238E27FC236}">
                <a16:creationId xmlns:a16="http://schemas.microsoft.com/office/drawing/2014/main" id="{018B51B2-1587-1C09-7C1A-0084A8716133}"/>
              </a:ext>
            </a:extLst>
          </xdr:cNvPr>
          <xdr:cNvSpPr/>
        </xdr:nvSpPr>
        <xdr:spPr>
          <a:xfrm>
            <a:off x="4755923" y="6383410"/>
            <a:ext cx="129731" cy="14124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0" name="Ellipse 129">
            <a:extLst>
              <a:ext uri="{FF2B5EF4-FFF2-40B4-BE49-F238E27FC236}">
                <a16:creationId xmlns:a16="http://schemas.microsoft.com/office/drawing/2014/main" id="{1FA1B882-D4FD-96DB-378A-EB28E2583C68}"/>
              </a:ext>
            </a:extLst>
          </xdr:cNvPr>
          <xdr:cNvSpPr/>
        </xdr:nvSpPr>
        <xdr:spPr>
          <a:xfrm>
            <a:off x="4742078" y="8697595"/>
            <a:ext cx="126556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137" name="Gruppieren 136">
            <a:extLst>
              <a:ext uri="{FF2B5EF4-FFF2-40B4-BE49-F238E27FC236}">
                <a16:creationId xmlns:a16="http://schemas.microsoft.com/office/drawing/2014/main" id="{04267C4A-AE74-98DD-2F86-160249B72AB4}"/>
              </a:ext>
            </a:extLst>
          </xdr:cNvPr>
          <xdr:cNvGrpSpPr/>
        </xdr:nvGrpSpPr>
        <xdr:grpSpPr>
          <a:xfrm>
            <a:off x="731384" y="6426903"/>
            <a:ext cx="4097477" cy="2356090"/>
            <a:chOff x="731384" y="6426903"/>
            <a:chExt cx="4097477" cy="2356090"/>
          </a:xfrm>
        </xdr:grpSpPr>
        <xdr:grpSp>
          <xdr:nvGrpSpPr>
            <xdr:cNvPr id="105" name="Gruppieren 104">
              <a:extLst>
                <a:ext uri="{FF2B5EF4-FFF2-40B4-BE49-F238E27FC236}">
                  <a16:creationId xmlns:a16="http://schemas.microsoft.com/office/drawing/2014/main" id="{56205ACC-EEFC-48F3-87CB-F571E9893CAC}"/>
                </a:ext>
              </a:extLst>
            </xdr:cNvPr>
            <xdr:cNvGrpSpPr/>
          </xdr:nvGrpSpPr>
          <xdr:grpSpPr>
            <a:xfrm>
              <a:off x="734559" y="7598658"/>
              <a:ext cx="1687219" cy="1184335"/>
              <a:chOff x="1092200" y="1225261"/>
              <a:chExt cx="1696152" cy="1174687"/>
            </a:xfrm>
          </xdr:grpSpPr>
          <xdr:grpSp>
            <xdr:nvGrpSpPr>
              <xdr:cNvPr id="106" name="Gruppieren 105">
                <a:extLst>
                  <a:ext uri="{FF2B5EF4-FFF2-40B4-BE49-F238E27FC236}">
                    <a16:creationId xmlns:a16="http://schemas.microsoft.com/office/drawing/2014/main" id="{F4F9864F-9316-0019-4342-3C8B34A3E105}"/>
                  </a:ext>
                </a:extLst>
              </xdr:cNvPr>
              <xdr:cNvGrpSpPr/>
            </xdr:nvGrpSpPr>
            <xdr:grpSpPr>
              <a:xfrm>
                <a:off x="1762453" y="1225261"/>
                <a:ext cx="535457" cy="1174687"/>
                <a:chOff x="1249760" y="11144956"/>
                <a:chExt cx="542131" cy="1164393"/>
              </a:xfrm>
            </xdr:grpSpPr>
            <xdr:cxnSp macro="">
              <xdr:nvCxnSpPr>
                <xdr:cNvPr id="110" name="Gerader Verbinder 109">
                  <a:extLst>
                    <a:ext uri="{FF2B5EF4-FFF2-40B4-BE49-F238E27FC236}">
                      <a16:creationId xmlns:a16="http://schemas.microsoft.com/office/drawing/2014/main" id="{027A8B5B-B889-4F0D-DD5A-353D5F33BAB1}"/>
                    </a:ext>
                  </a:extLst>
                </xdr:cNvPr>
                <xdr:cNvCxnSpPr>
                  <a:cxnSpLocks/>
                </xdr:cNvCxnSpPr>
              </xdr:nvCxnSpPr>
              <xdr:spPr>
                <a:xfrm flipV="1">
                  <a:off x="1533127" y="11144956"/>
                  <a:ext cx="1228" cy="37130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1" name="Gerader Verbinder 110">
                  <a:extLst>
                    <a:ext uri="{FF2B5EF4-FFF2-40B4-BE49-F238E27FC236}">
                      <a16:creationId xmlns:a16="http://schemas.microsoft.com/office/drawing/2014/main" id="{986613AD-A961-3CE2-B268-965B4094C76F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2" name="Gerader Verbinder 111">
                  <a:extLst>
                    <a:ext uri="{FF2B5EF4-FFF2-40B4-BE49-F238E27FC236}">
                      <a16:creationId xmlns:a16="http://schemas.microsoft.com/office/drawing/2014/main" id="{94CC6391-B46A-833A-0F4E-BAF9E6005AFD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3" name="Gerader Verbinder 112">
                  <a:extLst>
                    <a:ext uri="{FF2B5EF4-FFF2-40B4-BE49-F238E27FC236}">
                      <a16:creationId xmlns:a16="http://schemas.microsoft.com/office/drawing/2014/main" id="{80747032-E49C-8CD9-49CB-77B44EAEA5AA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4" name="Gerader Verbinder 113">
                  <a:extLst>
                    <a:ext uri="{FF2B5EF4-FFF2-40B4-BE49-F238E27FC236}">
                      <a16:creationId xmlns:a16="http://schemas.microsoft.com/office/drawing/2014/main" id="{E37AD0ED-B1D1-1DED-7E83-D610F7ED8B0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5" name="Gerader Verbinder 114">
                  <a:extLst>
                    <a:ext uri="{FF2B5EF4-FFF2-40B4-BE49-F238E27FC236}">
                      <a16:creationId xmlns:a16="http://schemas.microsoft.com/office/drawing/2014/main" id="{236E5839-913D-5EE1-A83F-5C9284011AE4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6" name="Gerader Verbinder 115">
                  <a:extLst>
                    <a:ext uri="{FF2B5EF4-FFF2-40B4-BE49-F238E27FC236}">
                      <a16:creationId xmlns:a16="http://schemas.microsoft.com/office/drawing/2014/main" id="{371E77BC-A63E-9F65-5A72-5E5E3159AB3B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sp macro="" textlink="">
            <xdr:nvSpPr>
              <xdr:cNvPr id="107" name="Textfeld 106">
                <a:extLst>
                  <a:ext uri="{FF2B5EF4-FFF2-40B4-BE49-F238E27FC236}">
                    <a16:creationId xmlns:a16="http://schemas.microsoft.com/office/drawing/2014/main" id="{879F0711-17E4-91A7-D864-34548DD044B0}"/>
                  </a:ext>
                </a:extLst>
              </xdr:cNvPr>
              <xdr:cNvSpPr txBox="1"/>
            </xdr:nvSpPr>
            <xdr:spPr>
              <a:xfrm>
                <a:off x="2083942" y="1319453"/>
                <a:ext cx="704410" cy="26528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0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  <xdr:cxnSp macro="">
            <xdr:nvCxnSpPr>
              <xdr:cNvPr id="108" name="Gerader Verbinder 107">
                <a:extLst>
                  <a:ext uri="{FF2B5EF4-FFF2-40B4-BE49-F238E27FC236}">
                    <a16:creationId xmlns:a16="http://schemas.microsoft.com/office/drawing/2014/main" id="{433FF3BC-D22E-2550-A137-0B0EF181F2A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09" name="Textfeld 108">
                <a:extLst>
                  <a:ext uri="{FF2B5EF4-FFF2-40B4-BE49-F238E27FC236}">
                    <a16:creationId xmlns:a16="http://schemas.microsoft.com/office/drawing/2014/main" id="{26786D40-69EA-5111-D022-3DE061915E6B}"/>
                  </a:ext>
                </a:extLst>
              </xdr:cNvPr>
              <xdr:cNvSpPr txBox="1"/>
            </xdr:nvSpPr>
            <xdr:spPr>
              <a:xfrm>
                <a:off x="1092200" y="1654164"/>
                <a:ext cx="61545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</xdr:grpSp>
        <xdr:grpSp>
          <xdr:nvGrpSpPr>
            <xdr:cNvPr id="118" name="Gruppieren 117">
              <a:extLst>
                <a:ext uri="{FF2B5EF4-FFF2-40B4-BE49-F238E27FC236}">
                  <a16:creationId xmlns:a16="http://schemas.microsoft.com/office/drawing/2014/main" id="{FF2D25D7-6726-4039-A592-64EEDEA19D91}"/>
                </a:ext>
              </a:extLst>
            </xdr:cNvPr>
            <xdr:cNvGrpSpPr/>
          </xdr:nvGrpSpPr>
          <xdr:grpSpPr>
            <a:xfrm>
              <a:off x="846733" y="6468432"/>
              <a:ext cx="1601482" cy="1506568"/>
              <a:chOff x="3121602" y="1388889"/>
              <a:chExt cx="1581439" cy="1493696"/>
            </a:xfrm>
          </xdr:grpSpPr>
          <xdr:grpSp>
            <xdr:nvGrpSpPr>
              <xdr:cNvPr id="119" name="Gruppieren 118">
                <a:extLst>
                  <a:ext uri="{FF2B5EF4-FFF2-40B4-BE49-F238E27FC236}">
                    <a16:creationId xmlns:a16="http://schemas.microsoft.com/office/drawing/2014/main" id="{D10E80B9-C32A-0D1F-F43E-B8C239C7CCCD}"/>
                  </a:ext>
                </a:extLst>
              </xdr:cNvPr>
              <xdr:cNvGrpSpPr/>
            </xdr:nvGrpSpPr>
            <xdr:grpSpPr>
              <a:xfrm>
                <a:off x="3808276" y="1388889"/>
                <a:ext cx="264875" cy="1493696"/>
                <a:chOff x="3540807" y="10262874"/>
                <a:chExt cx="264875" cy="1473214"/>
              </a:xfrm>
            </xdr:grpSpPr>
            <xdr:cxnSp macro="">
              <xdr:nvCxnSpPr>
                <xdr:cNvPr id="124" name="Gerader Verbinder 123">
                  <a:extLst>
                    <a:ext uri="{FF2B5EF4-FFF2-40B4-BE49-F238E27FC236}">
                      <a16:creationId xmlns:a16="http://schemas.microsoft.com/office/drawing/2014/main" id="{A9AC788F-57FF-3CB9-40C2-E90D4DD9B85F}"/>
                    </a:ext>
                  </a:extLst>
                </xdr:cNvPr>
                <xdr:cNvCxnSpPr>
                  <a:cxnSpLocks/>
                  <a:endCxn id="125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125" name="Textfeld 124">
                  <a:extLst>
                    <a:ext uri="{FF2B5EF4-FFF2-40B4-BE49-F238E27FC236}">
                      <a16:creationId xmlns:a16="http://schemas.microsoft.com/office/drawing/2014/main" id="{193CE01D-B353-609B-74CD-E9E4E898F3B0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 </a:t>
                  </a:r>
                  <a:r>
                    <a:rPr lang="de-CH" sz="900" baseline="0"/>
                    <a:t>= 100k</a:t>
                  </a:r>
                  <a:r>
                    <a:rPr lang="el-GR" sz="900" baseline="0"/>
                    <a:t>Ω</a:t>
                  </a:r>
                  <a:endParaRPr lang="de-CH" sz="900" baseline="-25000"/>
                </a:p>
              </xdr:txBody>
            </xdr:sp>
            <xdr:cxnSp macro="">
              <xdr:nvCxnSpPr>
                <xdr:cNvPr id="126" name="Gerader Verbinder 125">
                  <a:extLst>
                    <a:ext uri="{FF2B5EF4-FFF2-40B4-BE49-F238E27FC236}">
                      <a16:creationId xmlns:a16="http://schemas.microsoft.com/office/drawing/2014/main" id="{E8E83361-DF12-A88A-9D2B-6E76CA99F003}"/>
                    </a:ext>
                  </a:extLst>
                </xdr:cNvPr>
                <xdr:cNvCxnSpPr>
                  <a:cxnSpLocks/>
                  <a:endCxn id="125" idx="3"/>
                </xdr:cNvCxnSpPr>
              </xdr:nvCxnSpPr>
              <xdr:spPr>
                <a:xfrm flipV="1">
                  <a:off x="3670943" y="11345988"/>
                  <a:ext cx="2301" cy="39010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20" name="Gerader Verbinder 119">
                <a:extLst>
                  <a:ext uri="{FF2B5EF4-FFF2-40B4-BE49-F238E27FC236}">
                    <a16:creationId xmlns:a16="http://schemas.microsoft.com/office/drawing/2014/main" id="{DAD4FA96-B908-C386-238F-909872FF0648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1" name="Textfeld 120">
                <a:extLst>
                  <a:ext uri="{FF2B5EF4-FFF2-40B4-BE49-F238E27FC236}">
                    <a16:creationId xmlns:a16="http://schemas.microsoft.com/office/drawing/2014/main" id="{54D9E0D8-57A7-20FC-29ED-227CBCE45588}"/>
                  </a:ext>
                </a:extLst>
              </xdr:cNvPr>
              <xdr:cNvSpPr txBox="1"/>
            </xdr:nvSpPr>
            <xdr:spPr>
              <a:xfrm>
                <a:off x="3121602" y="1976213"/>
                <a:ext cx="609107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  <xdr:cxnSp macro="">
            <xdr:nvCxnSpPr>
              <xdr:cNvPr id="122" name="Gerade Verbindung mit Pfeil 121">
                <a:extLst>
                  <a:ext uri="{FF2B5EF4-FFF2-40B4-BE49-F238E27FC236}">
                    <a16:creationId xmlns:a16="http://schemas.microsoft.com/office/drawing/2014/main" id="{E40926DE-C238-09B0-ACA2-7EA7C768829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3" name="Textfeld 122">
                <a:extLst>
                  <a:ext uri="{FF2B5EF4-FFF2-40B4-BE49-F238E27FC236}">
                    <a16:creationId xmlns:a16="http://schemas.microsoft.com/office/drawing/2014/main" id="{856F7655-177C-4531-1514-A83F093D8F7D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</xdr:grpSp>
        <xdr:sp macro="" textlink="">
          <xdr:nvSpPr>
            <xdr:cNvPr id="131" name="Textfeld 130">
              <a:extLst>
                <a:ext uri="{FF2B5EF4-FFF2-40B4-BE49-F238E27FC236}">
                  <a16:creationId xmlns:a16="http://schemas.microsoft.com/office/drawing/2014/main" id="{3955F5EB-F52E-4B5F-9020-F0D5AC9683AD}"/>
                </a:ext>
              </a:extLst>
            </xdr:cNvPr>
            <xdr:cNvSpPr txBox="1"/>
          </xdr:nvSpPr>
          <xdr:spPr>
            <a:xfrm>
              <a:off x="3565071" y="6426903"/>
              <a:ext cx="702793" cy="2626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r>
                <a:rPr lang="de-CH" sz="1100">
                  <a:solidFill>
                    <a:srgbClr val="FF0000"/>
                  </a:solidFill>
                </a:rPr>
                <a:t>=50mA</a:t>
              </a:r>
            </a:p>
          </xdr:txBody>
        </xdr:sp>
        <xdr:cxnSp macro="">
          <xdr:nvCxnSpPr>
            <xdr:cNvPr id="132" name="Gerade Verbindung mit Pfeil 131">
              <a:extLst>
                <a:ext uri="{FF2B5EF4-FFF2-40B4-BE49-F238E27FC236}">
                  <a16:creationId xmlns:a16="http://schemas.microsoft.com/office/drawing/2014/main" id="{0C8AC431-FE7F-44AF-B11B-3A1A07118504}"/>
                </a:ext>
              </a:extLst>
            </xdr:cNvPr>
            <xdr:cNvCxnSpPr/>
          </xdr:nvCxnSpPr>
          <xdr:spPr>
            <a:xfrm>
              <a:off x="3717599" y="6449531"/>
              <a:ext cx="100117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3" name="Gerader Verbinder 132">
              <a:extLst>
                <a:ext uri="{FF2B5EF4-FFF2-40B4-BE49-F238E27FC236}">
                  <a16:creationId xmlns:a16="http://schemas.microsoft.com/office/drawing/2014/main" id="{B116D28C-9ECA-43C6-BC8E-664ACF538AAB}"/>
                </a:ext>
              </a:extLst>
            </xdr:cNvPr>
            <xdr:cNvCxnSpPr>
              <a:cxnSpLocks/>
            </xdr:cNvCxnSpPr>
          </xdr:nvCxnSpPr>
          <xdr:spPr>
            <a:xfrm>
              <a:off x="4827361" y="6656923"/>
              <a:ext cx="1498" cy="1924914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4" name="Textfeld 133">
              <a:extLst>
                <a:ext uri="{FF2B5EF4-FFF2-40B4-BE49-F238E27FC236}">
                  <a16:creationId xmlns:a16="http://schemas.microsoft.com/office/drawing/2014/main" id="{77D2220F-B9C5-4FD5-8AD1-9DB80BE99A4E}"/>
                </a:ext>
              </a:extLst>
            </xdr:cNvPr>
            <xdr:cNvSpPr txBox="1"/>
          </xdr:nvSpPr>
          <xdr:spPr>
            <a:xfrm>
              <a:off x="4221843" y="7512069"/>
              <a:ext cx="607018" cy="2695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</xdr:grpSp>
    <xdr:clientData/>
  </xdr:twoCellAnchor>
  <xdr:twoCellAnchor>
    <xdr:from>
      <xdr:col>0</xdr:col>
      <xdr:colOff>692217</xdr:colOff>
      <xdr:row>51</xdr:row>
      <xdr:rowOff>71202</xdr:rowOff>
    </xdr:from>
    <xdr:to>
      <xdr:col>7</xdr:col>
      <xdr:colOff>483571</xdr:colOff>
      <xdr:row>59</xdr:row>
      <xdr:rowOff>149969</xdr:rowOff>
    </xdr:to>
    <xdr:grpSp>
      <xdr:nvGrpSpPr>
        <xdr:cNvPr id="3" name="Gruppieren 2">
          <a:extLst>
            <a:ext uri="{FF2B5EF4-FFF2-40B4-BE49-F238E27FC236}">
              <a16:creationId xmlns:a16="http://schemas.microsoft.com/office/drawing/2014/main" id="{CA0E6566-E710-2258-94E4-F03328A46C35}"/>
            </a:ext>
          </a:extLst>
        </xdr:cNvPr>
        <xdr:cNvGrpSpPr/>
      </xdr:nvGrpSpPr>
      <xdr:grpSpPr>
        <a:xfrm>
          <a:off x="692217" y="9480245"/>
          <a:ext cx="5125354" cy="1536507"/>
          <a:chOff x="762000" y="9921335"/>
          <a:chExt cx="5134879" cy="1541091"/>
        </a:xfrm>
      </xdr:grpSpPr>
      <xdr:sp macro="" textlink="">
        <xdr:nvSpPr>
          <xdr:cNvPr id="198" name="Rechteck 197">
            <a:extLst>
              <a:ext uri="{FF2B5EF4-FFF2-40B4-BE49-F238E27FC236}">
                <a16:creationId xmlns:a16="http://schemas.microsoft.com/office/drawing/2014/main" id="{B4108DE7-D886-36B2-DAA7-60E566EA46C0}"/>
              </a:ext>
            </a:extLst>
          </xdr:cNvPr>
          <xdr:cNvSpPr/>
        </xdr:nvSpPr>
        <xdr:spPr>
          <a:xfrm>
            <a:off x="811516" y="9921335"/>
            <a:ext cx="3513239" cy="1541091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8" name="Gruppieren 137">
            <a:extLst>
              <a:ext uri="{FF2B5EF4-FFF2-40B4-BE49-F238E27FC236}">
                <a16:creationId xmlns:a16="http://schemas.microsoft.com/office/drawing/2014/main" id="{90B405D2-D335-47B1-B65C-BD286DBCD74B}"/>
              </a:ext>
            </a:extLst>
          </xdr:cNvPr>
          <xdr:cNvGrpSpPr/>
        </xdr:nvGrpSpPr>
        <xdr:grpSpPr>
          <a:xfrm>
            <a:off x="4581376" y="10096893"/>
            <a:ext cx="1312328" cy="1189719"/>
            <a:chOff x="2773378" y="10207571"/>
            <a:chExt cx="1254659" cy="1191913"/>
          </a:xfrm>
        </xdr:grpSpPr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205FF9FB-F205-3A8B-803C-CC11A57B9CA1}"/>
                </a:ext>
              </a:extLst>
            </xdr:cNvPr>
            <xdr:cNvCxnSpPr>
              <a:cxnSpLocks/>
              <a:endCxn id="140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0" name="Textfeld 139">
              <a:extLst>
                <a:ext uri="{FF2B5EF4-FFF2-40B4-BE49-F238E27FC236}">
                  <a16:creationId xmlns:a16="http://schemas.microsoft.com/office/drawing/2014/main" id="{6C5B63C4-A4B4-FD79-8D71-DA5BE3F395B2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1442A2C2-BB71-1B33-69AC-72253E884373}"/>
                </a:ext>
              </a:extLst>
            </xdr:cNvPr>
            <xdr:cNvCxnSpPr>
              <a:cxnSpLocks/>
              <a:endCxn id="140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2" name="Gerader Verbinder 141">
              <a:extLst>
                <a:ext uri="{FF2B5EF4-FFF2-40B4-BE49-F238E27FC236}">
                  <a16:creationId xmlns:a16="http://schemas.microsoft.com/office/drawing/2014/main" id="{99782DD6-5C5C-ECDA-CE51-FD20B93AA373}"/>
                </a:ext>
              </a:extLst>
            </xdr:cNvPr>
            <xdr:cNvCxnSpPr>
              <a:cxnSpLocks/>
              <a:stCxn id="149" idx="6"/>
            </xdr:cNvCxnSpPr>
          </xdr:nvCxnSpPr>
          <xdr:spPr>
            <a:xfrm flipV="1">
              <a:off x="2773378" y="10216207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3" name="Gerader Verbinder 142">
              <a:extLst>
                <a:ext uri="{FF2B5EF4-FFF2-40B4-BE49-F238E27FC236}">
                  <a16:creationId xmlns:a16="http://schemas.microsoft.com/office/drawing/2014/main" id="{FE6DBB0B-8EEB-3D50-B56E-931B5668D73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4" name="Gerader Verbinder 143">
              <a:extLst>
                <a:ext uri="{FF2B5EF4-FFF2-40B4-BE49-F238E27FC236}">
                  <a16:creationId xmlns:a16="http://schemas.microsoft.com/office/drawing/2014/main" id="{AB3E058B-AC59-7720-7BCC-C3106806DE45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5" name="Gruppieren 144">
            <a:extLst>
              <a:ext uri="{FF2B5EF4-FFF2-40B4-BE49-F238E27FC236}">
                <a16:creationId xmlns:a16="http://schemas.microsoft.com/office/drawing/2014/main" id="{4E8C6603-7549-447C-9B70-1DDF3F82F76B}"/>
              </a:ext>
            </a:extLst>
          </xdr:cNvPr>
          <xdr:cNvGrpSpPr/>
        </xdr:nvGrpSpPr>
        <xdr:grpSpPr>
          <a:xfrm>
            <a:off x="762000" y="9962745"/>
            <a:ext cx="3822646" cy="1381719"/>
            <a:chOff x="1647691" y="3231319"/>
            <a:chExt cx="3829184" cy="1371297"/>
          </a:xfrm>
        </xdr:grpSpPr>
        <xdr:grpSp>
          <xdr:nvGrpSpPr>
            <xdr:cNvPr id="146" name="Gruppieren 145">
              <a:extLst>
                <a:ext uri="{FF2B5EF4-FFF2-40B4-BE49-F238E27FC236}">
                  <a16:creationId xmlns:a16="http://schemas.microsoft.com/office/drawing/2014/main" id="{80F1877B-8CBF-391E-0EA3-6489D3C49021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62" name="Textfeld 161">
                <a:extLst>
                  <a:ext uri="{FF2B5EF4-FFF2-40B4-BE49-F238E27FC236}">
                    <a16:creationId xmlns:a16="http://schemas.microsoft.com/office/drawing/2014/main" id="{A3C4AC5F-D977-8F6F-DD3C-A226D2F6B681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8532420B-9E74-825F-278C-DEEC22D276A0}"/>
                  </a:ext>
                </a:extLst>
              </xdr:cNvPr>
              <xdr:cNvCxnSpPr>
                <a:cxnSpLocks/>
                <a:stCxn id="164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4" name="Textfeld 163">
                <a:extLst>
                  <a:ext uri="{FF2B5EF4-FFF2-40B4-BE49-F238E27FC236}">
                    <a16:creationId xmlns:a16="http://schemas.microsoft.com/office/drawing/2014/main" id="{BE2EF287-2050-F25C-E530-92814028D121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5" name="Gerader Verbinder 164">
                <a:extLst>
                  <a:ext uri="{FF2B5EF4-FFF2-40B4-BE49-F238E27FC236}">
                    <a16:creationId xmlns:a16="http://schemas.microsoft.com/office/drawing/2014/main" id="{45341779-DD6A-F856-FD8D-0DF04C271971}"/>
                  </a:ext>
                </a:extLst>
              </xdr:cNvPr>
              <xdr:cNvCxnSpPr>
                <a:cxnSpLocks/>
                <a:endCxn id="164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6" name="Gerader Verbinder 165">
                <a:extLst>
                  <a:ext uri="{FF2B5EF4-FFF2-40B4-BE49-F238E27FC236}">
                    <a16:creationId xmlns:a16="http://schemas.microsoft.com/office/drawing/2014/main" id="{927483FC-6C34-55B2-BD0B-649FEF8CF19F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7" name="Gerader Verbinder 166">
                <a:extLst>
                  <a:ext uri="{FF2B5EF4-FFF2-40B4-BE49-F238E27FC236}">
                    <a16:creationId xmlns:a16="http://schemas.microsoft.com/office/drawing/2014/main" id="{5CA35E17-241A-C21E-F3D8-B6FEB77DE3F4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7" name="Gruppieren 146">
              <a:extLst>
                <a:ext uri="{FF2B5EF4-FFF2-40B4-BE49-F238E27FC236}">
                  <a16:creationId xmlns:a16="http://schemas.microsoft.com/office/drawing/2014/main" id="{D54615A6-EB05-5AC6-ABBC-88855A8E1041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51" name="Gruppieren 150">
                <a:extLst>
                  <a:ext uri="{FF2B5EF4-FFF2-40B4-BE49-F238E27FC236}">
                    <a16:creationId xmlns:a16="http://schemas.microsoft.com/office/drawing/2014/main" id="{30519A1B-7B3C-6B6B-D690-C98543E9BE15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1E83EB56-40D8-2662-36DC-ADAB83185E4F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B96CC196-66A5-817A-7608-9C29970AD6EC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9D51BB9D-7409-1254-4353-A17A92565045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A99D8F6A-1A0D-E92D-DFEA-D1E0CA42B5B1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9" name="Gerader Verbinder 158">
                  <a:extLst>
                    <a:ext uri="{FF2B5EF4-FFF2-40B4-BE49-F238E27FC236}">
                      <a16:creationId xmlns:a16="http://schemas.microsoft.com/office/drawing/2014/main" id="{0D26D025-EAB8-5DA5-1DF6-E31B9CF53C4F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0" name="Gerader Verbinder 159">
                  <a:extLst>
                    <a:ext uri="{FF2B5EF4-FFF2-40B4-BE49-F238E27FC236}">
                      <a16:creationId xmlns:a16="http://schemas.microsoft.com/office/drawing/2014/main" id="{4A0709B2-77FE-4FF9-FD93-19EFE1E69A1A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1" name="Gerader Verbinder 160">
                  <a:extLst>
                    <a:ext uri="{FF2B5EF4-FFF2-40B4-BE49-F238E27FC236}">
                      <a16:creationId xmlns:a16="http://schemas.microsoft.com/office/drawing/2014/main" id="{B1959929-9830-5EC2-E049-6FC6B439152C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52" name="Gerader Verbinder 151">
                <a:extLst>
                  <a:ext uri="{FF2B5EF4-FFF2-40B4-BE49-F238E27FC236}">
                    <a16:creationId xmlns:a16="http://schemas.microsoft.com/office/drawing/2014/main" id="{84B48961-FD1E-C38F-EAF7-2366A43C3739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3" name="Textfeld 152">
                <a:extLst>
                  <a:ext uri="{FF2B5EF4-FFF2-40B4-BE49-F238E27FC236}">
                    <a16:creationId xmlns:a16="http://schemas.microsoft.com/office/drawing/2014/main" id="{FCBB7BDA-ED2D-F053-ED96-842635D4DA1F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4" name="Textfeld 153">
                <a:extLst>
                  <a:ext uri="{FF2B5EF4-FFF2-40B4-BE49-F238E27FC236}">
                    <a16:creationId xmlns:a16="http://schemas.microsoft.com/office/drawing/2014/main" id="{52C810AA-DDC4-0633-AAD1-9421465B1534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8" name="Gerade Verbindung mit Pfeil 147">
              <a:extLst>
                <a:ext uri="{FF2B5EF4-FFF2-40B4-BE49-F238E27FC236}">
                  <a16:creationId xmlns:a16="http://schemas.microsoft.com/office/drawing/2014/main" id="{0A98D136-06EF-694C-8DD9-A7954B02F9DD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9" name="Ellipse 148">
              <a:extLst>
                <a:ext uri="{FF2B5EF4-FFF2-40B4-BE49-F238E27FC236}">
                  <a16:creationId xmlns:a16="http://schemas.microsoft.com/office/drawing/2014/main" id="{E89E89BF-722A-8C72-D5ED-2ABEEDE7A04C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50" name="Ellipse 149">
              <a:extLst>
                <a:ext uri="{FF2B5EF4-FFF2-40B4-BE49-F238E27FC236}">
                  <a16:creationId xmlns:a16="http://schemas.microsoft.com/office/drawing/2014/main" id="{4F5DB9D1-70DB-E792-BA80-693EA909FB02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425580</xdr:colOff>
      <xdr:row>63</xdr:row>
      <xdr:rowOff>27493</xdr:rowOff>
    </xdr:from>
    <xdr:to>
      <xdr:col>5</xdr:col>
      <xdr:colOff>507275</xdr:colOff>
      <xdr:row>77</xdr:row>
      <xdr:rowOff>40531</xdr:rowOff>
    </xdr:to>
    <xdr:grpSp>
      <xdr:nvGrpSpPr>
        <xdr:cNvPr id="212" name="Gruppieren 211">
          <a:extLst>
            <a:ext uri="{FF2B5EF4-FFF2-40B4-BE49-F238E27FC236}">
              <a16:creationId xmlns:a16="http://schemas.microsoft.com/office/drawing/2014/main" id="{012E6812-45B9-F82B-A5E5-B10028FBE526}"/>
            </a:ext>
          </a:extLst>
        </xdr:cNvPr>
        <xdr:cNvGrpSpPr/>
      </xdr:nvGrpSpPr>
      <xdr:grpSpPr>
        <a:xfrm>
          <a:off x="425580" y="11623145"/>
          <a:ext cx="3891695" cy="2564082"/>
          <a:chOff x="425580" y="11457493"/>
          <a:chExt cx="3891695" cy="2527638"/>
        </a:xfrm>
      </xdr:grpSpPr>
      <xdr:sp macro="" textlink="">
        <xdr:nvSpPr>
          <xdr:cNvPr id="211" name="Rechteck 210">
            <a:extLst>
              <a:ext uri="{FF2B5EF4-FFF2-40B4-BE49-F238E27FC236}">
                <a16:creationId xmlns:a16="http://schemas.microsoft.com/office/drawing/2014/main" id="{EC71E311-DD81-1971-D130-9E992A53FAA9}"/>
              </a:ext>
            </a:extLst>
          </xdr:cNvPr>
          <xdr:cNvSpPr/>
        </xdr:nvSpPr>
        <xdr:spPr>
          <a:xfrm>
            <a:off x="1741995" y="11457493"/>
            <a:ext cx="1107400" cy="2527638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FEAADAD5-99EF-4EAE-8B8C-BC23C2F9D669}"/>
              </a:ext>
            </a:extLst>
          </xdr:cNvPr>
          <xdr:cNvSpPr/>
        </xdr:nvSpPr>
        <xdr:spPr>
          <a:xfrm>
            <a:off x="522862" y="11460668"/>
            <a:ext cx="1107400" cy="2524463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209" name="Gruppieren 208">
            <a:extLst>
              <a:ext uri="{FF2B5EF4-FFF2-40B4-BE49-F238E27FC236}">
                <a16:creationId xmlns:a16="http://schemas.microsoft.com/office/drawing/2014/main" id="{FE904492-7C8A-6F6A-84E7-3370098CE0A4}"/>
              </a:ext>
            </a:extLst>
          </xdr:cNvPr>
          <xdr:cNvGrpSpPr/>
        </xdr:nvGrpSpPr>
        <xdr:grpSpPr>
          <a:xfrm>
            <a:off x="428755" y="11544367"/>
            <a:ext cx="3885345" cy="2410710"/>
            <a:chOff x="428755" y="11718654"/>
            <a:chExt cx="3885345" cy="2449621"/>
          </a:xfrm>
        </xdr:grpSpPr>
        <xdr:cxnSp macro="">
          <xdr:nvCxnSpPr>
            <xdr:cNvPr id="20" name="Gerader Verbinder 19">
              <a:extLst>
                <a:ext uri="{FF2B5EF4-FFF2-40B4-BE49-F238E27FC236}">
                  <a16:creationId xmlns:a16="http://schemas.microsoft.com/office/drawing/2014/main" id="{0EC9F43C-6D44-5E28-5AC2-864D94DF723F}"/>
                </a:ext>
              </a:extLst>
            </xdr:cNvPr>
            <xdr:cNvCxnSpPr>
              <a:cxnSpLocks/>
              <a:endCxn id="22" idx="2"/>
            </xdr:cNvCxnSpPr>
          </xdr:nvCxnSpPr>
          <xdr:spPr>
            <a:xfrm flipV="1">
              <a:off x="1116681" y="11789460"/>
              <a:ext cx="3064315" cy="482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1" name="Gerader Verbinder 20">
              <a:extLst>
                <a:ext uri="{FF2B5EF4-FFF2-40B4-BE49-F238E27FC236}">
                  <a16:creationId xmlns:a16="http://schemas.microsoft.com/office/drawing/2014/main" id="{141EB391-BA0E-3E12-BDAF-BD90855E8FEF}"/>
                </a:ext>
              </a:extLst>
            </xdr:cNvPr>
            <xdr:cNvCxnSpPr>
              <a:cxnSpLocks/>
            </xdr:cNvCxnSpPr>
          </xdr:nvCxnSpPr>
          <xdr:spPr>
            <a:xfrm flipV="1">
              <a:off x="1096459" y="14098230"/>
              <a:ext cx="3083135" cy="19412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2" name="Ellipse 21">
              <a:extLst>
                <a:ext uri="{FF2B5EF4-FFF2-40B4-BE49-F238E27FC236}">
                  <a16:creationId xmlns:a16="http://schemas.microsoft.com/office/drawing/2014/main" id="{501E73DA-5FB0-81FA-B13E-ECA66598312F}"/>
                </a:ext>
              </a:extLst>
            </xdr:cNvPr>
            <xdr:cNvSpPr/>
          </xdr:nvSpPr>
          <xdr:spPr>
            <a:xfrm>
              <a:off x="4184171" y="11718654"/>
              <a:ext cx="129929" cy="141611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3" name="Ellipse 22">
              <a:extLst>
                <a:ext uri="{FF2B5EF4-FFF2-40B4-BE49-F238E27FC236}">
                  <a16:creationId xmlns:a16="http://schemas.microsoft.com/office/drawing/2014/main" id="{14EE0E0D-1BB3-95EB-DCC1-3C79E92B7590}"/>
                </a:ext>
              </a:extLst>
            </xdr:cNvPr>
            <xdr:cNvSpPr/>
          </xdr:nvSpPr>
          <xdr:spPr>
            <a:xfrm>
              <a:off x="4181585" y="14029847"/>
              <a:ext cx="126750" cy="138428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grpSp>
          <xdr:nvGrpSpPr>
            <xdr:cNvPr id="25" name="Gruppieren 24">
              <a:extLst>
                <a:ext uri="{FF2B5EF4-FFF2-40B4-BE49-F238E27FC236}">
                  <a16:creationId xmlns:a16="http://schemas.microsoft.com/office/drawing/2014/main" id="{2F9E4CA6-F566-AC5E-20F8-F4960F51CFEA}"/>
                </a:ext>
              </a:extLst>
            </xdr:cNvPr>
            <xdr:cNvGrpSpPr/>
          </xdr:nvGrpSpPr>
          <xdr:grpSpPr>
            <a:xfrm>
              <a:off x="425580" y="12912143"/>
              <a:ext cx="958400" cy="1209135"/>
              <a:chOff x="1336226" y="1200539"/>
              <a:chExt cx="961684" cy="1199412"/>
            </a:xfrm>
          </xdr:grpSpPr>
          <xdr:grpSp>
            <xdr:nvGrpSpPr>
              <xdr:cNvPr id="50" name="Gruppieren 49">
                <a:extLst>
                  <a:ext uri="{FF2B5EF4-FFF2-40B4-BE49-F238E27FC236}">
                    <a16:creationId xmlns:a16="http://schemas.microsoft.com/office/drawing/2014/main" id="{1865C0F0-C569-3C80-720A-EC7405C52D2F}"/>
                  </a:ext>
                </a:extLst>
              </xdr:cNvPr>
              <xdr:cNvGrpSpPr/>
            </xdr:nvGrpSpPr>
            <xdr:grpSpPr>
              <a:xfrm>
                <a:off x="1762453" y="1200539"/>
                <a:ext cx="535457" cy="1199412"/>
                <a:chOff x="1249760" y="11120448"/>
                <a:chExt cx="542131" cy="1188901"/>
              </a:xfrm>
            </xdr:grpSpPr>
            <xdr:cxnSp macro="">
              <xdr:nvCxnSpPr>
                <xdr:cNvPr id="56" name="Gerader Verbinder 55">
                  <a:extLst>
                    <a:ext uri="{FF2B5EF4-FFF2-40B4-BE49-F238E27FC236}">
                      <a16:creationId xmlns:a16="http://schemas.microsoft.com/office/drawing/2014/main" id="{1974C1F1-1B7C-7B63-CFCE-3C9B258C060C}"/>
                    </a:ext>
                  </a:extLst>
                </xdr:cNvPr>
                <xdr:cNvCxnSpPr>
                  <a:cxnSpLocks/>
                  <a:endCxn id="48" idx="3"/>
                </xdr:cNvCxnSpPr>
              </xdr:nvCxnSpPr>
              <xdr:spPr>
                <a:xfrm flipH="1" flipV="1">
                  <a:off x="1524581" y="11120448"/>
                  <a:ext cx="8546" cy="39581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7" name="Gerader Verbinder 56">
                  <a:extLst>
                    <a:ext uri="{FF2B5EF4-FFF2-40B4-BE49-F238E27FC236}">
                      <a16:creationId xmlns:a16="http://schemas.microsoft.com/office/drawing/2014/main" id="{774307B5-9CEF-D376-4207-F085E9F16ACD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8" name="Gerader Verbinder 57">
                  <a:extLst>
                    <a:ext uri="{FF2B5EF4-FFF2-40B4-BE49-F238E27FC236}">
                      <a16:creationId xmlns:a16="http://schemas.microsoft.com/office/drawing/2014/main" id="{F7B9C860-9927-E9D3-FFBC-727E57CE79E4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0" name="Gerader Verbinder 59">
                  <a:extLst>
                    <a:ext uri="{FF2B5EF4-FFF2-40B4-BE49-F238E27FC236}">
                      <a16:creationId xmlns:a16="http://schemas.microsoft.com/office/drawing/2014/main" id="{09A2D4EB-1571-EA78-01EC-0780CD8E3338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1" name="Gerader Verbinder 60">
                  <a:extLst>
                    <a:ext uri="{FF2B5EF4-FFF2-40B4-BE49-F238E27FC236}">
                      <a16:creationId xmlns:a16="http://schemas.microsoft.com/office/drawing/2014/main" id="{21A1D833-E6A2-6D17-0FD2-460754ADC11C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2" name="Gerader Verbinder 61">
                  <a:extLst>
                    <a:ext uri="{FF2B5EF4-FFF2-40B4-BE49-F238E27FC236}">
                      <a16:creationId xmlns:a16="http://schemas.microsoft.com/office/drawing/2014/main" id="{87773C77-22B5-C6DA-6B18-FB7E9AE04D81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3" name="Gerader Verbinder 62">
                  <a:extLst>
                    <a:ext uri="{FF2B5EF4-FFF2-40B4-BE49-F238E27FC236}">
                      <a16:creationId xmlns:a16="http://schemas.microsoft.com/office/drawing/2014/main" id="{257DCFCA-85E1-489A-9551-1ED7DEBCAF80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54" name="Gerader Verbinder 53">
                <a:extLst>
                  <a:ext uri="{FF2B5EF4-FFF2-40B4-BE49-F238E27FC236}">
                    <a16:creationId xmlns:a16="http://schemas.microsoft.com/office/drawing/2014/main" id="{90713F77-D4F9-2AEA-BACC-8D07C386BCF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5" name="Textfeld 54">
                <a:extLst>
                  <a:ext uri="{FF2B5EF4-FFF2-40B4-BE49-F238E27FC236}">
                    <a16:creationId xmlns:a16="http://schemas.microsoft.com/office/drawing/2014/main" id="{5C16E237-2A55-754D-984D-6571AF910C11}"/>
                  </a:ext>
                </a:extLst>
              </xdr:cNvPr>
              <xdr:cNvSpPr txBox="1"/>
            </xdr:nvSpPr>
            <xdr:spPr>
              <a:xfrm>
                <a:off x="1336226" y="1658195"/>
                <a:ext cx="40264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26" name="Gruppieren 25">
              <a:extLst>
                <a:ext uri="{FF2B5EF4-FFF2-40B4-BE49-F238E27FC236}">
                  <a16:creationId xmlns:a16="http://schemas.microsoft.com/office/drawing/2014/main" id="{18AAE599-D7FF-FA54-694A-DBBE9201F83A}"/>
                </a:ext>
              </a:extLst>
            </xdr:cNvPr>
            <xdr:cNvGrpSpPr/>
          </xdr:nvGrpSpPr>
          <xdr:grpSpPr>
            <a:xfrm>
              <a:off x="562950" y="11806957"/>
              <a:ext cx="1329886" cy="1180542"/>
              <a:chOff x="3389773" y="1388885"/>
              <a:chExt cx="1313268" cy="1173051"/>
            </a:xfrm>
          </xdr:grpSpPr>
          <xdr:grpSp>
            <xdr:nvGrpSpPr>
              <xdr:cNvPr id="31" name="Gruppieren 30">
                <a:extLst>
                  <a:ext uri="{FF2B5EF4-FFF2-40B4-BE49-F238E27FC236}">
                    <a16:creationId xmlns:a16="http://schemas.microsoft.com/office/drawing/2014/main" id="{F7E27D8A-1116-1CCB-E946-A7D02F344658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45" name="Gerader Verbinder 44">
                  <a:extLst>
                    <a:ext uri="{FF2B5EF4-FFF2-40B4-BE49-F238E27FC236}">
                      <a16:creationId xmlns:a16="http://schemas.microsoft.com/office/drawing/2014/main" id="{0F8E489D-B2C6-A73A-73C2-95A4526ED770}"/>
                    </a:ext>
                  </a:extLst>
                </xdr:cNvPr>
                <xdr:cNvCxnSpPr>
                  <a:cxnSpLocks/>
                  <a:endCxn id="48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48" name="Textfeld 47">
                  <a:extLst>
                    <a:ext uri="{FF2B5EF4-FFF2-40B4-BE49-F238E27FC236}">
                      <a16:creationId xmlns:a16="http://schemas.microsoft.com/office/drawing/2014/main" id="{F88CBFF4-CF55-359D-0603-21456F4B5214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i1</a:t>
                  </a:r>
                </a:p>
              </xdr:txBody>
            </xdr:sp>
          </xdr:grpSp>
          <xdr:cxnSp macro="">
            <xdr:nvCxnSpPr>
              <xdr:cNvPr id="32" name="Gerader Verbinder 31">
                <a:extLst>
                  <a:ext uri="{FF2B5EF4-FFF2-40B4-BE49-F238E27FC236}">
                    <a16:creationId xmlns:a16="http://schemas.microsoft.com/office/drawing/2014/main" id="{2ABCF7B8-2F2C-16B1-23D8-8A986D1F4642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37" name="Textfeld 36">
                <a:extLst>
                  <a:ext uri="{FF2B5EF4-FFF2-40B4-BE49-F238E27FC236}">
                    <a16:creationId xmlns:a16="http://schemas.microsoft.com/office/drawing/2014/main" id="{20F3D513-F53E-F3C8-1D14-5914C538DE70}"/>
                  </a:ext>
                </a:extLst>
              </xdr:cNvPr>
              <xdr:cNvSpPr txBox="1"/>
            </xdr:nvSpPr>
            <xdr:spPr>
              <a:xfrm>
                <a:off x="3389773" y="1932004"/>
                <a:ext cx="371883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Ri1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38" name="Gerade Verbindung mit Pfeil 37">
                <a:extLst>
                  <a:ext uri="{FF2B5EF4-FFF2-40B4-BE49-F238E27FC236}">
                    <a16:creationId xmlns:a16="http://schemas.microsoft.com/office/drawing/2014/main" id="{0CAA68E4-0571-E0D2-C1FE-57BBC9FE1A8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44" name="Textfeld 43">
                <a:extLst>
                  <a:ext uri="{FF2B5EF4-FFF2-40B4-BE49-F238E27FC236}">
                    <a16:creationId xmlns:a16="http://schemas.microsoft.com/office/drawing/2014/main" id="{1A02718A-2F6C-0618-B2AD-DD8BCE95BE25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7" name="Textfeld 26">
              <a:extLst>
                <a:ext uri="{FF2B5EF4-FFF2-40B4-BE49-F238E27FC236}">
                  <a16:creationId xmlns:a16="http://schemas.microsoft.com/office/drawing/2014/main" id="{D4F1B7BF-B8E7-835B-4DFC-5C9E655C3D91}"/>
                </a:ext>
              </a:extLst>
            </xdr:cNvPr>
            <xdr:cNvSpPr txBox="1"/>
          </xdr:nvSpPr>
          <xdr:spPr>
            <a:xfrm>
              <a:off x="3012843" y="11768610"/>
              <a:ext cx="702779" cy="2594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  <xdr:cxnSp macro="">
          <xdr:nvCxnSpPr>
            <xdr:cNvPr id="28" name="Gerade Verbindung mit Pfeil 27">
              <a:extLst>
                <a:ext uri="{FF2B5EF4-FFF2-40B4-BE49-F238E27FC236}">
                  <a16:creationId xmlns:a16="http://schemas.microsoft.com/office/drawing/2014/main" id="{EC83BB0C-D723-2D06-160D-070B3441DEFD}"/>
                </a:ext>
              </a:extLst>
            </xdr:cNvPr>
            <xdr:cNvCxnSpPr/>
          </xdr:nvCxnSpPr>
          <xdr:spPr>
            <a:xfrm>
              <a:off x="3165368" y="11788061"/>
              <a:ext cx="103290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9" name="Gerader Verbinder 28">
              <a:extLst>
                <a:ext uri="{FF2B5EF4-FFF2-40B4-BE49-F238E27FC236}">
                  <a16:creationId xmlns:a16="http://schemas.microsoft.com/office/drawing/2014/main" id="{FE04CB6C-72B6-EE8D-869C-A16DA3513B9E}"/>
                </a:ext>
              </a:extLst>
            </xdr:cNvPr>
            <xdr:cNvCxnSpPr>
              <a:cxnSpLocks/>
            </xdr:cNvCxnSpPr>
          </xdr:nvCxnSpPr>
          <xdr:spPr>
            <a:xfrm>
              <a:off x="4278283" y="11998606"/>
              <a:ext cx="1498" cy="191836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0" name="Textfeld 29">
              <a:extLst>
                <a:ext uri="{FF2B5EF4-FFF2-40B4-BE49-F238E27FC236}">
                  <a16:creationId xmlns:a16="http://schemas.microsoft.com/office/drawing/2014/main" id="{EA7C51F1-4E89-C626-10AE-EDF5382DD851}"/>
                </a:ext>
              </a:extLst>
            </xdr:cNvPr>
            <xdr:cNvSpPr txBox="1"/>
          </xdr:nvSpPr>
          <xdr:spPr>
            <a:xfrm>
              <a:off x="3997911" y="12707746"/>
              <a:ext cx="313807" cy="2663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grpSp>
          <xdr:nvGrpSpPr>
            <xdr:cNvPr id="67" name="Gruppieren 66">
              <a:extLst>
                <a:ext uri="{FF2B5EF4-FFF2-40B4-BE49-F238E27FC236}">
                  <a16:creationId xmlns:a16="http://schemas.microsoft.com/office/drawing/2014/main" id="{F82CCFA7-CB75-4099-8908-9F27FC8B0A04}"/>
                </a:ext>
              </a:extLst>
            </xdr:cNvPr>
            <xdr:cNvGrpSpPr/>
          </xdr:nvGrpSpPr>
          <xdr:grpSpPr>
            <a:xfrm>
              <a:off x="1827990" y="12893349"/>
              <a:ext cx="931826" cy="1204469"/>
              <a:chOff x="1361132" y="1201950"/>
              <a:chExt cx="936778" cy="1197995"/>
            </a:xfrm>
          </xdr:grpSpPr>
          <xdr:grpSp>
            <xdr:nvGrpSpPr>
              <xdr:cNvPr id="68" name="Gruppieren 67">
                <a:extLst>
                  <a:ext uri="{FF2B5EF4-FFF2-40B4-BE49-F238E27FC236}">
                    <a16:creationId xmlns:a16="http://schemas.microsoft.com/office/drawing/2014/main" id="{DEDBA141-7ED3-4201-7657-0DAEC287D466}"/>
                  </a:ext>
                </a:extLst>
              </xdr:cNvPr>
              <xdr:cNvGrpSpPr/>
            </xdr:nvGrpSpPr>
            <xdr:grpSpPr>
              <a:xfrm>
                <a:off x="1762453" y="1201950"/>
                <a:ext cx="535457" cy="1197995"/>
                <a:chOff x="1249760" y="11121852"/>
                <a:chExt cx="542131" cy="1187497"/>
              </a:xfrm>
            </xdr:grpSpPr>
            <xdr:cxnSp macro="">
              <xdr:nvCxnSpPr>
                <xdr:cNvPr id="84" name="Gerader Verbinder 83">
                  <a:extLst>
                    <a:ext uri="{FF2B5EF4-FFF2-40B4-BE49-F238E27FC236}">
                      <a16:creationId xmlns:a16="http://schemas.microsoft.com/office/drawing/2014/main" id="{B5124811-44C7-7C9A-8429-F90BF91BC4A6}"/>
                    </a:ext>
                  </a:extLst>
                </xdr:cNvPr>
                <xdr:cNvCxnSpPr>
                  <a:cxnSpLocks/>
                  <a:endCxn id="201" idx="3"/>
                </xdr:cNvCxnSpPr>
              </xdr:nvCxnSpPr>
              <xdr:spPr>
                <a:xfrm flipH="1" flipV="1">
                  <a:off x="1528047" y="11121852"/>
                  <a:ext cx="5080" cy="394412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5" name="Gerader Verbinder 84">
                  <a:extLst>
                    <a:ext uri="{FF2B5EF4-FFF2-40B4-BE49-F238E27FC236}">
                      <a16:creationId xmlns:a16="http://schemas.microsoft.com/office/drawing/2014/main" id="{FA2CABDD-444A-BC1D-E9C0-7CC4DEADABFA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7" name="Gerader Verbinder 86">
                  <a:extLst>
                    <a:ext uri="{FF2B5EF4-FFF2-40B4-BE49-F238E27FC236}">
                      <a16:creationId xmlns:a16="http://schemas.microsoft.com/office/drawing/2014/main" id="{7F5C60D3-433E-4910-1AC2-128EC22B85D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8" name="Gerader Verbinder 87">
                  <a:extLst>
                    <a:ext uri="{FF2B5EF4-FFF2-40B4-BE49-F238E27FC236}">
                      <a16:creationId xmlns:a16="http://schemas.microsoft.com/office/drawing/2014/main" id="{375A207D-02DB-C40E-5A9D-03D9BCB62A4F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5" name="Gerader Verbinder 94">
                  <a:extLst>
                    <a:ext uri="{FF2B5EF4-FFF2-40B4-BE49-F238E27FC236}">
                      <a16:creationId xmlns:a16="http://schemas.microsoft.com/office/drawing/2014/main" id="{12C42FCE-ED86-0903-86F4-A8D139380012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7" name="Gerader Verbinder 96">
                  <a:extLst>
                    <a:ext uri="{FF2B5EF4-FFF2-40B4-BE49-F238E27FC236}">
                      <a16:creationId xmlns:a16="http://schemas.microsoft.com/office/drawing/2014/main" id="{7979AD8E-CE16-FA77-3102-BD8845ACB638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8" name="Gerader Verbinder 97">
                  <a:extLst>
                    <a:ext uri="{FF2B5EF4-FFF2-40B4-BE49-F238E27FC236}">
                      <a16:creationId xmlns:a16="http://schemas.microsoft.com/office/drawing/2014/main" id="{B8053798-982F-C0A8-E7A2-758606B8D10D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70" name="Gerader Verbinder 69">
                <a:extLst>
                  <a:ext uri="{FF2B5EF4-FFF2-40B4-BE49-F238E27FC236}">
                    <a16:creationId xmlns:a16="http://schemas.microsoft.com/office/drawing/2014/main" id="{67E94443-24EA-041D-75F7-421616ABD65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74" name="Textfeld 73">
                <a:extLst>
                  <a:ext uri="{FF2B5EF4-FFF2-40B4-BE49-F238E27FC236}">
                    <a16:creationId xmlns:a16="http://schemas.microsoft.com/office/drawing/2014/main" id="{7DB76939-BA46-E623-7FDE-CC4998FE5480}"/>
                  </a:ext>
                </a:extLst>
              </xdr:cNvPr>
              <xdr:cNvSpPr txBox="1"/>
            </xdr:nvSpPr>
            <xdr:spPr>
              <a:xfrm>
                <a:off x="1361132" y="1629976"/>
                <a:ext cx="374875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20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99" name="Gruppieren 98">
              <a:extLst>
                <a:ext uri="{FF2B5EF4-FFF2-40B4-BE49-F238E27FC236}">
                  <a16:creationId xmlns:a16="http://schemas.microsoft.com/office/drawing/2014/main" id="{42EC4B96-6C7E-4AE8-98D7-6BCA5F3CAA6B}"/>
                </a:ext>
              </a:extLst>
            </xdr:cNvPr>
            <xdr:cNvGrpSpPr/>
          </xdr:nvGrpSpPr>
          <xdr:grpSpPr>
            <a:xfrm>
              <a:off x="1950023" y="11786675"/>
              <a:ext cx="1324077" cy="1179178"/>
              <a:chOff x="3400673" y="1388885"/>
              <a:chExt cx="1302368" cy="1173051"/>
            </a:xfrm>
          </xdr:grpSpPr>
          <xdr:grpSp>
            <xdr:nvGrpSpPr>
              <xdr:cNvPr id="103" name="Gruppieren 102">
                <a:extLst>
                  <a:ext uri="{FF2B5EF4-FFF2-40B4-BE49-F238E27FC236}">
                    <a16:creationId xmlns:a16="http://schemas.microsoft.com/office/drawing/2014/main" id="{B8886CA8-22EE-C6ED-BCDA-64150730F0EC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200" name="Gerader Verbinder 199">
                  <a:extLst>
                    <a:ext uri="{FF2B5EF4-FFF2-40B4-BE49-F238E27FC236}">
                      <a16:creationId xmlns:a16="http://schemas.microsoft.com/office/drawing/2014/main" id="{066EF383-1411-5DA4-C45B-16AE65E81BB4}"/>
                    </a:ext>
                  </a:extLst>
                </xdr:cNvPr>
                <xdr:cNvCxnSpPr>
                  <a:cxnSpLocks/>
                  <a:endCxn id="201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201" name="Textfeld 200">
                  <a:extLst>
                    <a:ext uri="{FF2B5EF4-FFF2-40B4-BE49-F238E27FC236}">
                      <a16:creationId xmlns:a16="http://schemas.microsoft.com/office/drawing/2014/main" id="{EA7A6752-9137-EFE6-507E-EEC353866F0F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i2</a:t>
                  </a:r>
                </a:p>
              </xdr:txBody>
            </xdr:sp>
          </xdr:grpSp>
          <xdr:cxnSp macro="">
            <xdr:nvCxnSpPr>
              <xdr:cNvPr id="117" name="Gerader Verbinder 116">
                <a:extLst>
                  <a:ext uri="{FF2B5EF4-FFF2-40B4-BE49-F238E27FC236}">
                    <a16:creationId xmlns:a16="http://schemas.microsoft.com/office/drawing/2014/main" id="{29668C3D-6091-30D5-818D-14E5CAB17EDB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35" name="Textfeld 134">
                <a:extLst>
                  <a:ext uri="{FF2B5EF4-FFF2-40B4-BE49-F238E27FC236}">
                    <a16:creationId xmlns:a16="http://schemas.microsoft.com/office/drawing/2014/main" id="{8D5C6AFB-19DD-206B-BD58-3C91DBD87ECE}"/>
                  </a:ext>
                </a:extLst>
              </xdr:cNvPr>
              <xdr:cNvSpPr txBox="1"/>
            </xdr:nvSpPr>
            <xdr:spPr>
              <a:xfrm>
                <a:off x="3400673" y="1923796"/>
                <a:ext cx="343970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Ri2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136" name="Gerade Verbindung mit Pfeil 135">
                <a:extLst>
                  <a:ext uri="{FF2B5EF4-FFF2-40B4-BE49-F238E27FC236}">
                    <a16:creationId xmlns:a16="http://schemas.microsoft.com/office/drawing/2014/main" id="{1AC04036-BA99-D09B-96C1-3AB685F2DD2B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99" name="Textfeld 198">
                <a:extLst>
                  <a:ext uri="{FF2B5EF4-FFF2-40B4-BE49-F238E27FC236}">
                    <a16:creationId xmlns:a16="http://schemas.microsoft.com/office/drawing/2014/main" id="{8F9E3F21-7465-2B92-7972-0F24FD54AAE0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2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05" name="Ellipse 204">
              <a:extLst>
                <a:ext uri="{FF2B5EF4-FFF2-40B4-BE49-F238E27FC236}">
                  <a16:creationId xmlns:a16="http://schemas.microsoft.com/office/drawing/2014/main" id="{F0EE9F45-0BAF-0418-A7E3-087D7602E86C}"/>
                </a:ext>
              </a:extLst>
            </xdr:cNvPr>
            <xdr:cNvSpPr/>
          </xdr:nvSpPr>
          <xdr:spPr>
            <a:xfrm>
              <a:off x="2465619" y="11750203"/>
              <a:ext cx="74855" cy="64852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06" name="Ellipse 205">
              <a:extLst>
                <a:ext uri="{FF2B5EF4-FFF2-40B4-BE49-F238E27FC236}">
                  <a16:creationId xmlns:a16="http://schemas.microsoft.com/office/drawing/2014/main" id="{989226B5-9B2B-4A03-BF5B-A95E9550E824}"/>
                </a:ext>
              </a:extLst>
            </xdr:cNvPr>
            <xdr:cNvSpPr/>
          </xdr:nvSpPr>
          <xdr:spPr>
            <a:xfrm>
              <a:off x="2446231" y="14068629"/>
              <a:ext cx="74855" cy="68027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48985</xdr:colOff>
      <xdr:row>102</xdr:row>
      <xdr:rowOff>7049</xdr:rowOff>
    </xdr:from>
    <xdr:to>
      <xdr:col>1</xdr:col>
      <xdr:colOff>255593</xdr:colOff>
      <xdr:row>115</xdr:row>
      <xdr:rowOff>69396</xdr:rowOff>
    </xdr:to>
    <xdr:grpSp>
      <xdr:nvGrpSpPr>
        <xdr:cNvPr id="221" name="Gruppieren 220">
          <a:extLst>
            <a:ext uri="{FF2B5EF4-FFF2-40B4-BE49-F238E27FC236}">
              <a16:creationId xmlns:a16="http://schemas.microsoft.com/office/drawing/2014/main" id="{2830173A-AE66-CAEA-8ADA-9AAB3904A2AA}"/>
            </a:ext>
          </a:extLst>
        </xdr:cNvPr>
        <xdr:cNvGrpSpPr/>
      </xdr:nvGrpSpPr>
      <xdr:grpSpPr>
        <a:xfrm>
          <a:off x="48985" y="18709179"/>
          <a:ext cx="968608" cy="2431174"/>
          <a:chOff x="1325223" y="1550335"/>
          <a:chExt cx="972689" cy="2419470"/>
        </a:xfrm>
      </xdr:grpSpPr>
      <xdr:grpSp>
        <xdr:nvGrpSpPr>
          <xdr:cNvPr id="255" name="Gruppieren 254">
            <a:extLst>
              <a:ext uri="{FF2B5EF4-FFF2-40B4-BE49-F238E27FC236}">
                <a16:creationId xmlns:a16="http://schemas.microsoft.com/office/drawing/2014/main" id="{E1EB3474-20D9-EA9C-5145-C28D2DF02B61}"/>
              </a:ext>
            </a:extLst>
          </xdr:cNvPr>
          <xdr:cNvGrpSpPr/>
        </xdr:nvGrpSpPr>
        <xdr:grpSpPr>
          <a:xfrm>
            <a:off x="1325223" y="1608663"/>
            <a:ext cx="972689" cy="2361142"/>
            <a:chOff x="807079" y="11524995"/>
            <a:chExt cx="984812" cy="2340450"/>
          </a:xfrm>
        </xdr:grpSpPr>
        <xdr:cxnSp macro="">
          <xdr:nvCxnSpPr>
            <xdr:cNvPr id="258" name="Gerader Verbinder 257">
              <a:extLst>
                <a:ext uri="{FF2B5EF4-FFF2-40B4-BE49-F238E27FC236}">
                  <a16:creationId xmlns:a16="http://schemas.microsoft.com/office/drawing/2014/main" id="{0AF28147-A593-CD11-A49E-05698F2AE758}"/>
                </a:ext>
              </a:extLst>
            </xdr:cNvPr>
            <xdr:cNvCxnSpPr>
              <a:cxnSpLocks/>
              <a:endCxn id="254" idx="3"/>
            </xdr:cNvCxnSpPr>
          </xdr:nvCxnSpPr>
          <xdr:spPr>
            <a:xfrm flipH="1" flipV="1">
              <a:off x="807079" y="13469629"/>
              <a:ext cx="8559" cy="39581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59" name="Gerader Verbinder 258">
              <a:extLst>
                <a:ext uri="{FF2B5EF4-FFF2-40B4-BE49-F238E27FC236}">
                  <a16:creationId xmlns:a16="http://schemas.microsoft.com/office/drawing/2014/main" id="{719468F0-B463-23B1-EFC3-CFED9FA87D30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0" name="Gerader Verbinder 259">
              <a:extLst>
                <a:ext uri="{FF2B5EF4-FFF2-40B4-BE49-F238E27FC236}">
                  <a16:creationId xmlns:a16="http://schemas.microsoft.com/office/drawing/2014/main" id="{554A26B4-8ADF-E318-26A6-E5F2D87FDC8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1" name="Gerader Verbinder 260">
              <a:extLst>
                <a:ext uri="{FF2B5EF4-FFF2-40B4-BE49-F238E27FC236}">
                  <a16:creationId xmlns:a16="http://schemas.microsoft.com/office/drawing/2014/main" id="{D1C7040F-7678-9534-49CD-502107F744FF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2" name="Gerader Verbinder 261">
              <a:extLst>
                <a:ext uri="{FF2B5EF4-FFF2-40B4-BE49-F238E27FC236}">
                  <a16:creationId xmlns:a16="http://schemas.microsoft.com/office/drawing/2014/main" id="{1AC3808A-744C-C9AB-2AF6-3DD5E3BE1105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3" name="Gerader Verbinder 262">
              <a:extLst>
                <a:ext uri="{FF2B5EF4-FFF2-40B4-BE49-F238E27FC236}">
                  <a16:creationId xmlns:a16="http://schemas.microsoft.com/office/drawing/2014/main" id="{5AB602D2-F522-6600-4EF5-9ABAE4D758E9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4" name="Gerader Verbinder 263">
              <a:extLst>
                <a:ext uri="{FF2B5EF4-FFF2-40B4-BE49-F238E27FC236}">
                  <a16:creationId xmlns:a16="http://schemas.microsoft.com/office/drawing/2014/main" id="{95F67400-0FB1-EC06-F39D-F2FE986EE224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256" name="Gerader Verbinder 255">
            <a:extLst>
              <a:ext uri="{FF2B5EF4-FFF2-40B4-BE49-F238E27FC236}">
                <a16:creationId xmlns:a16="http://schemas.microsoft.com/office/drawing/2014/main" id="{045C6240-C155-737F-812D-376BC6D5368F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57" name="Textfeld 256">
            <a:extLst>
              <a:ext uri="{FF2B5EF4-FFF2-40B4-BE49-F238E27FC236}">
                <a16:creationId xmlns:a16="http://schemas.microsoft.com/office/drawing/2014/main" id="{ACFE5BE4-852A-FA9A-3BE9-7E7E8B6BC0E3}"/>
              </a:ext>
            </a:extLst>
          </xdr:cNvPr>
          <xdr:cNvSpPr txBox="1"/>
        </xdr:nvSpPr>
        <xdr:spPr>
          <a:xfrm>
            <a:off x="1336226" y="1658195"/>
            <a:ext cx="40264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10</a:t>
            </a:r>
            <a:endParaRPr lang="de-CH" sz="11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0</xdr:col>
      <xdr:colOff>105560</xdr:colOff>
      <xdr:row>79</xdr:row>
      <xdr:rowOff>107732</xdr:rowOff>
    </xdr:from>
    <xdr:to>
      <xdr:col>7</xdr:col>
      <xdr:colOff>336397</xdr:colOff>
      <xdr:row>106</xdr:row>
      <xdr:rowOff>164903</xdr:rowOff>
    </xdr:to>
    <xdr:grpSp>
      <xdr:nvGrpSpPr>
        <xdr:cNvPr id="291" name="Gruppieren 290">
          <a:extLst>
            <a:ext uri="{FF2B5EF4-FFF2-40B4-BE49-F238E27FC236}">
              <a16:creationId xmlns:a16="http://schemas.microsoft.com/office/drawing/2014/main" id="{F3F10C94-B624-2CE1-E2E5-D57486DEC8E3}"/>
            </a:ext>
          </a:extLst>
        </xdr:cNvPr>
        <xdr:cNvGrpSpPr/>
      </xdr:nvGrpSpPr>
      <xdr:grpSpPr>
        <a:xfrm>
          <a:off x="105560" y="14618862"/>
          <a:ext cx="5564837" cy="4977041"/>
          <a:chOff x="105564" y="14197927"/>
          <a:chExt cx="5562698" cy="4840084"/>
        </a:xfrm>
      </xdr:grpSpPr>
      <xdr:sp macro="" textlink="">
        <xdr:nvSpPr>
          <xdr:cNvPr id="215" name="Rechteck 214">
            <a:extLst>
              <a:ext uri="{FF2B5EF4-FFF2-40B4-BE49-F238E27FC236}">
                <a16:creationId xmlns:a16="http://schemas.microsoft.com/office/drawing/2014/main" id="{AD4F6D2F-2C28-FBD7-7F48-DD32538883EE}"/>
              </a:ext>
            </a:extLst>
          </xdr:cNvPr>
          <xdr:cNvSpPr/>
        </xdr:nvSpPr>
        <xdr:spPr>
          <a:xfrm>
            <a:off x="137710" y="14197927"/>
            <a:ext cx="1124178" cy="2274662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cxnSp macro="">
        <xdr:nvCxnSpPr>
          <xdr:cNvPr id="217" name="Gerader Verbinder 216">
            <a:extLst>
              <a:ext uri="{FF2B5EF4-FFF2-40B4-BE49-F238E27FC236}">
                <a16:creationId xmlns:a16="http://schemas.microsoft.com/office/drawing/2014/main" id="{D3542E16-9D4E-E579-89DC-3A86910E5868}"/>
              </a:ext>
            </a:extLst>
          </xdr:cNvPr>
          <xdr:cNvCxnSpPr>
            <a:cxnSpLocks/>
          </xdr:cNvCxnSpPr>
        </xdr:nvCxnSpPr>
        <xdr:spPr>
          <a:xfrm flipV="1">
            <a:off x="788276" y="14329289"/>
            <a:ext cx="3066815" cy="11109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8" name="Gerader Verbinder 217">
            <a:extLst>
              <a:ext uri="{FF2B5EF4-FFF2-40B4-BE49-F238E27FC236}">
                <a16:creationId xmlns:a16="http://schemas.microsoft.com/office/drawing/2014/main" id="{2F1A1F42-657E-C117-67D3-B9396E1CDE45}"/>
              </a:ext>
            </a:extLst>
          </xdr:cNvPr>
          <xdr:cNvCxnSpPr>
            <a:cxnSpLocks/>
          </xdr:cNvCxnSpPr>
        </xdr:nvCxnSpPr>
        <xdr:spPr>
          <a:xfrm flipV="1">
            <a:off x="773481" y="16575035"/>
            <a:ext cx="3085650" cy="1005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19" name="Ellipse 218">
            <a:extLst>
              <a:ext uri="{FF2B5EF4-FFF2-40B4-BE49-F238E27FC236}">
                <a16:creationId xmlns:a16="http://schemas.microsoft.com/office/drawing/2014/main" id="{81B60DFA-EF37-C34C-1F00-1A50EB655DE4}"/>
              </a:ext>
            </a:extLst>
          </xdr:cNvPr>
          <xdr:cNvSpPr/>
        </xdr:nvSpPr>
        <xdr:spPr>
          <a:xfrm>
            <a:off x="3865072" y="14265408"/>
            <a:ext cx="136385" cy="133658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20" name="Ellipse 219">
            <a:extLst>
              <a:ext uri="{FF2B5EF4-FFF2-40B4-BE49-F238E27FC236}">
                <a16:creationId xmlns:a16="http://schemas.microsoft.com/office/drawing/2014/main" id="{D3130BEE-215A-61BB-795A-7F5FAFEBC1B5}"/>
              </a:ext>
            </a:extLst>
          </xdr:cNvPr>
          <xdr:cNvSpPr/>
        </xdr:nvSpPr>
        <xdr:spPr>
          <a:xfrm>
            <a:off x="3860217" y="16513087"/>
            <a:ext cx="130028" cy="1241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222" name="Gruppieren 221">
            <a:extLst>
              <a:ext uri="{FF2B5EF4-FFF2-40B4-BE49-F238E27FC236}">
                <a16:creationId xmlns:a16="http://schemas.microsoft.com/office/drawing/2014/main" id="{88132987-0DF9-8535-29D1-DF8BAD5B5604}"/>
              </a:ext>
            </a:extLst>
          </xdr:cNvPr>
          <xdr:cNvGrpSpPr/>
        </xdr:nvGrpSpPr>
        <xdr:grpSpPr>
          <a:xfrm>
            <a:off x="200528" y="16599808"/>
            <a:ext cx="1330971" cy="1304971"/>
            <a:chOff x="3389773" y="1229688"/>
            <a:chExt cx="1313268" cy="1332248"/>
          </a:xfrm>
        </xdr:grpSpPr>
        <xdr:grpSp>
          <xdr:nvGrpSpPr>
            <xdr:cNvPr id="248" name="Gruppieren 247">
              <a:extLst>
                <a:ext uri="{FF2B5EF4-FFF2-40B4-BE49-F238E27FC236}">
                  <a16:creationId xmlns:a16="http://schemas.microsoft.com/office/drawing/2014/main" id="{7E37EAE0-80A8-F7CF-F99A-BD291E06DBA2}"/>
                </a:ext>
              </a:extLst>
            </xdr:cNvPr>
            <xdr:cNvGrpSpPr/>
          </xdr:nvGrpSpPr>
          <xdr:grpSpPr>
            <a:xfrm>
              <a:off x="3808276" y="1229688"/>
              <a:ext cx="264875" cy="1257369"/>
              <a:chOff x="3540807" y="10105859"/>
              <a:chExt cx="264875" cy="1240128"/>
            </a:xfrm>
          </xdr:grpSpPr>
          <xdr:cxnSp macro="">
            <xdr:nvCxnSpPr>
              <xdr:cNvPr id="253" name="Gerader Verbinder 252">
                <a:extLst>
                  <a:ext uri="{FF2B5EF4-FFF2-40B4-BE49-F238E27FC236}">
                    <a16:creationId xmlns:a16="http://schemas.microsoft.com/office/drawing/2014/main" id="{A64EDDCD-5192-F2FB-E2E1-505944B40D87}"/>
                  </a:ext>
                </a:extLst>
              </xdr:cNvPr>
              <xdr:cNvCxnSpPr>
                <a:cxnSpLocks/>
                <a:endCxn id="254" idx="1"/>
              </xdr:cNvCxnSpPr>
            </xdr:nvCxnSpPr>
            <xdr:spPr>
              <a:xfrm flipH="1">
                <a:off x="3673244" y="10105859"/>
                <a:ext cx="13805" cy="54405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54" name="Textfeld 253">
                <a:extLst>
                  <a:ext uri="{FF2B5EF4-FFF2-40B4-BE49-F238E27FC236}">
                    <a16:creationId xmlns:a16="http://schemas.microsoft.com/office/drawing/2014/main" id="{DC16F3A1-4649-E890-7669-E69DE652A338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i1</a:t>
                </a:r>
              </a:p>
            </xdr:txBody>
          </xdr:sp>
        </xdr:grpSp>
        <xdr:cxnSp macro="">
          <xdr:nvCxnSpPr>
            <xdr:cNvPr id="249" name="Gerader Verbinder 248">
              <a:extLst>
                <a:ext uri="{FF2B5EF4-FFF2-40B4-BE49-F238E27FC236}">
                  <a16:creationId xmlns:a16="http://schemas.microsoft.com/office/drawing/2014/main" id="{80B8598D-9446-BBC3-6352-0A6551056D3D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0" name="Textfeld 249">
              <a:extLst>
                <a:ext uri="{FF2B5EF4-FFF2-40B4-BE49-F238E27FC236}">
                  <a16:creationId xmlns:a16="http://schemas.microsoft.com/office/drawing/2014/main" id="{BCFE08F7-91A1-B0C1-95EE-E2944355CD78}"/>
                </a:ext>
              </a:extLst>
            </xdr:cNvPr>
            <xdr:cNvSpPr txBox="1"/>
          </xdr:nvSpPr>
          <xdr:spPr>
            <a:xfrm>
              <a:off x="3389773" y="1932004"/>
              <a:ext cx="371883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Ri1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51" name="Gerade Verbindung mit Pfeil 250">
              <a:extLst>
                <a:ext uri="{FF2B5EF4-FFF2-40B4-BE49-F238E27FC236}">
                  <a16:creationId xmlns:a16="http://schemas.microsoft.com/office/drawing/2014/main" id="{60915B43-0989-36BC-D160-4AC593851307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2" name="Textfeld 251">
              <a:extLst>
                <a:ext uri="{FF2B5EF4-FFF2-40B4-BE49-F238E27FC236}">
                  <a16:creationId xmlns:a16="http://schemas.microsoft.com/office/drawing/2014/main" id="{00E7F8C0-40F9-44B7-6587-1F71A788DFF1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1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23" name="Textfeld 222">
            <a:extLst>
              <a:ext uri="{FF2B5EF4-FFF2-40B4-BE49-F238E27FC236}">
                <a16:creationId xmlns:a16="http://schemas.microsoft.com/office/drawing/2014/main" id="{7BDAE850-AAA8-E99B-A146-B058E56607F3}"/>
              </a:ext>
            </a:extLst>
          </xdr:cNvPr>
          <xdr:cNvSpPr txBox="1"/>
        </xdr:nvSpPr>
        <xdr:spPr>
          <a:xfrm>
            <a:off x="3465674" y="14301031"/>
            <a:ext cx="325730" cy="2529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</a:p>
        </xdr:txBody>
      </xdr:sp>
      <xdr:cxnSp macro="">
        <xdr:nvCxnSpPr>
          <xdr:cNvPr id="224" name="Gerade Verbindung mit Pfeil 223">
            <a:extLst>
              <a:ext uri="{FF2B5EF4-FFF2-40B4-BE49-F238E27FC236}">
                <a16:creationId xmlns:a16="http://schemas.microsoft.com/office/drawing/2014/main" id="{6C073BD2-96EE-4469-67D1-6D2974C79E95}"/>
              </a:ext>
            </a:extLst>
          </xdr:cNvPr>
          <xdr:cNvCxnSpPr/>
        </xdr:nvCxnSpPr>
        <xdr:spPr>
          <a:xfrm>
            <a:off x="3583399" y="14321561"/>
            <a:ext cx="100199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5" name="Gerader Verbinder 224">
            <a:extLst>
              <a:ext uri="{FF2B5EF4-FFF2-40B4-BE49-F238E27FC236}">
                <a16:creationId xmlns:a16="http://schemas.microsoft.com/office/drawing/2014/main" id="{95D0ADEB-9420-2B6E-32EC-84C502141FA9}"/>
              </a:ext>
            </a:extLst>
          </xdr:cNvPr>
          <xdr:cNvCxnSpPr>
            <a:cxnSpLocks/>
          </xdr:cNvCxnSpPr>
        </xdr:nvCxnSpPr>
        <xdr:spPr>
          <a:xfrm>
            <a:off x="3915718" y="14510904"/>
            <a:ext cx="1499" cy="186327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26" name="Textfeld 225">
            <a:extLst>
              <a:ext uri="{FF2B5EF4-FFF2-40B4-BE49-F238E27FC236}">
                <a16:creationId xmlns:a16="http://schemas.microsoft.com/office/drawing/2014/main" id="{2C2D0276-A64D-E398-DB01-8FDDA6C0631F}"/>
              </a:ext>
            </a:extLst>
          </xdr:cNvPr>
          <xdr:cNvSpPr txBox="1"/>
        </xdr:nvSpPr>
        <xdr:spPr>
          <a:xfrm>
            <a:off x="3583864" y="15188876"/>
            <a:ext cx="314063" cy="25342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2K</a:t>
            </a:r>
            <a:endParaRPr lang="de-CH" sz="1100">
              <a:solidFill>
                <a:srgbClr val="00B0F0"/>
              </a:solidFill>
            </a:endParaRPr>
          </a:p>
        </xdr:txBody>
      </xdr:sp>
      <xdr:grpSp>
        <xdr:nvGrpSpPr>
          <xdr:cNvPr id="227" name="Gruppieren 226">
            <a:extLst>
              <a:ext uri="{FF2B5EF4-FFF2-40B4-BE49-F238E27FC236}">
                <a16:creationId xmlns:a16="http://schemas.microsoft.com/office/drawing/2014/main" id="{8547832F-8AC7-BF9D-07BC-AAEAB2531F48}"/>
              </a:ext>
            </a:extLst>
          </xdr:cNvPr>
          <xdr:cNvGrpSpPr/>
        </xdr:nvGrpSpPr>
        <xdr:grpSpPr>
          <a:xfrm>
            <a:off x="105564" y="15404444"/>
            <a:ext cx="934487" cy="2845935"/>
            <a:chOff x="1361132" y="1207430"/>
            <a:chExt cx="936778" cy="2881244"/>
          </a:xfrm>
        </xdr:grpSpPr>
        <xdr:grpSp>
          <xdr:nvGrpSpPr>
            <xdr:cNvPr id="238" name="Gruppieren 237">
              <a:extLst>
                <a:ext uri="{FF2B5EF4-FFF2-40B4-BE49-F238E27FC236}">
                  <a16:creationId xmlns:a16="http://schemas.microsoft.com/office/drawing/2014/main" id="{CCB31EE9-0BBB-95F0-5893-C92288AC445C}"/>
                </a:ext>
              </a:extLst>
            </xdr:cNvPr>
            <xdr:cNvGrpSpPr/>
          </xdr:nvGrpSpPr>
          <xdr:grpSpPr>
            <a:xfrm>
              <a:off x="1762453" y="1207430"/>
              <a:ext cx="535457" cy="2881244"/>
              <a:chOff x="1249760" y="11127284"/>
              <a:chExt cx="542131" cy="2855996"/>
            </a:xfrm>
          </xdr:grpSpPr>
          <xdr:cxnSp macro="">
            <xdr:nvCxnSpPr>
              <xdr:cNvPr id="241" name="Gerader Verbinder 240">
                <a:extLst>
                  <a:ext uri="{FF2B5EF4-FFF2-40B4-BE49-F238E27FC236}">
                    <a16:creationId xmlns:a16="http://schemas.microsoft.com/office/drawing/2014/main" id="{8D38DCDA-2F31-3B6F-C533-80A5F539B19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19806" y="11127284"/>
                <a:ext cx="5080" cy="394412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2" name="Gerader Verbinder 241">
                <a:extLst>
                  <a:ext uri="{FF2B5EF4-FFF2-40B4-BE49-F238E27FC236}">
                    <a16:creationId xmlns:a16="http://schemas.microsoft.com/office/drawing/2014/main" id="{CD1B6C94-5780-3FFC-4DEA-86315C2C5861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3" name="Gerader Verbinder 242">
                <a:extLst>
                  <a:ext uri="{FF2B5EF4-FFF2-40B4-BE49-F238E27FC236}">
                    <a16:creationId xmlns:a16="http://schemas.microsoft.com/office/drawing/2014/main" id="{8D72B658-E211-4CE6-FB86-E55C73130413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4" name="Gerader Verbinder 243">
                <a:extLst>
                  <a:ext uri="{FF2B5EF4-FFF2-40B4-BE49-F238E27FC236}">
                    <a16:creationId xmlns:a16="http://schemas.microsoft.com/office/drawing/2014/main" id="{8CDB74EF-86C9-43FB-D5FF-A2E3982C51F7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5" name="Gerader Verbinder 244">
                <a:extLst>
                  <a:ext uri="{FF2B5EF4-FFF2-40B4-BE49-F238E27FC236}">
                    <a16:creationId xmlns:a16="http://schemas.microsoft.com/office/drawing/2014/main" id="{0529CD13-9944-4592-7AD0-F02E41AD29D3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6" name="Gerader Verbinder 245">
                <a:extLst>
                  <a:ext uri="{FF2B5EF4-FFF2-40B4-BE49-F238E27FC236}">
                    <a16:creationId xmlns:a16="http://schemas.microsoft.com/office/drawing/2014/main" id="{6A63DACF-AF3C-B9B4-58B8-E09A8181175A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7" name="Gerader Verbinder 246">
                <a:extLst>
                  <a:ext uri="{FF2B5EF4-FFF2-40B4-BE49-F238E27FC236}">
                    <a16:creationId xmlns:a16="http://schemas.microsoft.com/office/drawing/2014/main" id="{8E30738F-F18D-0DED-DF10-8928EB1F7CA4}"/>
                  </a:ext>
                </a:extLst>
              </xdr:cNvPr>
              <xdr:cNvCxnSpPr/>
            </xdr:nvCxnSpPr>
            <xdr:spPr>
              <a:xfrm flipV="1">
                <a:off x="1516459" y="11935230"/>
                <a:ext cx="4762" cy="37411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65" name="Gerader Verbinder 264">
                <a:extLst>
                  <a:ext uri="{FF2B5EF4-FFF2-40B4-BE49-F238E27FC236}">
                    <a16:creationId xmlns:a16="http://schemas.microsoft.com/office/drawing/2014/main" id="{960A7459-F692-40D5-F35E-7449087B1B40}"/>
                  </a:ext>
                </a:extLst>
              </xdr:cNvPr>
              <xdr:cNvCxnSpPr/>
            </xdr:nvCxnSpPr>
            <xdr:spPr>
              <a:xfrm flipV="1">
                <a:off x="1492875" y="13568795"/>
                <a:ext cx="5866" cy="41448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239" name="Gerader Verbinder 238">
              <a:extLst>
                <a:ext uri="{FF2B5EF4-FFF2-40B4-BE49-F238E27FC236}">
                  <a16:creationId xmlns:a16="http://schemas.microsoft.com/office/drawing/2014/main" id="{47E27C3F-1095-04D1-A716-7E499894F19C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40" name="Textfeld 239">
              <a:extLst>
                <a:ext uri="{FF2B5EF4-FFF2-40B4-BE49-F238E27FC236}">
                  <a16:creationId xmlns:a16="http://schemas.microsoft.com/office/drawing/2014/main" id="{01CD1F18-F519-6E6C-6FB3-4AD9940669B5}"/>
                </a:ext>
              </a:extLst>
            </xdr:cNvPr>
            <xdr:cNvSpPr txBox="1"/>
          </xdr:nvSpPr>
          <xdr:spPr>
            <a:xfrm>
              <a:off x="1361132" y="1629976"/>
              <a:ext cx="374875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20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</xdr:grpSp>
      <xdr:grpSp>
        <xdr:nvGrpSpPr>
          <xdr:cNvPr id="228" name="Gruppieren 227">
            <a:extLst>
              <a:ext uri="{FF2B5EF4-FFF2-40B4-BE49-F238E27FC236}">
                <a16:creationId xmlns:a16="http://schemas.microsoft.com/office/drawing/2014/main" id="{D28A0212-973D-E4DB-DC83-33C2F2033A92}"/>
              </a:ext>
            </a:extLst>
          </xdr:cNvPr>
          <xdr:cNvGrpSpPr/>
        </xdr:nvGrpSpPr>
        <xdr:grpSpPr>
          <a:xfrm>
            <a:off x="236637" y="14331988"/>
            <a:ext cx="1318807" cy="1145717"/>
            <a:chOff x="3400673" y="1388885"/>
            <a:chExt cx="1302368" cy="1173051"/>
          </a:xfrm>
        </xdr:grpSpPr>
        <xdr:grpSp>
          <xdr:nvGrpSpPr>
            <xdr:cNvPr id="231" name="Gruppieren 230">
              <a:extLst>
                <a:ext uri="{FF2B5EF4-FFF2-40B4-BE49-F238E27FC236}">
                  <a16:creationId xmlns:a16="http://schemas.microsoft.com/office/drawing/2014/main" id="{CC94E3CD-39C2-964F-889C-9CB74C7BE4B9}"/>
                </a:ext>
              </a:extLst>
            </xdr:cNvPr>
            <xdr:cNvGrpSpPr/>
          </xdr:nvGrpSpPr>
          <xdr:grpSpPr>
            <a:xfrm>
              <a:off x="3808276" y="1388885"/>
              <a:ext cx="264875" cy="1098171"/>
              <a:chOff x="3540807" y="10262874"/>
              <a:chExt cx="264875" cy="1083113"/>
            </a:xfrm>
          </xdr:grpSpPr>
          <xdr:cxnSp macro="">
            <xdr:nvCxnSpPr>
              <xdr:cNvPr id="236" name="Gerader Verbinder 235">
                <a:extLst>
                  <a:ext uri="{FF2B5EF4-FFF2-40B4-BE49-F238E27FC236}">
                    <a16:creationId xmlns:a16="http://schemas.microsoft.com/office/drawing/2014/main" id="{6B45B9A1-71F0-83D5-788D-37F3A63EE65D}"/>
                  </a:ext>
                </a:extLst>
              </xdr:cNvPr>
              <xdr:cNvCxnSpPr>
                <a:cxnSpLocks/>
                <a:endCxn id="237" idx="1"/>
              </xdr:cNvCxnSpPr>
            </xdr:nvCxnSpPr>
            <xdr:spPr>
              <a:xfrm flipH="1">
                <a:off x="3673246" y="10262874"/>
                <a:ext cx="2037" cy="387038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37" name="Textfeld 236">
                <a:extLst>
                  <a:ext uri="{FF2B5EF4-FFF2-40B4-BE49-F238E27FC236}">
                    <a16:creationId xmlns:a16="http://schemas.microsoft.com/office/drawing/2014/main" id="{13FEF215-A5E2-8C6C-0AA2-1203600DEE9E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i2</a:t>
                </a:r>
              </a:p>
            </xdr:txBody>
          </xdr:sp>
        </xdr:grpSp>
        <xdr:cxnSp macro="">
          <xdr:nvCxnSpPr>
            <xdr:cNvPr id="232" name="Gerader Verbinder 231">
              <a:extLst>
                <a:ext uri="{FF2B5EF4-FFF2-40B4-BE49-F238E27FC236}">
                  <a16:creationId xmlns:a16="http://schemas.microsoft.com/office/drawing/2014/main" id="{AC6B4C58-7F65-A6C1-C886-7AAAE532D1DE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3" name="Textfeld 232">
              <a:extLst>
                <a:ext uri="{FF2B5EF4-FFF2-40B4-BE49-F238E27FC236}">
                  <a16:creationId xmlns:a16="http://schemas.microsoft.com/office/drawing/2014/main" id="{203B50B4-2679-A298-2915-EF7163658747}"/>
                </a:ext>
              </a:extLst>
            </xdr:cNvPr>
            <xdr:cNvSpPr txBox="1"/>
          </xdr:nvSpPr>
          <xdr:spPr>
            <a:xfrm>
              <a:off x="3400673" y="1923796"/>
              <a:ext cx="343970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Ri2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34" name="Gerade Verbindung mit Pfeil 233">
              <a:extLst>
                <a:ext uri="{FF2B5EF4-FFF2-40B4-BE49-F238E27FC236}">
                  <a16:creationId xmlns:a16="http://schemas.microsoft.com/office/drawing/2014/main" id="{68950211-EE6D-75E0-971A-22550B1D8696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5" name="Textfeld 234">
              <a:extLst>
                <a:ext uri="{FF2B5EF4-FFF2-40B4-BE49-F238E27FC236}">
                  <a16:creationId xmlns:a16="http://schemas.microsoft.com/office/drawing/2014/main" id="{63D89B14-9146-9DCF-6CA0-E3948ED9EA8F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2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30" name="Ellipse 229">
            <a:extLst>
              <a:ext uri="{FF2B5EF4-FFF2-40B4-BE49-F238E27FC236}">
                <a16:creationId xmlns:a16="http://schemas.microsoft.com/office/drawing/2014/main" id="{F12D02FD-D72F-AEA2-1E8C-E8C507CC1619}"/>
              </a:ext>
            </a:extLst>
          </xdr:cNvPr>
          <xdr:cNvSpPr/>
        </xdr:nvSpPr>
        <xdr:spPr>
          <a:xfrm>
            <a:off x="733250" y="16569903"/>
            <a:ext cx="74916" cy="67492"/>
          </a:xfrm>
          <a:prstGeom prst="ellipse">
            <a:avLst/>
          </a:prstGeom>
          <a:solidFill>
            <a:schemeClr val="tx1">
              <a:lumMod val="95000"/>
              <a:lumOff val="5000"/>
            </a:schemeClr>
          </a:solidFill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69" name="Gerader Verbinder 268">
            <a:extLst>
              <a:ext uri="{FF2B5EF4-FFF2-40B4-BE49-F238E27FC236}">
                <a16:creationId xmlns:a16="http://schemas.microsoft.com/office/drawing/2014/main" id="{BF1CC884-1680-97F1-AA36-C3F35BFE965C}"/>
              </a:ext>
            </a:extLst>
          </xdr:cNvPr>
          <xdr:cNvCxnSpPr>
            <a:cxnSpLocks/>
          </xdr:cNvCxnSpPr>
        </xdr:nvCxnSpPr>
        <xdr:spPr>
          <a:xfrm flipV="1">
            <a:off x="732206" y="18977603"/>
            <a:ext cx="3085650" cy="1913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70" name="Gerader Verbinder 269">
            <a:extLst>
              <a:ext uri="{FF2B5EF4-FFF2-40B4-BE49-F238E27FC236}">
                <a16:creationId xmlns:a16="http://schemas.microsoft.com/office/drawing/2014/main" id="{B4465B27-6D14-8222-E471-0801FB03FEFA}"/>
              </a:ext>
            </a:extLst>
          </xdr:cNvPr>
          <xdr:cNvCxnSpPr>
            <a:cxnSpLocks/>
          </xdr:cNvCxnSpPr>
        </xdr:nvCxnSpPr>
        <xdr:spPr>
          <a:xfrm>
            <a:off x="3907100" y="16714353"/>
            <a:ext cx="8582" cy="2104779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1" name="Textfeld 270">
            <a:extLst>
              <a:ext uri="{FF2B5EF4-FFF2-40B4-BE49-F238E27FC236}">
                <a16:creationId xmlns:a16="http://schemas.microsoft.com/office/drawing/2014/main" id="{080DEF13-1B3D-D7D8-51BB-E2C9F3A72E1E}"/>
              </a:ext>
            </a:extLst>
          </xdr:cNvPr>
          <xdr:cNvSpPr txBox="1"/>
        </xdr:nvSpPr>
        <xdr:spPr>
          <a:xfrm>
            <a:off x="3578421" y="17395500"/>
            <a:ext cx="310888" cy="24753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1K</a:t>
            </a:r>
            <a:endParaRPr lang="de-CH" sz="1100">
              <a:solidFill>
                <a:srgbClr val="00B0F0"/>
              </a:solidFill>
            </a:endParaRPr>
          </a:p>
        </xdr:txBody>
      </xdr:sp>
      <xdr:sp macro="" textlink="">
        <xdr:nvSpPr>
          <xdr:cNvPr id="272" name="Ellipse 271">
            <a:extLst>
              <a:ext uri="{FF2B5EF4-FFF2-40B4-BE49-F238E27FC236}">
                <a16:creationId xmlns:a16="http://schemas.microsoft.com/office/drawing/2014/main" id="{0D21DE3A-4AA7-1FA5-EB0C-9EDA96474552}"/>
              </a:ext>
            </a:extLst>
          </xdr:cNvPr>
          <xdr:cNvSpPr/>
        </xdr:nvSpPr>
        <xdr:spPr>
          <a:xfrm>
            <a:off x="3818942" y="18904769"/>
            <a:ext cx="136378" cy="133242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75" name="Gerader Verbinder 274">
            <a:extLst>
              <a:ext uri="{FF2B5EF4-FFF2-40B4-BE49-F238E27FC236}">
                <a16:creationId xmlns:a16="http://schemas.microsoft.com/office/drawing/2014/main" id="{6106D9B9-DBF8-DE7B-A1C0-135B2EAAE020}"/>
              </a:ext>
            </a:extLst>
          </xdr:cNvPr>
          <xdr:cNvCxnSpPr>
            <a:cxnSpLocks/>
          </xdr:cNvCxnSpPr>
        </xdr:nvCxnSpPr>
        <xdr:spPr>
          <a:xfrm>
            <a:off x="4209632" y="14519522"/>
            <a:ext cx="35797" cy="4299610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6" name="Textfeld 275">
            <a:extLst>
              <a:ext uri="{FF2B5EF4-FFF2-40B4-BE49-F238E27FC236}">
                <a16:creationId xmlns:a16="http://schemas.microsoft.com/office/drawing/2014/main" id="{147CBEFF-F486-1DB0-7635-41144FDDD4A5}"/>
              </a:ext>
            </a:extLst>
          </xdr:cNvPr>
          <xdr:cNvSpPr txBox="1"/>
        </xdr:nvSpPr>
        <xdr:spPr>
          <a:xfrm>
            <a:off x="4154457" y="16723761"/>
            <a:ext cx="323588" cy="2538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K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280" name="Gerader Verbinder 279">
            <a:extLst>
              <a:ext uri="{FF2B5EF4-FFF2-40B4-BE49-F238E27FC236}">
                <a16:creationId xmlns:a16="http://schemas.microsoft.com/office/drawing/2014/main" id="{3552D80F-0FB3-442D-A889-BA1EF685AFF6}"/>
              </a:ext>
            </a:extLst>
          </xdr:cNvPr>
          <xdr:cNvCxnSpPr>
            <a:cxnSpLocks/>
            <a:endCxn id="281" idx="1"/>
          </xdr:cNvCxnSpPr>
        </xdr:nvCxnSpPr>
        <xdr:spPr>
          <a:xfrm>
            <a:off x="5326289" y="14333764"/>
            <a:ext cx="842" cy="193995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81" name="Textfeld 280">
            <a:extLst>
              <a:ext uri="{FF2B5EF4-FFF2-40B4-BE49-F238E27FC236}">
                <a16:creationId xmlns:a16="http://schemas.microsoft.com/office/drawing/2014/main" id="{C0C14C80-6765-453D-A836-77A3F1291D1D}"/>
              </a:ext>
            </a:extLst>
          </xdr:cNvPr>
          <xdr:cNvSpPr txBox="1"/>
        </xdr:nvSpPr>
        <xdr:spPr>
          <a:xfrm rot="5400000" flipV="1">
            <a:off x="4982251" y="16480598"/>
            <a:ext cx="683407" cy="269653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Last</a:t>
            </a:r>
          </a:p>
        </xdr:txBody>
      </xdr:sp>
      <xdr:cxnSp macro="">
        <xdr:nvCxnSpPr>
          <xdr:cNvPr id="282" name="Gerader Verbinder 281">
            <a:extLst>
              <a:ext uri="{FF2B5EF4-FFF2-40B4-BE49-F238E27FC236}">
                <a16:creationId xmlns:a16="http://schemas.microsoft.com/office/drawing/2014/main" id="{CD34F892-81C9-4D3C-903C-B6508AB8ABF3}"/>
              </a:ext>
            </a:extLst>
          </xdr:cNvPr>
          <xdr:cNvCxnSpPr>
            <a:cxnSpLocks/>
            <a:endCxn id="281" idx="3"/>
          </xdr:cNvCxnSpPr>
        </xdr:nvCxnSpPr>
        <xdr:spPr>
          <a:xfrm flipH="1" flipV="1">
            <a:off x="5327131" y="16953953"/>
            <a:ext cx="15487" cy="2025744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3" name="Gerader Verbinder 282">
            <a:extLst>
              <a:ext uri="{FF2B5EF4-FFF2-40B4-BE49-F238E27FC236}">
                <a16:creationId xmlns:a16="http://schemas.microsoft.com/office/drawing/2014/main" id="{49B9F133-EED3-44CA-BDDE-94E747980E1D}"/>
              </a:ext>
            </a:extLst>
          </xdr:cNvPr>
          <xdr:cNvCxnSpPr>
            <a:cxnSpLocks/>
          </xdr:cNvCxnSpPr>
        </xdr:nvCxnSpPr>
        <xdr:spPr>
          <a:xfrm>
            <a:off x="4000500" y="14330222"/>
            <a:ext cx="1341211" cy="354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4" name="Gerader Verbinder 283">
            <a:extLst>
              <a:ext uri="{FF2B5EF4-FFF2-40B4-BE49-F238E27FC236}">
                <a16:creationId xmlns:a16="http://schemas.microsoft.com/office/drawing/2014/main" id="{5E98A7A9-3951-4B9B-B441-EAB1F491A918}"/>
              </a:ext>
            </a:extLst>
          </xdr:cNvPr>
          <xdr:cNvCxnSpPr>
            <a:cxnSpLocks/>
          </xdr:cNvCxnSpPr>
        </xdr:nvCxnSpPr>
        <xdr:spPr>
          <a:xfrm flipV="1">
            <a:off x="3950607" y="18957018"/>
            <a:ext cx="1399722" cy="22673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5" name="Gerader Verbinder 284">
            <a:extLst>
              <a:ext uri="{FF2B5EF4-FFF2-40B4-BE49-F238E27FC236}">
                <a16:creationId xmlns:a16="http://schemas.microsoft.com/office/drawing/2014/main" id="{88399B4C-1299-4C48-A38E-82E86E3C43D1}"/>
              </a:ext>
            </a:extLst>
          </xdr:cNvPr>
          <xdr:cNvCxnSpPr>
            <a:cxnSpLocks/>
          </xdr:cNvCxnSpPr>
        </xdr:nvCxnSpPr>
        <xdr:spPr>
          <a:xfrm flipV="1">
            <a:off x="4961308" y="16213336"/>
            <a:ext cx="706954" cy="56831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  <a:headEnd type="none" w="med" len="med"/>
            <a:tailEnd type="triangle" w="med" len="med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13</xdr:col>
      <xdr:colOff>0</xdr:colOff>
      <xdr:row>4</xdr:row>
      <xdr:rowOff>24848</xdr:rowOff>
    </xdr:from>
    <xdr:to>
      <xdr:col>13</xdr:col>
      <xdr:colOff>0</xdr:colOff>
      <xdr:row>7</xdr:row>
      <xdr:rowOff>173935</xdr:rowOff>
    </xdr:to>
    <xdr:cxnSp macro="">
      <xdr:nvCxnSpPr>
        <xdr:cNvPr id="24" name="Gerader Verbinder 23">
          <a:extLst>
            <a:ext uri="{FF2B5EF4-FFF2-40B4-BE49-F238E27FC236}">
              <a16:creationId xmlns:a16="http://schemas.microsoft.com/office/drawing/2014/main" id="{7BE249C2-7891-474F-9A79-C43994FA7BE5}"/>
            </a:ext>
          </a:extLst>
        </xdr:cNvPr>
        <xdr:cNvCxnSpPr>
          <a:cxnSpLocks/>
        </xdr:cNvCxnSpPr>
      </xdr:nvCxnSpPr>
      <xdr:spPr>
        <a:xfrm flipV="1">
          <a:off x="9450457" y="869674"/>
          <a:ext cx="0" cy="695739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8</xdr:row>
      <xdr:rowOff>110848</xdr:rowOff>
    </xdr:from>
    <xdr:to>
      <xdr:col>13</xdr:col>
      <xdr:colOff>0</xdr:colOff>
      <xdr:row>12</xdr:row>
      <xdr:rowOff>74543</xdr:rowOff>
    </xdr:to>
    <xdr:cxnSp macro="">
      <xdr:nvCxnSpPr>
        <xdr:cNvPr id="69" name="Gerader Verbinder 68">
          <a:extLst>
            <a:ext uri="{FF2B5EF4-FFF2-40B4-BE49-F238E27FC236}">
              <a16:creationId xmlns:a16="http://schemas.microsoft.com/office/drawing/2014/main" id="{1BEDE7B8-0A3D-B18F-794F-3610D901B4C7}"/>
            </a:ext>
          </a:extLst>
        </xdr:cNvPr>
        <xdr:cNvCxnSpPr>
          <a:cxnSpLocks/>
        </xdr:cNvCxnSpPr>
      </xdr:nvCxnSpPr>
      <xdr:spPr>
        <a:xfrm flipV="1">
          <a:off x="9450457" y="1684544"/>
          <a:ext cx="0" cy="692564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11458</xdr:colOff>
      <xdr:row>8</xdr:row>
      <xdr:rowOff>3175</xdr:rowOff>
    </xdr:from>
    <xdr:to>
      <xdr:col>14</xdr:col>
      <xdr:colOff>8283</xdr:colOff>
      <xdr:row>8</xdr:row>
      <xdr:rowOff>3175</xdr:rowOff>
    </xdr:to>
    <xdr:cxnSp macro="">
      <xdr:nvCxnSpPr>
        <xdr:cNvPr id="71" name="Gerader Verbinder 70">
          <a:extLst>
            <a:ext uri="{FF2B5EF4-FFF2-40B4-BE49-F238E27FC236}">
              <a16:creationId xmlns:a16="http://schemas.microsoft.com/office/drawing/2014/main" id="{478BEEDF-8779-75D1-B146-65C23DD135BC}"/>
            </a:ext>
          </a:extLst>
        </xdr:cNvPr>
        <xdr:cNvCxnSpPr>
          <a:cxnSpLocks/>
        </xdr:cNvCxnSpPr>
      </xdr:nvCxnSpPr>
      <xdr:spPr>
        <a:xfrm>
          <a:off x="9155458" y="1576871"/>
          <a:ext cx="609738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8283</xdr:colOff>
      <xdr:row>8</xdr:row>
      <xdr:rowOff>105741</xdr:rowOff>
    </xdr:from>
    <xdr:to>
      <xdr:col>14</xdr:col>
      <xdr:colOff>11458</xdr:colOff>
      <xdr:row>8</xdr:row>
      <xdr:rowOff>105741</xdr:rowOff>
    </xdr:to>
    <xdr:cxnSp macro="">
      <xdr:nvCxnSpPr>
        <xdr:cNvPr id="169" name="Gerader Verbinder 168">
          <a:extLst>
            <a:ext uri="{FF2B5EF4-FFF2-40B4-BE49-F238E27FC236}">
              <a16:creationId xmlns:a16="http://schemas.microsoft.com/office/drawing/2014/main" id="{9D314197-3948-07BE-FC3D-4A1739F43189}"/>
            </a:ext>
          </a:extLst>
        </xdr:cNvPr>
        <xdr:cNvCxnSpPr>
          <a:cxnSpLocks/>
        </xdr:cNvCxnSpPr>
      </xdr:nvCxnSpPr>
      <xdr:spPr>
        <a:xfrm>
          <a:off x="9152283" y="1679437"/>
          <a:ext cx="616088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11</xdr:col>
      <xdr:colOff>463826</xdr:colOff>
      <xdr:row>20</xdr:row>
      <xdr:rowOff>2067</xdr:rowOff>
    </xdr:from>
    <xdr:to>
      <xdr:col>14</xdr:col>
      <xdr:colOff>276777</xdr:colOff>
      <xdr:row>23</xdr:row>
      <xdr:rowOff>47071</xdr:rowOff>
    </xdr:to>
    <xdr:pic>
      <xdr:nvPicPr>
        <xdr:cNvPr id="171" name="Grafik 170">
          <a:extLst>
            <a:ext uri="{FF2B5EF4-FFF2-40B4-BE49-F238E27FC236}">
              <a16:creationId xmlns:a16="http://schemas.microsoft.com/office/drawing/2014/main" id="{4DEC3567-96EB-0B1D-036F-7C83FBCFB7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45826" y="3762371"/>
          <a:ext cx="1187864" cy="591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C0C2E71-8B9D-48C3-8FCF-9BB5E22D4011}"/>
            </a:ext>
          </a:extLst>
        </xdr:cNvPr>
        <xdr:cNvSpPr/>
      </xdr:nvSpPr>
      <xdr:spPr>
        <a:xfrm rot="10800000">
          <a:off x="419100" y="104775"/>
          <a:ext cx="600075" cy="53067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</xdr:col>
      <xdr:colOff>368300</xdr:colOff>
      <xdr:row>38</xdr:row>
      <xdr:rowOff>50799</xdr:rowOff>
    </xdr:from>
    <xdr:to>
      <xdr:col>14</xdr:col>
      <xdr:colOff>330200</xdr:colOff>
      <xdr:row>81</xdr:row>
      <xdr:rowOff>40925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6CEC005E-C2D5-CFE2-9C16-52F50B162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92300" y="7442199"/>
          <a:ext cx="11004550" cy="7772051"/>
        </a:xfrm>
        <a:prstGeom prst="rect">
          <a:avLst/>
        </a:prstGeom>
      </xdr:spPr>
    </xdr:pic>
    <xdr:clientData/>
  </xdr:twoCellAnchor>
  <xdr:twoCellAnchor editAs="oneCell">
    <xdr:from>
      <xdr:col>21</xdr:col>
      <xdr:colOff>682626</xdr:colOff>
      <xdr:row>4</xdr:row>
      <xdr:rowOff>37777</xdr:rowOff>
    </xdr:from>
    <xdr:to>
      <xdr:col>22</xdr:col>
      <xdr:colOff>1139826</xdr:colOff>
      <xdr:row>10</xdr:row>
      <xdr:rowOff>123825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A8F63450-8159-636A-419B-790261DB13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341851" y="875977"/>
          <a:ext cx="1219200" cy="1476698"/>
        </a:xfrm>
        <a:prstGeom prst="rect">
          <a:avLst/>
        </a:prstGeom>
      </xdr:spPr>
    </xdr:pic>
    <xdr:clientData/>
  </xdr:twoCellAnchor>
  <xdr:twoCellAnchor>
    <xdr:from>
      <xdr:col>27</xdr:col>
      <xdr:colOff>377826</xdr:colOff>
      <xdr:row>3</xdr:row>
      <xdr:rowOff>15875</xdr:rowOff>
    </xdr:from>
    <xdr:to>
      <xdr:col>34</xdr:col>
      <xdr:colOff>177800</xdr:colOff>
      <xdr:row>19</xdr:row>
      <xdr:rowOff>130175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7DFCE484-4FE5-CA7F-7B3B-8BCFF2E4D2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45DE25F-AACE-44A6-A9AF-235BE8B80F30}"/>
            </a:ext>
          </a:extLst>
        </xdr:cNvPr>
        <xdr:cNvSpPr/>
      </xdr:nvSpPr>
      <xdr:spPr>
        <a:xfrm rot="10800000">
          <a:off x="419100" y="101600"/>
          <a:ext cx="603250" cy="53702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123824</xdr:colOff>
      <xdr:row>26</xdr:row>
      <xdr:rowOff>174624</xdr:rowOff>
    </xdr:from>
    <xdr:to>
      <xdr:col>11</xdr:col>
      <xdr:colOff>311150</xdr:colOff>
      <xdr:row>52</xdr:row>
      <xdr:rowOff>107949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2051656-3FED-11C8-84A0-7E4B3B3540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731837</xdr:colOff>
      <xdr:row>26</xdr:row>
      <xdr:rowOff>168275</xdr:rowOff>
    </xdr:from>
    <xdr:to>
      <xdr:col>18</xdr:col>
      <xdr:colOff>333375</xdr:colOff>
      <xdr:row>47</xdr:row>
      <xdr:rowOff>114300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0CF15497-7602-D976-57C4-E1863758B6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236311</xdr:colOff>
      <xdr:row>4</xdr:row>
      <xdr:rowOff>9525</xdr:rowOff>
    </xdr:from>
    <xdr:to>
      <xdr:col>7</xdr:col>
      <xdr:colOff>476251</xdr:colOff>
      <xdr:row>13</xdr:row>
      <xdr:rowOff>27215</xdr:rowOff>
    </xdr:to>
    <xdr:grpSp>
      <xdr:nvGrpSpPr>
        <xdr:cNvPr id="165" name="Gruppieren 164">
          <a:extLst>
            <a:ext uri="{FF2B5EF4-FFF2-40B4-BE49-F238E27FC236}">
              <a16:creationId xmlns:a16="http://schemas.microsoft.com/office/drawing/2014/main" id="{A5784262-0CD4-C2BA-B56A-7C6F161A6EFD}"/>
            </a:ext>
          </a:extLst>
        </xdr:cNvPr>
        <xdr:cNvGrpSpPr/>
      </xdr:nvGrpSpPr>
      <xdr:grpSpPr>
        <a:xfrm>
          <a:off x="236311" y="853168"/>
          <a:ext cx="5573940" cy="1841047"/>
          <a:chOff x="4327071" y="11330668"/>
          <a:chExt cx="5132488" cy="1537916"/>
        </a:xfrm>
      </xdr:grpSpPr>
      <xdr:sp macro="" textlink="">
        <xdr:nvSpPr>
          <xdr:cNvPr id="134" name="Rechteck 133">
            <a:extLst>
              <a:ext uri="{FF2B5EF4-FFF2-40B4-BE49-F238E27FC236}">
                <a16:creationId xmlns:a16="http://schemas.microsoft.com/office/drawing/2014/main" id="{540B46FE-D008-4D48-A464-7AA6B9B0D482}"/>
              </a:ext>
            </a:extLst>
          </xdr:cNvPr>
          <xdr:cNvSpPr/>
        </xdr:nvSpPr>
        <xdr:spPr>
          <a:xfrm>
            <a:off x="4370237" y="11330668"/>
            <a:ext cx="3516414" cy="1537916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5" name="Gruppieren 134">
            <a:extLst>
              <a:ext uri="{FF2B5EF4-FFF2-40B4-BE49-F238E27FC236}">
                <a16:creationId xmlns:a16="http://schemas.microsoft.com/office/drawing/2014/main" id="{BA5E9CD4-61B1-4F9A-9638-E1562D8D72F4}"/>
              </a:ext>
            </a:extLst>
          </xdr:cNvPr>
          <xdr:cNvGrpSpPr/>
        </xdr:nvGrpSpPr>
        <xdr:grpSpPr>
          <a:xfrm>
            <a:off x="8146446" y="11495066"/>
            <a:ext cx="1313113" cy="1191360"/>
            <a:chOff x="2773378" y="10207571"/>
            <a:chExt cx="1254659" cy="1191913"/>
          </a:xfrm>
        </xdr:grpSpPr>
        <xdr:cxnSp macro="">
          <xdr:nvCxnSpPr>
            <xdr:cNvPr id="136" name="Gerader Verbinder 135">
              <a:extLst>
                <a:ext uri="{FF2B5EF4-FFF2-40B4-BE49-F238E27FC236}">
                  <a16:creationId xmlns:a16="http://schemas.microsoft.com/office/drawing/2014/main" id="{133C2A7F-39F8-DFE4-6773-908F7841EE29}"/>
                </a:ext>
              </a:extLst>
            </xdr:cNvPr>
            <xdr:cNvCxnSpPr>
              <a:cxnSpLocks/>
              <a:endCxn id="137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7" name="Textfeld 136">
              <a:extLst>
                <a:ext uri="{FF2B5EF4-FFF2-40B4-BE49-F238E27FC236}">
                  <a16:creationId xmlns:a16="http://schemas.microsoft.com/office/drawing/2014/main" id="{27E3C1CD-6908-B4AA-6B11-76F29A97462C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38" name="Gerader Verbinder 137">
              <a:extLst>
                <a:ext uri="{FF2B5EF4-FFF2-40B4-BE49-F238E27FC236}">
                  <a16:creationId xmlns:a16="http://schemas.microsoft.com/office/drawing/2014/main" id="{3368187F-68BA-753F-FC24-A00CBDDBD9A3}"/>
                </a:ext>
              </a:extLst>
            </xdr:cNvPr>
            <xdr:cNvCxnSpPr>
              <a:cxnSpLocks/>
              <a:endCxn id="137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FBD3C28F-9D22-DF37-E443-EF5EEA434AD6}"/>
                </a:ext>
              </a:extLst>
            </xdr:cNvPr>
            <xdr:cNvCxnSpPr>
              <a:cxnSpLocks/>
            </xdr:cNvCxnSpPr>
          </xdr:nvCxnSpPr>
          <xdr:spPr>
            <a:xfrm flipV="1">
              <a:off x="2787109" y="10208934"/>
              <a:ext cx="928419" cy="52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0" name="Gerader Verbinder 139">
              <a:extLst>
                <a:ext uri="{FF2B5EF4-FFF2-40B4-BE49-F238E27FC236}">
                  <a16:creationId xmlns:a16="http://schemas.microsoft.com/office/drawing/2014/main" id="{5D2AED45-C939-EFC9-034F-1FBB614790D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E3CFB17D-47E6-8112-708F-5B6653912586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2" name="Gruppieren 141">
            <a:extLst>
              <a:ext uri="{FF2B5EF4-FFF2-40B4-BE49-F238E27FC236}">
                <a16:creationId xmlns:a16="http://schemas.microsoft.com/office/drawing/2014/main" id="{304ECE6E-643A-4832-BDAD-9B21373F068B}"/>
              </a:ext>
            </a:extLst>
          </xdr:cNvPr>
          <xdr:cNvGrpSpPr/>
        </xdr:nvGrpSpPr>
        <xdr:grpSpPr>
          <a:xfrm>
            <a:off x="4327071" y="11359378"/>
            <a:ext cx="3828996" cy="1388069"/>
            <a:chOff x="1647691" y="3231319"/>
            <a:chExt cx="3829184" cy="1371297"/>
          </a:xfrm>
        </xdr:grpSpPr>
        <xdr:grpSp>
          <xdr:nvGrpSpPr>
            <xdr:cNvPr id="143" name="Gruppieren 142">
              <a:extLst>
                <a:ext uri="{FF2B5EF4-FFF2-40B4-BE49-F238E27FC236}">
                  <a16:creationId xmlns:a16="http://schemas.microsoft.com/office/drawing/2014/main" id="{3B96A9EE-680D-E377-0523-9FC21B6FD470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59" name="Textfeld 158">
                <a:extLst>
                  <a:ext uri="{FF2B5EF4-FFF2-40B4-BE49-F238E27FC236}">
                    <a16:creationId xmlns:a16="http://schemas.microsoft.com/office/drawing/2014/main" id="{072783A4-74EF-26B5-4CF4-9D6387261D8A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0" name="Gerader Verbinder 159">
                <a:extLst>
                  <a:ext uri="{FF2B5EF4-FFF2-40B4-BE49-F238E27FC236}">
                    <a16:creationId xmlns:a16="http://schemas.microsoft.com/office/drawing/2014/main" id="{F9AEA249-AA63-D12B-996F-C0BFEBA9EE70}"/>
                  </a:ext>
                </a:extLst>
              </xdr:cNvPr>
              <xdr:cNvCxnSpPr>
                <a:cxnSpLocks/>
                <a:stCxn id="161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1" name="Textfeld 160">
                <a:extLst>
                  <a:ext uri="{FF2B5EF4-FFF2-40B4-BE49-F238E27FC236}">
                    <a16:creationId xmlns:a16="http://schemas.microsoft.com/office/drawing/2014/main" id="{370342E5-6692-7765-7662-B60AEB6791E2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2" name="Gerader Verbinder 161">
                <a:extLst>
                  <a:ext uri="{FF2B5EF4-FFF2-40B4-BE49-F238E27FC236}">
                    <a16:creationId xmlns:a16="http://schemas.microsoft.com/office/drawing/2014/main" id="{A5A4107F-65E7-1A39-BA88-9CBD0558FFD4}"/>
                  </a:ext>
                </a:extLst>
              </xdr:cNvPr>
              <xdr:cNvCxnSpPr>
                <a:cxnSpLocks/>
                <a:endCxn id="161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EBB1A4FB-E212-93A6-63F1-9B9E57367F78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4" name="Gerader Verbinder 163">
                <a:extLst>
                  <a:ext uri="{FF2B5EF4-FFF2-40B4-BE49-F238E27FC236}">
                    <a16:creationId xmlns:a16="http://schemas.microsoft.com/office/drawing/2014/main" id="{62E9CCE5-83D1-A4B4-4B10-7F757C58DF36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4" name="Gruppieren 143">
              <a:extLst>
                <a:ext uri="{FF2B5EF4-FFF2-40B4-BE49-F238E27FC236}">
                  <a16:creationId xmlns:a16="http://schemas.microsoft.com/office/drawing/2014/main" id="{074662E8-F800-D858-F0AA-43BC30F145E6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48" name="Gruppieren 147">
                <a:extLst>
                  <a:ext uri="{FF2B5EF4-FFF2-40B4-BE49-F238E27FC236}">
                    <a16:creationId xmlns:a16="http://schemas.microsoft.com/office/drawing/2014/main" id="{F4F8D305-F4C4-E653-D139-52041AF23D9D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2" name="Gerader Verbinder 151">
                  <a:extLst>
                    <a:ext uri="{FF2B5EF4-FFF2-40B4-BE49-F238E27FC236}">
                      <a16:creationId xmlns:a16="http://schemas.microsoft.com/office/drawing/2014/main" id="{2F0D6B5C-2DAF-35E4-60C9-0E333B0F3491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3" name="Gerader Verbinder 152">
                  <a:extLst>
                    <a:ext uri="{FF2B5EF4-FFF2-40B4-BE49-F238E27FC236}">
                      <a16:creationId xmlns:a16="http://schemas.microsoft.com/office/drawing/2014/main" id="{C575716C-04BA-2FA8-6197-4147AAC948F5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4" name="Gerader Verbinder 153">
                  <a:extLst>
                    <a:ext uri="{FF2B5EF4-FFF2-40B4-BE49-F238E27FC236}">
                      <a16:creationId xmlns:a16="http://schemas.microsoft.com/office/drawing/2014/main" id="{AA4932F6-A8DA-379E-BFB9-609EA65EE91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EC7FF872-34FB-27A6-BFBD-C6F5CDB9D89E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3CE566E1-C450-59E1-47D7-3D74FB6CBE9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D694AFC5-C168-2B6B-DB10-C32C373B29CE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07A3D4B2-A58E-42AF-A7F2-6F445ED81302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49" name="Gerader Verbinder 148">
                <a:extLst>
                  <a:ext uri="{FF2B5EF4-FFF2-40B4-BE49-F238E27FC236}">
                    <a16:creationId xmlns:a16="http://schemas.microsoft.com/office/drawing/2014/main" id="{66DBF40F-F640-976D-20DF-9A6BF24AEA2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0" name="Textfeld 149">
                <a:extLst>
                  <a:ext uri="{FF2B5EF4-FFF2-40B4-BE49-F238E27FC236}">
                    <a16:creationId xmlns:a16="http://schemas.microsoft.com/office/drawing/2014/main" id="{1A3E3803-2B48-E958-F675-7347933B4BAE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1" name="Textfeld 150">
                <a:extLst>
                  <a:ext uri="{FF2B5EF4-FFF2-40B4-BE49-F238E27FC236}">
                    <a16:creationId xmlns:a16="http://schemas.microsoft.com/office/drawing/2014/main" id="{3A12F5FD-866A-7A90-6A60-9E1490500F5E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5" name="Gerade Verbindung mit Pfeil 144">
              <a:extLst>
                <a:ext uri="{FF2B5EF4-FFF2-40B4-BE49-F238E27FC236}">
                  <a16:creationId xmlns:a16="http://schemas.microsoft.com/office/drawing/2014/main" id="{00303659-F03E-5C2C-43BE-45B9C2589978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6" name="Ellipse 145">
              <a:extLst>
                <a:ext uri="{FF2B5EF4-FFF2-40B4-BE49-F238E27FC236}">
                  <a16:creationId xmlns:a16="http://schemas.microsoft.com/office/drawing/2014/main" id="{817AFC8F-5D40-D122-AB9A-816BC3E805F5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47" name="Ellipse 146">
              <a:extLst>
                <a:ext uri="{FF2B5EF4-FFF2-40B4-BE49-F238E27FC236}">
                  <a16:creationId xmlns:a16="http://schemas.microsoft.com/office/drawing/2014/main" id="{15905085-8B87-1E48-D79D-9E4D25BE2058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311150</xdr:colOff>
      <xdr:row>1</xdr:row>
      <xdr:rowOff>177800</xdr:rowOff>
    </xdr:from>
    <xdr:to>
      <xdr:col>1</xdr:col>
      <xdr:colOff>152400</xdr:colOff>
      <xdr:row>4</xdr:row>
      <xdr:rowOff>25400</xdr:rowOff>
    </xdr:to>
    <xdr:sp macro="" textlink="">
      <xdr:nvSpPr>
        <xdr:cNvPr id="20" name="Pfeil: nach rechts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5236F7-CC34-DA43-74A7-C94D598CA5F2}"/>
            </a:ext>
          </a:extLst>
        </xdr:cNvPr>
        <xdr:cNvSpPr/>
      </xdr:nvSpPr>
      <xdr:spPr>
        <a:xfrm rot="10800000">
          <a:off x="311150" y="361950"/>
          <a:ext cx="603250" cy="4000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</xdr:colOff>
      <xdr:row>20</xdr:row>
      <xdr:rowOff>95250</xdr:rowOff>
    </xdr:from>
    <xdr:to>
      <xdr:col>24</xdr:col>
      <xdr:colOff>666750</xdr:colOff>
      <xdr:row>56</xdr:row>
      <xdr:rowOff>149678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A17EF283-81AA-0DF2-6AC7-CCE8490BED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D7D7223-AAE0-4314-8311-2AE59115A6A3}"/>
            </a:ext>
          </a:extLst>
        </xdr:cNvPr>
        <xdr:cNvSpPr/>
      </xdr:nvSpPr>
      <xdr:spPr>
        <a:xfrm rot="10800000">
          <a:off x="559707" y="143329"/>
          <a:ext cx="5832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1358348</xdr:colOff>
      <xdr:row>2</xdr:row>
      <xdr:rowOff>65244</xdr:rowOff>
    </xdr:from>
    <xdr:to>
      <xdr:col>8</xdr:col>
      <xdr:colOff>531105</xdr:colOff>
      <xdr:row>13</xdr:row>
      <xdr:rowOff>115956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6A075162-981A-2E77-68B9-B48F7E906F39}"/>
            </a:ext>
          </a:extLst>
        </xdr:cNvPr>
        <xdr:cNvCxnSpPr/>
      </xdr:nvCxnSpPr>
      <xdr:spPr>
        <a:xfrm flipV="1">
          <a:off x="3288196" y="901787"/>
          <a:ext cx="4548170" cy="2055104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550589</xdr:colOff>
      <xdr:row>1</xdr:row>
      <xdr:rowOff>332565</xdr:rowOff>
    </xdr:from>
    <xdr:to>
      <xdr:col>7</xdr:col>
      <xdr:colOff>520653</xdr:colOff>
      <xdr:row>5</xdr:row>
      <xdr:rowOff>128672</xdr:rowOff>
    </xdr:to>
    <xdr:sp macro="" textlink="">
      <xdr:nvSpPr>
        <xdr:cNvPr id="9" name="Rechteck 8">
          <a:extLst>
            <a:ext uri="{FF2B5EF4-FFF2-40B4-BE49-F238E27FC236}">
              <a16:creationId xmlns:a16="http://schemas.microsoft.com/office/drawing/2014/main" id="{ADEBC53F-BC44-6809-F2F1-79521F047BE0}"/>
            </a:ext>
          </a:extLst>
        </xdr:cNvPr>
        <xdr:cNvSpPr/>
      </xdr:nvSpPr>
      <xdr:spPr>
        <a:xfrm rot="20134171">
          <a:off x="4927076" y="838894"/>
          <a:ext cx="1524143" cy="673410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2432593</xdr:colOff>
      <xdr:row>10</xdr:row>
      <xdr:rowOff>30118</xdr:rowOff>
    </xdr:from>
    <xdr:to>
      <xdr:col>5</xdr:col>
      <xdr:colOff>17562</xdr:colOff>
      <xdr:row>16</xdr:row>
      <xdr:rowOff>30119</xdr:rowOff>
    </xdr:to>
    <xdr:sp macro="" textlink="">
      <xdr:nvSpPr>
        <xdr:cNvPr id="12" name="Bogen 11">
          <a:extLst>
            <a:ext uri="{FF2B5EF4-FFF2-40B4-BE49-F238E27FC236}">
              <a16:creationId xmlns:a16="http://schemas.microsoft.com/office/drawing/2014/main" id="{0006415D-5647-0ADB-79D2-8A066439C59E}"/>
            </a:ext>
          </a:extLst>
        </xdr:cNvPr>
        <xdr:cNvSpPr/>
      </xdr:nvSpPr>
      <xdr:spPr>
        <a:xfrm>
          <a:off x="4362441" y="2324401"/>
          <a:ext cx="715795" cy="1093305"/>
        </a:xfrm>
        <a:prstGeom prst="arc">
          <a:avLst>
            <a:gd name="adj1" fmla="val 16200000"/>
            <a:gd name="adj2" fmla="val 595574"/>
          </a:avLst>
        </a:prstGeom>
        <a:ln>
          <a:headEnd type="triangl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3</xdr:col>
      <xdr:colOff>2214353</xdr:colOff>
      <xdr:row>10</xdr:row>
      <xdr:rowOff>56668</xdr:rowOff>
    </xdr:from>
    <xdr:ext cx="446597" cy="655885"/>
    <xdr:sp macro="" textlink="">
      <xdr:nvSpPr>
        <xdr:cNvPr id="13" name="Textfeld 12">
          <a:extLst>
            <a:ext uri="{FF2B5EF4-FFF2-40B4-BE49-F238E27FC236}">
              <a16:creationId xmlns:a16="http://schemas.microsoft.com/office/drawing/2014/main" id="{262B1A52-B42B-BD35-B582-E8126A9ABBFF}"/>
            </a:ext>
          </a:extLst>
        </xdr:cNvPr>
        <xdr:cNvSpPr txBox="1"/>
      </xdr:nvSpPr>
      <xdr:spPr>
        <a:xfrm>
          <a:off x="4144201" y="2350951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6</xdr:col>
      <xdr:colOff>449035</xdr:colOff>
      <xdr:row>4</xdr:row>
      <xdr:rowOff>54428</xdr:rowOff>
    </xdr:from>
    <xdr:to>
      <xdr:col>6</xdr:col>
      <xdr:colOff>462642</xdr:colOff>
      <xdr:row>16</xdr:row>
      <xdr:rowOff>68036</xdr:rowOff>
    </xdr:to>
    <xdr:cxnSp macro="">
      <xdr:nvCxnSpPr>
        <xdr:cNvPr id="15" name="Gerade Verbindung mit Pfeil 14">
          <a:extLst>
            <a:ext uri="{FF2B5EF4-FFF2-40B4-BE49-F238E27FC236}">
              <a16:creationId xmlns:a16="http://schemas.microsoft.com/office/drawing/2014/main" id="{AB142219-0A1D-3F2D-28A5-FFA84C08CF4E}"/>
            </a:ext>
          </a:extLst>
        </xdr:cNvPr>
        <xdr:cNvCxnSpPr/>
      </xdr:nvCxnSpPr>
      <xdr:spPr>
        <a:xfrm flipH="1">
          <a:off x="5361214" y="1251857"/>
          <a:ext cx="13607" cy="2136322"/>
        </a:xfrm>
        <a:prstGeom prst="straightConnector1">
          <a:avLst/>
        </a:prstGeom>
        <a:ln w="28575"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513180</xdr:colOff>
      <xdr:row>4</xdr:row>
      <xdr:rowOff>59941</xdr:rowOff>
    </xdr:from>
    <xdr:to>
      <xdr:col>6</xdr:col>
      <xdr:colOff>483219</xdr:colOff>
      <xdr:row>6</xdr:row>
      <xdr:rowOff>80211</xdr:rowOff>
    </xdr:to>
    <xdr:cxnSp macro="">
      <xdr:nvCxnSpPr>
        <xdr:cNvPr id="16" name="Gerade Verbindung mit Pfeil 15">
          <a:extLst>
            <a:ext uri="{FF2B5EF4-FFF2-40B4-BE49-F238E27FC236}">
              <a16:creationId xmlns:a16="http://schemas.microsoft.com/office/drawing/2014/main" id="{5F08F951-EA5E-E463-A306-20BDBF63CAEA}"/>
            </a:ext>
          </a:extLst>
        </xdr:cNvPr>
        <xdr:cNvCxnSpPr/>
      </xdr:nvCxnSpPr>
      <xdr:spPr>
        <a:xfrm flipH="1">
          <a:off x="4889667" y="1263099"/>
          <a:ext cx="837315" cy="381217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424996</xdr:colOff>
      <xdr:row>7</xdr:row>
      <xdr:rowOff>68750</xdr:rowOff>
    </xdr:from>
    <xdr:ext cx="446597" cy="655885"/>
    <xdr:sp macro="" textlink="">
      <xdr:nvSpPr>
        <xdr:cNvPr id="23" name="Textfeld 22">
          <a:extLst>
            <a:ext uri="{FF2B5EF4-FFF2-40B4-BE49-F238E27FC236}">
              <a16:creationId xmlns:a16="http://schemas.microsoft.com/office/drawing/2014/main" id="{87E53FD8-EB5A-BCD2-7611-21D7BC4B3B34}"/>
            </a:ext>
          </a:extLst>
        </xdr:cNvPr>
        <xdr:cNvSpPr txBox="1"/>
      </xdr:nvSpPr>
      <xdr:spPr>
        <a:xfrm>
          <a:off x="5327864" y="1903566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5</xdr:col>
      <xdr:colOff>825881</xdr:colOff>
      <xdr:row>8</xdr:row>
      <xdr:rowOff>5753</xdr:rowOff>
    </xdr:from>
    <xdr:to>
      <xdr:col>7</xdr:col>
      <xdr:colOff>367344</xdr:colOff>
      <xdr:row>12</xdr:row>
      <xdr:rowOff>21916</xdr:rowOff>
    </xdr:to>
    <xdr:sp macro="" textlink="">
      <xdr:nvSpPr>
        <xdr:cNvPr id="24" name="Bogen 23">
          <a:extLst>
            <a:ext uri="{FF2B5EF4-FFF2-40B4-BE49-F238E27FC236}">
              <a16:creationId xmlns:a16="http://schemas.microsoft.com/office/drawing/2014/main" id="{4C480452-2F73-CFC9-3EDE-63DC4D9E2914}"/>
            </a:ext>
          </a:extLst>
        </xdr:cNvPr>
        <xdr:cNvSpPr/>
      </xdr:nvSpPr>
      <xdr:spPr>
        <a:xfrm rot="5042857">
          <a:off x="5040215" y="1752064"/>
          <a:ext cx="738057" cy="1095542"/>
        </a:xfrm>
        <a:prstGeom prst="arc">
          <a:avLst>
            <a:gd name="adj1" fmla="val 17493114"/>
            <a:gd name="adj2" fmla="val 956737"/>
          </a:avLst>
        </a:prstGeom>
        <a:ln>
          <a:head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473076</xdr:colOff>
      <xdr:row>4</xdr:row>
      <xdr:rowOff>63333</xdr:rowOff>
    </xdr:from>
    <xdr:to>
      <xdr:col>7</xdr:col>
      <xdr:colOff>576513</xdr:colOff>
      <xdr:row>14</xdr:row>
      <xdr:rowOff>63333</xdr:rowOff>
    </xdr:to>
    <xdr:cxnSp macro="">
      <xdr:nvCxnSpPr>
        <xdr:cNvPr id="17" name="Gerade Verbindung mit Pfeil 16">
          <a:extLst>
            <a:ext uri="{FF2B5EF4-FFF2-40B4-BE49-F238E27FC236}">
              <a16:creationId xmlns:a16="http://schemas.microsoft.com/office/drawing/2014/main" id="{C143CB27-5BE9-C2CD-CBB0-973A73E210FF}"/>
            </a:ext>
          </a:extLst>
        </xdr:cNvPr>
        <xdr:cNvCxnSpPr/>
      </xdr:nvCxnSpPr>
      <xdr:spPr>
        <a:xfrm>
          <a:off x="5375944" y="1266491"/>
          <a:ext cx="790240" cy="1804737"/>
        </a:xfrm>
        <a:prstGeom prst="straightConnector1">
          <a:avLst/>
        </a:prstGeom>
        <a:ln w="28575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428171</xdr:colOff>
      <xdr:row>14</xdr:row>
      <xdr:rowOff>50536</xdr:rowOff>
    </xdr:from>
    <xdr:ext cx="590931" cy="655885"/>
    <xdr:sp macro="" textlink="">
      <xdr:nvSpPr>
        <xdr:cNvPr id="25" name="Textfeld 24">
          <a:extLst>
            <a:ext uri="{FF2B5EF4-FFF2-40B4-BE49-F238E27FC236}">
              <a16:creationId xmlns:a16="http://schemas.microsoft.com/office/drawing/2014/main" id="{D9506AED-37E0-C9BF-F13D-8D8ED815AA7C}"/>
            </a:ext>
          </a:extLst>
        </xdr:cNvPr>
        <xdr:cNvSpPr txBox="1"/>
      </xdr:nvSpPr>
      <xdr:spPr>
        <a:xfrm>
          <a:off x="5331039" y="3058431"/>
          <a:ext cx="590931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G</a:t>
          </a:r>
        </a:p>
      </xdr:txBody>
    </xdr:sp>
    <xdr:clientData/>
  </xdr:oneCellAnchor>
  <xdr:oneCellAnchor>
    <xdr:from>
      <xdr:col>7</xdr:col>
      <xdr:colOff>371188</xdr:colOff>
      <xdr:row>9</xdr:row>
      <xdr:rowOff>123896</xdr:rowOff>
    </xdr:from>
    <xdr:ext cx="595419" cy="655885"/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89E9751F-3065-BFD6-EEEF-2CDECFE2E8DA}"/>
            </a:ext>
          </a:extLst>
        </xdr:cNvPr>
        <xdr:cNvSpPr txBox="1"/>
      </xdr:nvSpPr>
      <xdr:spPr>
        <a:xfrm>
          <a:off x="5960859" y="2229422"/>
          <a:ext cx="59541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N</a:t>
          </a:r>
        </a:p>
      </xdr:txBody>
    </xdr:sp>
    <xdr:clientData/>
  </xdr:oneCellAnchor>
  <xdr:oneCellAnchor>
    <xdr:from>
      <xdr:col>5</xdr:col>
      <xdr:colOff>36425</xdr:colOff>
      <xdr:row>4</xdr:row>
      <xdr:rowOff>83979</xdr:rowOff>
    </xdr:from>
    <xdr:ext cx="588559" cy="655885"/>
    <xdr:sp macro="" textlink="">
      <xdr:nvSpPr>
        <xdr:cNvPr id="27" name="Textfeld 26">
          <a:extLst>
            <a:ext uri="{FF2B5EF4-FFF2-40B4-BE49-F238E27FC236}">
              <a16:creationId xmlns:a16="http://schemas.microsoft.com/office/drawing/2014/main" id="{A5027D31-7662-64EA-3510-7AABDBF46D5E}"/>
            </a:ext>
          </a:extLst>
        </xdr:cNvPr>
        <xdr:cNvSpPr txBox="1"/>
      </xdr:nvSpPr>
      <xdr:spPr>
        <a:xfrm>
          <a:off x="4417925" y="1284957"/>
          <a:ext cx="58855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H</a:t>
          </a:r>
        </a:p>
      </xdr:txBody>
    </xdr:sp>
    <xdr:clientData/>
  </xdr:oneCellAnchor>
  <xdr:twoCellAnchor>
    <xdr:from>
      <xdr:col>3</xdr:col>
      <xdr:colOff>1391478</xdr:colOff>
      <xdr:row>13</xdr:row>
      <xdr:rowOff>50681</xdr:rowOff>
    </xdr:from>
    <xdr:to>
      <xdr:col>8</xdr:col>
      <xdr:colOff>876897</xdr:colOff>
      <xdr:row>13</xdr:row>
      <xdr:rowOff>115956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32AB031B-2CE0-E8ED-5B80-DA5F2264F388}"/>
            </a:ext>
          </a:extLst>
        </xdr:cNvPr>
        <xdr:cNvCxnSpPr/>
      </xdr:nvCxnSpPr>
      <xdr:spPr>
        <a:xfrm flipV="1">
          <a:off x="3321326" y="2891616"/>
          <a:ext cx="4860832" cy="65275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378039</xdr:colOff>
      <xdr:row>1</xdr:row>
      <xdr:rowOff>120720</xdr:rowOff>
    </xdr:from>
    <xdr:ext cx="553485" cy="655885"/>
    <xdr:sp macro="" textlink="">
      <xdr:nvSpPr>
        <xdr:cNvPr id="28" name="Textfeld 27">
          <a:extLst>
            <a:ext uri="{FF2B5EF4-FFF2-40B4-BE49-F238E27FC236}">
              <a16:creationId xmlns:a16="http://schemas.microsoft.com/office/drawing/2014/main" id="{5F9B55E5-B3A3-DC9A-3D2B-6A1AB396F351}"/>
            </a:ext>
          </a:extLst>
        </xdr:cNvPr>
        <xdr:cNvSpPr txBox="1"/>
      </xdr:nvSpPr>
      <xdr:spPr>
        <a:xfrm>
          <a:off x="5621802" y="627049"/>
          <a:ext cx="553485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m</a:t>
          </a:r>
        </a:p>
      </xdr:txBody>
    </xdr:sp>
    <xdr:clientData/>
  </xdr:oneCellAnchor>
  <xdr:twoCellAnchor>
    <xdr:from>
      <xdr:col>6</xdr:col>
      <xdr:colOff>478459</xdr:colOff>
      <xdr:row>1</xdr:row>
      <xdr:rowOff>270151</xdr:rowOff>
    </xdr:from>
    <xdr:to>
      <xdr:col>8</xdr:col>
      <xdr:colOff>193676</xdr:colOff>
      <xdr:row>4</xdr:row>
      <xdr:rowOff>57978</xdr:rowOff>
    </xdr:to>
    <xdr:cxnSp macro="">
      <xdr:nvCxnSpPr>
        <xdr:cNvPr id="29" name="Gerade Verbindung mit Pfeil 28">
          <a:extLst>
            <a:ext uri="{FF2B5EF4-FFF2-40B4-BE49-F238E27FC236}">
              <a16:creationId xmlns:a16="http://schemas.microsoft.com/office/drawing/2014/main" id="{42BB58FC-2ADE-16E3-DC27-A5B8B1C4C2D8}"/>
            </a:ext>
          </a:extLst>
        </xdr:cNvPr>
        <xdr:cNvCxnSpPr/>
      </xdr:nvCxnSpPr>
      <xdr:spPr>
        <a:xfrm flipV="1">
          <a:off x="5729633" y="775390"/>
          <a:ext cx="1090130" cy="483566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661079</xdr:colOff>
      <xdr:row>0</xdr:row>
      <xdr:rowOff>203546</xdr:rowOff>
    </xdr:from>
    <xdr:ext cx="563872" cy="655885"/>
    <xdr:sp macro="" textlink="">
      <xdr:nvSpPr>
        <xdr:cNvPr id="32" name="Textfeld 31">
          <a:extLst>
            <a:ext uri="{FF2B5EF4-FFF2-40B4-BE49-F238E27FC236}">
              <a16:creationId xmlns:a16="http://schemas.microsoft.com/office/drawing/2014/main" id="{78927FB3-5D4A-52C9-1366-9D509B31F04F}"/>
            </a:ext>
          </a:extLst>
        </xdr:cNvPr>
        <xdr:cNvSpPr txBox="1"/>
      </xdr:nvSpPr>
      <xdr:spPr>
        <a:xfrm>
          <a:off x="6599709" y="203546"/>
          <a:ext cx="563872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R</a:t>
          </a:r>
        </a:p>
      </xdr:txBody>
    </xdr:sp>
    <xdr:clientData/>
  </xdr:oneCellAnchor>
  <xdr:twoCellAnchor>
    <xdr:from>
      <xdr:col>10</xdr:col>
      <xdr:colOff>19739</xdr:colOff>
      <xdr:row>6</xdr:row>
      <xdr:rowOff>52870</xdr:rowOff>
    </xdr:from>
    <xdr:to>
      <xdr:col>14</xdr:col>
      <xdr:colOff>965890</xdr:colOff>
      <xdr:row>17</xdr:row>
      <xdr:rowOff>149914</xdr:rowOff>
    </xdr:to>
    <xdr:graphicFrame macro="">
      <xdr:nvGraphicFramePr>
        <xdr:cNvPr id="37" name="Diagramm 36">
          <a:extLst>
            <a:ext uri="{FF2B5EF4-FFF2-40B4-BE49-F238E27FC236}">
              <a16:creationId xmlns:a16="http://schemas.microsoft.com/office/drawing/2014/main" id="{4EF2FF1A-34D0-C3C9-0AAD-C3A436B35C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749300</xdr:colOff>
      <xdr:row>6</xdr:row>
      <xdr:rowOff>177800</xdr:rowOff>
    </xdr:from>
    <xdr:to>
      <xdr:col>10</xdr:col>
      <xdr:colOff>19050</xdr:colOff>
      <xdr:row>7</xdr:row>
      <xdr:rowOff>6350</xdr:rowOff>
    </xdr:to>
    <xdr:cxnSp macro="">
      <xdr:nvCxnSpPr>
        <xdr:cNvPr id="3" name="Gerader Verbinder 2">
          <a:extLst>
            <a:ext uri="{FF2B5EF4-FFF2-40B4-BE49-F238E27FC236}">
              <a16:creationId xmlns:a16="http://schemas.microsoft.com/office/drawing/2014/main" id="{2B4C6D80-4715-3C2D-AE72-DA0A1FC35414}"/>
            </a:ext>
          </a:extLst>
        </xdr:cNvPr>
        <xdr:cNvCxnSpPr/>
      </xdr:nvCxnSpPr>
      <xdr:spPr>
        <a:xfrm>
          <a:off x="3035300" y="1282700"/>
          <a:ext cx="4603750" cy="12700"/>
        </a:xfrm>
        <a:prstGeom prst="line">
          <a:avLst/>
        </a:prstGeom>
        <a:ln w="2222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555625</xdr:colOff>
      <xdr:row>3</xdr:row>
      <xdr:rowOff>95249</xdr:rowOff>
    </xdr:from>
    <xdr:to>
      <xdr:col>7</xdr:col>
      <xdr:colOff>567531</xdr:colOff>
      <xdr:row>5</xdr:row>
      <xdr:rowOff>3968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9C857341-5DA2-2A83-AF5E-C31B9C7C4515}"/>
            </a:ext>
          </a:extLst>
        </xdr:cNvPr>
        <xdr:cNvSpPr/>
      </xdr:nvSpPr>
      <xdr:spPr>
        <a:xfrm rot="21146159">
          <a:off x="5127625" y="642937"/>
          <a:ext cx="773906" cy="273844"/>
        </a:xfrm>
        <a:prstGeom prst="rect">
          <a:avLst/>
        </a:prstGeom>
        <a:solidFill>
          <a:schemeClr val="accent2">
            <a:lumMod val="75000"/>
          </a:schemeClr>
        </a:solidFill>
        <a:ln>
          <a:solidFill>
            <a:schemeClr val="accent2">
              <a:lumMod val="7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758031</xdr:colOff>
      <xdr:row>3</xdr:row>
      <xdr:rowOff>57150</xdr:rowOff>
    </xdr:from>
    <xdr:to>
      <xdr:col>10</xdr:col>
      <xdr:colOff>31750</xdr:colOff>
      <xdr:row>7</xdr:row>
      <xdr:rowOff>0</xdr:rowOff>
    </xdr:to>
    <xdr:cxnSp macro="">
      <xdr:nvCxnSpPr>
        <xdr:cNvPr id="4" name="Gerader Verbinder 3">
          <a:extLst>
            <a:ext uri="{FF2B5EF4-FFF2-40B4-BE49-F238E27FC236}">
              <a16:creationId xmlns:a16="http://schemas.microsoft.com/office/drawing/2014/main" id="{8AA9A06E-94C4-49D2-4ECA-65694E6B89A5}"/>
            </a:ext>
          </a:extLst>
        </xdr:cNvPr>
        <xdr:cNvCxnSpPr/>
      </xdr:nvCxnSpPr>
      <xdr:spPr>
        <a:xfrm flipV="1">
          <a:off x="3044031" y="604838"/>
          <a:ext cx="4607719" cy="673100"/>
        </a:xfrm>
        <a:prstGeom prst="line">
          <a:avLst/>
        </a:prstGeom>
        <a:ln w="2222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198438</xdr:colOff>
      <xdr:row>4</xdr:row>
      <xdr:rowOff>47625</xdr:rowOff>
    </xdr:from>
    <xdr:to>
      <xdr:col>7</xdr:col>
      <xdr:colOff>206375</xdr:colOff>
      <xdr:row>9</xdr:row>
      <xdr:rowOff>35718</xdr:rowOff>
    </xdr:to>
    <xdr:cxnSp macro="">
      <xdr:nvCxnSpPr>
        <xdr:cNvPr id="9" name="Gerade Verbindung mit Pfeil 8">
          <a:extLst>
            <a:ext uri="{FF2B5EF4-FFF2-40B4-BE49-F238E27FC236}">
              <a16:creationId xmlns:a16="http://schemas.microsoft.com/office/drawing/2014/main" id="{966C877C-336F-B0D4-6274-14558E383C4A}"/>
            </a:ext>
          </a:extLst>
        </xdr:cNvPr>
        <xdr:cNvCxnSpPr/>
      </xdr:nvCxnSpPr>
      <xdr:spPr>
        <a:xfrm>
          <a:off x="5532438" y="777875"/>
          <a:ext cx="7937" cy="90090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196273</xdr:colOff>
      <xdr:row>4</xdr:row>
      <xdr:rowOff>25977</xdr:rowOff>
    </xdr:from>
    <xdr:to>
      <xdr:col>7</xdr:col>
      <xdr:colOff>396875</xdr:colOff>
      <xdr:row>9</xdr:row>
      <xdr:rowOff>11905</xdr:rowOff>
    </xdr:to>
    <xdr:cxnSp macro="">
      <xdr:nvCxnSpPr>
        <xdr:cNvPr id="10" name="Gerade Verbindung mit Pfeil 9">
          <a:extLst>
            <a:ext uri="{FF2B5EF4-FFF2-40B4-BE49-F238E27FC236}">
              <a16:creationId xmlns:a16="http://schemas.microsoft.com/office/drawing/2014/main" id="{363CB9E1-CACA-E947-507F-38E8B44F4D90}"/>
            </a:ext>
          </a:extLst>
        </xdr:cNvPr>
        <xdr:cNvCxnSpPr/>
      </xdr:nvCxnSpPr>
      <xdr:spPr>
        <a:xfrm>
          <a:off x="5530273" y="764886"/>
          <a:ext cx="200602" cy="90956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558992</xdr:colOff>
      <xdr:row>4</xdr:row>
      <xdr:rowOff>28864</xdr:rowOff>
    </xdr:from>
    <xdr:to>
      <xdr:col>7</xdr:col>
      <xdr:colOff>207818</xdr:colOff>
      <xdr:row>4</xdr:row>
      <xdr:rowOff>100545</xdr:rowOff>
    </xdr:to>
    <xdr:cxnSp macro="">
      <xdr:nvCxnSpPr>
        <xdr:cNvPr id="14" name="Gerade Verbindung mit Pfeil 13">
          <a:extLst>
            <a:ext uri="{FF2B5EF4-FFF2-40B4-BE49-F238E27FC236}">
              <a16:creationId xmlns:a16="http://schemas.microsoft.com/office/drawing/2014/main" id="{8D3BC4D0-8EAB-E39D-EBF4-4663C84E5E1B}"/>
            </a:ext>
          </a:extLst>
        </xdr:cNvPr>
        <xdr:cNvCxnSpPr>
          <a:endCxn id="7" idx="1"/>
        </xdr:cNvCxnSpPr>
      </xdr:nvCxnSpPr>
      <xdr:spPr>
        <a:xfrm flipH="1">
          <a:off x="5130992" y="767773"/>
          <a:ext cx="410826" cy="7168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277092</xdr:colOff>
      <xdr:row>3</xdr:row>
      <xdr:rowOff>11545</xdr:rowOff>
    </xdr:from>
    <xdr:ext cx="297325" cy="264560"/>
    <xdr:sp macro="" textlink="">
      <xdr:nvSpPr>
        <xdr:cNvPr id="18" name="Textfeld 17">
          <a:extLst>
            <a:ext uri="{FF2B5EF4-FFF2-40B4-BE49-F238E27FC236}">
              <a16:creationId xmlns:a16="http://schemas.microsoft.com/office/drawing/2014/main" id="{49871A34-AF74-83AF-8960-6390ECED1D34}"/>
            </a:ext>
          </a:extLst>
        </xdr:cNvPr>
        <xdr:cNvSpPr txBox="1"/>
      </xdr:nvSpPr>
      <xdr:spPr>
        <a:xfrm>
          <a:off x="5611092" y="565727"/>
          <a:ext cx="2973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m</a:t>
          </a:r>
        </a:p>
      </xdr:txBody>
    </xdr:sp>
    <xdr:clientData/>
  </xdr:oneCellAnchor>
  <xdr:oneCellAnchor>
    <xdr:from>
      <xdr:col>6</xdr:col>
      <xdr:colOff>738910</xdr:colOff>
      <xdr:row>8</xdr:row>
      <xdr:rowOff>57728</xdr:rowOff>
    </xdr:from>
    <xdr:ext cx="308802" cy="264560"/>
    <xdr:sp macro="" textlink="">
      <xdr:nvSpPr>
        <xdr:cNvPr id="19" name="Textfeld 18">
          <a:extLst>
            <a:ext uri="{FF2B5EF4-FFF2-40B4-BE49-F238E27FC236}">
              <a16:creationId xmlns:a16="http://schemas.microsoft.com/office/drawing/2014/main" id="{76CF922A-D5CD-2F4A-9CFD-F6DB1438CACD}"/>
            </a:ext>
          </a:extLst>
        </xdr:cNvPr>
        <xdr:cNvSpPr txBox="1"/>
      </xdr:nvSpPr>
      <xdr:spPr>
        <a:xfrm>
          <a:off x="5310910" y="1535546"/>
          <a:ext cx="308802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G</a:t>
          </a:r>
        </a:p>
      </xdr:txBody>
    </xdr:sp>
    <xdr:clientData/>
  </xdr:oneCellAnchor>
  <xdr:oneCellAnchor>
    <xdr:from>
      <xdr:col>6</xdr:col>
      <xdr:colOff>502228</xdr:colOff>
      <xdr:row>3</xdr:row>
      <xdr:rowOff>28864</xdr:rowOff>
    </xdr:from>
    <xdr:ext cx="308098" cy="264560"/>
    <xdr:sp macro="" textlink="">
      <xdr:nvSpPr>
        <xdr:cNvPr id="20" name="Textfeld 19">
          <a:extLst>
            <a:ext uri="{FF2B5EF4-FFF2-40B4-BE49-F238E27FC236}">
              <a16:creationId xmlns:a16="http://schemas.microsoft.com/office/drawing/2014/main" id="{3EF053B8-9A75-D11E-EA6F-B069E3B15B59}"/>
            </a:ext>
          </a:extLst>
        </xdr:cNvPr>
        <xdr:cNvSpPr txBox="1"/>
      </xdr:nvSpPr>
      <xdr:spPr>
        <a:xfrm>
          <a:off x="5074228" y="583046"/>
          <a:ext cx="30809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H</a:t>
          </a:r>
        </a:p>
      </xdr:txBody>
    </xdr:sp>
    <xdr:clientData/>
  </xdr:oneCellAnchor>
  <xdr:oneCellAnchor>
    <xdr:from>
      <xdr:col>7</xdr:col>
      <xdr:colOff>369455</xdr:colOff>
      <xdr:row>7</xdr:row>
      <xdr:rowOff>80819</xdr:rowOff>
    </xdr:from>
    <xdr:ext cx="310213" cy="264560"/>
    <xdr:sp macro="" textlink="">
      <xdr:nvSpPr>
        <xdr:cNvPr id="21" name="Textfeld 20">
          <a:extLst>
            <a:ext uri="{FF2B5EF4-FFF2-40B4-BE49-F238E27FC236}">
              <a16:creationId xmlns:a16="http://schemas.microsoft.com/office/drawing/2014/main" id="{7A444783-B347-1179-31C5-8FFE47884D1A}"/>
            </a:ext>
          </a:extLst>
        </xdr:cNvPr>
        <xdr:cNvSpPr txBox="1"/>
      </xdr:nvSpPr>
      <xdr:spPr>
        <a:xfrm>
          <a:off x="5703455" y="1373910"/>
          <a:ext cx="31021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N</a:t>
          </a:r>
        </a:p>
      </xdr:txBody>
    </xdr:sp>
    <xdr:clientData/>
  </xdr:oneCellAnchor>
  <xdr:twoCellAnchor>
    <xdr:from>
      <xdr:col>5</xdr:col>
      <xdr:colOff>666750</xdr:colOff>
      <xdr:row>5</xdr:row>
      <xdr:rowOff>170296</xdr:rowOff>
    </xdr:from>
    <xdr:to>
      <xdr:col>5</xdr:col>
      <xdr:colOff>750455</xdr:colOff>
      <xdr:row>7</xdr:row>
      <xdr:rowOff>181841</xdr:rowOff>
    </xdr:to>
    <xdr:sp macro="" textlink="">
      <xdr:nvSpPr>
        <xdr:cNvPr id="23" name="Bogen 22">
          <a:extLst>
            <a:ext uri="{FF2B5EF4-FFF2-40B4-BE49-F238E27FC236}">
              <a16:creationId xmlns:a16="http://schemas.microsoft.com/office/drawing/2014/main" id="{D4F41540-71BB-A8D8-63F9-107DE7AD76E0}"/>
            </a:ext>
          </a:extLst>
        </xdr:cNvPr>
        <xdr:cNvSpPr/>
      </xdr:nvSpPr>
      <xdr:spPr>
        <a:xfrm>
          <a:off x="4476750" y="1093932"/>
          <a:ext cx="83705" cy="381000"/>
        </a:xfrm>
        <a:prstGeom prst="arc">
          <a:avLst/>
        </a:prstGeom>
        <a:ln>
          <a:headEnd type="triangl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4041</xdr:colOff>
      <xdr:row>7</xdr:row>
      <xdr:rowOff>100493</xdr:rowOff>
    </xdr:from>
    <xdr:to>
      <xdr:col>7</xdr:col>
      <xdr:colOff>341412</xdr:colOff>
      <xdr:row>8</xdr:row>
      <xdr:rowOff>6942</xdr:rowOff>
    </xdr:to>
    <xdr:sp macro="" textlink="">
      <xdr:nvSpPr>
        <xdr:cNvPr id="24" name="Bogen 23">
          <a:extLst>
            <a:ext uri="{FF2B5EF4-FFF2-40B4-BE49-F238E27FC236}">
              <a16:creationId xmlns:a16="http://schemas.microsoft.com/office/drawing/2014/main" id="{8F56D97C-224B-E45D-F589-1F9AC4818A02}"/>
            </a:ext>
          </a:extLst>
        </xdr:cNvPr>
        <xdr:cNvSpPr/>
      </xdr:nvSpPr>
      <xdr:spPr>
        <a:xfrm rot="4991535">
          <a:off x="5461139" y="1270486"/>
          <a:ext cx="91176" cy="337371"/>
        </a:xfrm>
        <a:prstGeom prst="arc">
          <a:avLst>
            <a:gd name="adj1" fmla="val 16051881"/>
            <a:gd name="adj2" fmla="val 20412555"/>
          </a:avLst>
        </a:prstGeom>
        <a:ln>
          <a:head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5</xdr:col>
      <xdr:colOff>447387</xdr:colOff>
      <xdr:row>5</xdr:row>
      <xdr:rowOff>135659</xdr:rowOff>
    </xdr:from>
    <xdr:ext cx="264688" cy="264560"/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246DCF9F-0578-A8A2-788C-4BE15888B1E5}"/>
            </a:ext>
          </a:extLst>
        </xdr:cNvPr>
        <xdr:cNvSpPr txBox="1"/>
      </xdr:nvSpPr>
      <xdr:spPr>
        <a:xfrm>
          <a:off x="4257387" y="1059295"/>
          <a:ext cx="26468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1100"/>
            <a:t>α</a:t>
          </a:r>
          <a:endParaRPr lang="de-CH" sz="1100"/>
        </a:p>
      </xdr:txBody>
    </xdr:sp>
    <xdr:clientData/>
  </xdr:oneCellAnchor>
  <xdr:oneCellAnchor>
    <xdr:from>
      <xdr:col>7</xdr:col>
      <xdr:colOff>124115</xdr:colOff>
      <xdr:row>6</xdr:row>
      <xdr:rowOff>109681</xdr:rowOff>
    </xdr:from>
    <xdr:ext cx="264688" cy="264560"/>
    <xdr:sp macro="" textlink="">
      <xdr:nvSpPr>
        <xdr:cNvPr id="27" name="Textfeld 26">
          <a:extLst>
            <a:ext uri="{FF2B5EF4-FFF2-40B4-BE49-F238E27FC236}">
              <a16:creationId xmlns:a16="http://schemas.microsoft.com/office/drawing/2014/main" id="{E951EA93-D8B1-9A82-2628-1CF76B3BDC1B}"/>
            </a:ext>
          </a:extLst>
        </xdr:cNvPr>
        <xdr:cNvSpPr txBox="1"/>
      </xdr:nvSpPr>
      <xdr:spPr>
        <a:xfrm>
          <a:off x="5458115" y="1218045"/>
          <a:ext cx="26468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1100"/>
            <a:t>α</a:t>
          </a:r>
          <a:endParaRPr lang="de-CH" sz="1100"/>
        </a:p>
      </xdr:txBody>
    </xdr:sp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525234</xdr:colOff>
      <xdr:row>0</xdr:row>
      <xdr:rowOff>299357</xdr:rowOff>
    </xdr:from>
    <xdr:to>
      <xdr:col>2</xdr:col>
      <xdr:colOff>108856</xdr:colOff>
      <xdr:row>1</xdr:row>
      <xdr:rowOff>329746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BBDB49-EB38-4740-9075-8244BDEC9CD0}"/>
            </a:ext>
          </a:extLst>
        </xdr:cNvPr>
        <xdr:cNvSpPr/>
      </xdr:nvSpPr>
      <xdr:spPr>
        <a:xfrm rot="10800000">
          <a:off x="702127" y="299357"/>
          <a:ext cx="713015" cy="52024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33618</xdr:colOff>
      <xdr:row>21</xdr:row>
      <xdr:rowOff>107949</xdr:rowOff>
    </xdr:from>
    <xdr:to>
      <xdr:col>46</xdr:col>
      <xdr:colOff>296635</xdr:colOff>
      <xdr:row>49</xdr:row>
      <xdr:rowOff>64861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1F04A59B-F509-0AC1-9556-05B4DBAF63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49</xdr:col>
      <xdr:colOff>231323</xdr:colOff>
      <xdr:row>21</xdr:row>
      <xdr:rowOff>122464</xdr:rowOff>
    </xdr:from>
    <xdr:to>
      <xdr:col>56</xdr:col>
      <xdr:colOff>489858</xdr:colOff>
      <xdr:row>50</xdr:row>
      <xdr:rowOff>105682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60CFDD4C-4BCC-1052-3FF2-16F3158A9A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56030</xdr:colOff>
      <xdr:row>63</xdr:row>
      <xdr:rowOff>143248</xdr:rowOff>
    </xdr:from>
    <xdr:to>
      <xdr:col>46</xdr:col>
      <xdr:colOff>238498</xdr:colOff>
      <xdr:row>84</xdr:row>
      <xdr:rowOff>27455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9D706FCE-BD48-189F-06CE-CF16CF65FF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36685E7-DD9D-4FC1-A783-3F913E1DCD0F}"/>
            </a:ext>
          </a:extLst>
        </xdr:cNvPr>
        <xdr:cNvSpPr/>
      </xdr:nvSpPr>
      <xdr:spPr>
        <a:xfrm rot="10800000">
          <a:off x="1055007" y="143329"/>
          <a:ext cx="78014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340179</xdr:colOff>
      <xdr:row>22</xdr:row>
      <xdr:rowOff>2718</xdr:rowOff>
    </xdr:from>
    <xdr:to>
      <xdr:col>15</xdr:col>
      <xdr:colOff>639535</xdr:colOff>
      <xdr:row>65</xdr:row>
      <xdr:rowOff>13606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99A249A-84AD-F7FF-7BDA-CC35D57551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217783</xdr:colOff>
      <xdr:row>0</xdr:row>
      <xdr:rowOff>84713</xdr:rowOff>
    </xdr:from>
    <xdr:to>
      <xdr:col>1</xdr:col>
      <xdr:colOff>483576</xdr:colOff>
      <xdr:row>0</xdr:row>
      <xdr:rowOff>411284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E65C605-A779-4B0C-B581-DD8FB8EF71DE}"/>
            </a:ext>
          </a:extLst>
        </xdr:cNvPr>
        <xdr:cNvSpPr/>
      </xdr:nvSpPr>
      <xdr:spPr>
        <a:xfrm rot="10800000">
          <a:off x="217783" y="84713"/>
          <a:ext cx="485601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33950</xdr:colOff>
      <xdr:row>19</xdr:row>
      <xdr:rowOff>52755</xdr:rowOff>
    </xdr:from>
    <xdr:to>
      <xdr:col>8</xdr:col>
      <xdr:colOff>527051</xdr:colOff>
      <xdr:row>41</xdr:row>
      <xdr:rowOff>152401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02B9101F-35D2-0198-F59B-0009C6BE91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193674</xdr:colOff>
      <xdr:row>19</xdr:row>
      <xdr:rowOff>69849</xdr:rowOff>
    </xdr:from>
    <xdr:to>
      <xdr:col>28</xdr:col>
      <xdr:colOff>352425</xdr:colOff>
      <xdr:row>41</xdr:row>
      <xdr:rowOff>133350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A3965B8F-72B4-4C1A-3372-3A9BFDCBA6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27241</xdr:colOff>
      <xdr:row>1</xdr:row>
      <xdr:rowOff>28095</xdr:rowOff>
    </xdr:from>
    <xdr:to>
      <xdr:col>1</xdr:col>
      <xdr:colOff>798419</xdr:colOff>
      <xdr:row>2</xdr:row>
      <xdr:rowOff>18490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E52F81A-BC63-406A-A4EA-7EF30F633A1C}"/>
            </a:ext>
          </a:extLst>
        </xdr:cNvPr>
        <xdr:cNvSpPr/>
      </xdr:nvSpPr>
      <xdr:spPr>
        <a:xfrm rot="10800000">
          <a:off x="789241" y="532360"/>
          <a:ext cx="771178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5DE7D7-4C50-4CCA-912A-904DFE9D8373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3950056-721B-4F9A-9EA1-A278A399BB35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20</xdr:col>
      <xdr:colOff>0</xdr:colOff>
      <xdr:row>0</xdr:row>
      <xdr:rowOff>0</xdr:rowOff>
    </xdr:from>
    <xdr:to>
      <xdr:col>31</xdr:col>
      <xdr:colOff>692728</xdr:colOff>
      <xdr:row>26</xdr:row>
      <xdr:rowOff>9005</xdr:rowOff>
    </xdr:to>
    <xdr:pic>
      <xdr:nvPicPr>
        <xdr:cNvPr id="3" name="Grafik 2" descr="Ein Bild, das Reihe, Diagramm, Screenshot, Kreis enthält.&#10;&#10;KI-generierte Inhalte können fehlerhaft sein.">
          <a:extLst>
            <a:ext uri="{FF2B5EF4-FFF2-40B4-BE49-F238E27FC236}">
              <a16:creationId xmlns:a16="http://schemas.microsoft.com/office/drawing/2014/main" id="{B1E1E30E-7757-19AC-E17D-2404E9A94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227636" y="0"/>
          <a:ext cx="9074728" cy="5204460"/>
        </a:xfrm>
        <a:prstGeom prst="rect">
          <a:avLst/>
        </a:prstGeom>
      </xdr:spPr>
    </xdr:pic>
    <xdr:clientData/>
  </xdr:twoCellAnchor>
  <xdr:twoCellAnchor>
    <xdr:from>
      <xdr:col>22</xdr:col>
      <xdr:colOff>34637</xdr:colOff>
      <xdr:row>11</xdr:row>
      <xdr:rowOff>155864</xdr:rowOff>
    </xdr:from>
    <xdr:to>
      <xdr:col>23</xdr:col>
      <xdr:colOff>450273</xdr:colOff>
      <xdr:row>20</xdr:row>
      <xdr:rowOff>69272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FC1C5793-BDE1-9F85-0E9C-23D1FF8EA26D}"/>
            </a:ext>
          </a:extLst>
        </xdr:cNvPr>
        <xdr:cNvCxnSpPr/>
      </xdr:nvCxnSpPr>
      <xdr:spPr>
        <a:xfrm>
          <a:off x="21786273" y="2649682"/>
          <a:ext cx="1177636" cy="1575954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277091</xdr:colOff>
      <xdr:row>11</xdr:row>
      <xdr:rowOff>159039</xdr:rowOff>
    </xdr:from>
    <xdr:to>
      <xdr:col>22</xdr:col>
      <xdr:colOff>66098</xdr:colOff>
      <xdr:row>15</xdr:row>
      <xdr:rowOff>34637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B432CE49-1B13-C222-023F-A4F63C35050C}"/>
            </a:ext>
          </a:extLst>
        </xdr:cNvPr>
        <xdr:cNvCxnSpPr/>
      </xdr:nvCxnSpPr>
      <xdr:spPr>
        <a:xfrm flipH="1">
          <a:off x="20504727" y="2652857"/>
          <a:ext cx="1313007" cy="568325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21</xdr:col>
      <xdr:colOff>519546</xdr:colOff>
      <xdr:row>11</xdr:row>
      <xdr:rowOff>121228</xdr:rowOff>
    </xdr:from>
    <xdr:ext cx="427105" cy="593304"/>
    <xdr:sp macro="" textlink="">
      <xdr:nvSpPr>
        <xdr:cNvPr id="9" name="Textfeld 8">
          <a:extLst>
            <a:ext uri="{FF2B5EF4-FFF2-40B4-BE49-F238E27FC236}">
              <a16:creationId xmlns:a16="http://schemas.microsoft.com/office/drawing/2014/main" id="{E9E111CA-C2C1-A4F9-E9A7-FDE83309609E}"/>
            </a:ext>
          </a:extLst>
        </xdr:cNvPr>
        <xdr:cNvSpPr txBox="1"/>
      </xdr:nvSpPr>
      <xdr:spPr>
        <a:xfrm>
          <a:off x="21509182" y="2615046"/>
          <a:ext cx="427105" cy="59330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200" b="1"/>
            <a:t>α</a:t>
          </a:r>
          <a:endParaRPr lang="de-CH" sz="3200" b="1"/>
        </a:p>
      </xdr:txBody>
    </xdr:sp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741706</xdr:colOff>
      <xdr:row>8</xdr:row>
      <xdr:rowOff>156266</xdr:rowOff>
    </xdr:from>
    <xdr:to>
      <xdr:col>6</xdr:col>
      <xdr:colOff>69437</xdr:colOff>
      <xdr:row>17</xdr:row>
      <xdr:rowOff>218524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6AF97F07-73D1-15B4-87F8-2A3B55E842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31</xdr:row>
      <xdr:rowOff>0</xdr:rowOff>
    </xdr:from>
    <xdr:to>
      <xdr:col>11</xdr:col>
      <xdr:colOff>392444</xdr:colOff>
      <xdr:row>31</xdr:row>
      <xdr:rowOff>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6DF3D2F2-E6F0-470D-9EC9-4EE547F41C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FB6FBCA-4115-F363-0C1F-9B2DC4BB546F}"/>
            </a:ext>
          </a:extLst>
        </xdr:cNvPr>
        <xdr:cNvSpPr/>
      </xdr:nvSpPr>
      <xdr:spPr>
        <a:xfrm rot="10800000">
          <a:off x="616857" y="299358"/>
          <a:ext cx="68942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753164</xdr:colOff>
      <xdr:row>2</xdr:row>
      <xdr:rowOff>0</xdr:rowOff>
    </xdr:from>
    <xdr:to>
      <xdr:col>7</xdr:col>
      <xdr:colOff>521389</xdr:colOff>
      <xdr:row>2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CFEF571A-50C5-43C0-AB3F-4F6578BFC8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18</xdr:row>
      <xdr:rowOff>34637</xdr:rowOff>
    </xdr:from>
    <xdr:to>
      <xdr:col>12</xdr:col>
      <xdr:colOff>392444</xdr:colOff>
      <xdr:row>35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4E30A412-5B4C-4BBA-8B6D-2A69D8A7EB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6B0C16D0-5F6E-4442-8C53-53B47CF39742}"/>
            </a:ext>
          </a:extLst>
        </xdr:cNvPr>
        <xdr:cNvSpPr/>
      </xdr:nvSpPr>
      <xdr:spPr>
        <a:xfrm rot="10800000">
          <a:off x="620032" y="302079"/>
          <a:ext cx="68307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688770</xdr:colOff>
      <xdr:row>18</xdr:row>
      <xdr:rowOff>34636</xdr:rowOff>
    </xdr:from>
    <xdr:to>
      <xdr:col>28</xdr:col>
      <xdr:colOff>752950</xdr:colOff>
      <xdr:row>35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F8B486F3-8A2C-4F82-8FC0-6F7B6DA301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511175</xdr:colOff>
      <xdr:row>12</xdr:row>
      <xdr:rowOff>69850</xdr:rowOff>
    </xdr:from>
    <xdr:to>
      <xdr:col>7</xdr:col>
      <xdr:colOff>511175</xdr:colOff>
      <xdr:row>27</xdr:row>
      <xdr:rowOff>50800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397BD5F5-5D28-16D2-1DF8-B5ADC62C9E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12</xdr:row>
      <xdr:rowOff>76200</xdr:rowOff>
    </xdr:from>
    <xdr:to>
      <xdr:col>14</xdr:col>
      <xdr:colOff>28575</xdr:colOff>
      <xdr:row>27</xdr:row>
      <xdr:rowOff>57150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D34ACAE9-11DB-399B-D450-179027AD2E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173181</xdr:colOff>
      <xdr:row>1</xdr:row>
      <xdr:rowOff>184727</xdr:rowOff>
    </xdr:from>
    <xdr:to>
      <xdr:col>1</xdr:col>
      <xdr:colOff>323272</xdr:colOff>
      <xdr:row>4</xdr:row>
      <xdr:rowOff>92363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0019828-5EEF-7C3C-87FD-5A5686701A01}"/>
            </a:ext>
          </a:extLst>
        </xdr:cNvPr>
        <xdr:cNvSpPr/>
      </xdr:nvSpPr>
      <xdr:spPr>
        <a:xfrm rot="10800000">
          <a:off x="173181" y="369454"/>
          <a:ext cx="912091" cy="65809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196273</xdr:colOff>
      <xdr:row>2</xdr:row>
      <xdr:rowOff>0</xdr:rowOff>
    </xdr:from>
    <xdr:to>
      <xdr:col>1</xdr:col>
      <xdr:colOff>496455</xdr:colOff>
      <xdr:row>5</xdr:row>
      <xdr:rowOff>230909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CE7423-1C55-19F3-001E-0A8DDA35D507}"/>
            </a:ext>
          </a:extLst>
        </xdr:cNvPr>
        <xdr:cNvSpPr/>
      </xdr:nvSpPr>
      <xdr:spPr>
        <a:xfrm rot="10800000">
          <a:off x="196273" y="484909"/>
          <a:ext cx="1062182" cy="79663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753164</xdr:colOff>
      <xdr:row>2</xdr:row>
      <xdr:rowOff>0</xdr:rowOff>
    </xdr:from>
    <xdr:to>
      <xdr:col>8</xdr:col>
      <xdr:colOff>521389</xdr:colOff>
      <xdr:row>2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9A6EBEC0-1391-41C1-9BEA-E3BD010481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24</xdr:row>
      <xdr:rowOff>34637</xdr:rowOff>
    </xdr:from>
    <xdr:to>
      <xdr:col>13</xdr:col>
      <xdr:colOff>392444</xdr:colOff>
      <xdr:row>41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8532153A-AEF6-4CB4-8AD1-7946ADED43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1F5121A1-431F-49D8-A5D0-71DE12B5A32C}"/>
            </a:ext>
          </a:extLst>
        </xdr:cNvPr>
        <xdr:cNvSpPr/>
      </xdr:nvSpPr>
      <xdr:spPr>
        <a:xfrm rot="10800000">
          <a:off x="620032" y="302079"/>
          <a:ext cx="68307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688770</xdr:colOff>
      <xdr:row>24</xdr:row>
      <xdr:rowOff>34636</xdr:rowOff>
    </xdr:from>
    <xdr:to>
      <xdr:col>29</xdr:col>
      <xdr:colOff>752950</xdr:colOff>
      <xdr:row>41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493B4DFE-7617-4CD3-AF7F-FE7992D5FE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32</xdr:col>
      <xdr:colOff>0</xdr:colOff>
      <xdr:row>34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019C7CDC-79FA-429A-985A-B51FE475AB30}"/>
            </a:ext>
          </a:extLst>
        </xdr:cNvPr>
        <xdr:cNvSpPr txBox="1"/>
      </xdr:nvSpPr>
      <xdr:spPr>
        <a:xfrm>
          <a:off x="18059400" y="628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1</xdr:col>
      <xdr:colOff>711929</xdr:colOff>
      <xdr:row>23</xdr:row>
      <xdr:rowOff>156578</xdr:rowOff>
    </xdr:from>
    <xdr:to>
      <xdr:col>53</xdr:col>
      <xdr:colOff>403677</xdr:colOff>
      <xdr:row>69</xdr:row>
      <xdr:rowOff>131535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40B33054-7231-4A97-A9F8-31B56B694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387802</xdr:colOff>
      <xdr:row>0</xdr:row>
      <xdr:rowOff>197303</xdr:rowOff>
    </xdr:from>
    <xdr:to>
      <xdr:col>1</xdr:col>
      <xdr:colOff>299355</xdr:colOff>
      <xdr:row>2</xdr:row>
      <xdr:rowOff>68036</xdr:rowOff>
    </xdr:to>
    <xdr:sp macro="" textlink="">
      <xdr:nvSpPr>
        <xdr:cNvPr id="5" name="Pfeil: nach recht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7F62F0F8-E53B-58D8-0CBE-DC173F63560B}"/>
            </a:ext>
          </a:extLst>
        </xdr:cNvPr>
        <xdr:cNvSpPr/>
      </xdr:nvSpPr>
      <xdr:spPr>
        <a:xfrm rot="10800000">
          <a:off x="387802" y="197303"/>
          <a:ext cx="659946" cy="483054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29</xdr:col>
      <xdr:colOff>0</xdr:colOff>
      <xdr:row>37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E74F87DA-4D2B-484E-BB10-4B019F14C5F8}"/>
            </a:ext>
          </a:extLst>
        </xdr:cNvPr>
        <xdr:cNvSpPr txBox="1"/>
      </xdr:nvSpPr>
      <xdr:spPr>
        <a:xfrm>
          <a:off x="17468850" y="723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0</xdr:col>
      <xdr:colOff>630330</xdr:colOff>
      <xdr:row>1</xdr:row>
      <xdr:rowOff>14007</xdr:rowOff>
    </xdr:from>
    <xdr:to>
      <xdr:col>1</xdr:col>
      <xdr:colOff>422648</xdr:colOff>
      <xdr:row>2</xdr:row>
      <xdr:rowOff>75265</xdr:rowOff>
    </xdr:to>
    <xdr:sp macro="" textlink="">
      <xdr:nvSpPr>
        <xdr:cNvPr id="4" name="Pfeil: nach rechts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F403CD9-A559-4E04-9AFB-A307E4DE1344}"/>
            </a:ext>
          </a:extLst>
        </xdr:cNvPr>
        <xdr:cNvSpPr/>
      </xdr:nvSpPr>
      <xdr:spPr>
        <a:xfrm rot="10800000">
          <a:off x="630330" y="294154"/>
          <a:ext cx="543112" cy="39743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123826</xdr:colOff>
      <xdr:row>24</xdr:row>
      <xdr:rowOff>57148</xdr:rowOff>
    </xdr:from>
    <xdr:to>
      <xdr:col>35</xdr:col>
      <xdr:colOff>381000</xdr:colOff>
      <xdr:row>57</xdr:row>
      <xdr:rowOff>56029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982D249E-353E-F6B6-8638-4DD3F5B792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</xdr:col>
      <xdr:colOff>0</xdr:colOff>
      <xdr:row>67</xdr:row>
      <xdr:rowOff>149412</xdr:rowOff>
    </xdr:from>
    <xdr:to>
      <xdr:col>4</xdr:col>
      <xdr:colOff>625644</xdr:colOff>
      <xdr:row>72</xdr:row>
      <xdr:rowOff>88833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2529E24-4EA3-8CE1-3F02-2922B6B695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09059" y="12595412"/>
          <a:ext cx="2553056" cy="86689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74</xdr:row>
      <xdr:rowOff>0</xdr:rowOff>
    </xdr:from>
    <xdr:to>
      <xdr:col>4</xdr:col>
      <xdr:colOff>101696</xdr:colOff>
      <xdr:row>78</xdr:row>
      <xdr:rowOff>8698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0363711C-B497-54D6-6FA9-23EB02FB59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09059" y="13850471"/>
          <a:ext cx="2029108" cy="762106"/>
        </a:xfrm>
        <a:prstGeom prst="rect">
          <a:avLst/>
        </a:prstGeom>
      </xdr:spPr>
    </xdr:pic>
    <xdr:clientData/>
  </xdr:twoCellAnchor>
  <xdr:twoCellAnchor editAs="oneCell">
    <xdr:from>
      <xdr:col>4</xdr:col>
      <xdr:colOff>283882</xdr:colOff>
      <xdr:row>73</xdr:row>
      <xdr:rowOff>186764</xdr:rowOff>
    </xdr:from>
    <xdr:to>
      <xdr:col>9</xdr:col>
      <xdr:colOff>905672</xdr:colOff>
      <xdr:row>78</xdr:row>
      <xdr:rowOff>7470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947D7197-D01B-7223-5D6E-A77C00022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720353" y="13895293"/>
          <a:ext cx="3237616" cy="75452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201908</xdr:colOff>
      <xdr:row>1</xdr:row>
      <xdr:rowOff>21213</xdr:rowOff>
    </xdr:from>
    <xdr:to>
      <xdr:col>1</xdr:col>
      <xdr:colOff>467701</xdr:colOff>
      <xdr:row>2</xdr:row>
      <xdr:rowOff>46159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22B0008-BA79-49D0-8318-F995486845EA}"/>
            </a:ext>
          </a:extLst>
        </xdr:cNvPr>
        <xdr:cNvSpPr/>
      </xdr:nvSpPr>
      <xdr:spPr>
        <a:xfrm rot="10800000">
          <a:off x="201908" y="526038"/>
          <a:ext cx="4943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130176</xdr:colOff>
      <xdr:row>17</xdr:row>
      <xdr:rowOff>106730</xdr:rowOff>
    </xdr:from>
    <xdr:to>
      <xdr:col>7</xdr:col>
      <xdr:colOff>323850</xdr:colOff>
      <xdr:row>41</xdr:row>
      <xdr:rowOff>28576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3B5D90BB-E955-493B-BF6D-80DDB5B3F3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638174</xdr:colOff>
      <xdr:row>17</xdr:row>
      <xdr:rowOff>136524</xdr:rowOff>
    </xdr:from>
    <xdr:to>
      <xdr:col>25</xdr:col>
      <xdr:colOff>225425</xdr:colOff>
      <xdr:row>41</xdr:row>
      <xdr:rowOff>15875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F3AC1B8F-7006-4D2B-9BCE-6B906BC2A9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51</xdr:row>
      <xdr:rowOff>0</xdr:rowOff>
    </xdr:from>
    <xdr:to>
      <xdr:col>7</xdr:col>
      <xdr:colOff>495997</xdr:colOff>
      <xdr:row>80</xdr:row>
      <xdr:rowOff>67417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DB5EAD2E-7202-0193-5701-740E465B79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8600" y="8934450"/>
          <a:ext cx="4991797" cy="5315692"/>
        </a:xfrm>
        <a:prstGeom prst="rect">
          <a:avLst/>
        </a:prstGeom>
      </xdr:spPr>
    </xdr:pic>
    <xdr:clientData/>
  </xdr:twoCellAnchor>
  <xdr:twoCellAnchor>
    <xdr:from>
      <xdr:col>4</xdr:col>
      <xdr:colOff>635000</xdr:colOff>
      <xdr:row>88</xdr:row>
      <xdr:rowOff>171450</xdr:rowOff>
    </xdr:from>
    <xdr:to>
      <xdr:col>5</xdr:col>
      <xdr:colOff>139700</xdr:colOff>
      <xdr:row>92</xdr:row>
      <xdr:rowOff>0</xdr:rowOff>
    </xdr:to>
    <xdr:sp macro="" textlink="">
      <xdr:nvSpPr>
        <xdr:cNvPr id="6" name="Rechteck 5">
          <a:extLst>
            <a:ext uri="{FF2B5EF4-FFF2-40B4-BE49-F238E27FC236}">
              <a16:creationId xmlns:a16="http://schemas.microsoft.com/office/drawing/2014/main" id="{97704E52-98EB-38D2-8EE4-A4B5FBB452E2}"/>
            </a:ext>
          </a:extLst>
        </xdr:cNvPr>
        <xdr:cNvSpPr/>
      </xdr:nvSpPr>
      <xdr:spPr>
        <a:xfrm>
          <a:off x="2308087" y="16173450"/>
          <a:ext cx="266700" cy="55742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1100"/>
            <a:t>r1</a:t>
          </a:r>
        </a:p>
      </xdr:txBody>
    </xdr:sp>
    <xdr:clientData/>
  </xdr:twoCellAnchor>
  <xdr:twoCellAnchor>
    <xdr:from>
      <xdr:col>5</xdr:col>
      <xdr:colOff>618700</xdr:colOff>
      <xdr:row>96</xdr:row>
      <xdr:rowOff>75747</xdr:rowOff>
    </xdr:from>
    <xdr:to>
      <xdr:col>6</xdr:col>
      <xdr:colOff>428200</xdr:colOff>
      <xdr:row>97</xdr:row>
      <xdr:rowOff>201076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C627751A-CDFF-9D7D-33F0-0B7949EF37B0}"/>
            </a:ext>
          </a:extLst>
        </xdr:cNvPr>
        <xdr:cNvSpPr/>
      </xdr:nvSpPr>
      <xdr:spPr>
        <a:xfrm rot="18367104">
          <a:off x="3934904" y="17368635"/>
          <a:ext cx="345908" cy="57150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382813</xdr:colOff>
      <xdr:row>96</xdr:row>
      <xdr:rowOff>147395</xdr:rowOff>
    </xdr:from>
    <xdr:to>
      <xdr:col>4</xdr:col>
      <xdr:colOff>390492</xdr:colOff>
      <xdr:row>98</xdr:row>
      <xdr:rowOff>13484</xdr:rowOff>
    </xdr:to>
    <xdr:sp macro="" textlink="">
      <xdr:nvSpPr>
        <xdr:cNvPr id="8" name="Rechteck 7">
          <a:extLst>
            <a:ext uri="{FF2B5EF4-FFF2-40B4-BE49-F238E27FC236}">
              <a16:creationId xmlns:a16="http://schemas.microsoft.com/office/drawing/2014/main" id="{AE354634-AC80-0836-F95F-F88ECECA5CBC}"/>
            </a:ext>
          </a:extLst>
        </xdr:cNvPr>
        <xdr:cNvSpPr/>
      </xdr:nvSpPr>
      <xdr:spPr>
        <a:xfrm rot="2960613">
          <a:off x="2291933" y="17354950"/>
          <a:ext cx="304239" cy="769679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628650</xdr:colOff>
      <xdr:row>86</xdr:row>
      <xdr:rowOff>50800</xdr:rowOff>
    </xdr:from>
    <xdr:to>
      <xdr:col>5</xdr:col>
      <xdr:colOff>146050</xdr:colOff>
      <xdr:row>87</xdr:row>
      <xdr:rowOff>139700</xdr:rowOff>
    </xdr:to>
    <xdr:sp macro="" textlink="">
      <xdr:nvSpPr>
        <xdr:cNvPr id="9" name="Ellipse 8">
          <a:extLst>
            <a:ext uri="{FF2B5EF4-FFF2-40B4-BE49-F238E27FC236}">
              <a16:creationId xmlns:a16="http://schemas.microsoft.com/office/drawing/2014/main" id="{3AA58F5A-3369-2856-EC53-176513BD99F2}"/>
            </a:ext>
          </a:extLst>
        </xdr:cNvPr>
        <xdr:cNvSpPr/>
      </xdr:nvSpPr>
      <xdr:spPr>
        <a:xfrm>
          <a:off x="2305050" y="158178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578945</xdr:colOff>
      <xdr:row>99</xdr:row>
      <xdr:rowOff>206594</xdr:rowOff>
    </xdr:from>
    <xdr:to>
      <xdr:col>3</xdr:col>
      <xdr:colOff>93170</xdr:colOff>
      <xdr:row>101</xdr:row>
      <xdr:rowOff>15875</xdr:rowOff>
    </xdr:to>
    <xdr:sp macro="" textlink="">
      <xdr:nvSpPr>
        <xdr:cNvPr id="11" name="Ellipse 10">
          <a:extLst>
            <a:ext uri="{FF2B5EF4-FFF2-40B4-BE49-F238E27FC236}">
              <a16:creationId xmlns:a16="http://schemas.microsoft.com/office/drawing/2014/main" id="{F120D1B4-CA48-66B4-A3ED-9A6A144FFE36}"/>
            </a:ext>
          </a:extLst>
        </xdr:cNvPr>
        <xdr:cNvSpPr/>
      </xdr:nvSpPr>
      <xdr:spPr>
        <a:xfrm>
          <a:off x="1493345" y="18294569"/>
          <a:ext cx="276225" cy="295056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134544</xdr:colOff>
      <xdr:row>99</xdr:row>
      <xdr:rowOff>147934</xdr:rowOff>
    </xdr:from>
    <xdr:to>
      <xdr:col>7</xdr:col>
      <xdr:colOff>410769</xdr:colOff>
      <xdr:row>100</xdr:row>
      <xdr:rowOff>168036</xdr:rowOff>
    </xdr:to>
    <xdr:sp macro="" textlink="">
      <xdr:nvSpPr>
        <xdr:cNvPr id="12" name="Ellipse 11">
          <a:extLst>
            <a:ext uri="{FF2B5EF4-FFF2-40B4-BE49-F238E27FC236}">
              <a16:creationId xmlns:a16="http://schemas.microsoft.com/office/drawing/2014/main" id="{530E6294-EA3F-880A-186E-7EA8310EEA6F}"/>
            </a:ext>
          </a:extLst>
        </xdr:cNvPr>
        <xdr:cNvSpPr/>
      </xdr:nvSpPr>
      <xdr:spPr>
        <a:xfrm>
          <a:off x="4861952" y="18205329"/>
          <a:ext cx="276225" cy="295825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6350</xdr:colOff>
      <xdr:row>87</xdr:row>
      <xdr:rowOff>139700</xdr:rowOff>
    </xdr:from>
    <xdr:to>
      <xdr:col>5</xdr:col>
      <xdr:colOff>6350</xdr:colOff>
      <xdr:row>88</xdr:row>
      <xdr:rowOff>171450</xdr:rowOff>
    </xdr:to>
    <xdr:cxnSp macro="">
      <xdr:nvCxnSpPr>
        <xdr:cNvPr id="14" name="Gerader Verbinder 13">
          <a:extLst>
            <a:ext uri="{FF2B5EF4-FFF2-40B4-BE49-F238E27FC236}">
              <a16:creationId xmlns:a16="http://schemas.microsoft.com/office/drawing/2014/main" id="{9AF6C6B1-9D57-25C5-5F17-F088E292189B}"/>
            </a:ext>
          </a:extLst>
        </xdr:cNvPr>
        <xdr:cNvCxnSpPr>
          <a:stCxn id="9" idx="4"/>
          <a:endCxn id="6" idx="0"/>
        </xdr:cNvCxnSpPr>
      </xdr:nvCxnSpPr>
      <xdr:spPr>
        <a:xfrm>
          <a:off x="2444750" y="16090900"/>
          <a:ext cx="0" cy="21590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376454</xdr:colOff>
      <xdr:row>97</xdr:row>
      <xdr:rowOff>194972</xdr:rowOff>
    </xdr:from>
    <xdr:to>
      <xdr:col>7</xdr:col>
      <xdr:colOff>174531</xdr:colOff>
      <xdr:row>99</xdr:row>
      <xdr:rowOff>188082</xdr:rowOff>
    </xdr:to>
    <xdr:cxnSp macro="">
      <xdr:nvCxnSpPr>
        <xdr:cNvPr id="16" name="Gerader Verbinder 15">
          <a:extLst>
            <a:ext uri="{FF2B5EF4-FFF2-40B4-BE49-F238E27FC236}">
              <a16:creationId xmlns:a16="http://schemas.microsoft.com/office/drawing/2014/main" id="{9B159CB8-B59A-D39E-76AE-115829F32402}"/>
            </a:ext>
          </a:extLst>
        </xdr:cNvPr>
        <xdr:cNvCxnSpPr>
          <a:stCxn id="7" idx="2"/>
          <a:endCxn id="12" idx="1"/>
        </xdr:cNvCxnSpPr>
      </xdr:nvCxnSpPr>
      <xdr:spPr>
        <a:xfrm>
          <a:off x="4341862" y="17821235"/>
          <a:ext cx="560077" cy="424242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102423</xdr:colOff>
      <xdr:row>94</xdr:row>
      <xdr:rowOff>94366</xdr:rowOff>
    </xdr:from>
    <xdr:to>
      <xdr:col>5</xdr:col>
      <xdr:colOff>676796</xdr:colOff>
      <xdr:row>96</xdr:row>
      <xdr:rowOff>78677</xdr:rowOff>
    </xdr:to>
    <xdr:cxnSp macro="">
      <xdr:nvCxnSpPr>
        <xdr:cNvPr id="17" name="Gerader Verbinder 16">
          <a:extLst>
            <a:ext uri="{FF2B5EF4-FFF2-40B4-BE49-F238E27FC236}">
              <a16:creationId xmlns:a16="http://schemas.microsoft.com/office/drawing/2014/main" id="{3AFC905A-776F-BA0F-E43F-06F598BF91E6}"/>
            </a:ext>
          </a:extLst>
        </xdr:cNvPr>
        <xdr:cNvCxnSpPr>
          <a:stCxn id="10" idx="5"/>
          <a:endCxn id="7" idx="0"/>
        </xdr:cNvCxnSpPr>
      </xdr:nvCxnSpPr>
      <xdr:spPr>
        <a:xfrm>
          <a:off x="3305831" y="17098998"/>
          <a:ext cx="574373" cy="385363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6350</xdr:colOff>
      <xdr:row>92</xdr:row>
      <xdr:rowOff>1478</xdr:rowOff>
    </xdr:from>
    <xdr:to>
      <xdr:col>5</xdr:col>
      <xdr:colOff>6350</xdr:colOff>
      <xdr:row>93</xdr:row>
      <xdr:rowOff>44450</xdr:rowOff>
    </xdr:to>
    <xdr:cxnSp macro="">
      <xdr:nvCxnSpPr>
        <xdr:cNvPr id="18" name="Gerader Verbinder 17">
          <a:extLst>
            <a:ext uri="{FF2B5EF4-FFF2-40B4-BE49-F238E27FC236}">
              <a16:creationId xmlns:a16="http://schemas.microsoft.com/office/drawing/2014/main" id="{985ADFC5-5036-217E-2761-1BD8E71D944E}"/>
            </a:ext>
          </a:extLst>
        </xdr:cNvPr>
        <xdr:cNvCxnSpPr>
          <a:stCxn id="6" idx="2"/>
          <a:endCxn id="10" idx="0"/>
        </xdr:cNvCxnSpPr>
      </xdr:nvCxnSpPr>
      <xdr:spPr>
        <a:xfrm>
          <a:off x="2444296" y="16836571"/>
          <a:ext cx="0" cy="228147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297604</xdr:colOff>
      <xdr:row>94</xdr:row>
      <xdr:rowOff>94293</xdr:rowOff>
    </xdr:from>
    <xdr:to>
      <xdr:col>4</xdr:col>
      <xdr:colOff>669102</xdr:colOff>
      <xdr:row>96</xdr:row>
      <xdr:rowOff>48783</xdr:rowOff>
    </xdr:to>
    <xdr:cxnSp macro="">
      <xdr:nvCxnSpPr>
        <xdr:cNvPr id="19" name="Gerader Verbinder 18">
          <a:extLst>
            <a:ext uri="{FF2B5EF4-FFF2-40B4-BE49-F238E27FC236}">
              <a16:creationId xmlns:a16="http://schemas.microsoft.com/office/drawing/2014/main" id="{4763A8BC-792B-5B8E-10C7-4DAAA16C2A34}"/>
            </a:ext>
          </a:extLst>
        </xdr:cNvPr>
        <xdr:cNvCxnSpPr>
          <a:stCxn id="10" idx="3"/>
          <a:endCxn id="8" idx="0"/>
        </xdr:cNvCxnSpPr>
      </xdr:nvCxnSpPr>
      <xdr:spPr>
        <a:xfrm flipH="1">
          <a:off x="2736004" y="17134518"/>
          <a:ext cx="371498" cy="35454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53183</xdr:colOff>
      <xdr:row>98</xdr:row>
      <xdr:rowOff>108452</xdr:rowOff>
    </xdr:from>
    <xdr:to>
      <xdr:col>3</xdr:col>
      <xdr:colOff>476085</xdr:colOff>
      <xdr:row>99</xdr:row>
      <xdr:rowOff>249877</xdr:rowOff>
    </xdr:to>
    <xdr:cxnSp macro="">
      <xdr:nvCxnSpPr>
        <xdr:cNvPr id="20" name="Gerader Verbinder 19">
          <a:extLst>
            <a:ext uri="{FF2B5EF4-FFF2-40B4-BE49-F238E27FC236}">
              <a16:creationId xmlns:a16="http://schemas.microsoft.com/office/drawing/2014/main" id="{348A8C53-242B-3238-1BA8-0C9755CB9BA2}"/>
            </a:ext>
          </a:extLst>
        </xdr:cNvPr>
        <xdr:cNvCxnSpPr>
          <a:stCxn id="8" idx="2"/>
          <a:endCxn id="11" idx="7"/>
        </xdr:cNvCxnSpPr>
      </xdr:nvCxnSpPr>
      <xdr:spPr>
        <a:xfrm flipH="1">
          <a:off x="1732591" y="17955294"/>
          <a:ext cx="422902" cy="351978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225592</xdr:colOff>
      <xdr:row>86</xdr:row>
      <xdr:rowOff>195513</xdr:rowOff>
    </xdr:from>
    <xdr:to>
      <xdr:col>4</xdr:col>
      <xdr:colOff>628650</xdr:colOff>
      <xdr:row>86</xdr:row>
      <xdr:rowOff>200527</xdr:rowOff>
    </xdr:to>
    <xdr:cxnSp macro="">
      <xdr:nvCxnSpPr>
        <xdr:cNvPr id="37" name="Gerader Verbinder 36">
          <a:extLst>
            <a:ext uri="{FF2B5EF4-FFF2-40B4-BE49-F238E27FC236}">
              <a16:creationId xmlns:a16="http://schemas.microsoft.com/office/drawing/2014/main" id="{78A874DF-101D-05A4-8231-B9F155E80286}"/>
            </a:ext>
          </a:extLst>
        </xdr:cNvPr>
        <xdr:cNvCxnSpPr>
          <a:stCxn id="9" idx="2"/>
        </xdr:cNvCxnSpPr>
      </xdr:nvCxnSpPr>
      <xdr:spPr>
        <a:xfrm flipH="1" flipV="1">
          <a:off x="225592" y="15726276"/>
          <a:ext cx="2844466" cy="501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10027</xdr:colOff>
      <xdr:row>100</xdr:row>
      <xdr:rowOff>78650</xdr:rowOff>
    </xdr:from>
    <xdr:to>
      <xdr:col>2</xdr:col>
      <xdr:colOff>582120</xdr:colOff>
      <xdr:row>100</xdr:row>
      <xdr:rowOff>85224</xdr:rowOff>
    </xdr:to>
    <xdr:cxnSp macro="">
      <xdr:nvCxnSpPr>
        <xdr:cNvPr id="40" name="Gerader Verbinder 39">
          <a:extLst>
            <a:ext uri="{FF2B5EF4-FFF2-40B4-BE49-F238E27FC236}">
              <a16:creationId xmlns:a16="http://schemas.microsoft.com/office/drawing/2014/main" id="{1E0956E5-BCEC-4EEB-8E1F-B7B5BEC3BCED}"/>
            </a:ext>
          </a:extLst>
        </xdr:cNvPr>
        <xdr:cNvCxnSpPr>
          <a:stCxn id="11" idx="2"/>
        </xdr:cNvCxnSpPr>
      </xdr:nvCxnSpPr>
      <xdr:spPr>
        <a:xfrm flipH="1">
          <a:off x="240632" y="18411768"/>
          <a:ext cx="1258896" cy="657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52113</xdr:colOff>
      <xdr:row>104</xdr:row>
      <xdr:rowOff>1</xdr:rowOff>
    </xdr:from>
    <xdr:to>
      <xdr:col>7</xdr:col>
      <xdr:colOff>292434</xdr:colOff>
      <xdr:row>104</xdr:row>
      <xdr:rowOff>9860</xdr:rowOff>
    </xdr:to>
    <xdr:cxnSp macro="">
      <xdr:nvCxnSpPr>
        <xdr:cNvPr id="43" name="Gerader Verbinder 42">
          <a:extLst>
            <a:ext uri="{FF2B5EF4-FFF2-40B4-BE49-F238E27FC236}">
              <a16:creationId xmlns:a16="http://schemas.microsoft.com/office/drawing/2014/main" id="{3A452C44-2966-B228-F287-05F539EBDF88}"/>
            </a:ext>
          </a:extLst>
        </xdr:cNvPr>
        <xdr:cNvCxnSpPr/>
      </xdr:nvCxnSpPr>
      <xdr:spPr>
        <a:xfrm flipH="1" flipV="1">
          <a:off x="282718" y="19145251"/>
          <a:ext cx="4737124" cy="9859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271069</xdr:colOff>
      <xdr:row>100</xdr:row>
      <xdr:rowOff>164861</xdr:rowOff>
    </xdr:from>
    <xdr:to>
      <xdr:col>7</xdr:col>
      <xdr:colOff>285750</xdr:colOff>
      <xdr:row>104</xdr:row>
      <xdr:rowOff>15039</xdr:rowOff>
    </xdr:to>
    <xdr:cxnSp macro="">
      <xdr:nvCxnSpPr>
        <xdr:cNvPr id="45" name="Gerader Verbinder 44">
          <a:extLst>
            <a:ext uri="{FF2B5EF4-FFF2-40B4-BE49-F238E27FC236}">
              <a16:creationId xmlns:a16="http://schemas.microsoft.com/office/drawing/2014/main" id="{37D7BBB0-2172-825C-3844-D87D7437F809}"/>
            </a:ext>
          </a:extLst>
        </xdr:cNvPr>
        <xdr:cNvCxnSpPr>
          <a:stCxn id="12" idx="4"/>
        </xdr:cNvCxnSpPr>
      </xdr:nvCxnSpPr>
      <xdr:spPr>
        <a:xfrm>
          <a:off x="4998477" y="18497979"/>
          <a:ext cx="14681" cy="66231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209827</xdr:colOff>
      <xdr:row>87</xdr:row>
      <xdr:rowOff>33131</xdr:rowOff>
    </xdr:from>
    <xdr:ext cx="315471" cy="264560"/>
    <xdr:sp macro="" textlink="">
      <xdr:nvSpPr>
        <xdr:cNvPr id="50" name="Textfeld 49">
          <a:extLst>
            <a:ext uri="{FF2B5EF4-FFF2-40B4-BE49-F238E27FC236}">
              <a16:creationId xmlns:a16="http://schemas.microsoft.com/office/drawing/2014/main" id="{4E0FEB5E-6944-3C78-E0C0-AB9D5F23C0B3}"/>
            </a:ext>
          </a:extLst>
        </xdr:cNvPr>
        <xdr:cNvSpPr txBox="1"/>
      </xdr:nvSpPr>
      <xdr:spPr>
        <a:xfrm>
          <a:off x="209827" y="15852914"/>
          <a:ext cx="315471" cy="264560"/>
        </a:xfrm>
        <a:prstGeom prst="rect">
          <a:avLst/>
        </a:prstGeom>
        <a:solidFill>
          <a:srgbClr val="FFC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L1</a:t>
          </a:r>
        </a:p>
      </xdr:txBody>
    </xdr:sp>
    <xdr:clientData/>
  </xdr:oneCellAnchor>
  <xdr:oneCellAnchor>
    <xdr:from>
      <xdr:col>5</xdr:col>
      <xdr:colOff>82189</xdr:colOff>
      <xdr:row>89</xdr:row>
      <xdr:rowOff>145264</xdr:rowOff>
    </xdr:from>
    <xdr:ext cx="332783" cy="264560"/>
    <xdr:sp macro="" textlink="">
      <xdr:nvSpPr>
        <xdr:cNvPr id="51" name="Textfeld 50">
          <a:extLst>
            <a:ext uri="{FF2B5EF4-FFF2-40B4-BE49-F238E27FC236}">
              <a16:creationId xmlns:a16="http://schemas.microsoft.com/office/drawing/2014/main" id="{96B827A4-80FE-5BAE-024E-03D3F893A574}"/>
            </a:ext>
          </a:extLst>
        </xdr:cNvPr>
        <xdr:cNvSpPr txBox="1"/>
      </xdr:nvSpPr>
      <xdr:spPr>
        <a:xfrm>
          <a:off x="2519612" y="1658199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R1</a:t>
          </a:r>
        </a:p>
      </xdr:txBody>
    </xdr:sp>
    <xdr:clientData/>
  </xdr:oneCellAnchor>
  <xdr:oneCellAnchor>
    <xdr:from>
      <xdr:col>5</xdr:col>
      <xdr:colOff>674067</xdr:colOff>
      <xdr:row>96</xdr:row>
      <xdr:rowOff>138989</xdr:rowOff>
    </xdr:from>
    <xdr:ext cx="332783" cy="264560"/>
    <xdr:sp macro="" textlink="">
      <xdr:nvSpPr>
        <xdr:cNvPr id="52" name="Textfeld 51">
          <a:extLst>
            <a:ext uri="{FF2B5EF4-FFF2-40B4-BE49-F238E27FC236}">
              <a16:creationId xmlns:a16="http://schemas.microsoft.com/office/drawing/2014/main" id="{9C88A84F-227A-DD61-7659-9B45D36EC4C0}"/>
            </a:ext>
          </a:extLst>
        </xdr:cNvPr>
        <xdr:cNvSpPr txBox="1"/>
      </xdr:nvSpPr>
      <xdr:spPr>
        <a:xfrm>
          <a:off x="3877475" y="17544673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R3</a:t>
          </a:r>
        </a:p>
      </xdr:txBody>
    </xdr:sp>
    <xdr:clientData/>
  </xdr:oneCellAnchor>
  <xdr:oneCellAnchor>
    <xdr:from>
      <xdr:col>3</xdr:col>
      <xdr:colOff>593784</xdr:colOff>
      <xdr:row>96</xdr:row>
      <xdr:rowOff>152451</xdr:rowOff>
    </xdr:from>
    <xdr:ext cx="332783" cy="264560"/>
    <xdr:sp macro="" textlink="">
      <xdr:nvSpPr>
        <xdr:cNvPr id="53" name="Textfeld 52">
          <a:extLst>
            <a:ext uri="{FF2B5EF4-FFF2-40B4-BE49-F238E27FC236}">
              <a16:creationId xmlns:a16="http://schemas.microsoft.com/office/drawing/2014/main" id="{E5CD34B3-3A08-DE91-87C8-ACE2D5DCF0B4}"/>
            </a:ext>
          </a:extLst>
        </xdr:cNvPr>
        <xdr:cNvSpPr txBox="1"/>
      </xdr:nvSpPr>
      <xdr:spPr>
        <a:xfrm>
          <a:off x="2273192" y="1755813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R2</a:t>
          </a:r>
        </a:p>
      </xdr:txBody>
    </xdr:sp>
    <xdr:clientData/>
  </xdr:oneCellAnchor>
  <xdr:oneCellAnchor>
    <xdr:from>
      <xdr:col>0</xdr:col>
      <xdr:colOff>220870</xdr:colOff>
      <xdr:row>102</xdr:row>
      <xdr:rowOff>49696</xdr:rowOff>
    </xdr:from>
    <xdr:ext cx="315471" cy="264560"/>
    <xdr:sp macro="" textlink="">
      <xdr:nvSpPr>
        <xdr:cNvPr id="54" name="Textfeld 53">
          <a:extLst>
            <a:ext uri="{FF2B5EF4-FFF2-40B4-BE49-F238E27FC236}">
              <a16:creationId xmlns:a16="http://schemas.microsoft.com/office/drawing/2014/main" id="{9FD73D5E-7A17-79DC-9B7D-1327DAF08EA1}"/>
            </a:ext>
          </a:extLst>
        </xdr:cNvPr>
        <xdr:cNvSpPr txBox="1"/>
      </xdr:nvSpPr>
      <xdr:spPr>
        <a:xfrm>
          <a:off x="220870" y="18602739"/>
          <a:ext cx="315471" cy="264560"/>
        </a:xfrm>
        <a:prstGeom prst="rect">
          <a:avLst/>
        </a:prstGeom>
        <a:solidFill>
          <a:schemeClr val="bg1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L3</a:t>
          </a:r>
        </a:p>
      </xdr:txBody>
    </xdr:sp>
    <xdr:clientData/>
  </xdr:oneCellAnchor>
  <xdr:oneCellAnchor>
    <xdr:from>
      <xdr:col>1</xdr:col>
      <xdr:colOff>16566</xdr:colOff>
      <xdr:row>99</xdr:row>
      <xdr:rowOff>66262</xdr:rowOff>
    </xdr:from>
    <xdr:ext cx="315471" cy="264560"/>
    <xdr:sp macro="" textlink="">
      <xdr:nvSpPr>
        <xdr:cNvPr id="55" name="Textfeld 54">
          <a:extLst>
            <a:ext uri="{FF2B5EF4-FFF2-40B4-BE49-F238E27FC236}">
              <a16:creationId xmlns:a16="http://schemas.microsoft.com/office/drawing/2014/main" id="{E7B90B75-FB68-B20B-0866-84EE3CF519CF}"/>
            </a:ext>
          </a:extLst>
        </xdr:cNvPr>
        <xdr:cNvSpPr txBox="1"/>
      </xdr:nvSpPr>
      <xdr:spPr>
        <a:xfrm>
          <a:off x="242957" y="18072653"/>
          <a:ext cx="315471" cy="264560"/>
        </a:xfrm>
        <a:prstGeom prst="rect">
          <a:avLst/>
        </a:prstGeom>
        <a:solidFill>
          <a:schemeClr val="tx1">
            <a:lumMod val="95000"/>
            <a:lumOff val="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bg1">
                  <a:lumMod val="95000"/>
                </a:schemeClr>
              </a:solidFill>
            </a:rPr>
            <a:t>L2</a:t>
          </a:r>
        </a:p>
      </xdr:txBody>
    </xdr:sp>
    <xdr:clientData/>
  </xdr:oneCellAnchor>
  <xdr:twoCellAnchor>
    <xdr:from>
      <xdr:col>1</xdr:col>
      <xdr:colOff>22088</xdr:colOff>
      <xdr:row>93</xdr:row>
      <xdr:rowOff>149087</xdr:rowOff>
    </xdr:from>
    <xdr:to>
      <xdr:col>4</xdr:col>
      <xdr:colOff>645216</xdr:colOff>
      <xdr:row>93</xdr:row>
      <xdr:rowOff>174487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905C9993-2A7D-EB83-CA06-162D7EC630C9}"/>
            </a:ext>
          </a:extLst>
        </xdr:cNvPr>
        <xdr:cNvCxnSpPr/>
      </xdr:nvCxnSpPr>
      <xdr:spPr>
        <a:xfrm flipH="1" flipV="1">
          <a:off x="248479" y="17062174"/>
          <a:ext cx="2069824" cy="25400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11044</xdr:colOff>
      <xdr:row>94</xdr:row>
      <xdr:rowOff>22089</xdr:rowOff>
    </xdr:from>
    <xdr:ext cx="275717" cy="264560"/>
    <xdr:sp macro="" textlink="">
      <xdr:nvSpPr>
        <xdr:cNvPr id="59" name="Textfeld 58">
          <a:extLst>
            <a:ext uri="{FF2B5EF4-FFF2-40B4-BE49-F238E27FC236}">
              <a16:creationId xmlns:a16="http://schemas.microsoft.com/office/drawing/2014/main" id="{310EE982-8A94-3341-6A57-BD9A0D906CCB}"/>
            </a:ext>
          </a:extLst>
        </xdr:cNvPr>
        <xdr:cNvSpPr txBox="1"/>
      </xdr:nvSpPr>
      <xdr:spPr>
        <a:xfrm>
          <a:off x="237435" y="17117393"/>
          <a:ext cx="275717" cy="264560"/>
        </a:xfrm>
        <a:prstGeom prst="rect">
          <a:avLst/>
        </a:prstGeom>
        <a:solidFill>
          <a:srgbClr val="00B0F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N</a:t>
          </a:r>
        </a:p>
      </xdr:txBody>
    </xdr:sp>
    <xdr:clientData/>
  </xdr:oneCellAnchor>
  <xdr:twoCellAnchor>
    <xdr:from>
      <xdr:col>4</xdr:col>
      <xdr:colOff>628650</xdr:colOff>
      <xdr:row>93</xdr:row>
      <xdr:rowOff>44450</xdr:rowOff>
    </xdr:from>
    <xdr:to>
      <xdr:col>5</xdr:col>
      <xdr:colOff>146050</xdr:colOff>
      <xdr:row>94</xdr:row>
      <xdr:rowOff>133350</xdr:rowOff>
    </xdr:to>
    <xdr:sp macro="" textlink="">
      <xdr:nvSpPr>
        <xdr:cNvPr id="10" name="Ellipse 9">
          <a:extLst>
            <a:ext uri="{FF2B5EF4-FFF2-40B4-BE49-F238E27FC236}">
              <a16:creationId xmlns:a16="http://schemas.microsoft.com/office/drawing/2014/main" id="{CE99BDDB-C283-BB8E-78E4-658F6F8BDBCD}"/>
            </a:ext>
          </a:extLst>
        </xdr:cNvPr>
        <xdr:cNvSpPr/>
      </xdr:nvSpPr>
      <xdr:spPr>
        <a:xfrm>
          <a:off x="2305050" y="171005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560618</xdr:colOff>
      <xdr:row>88</xdr:row>
      <xdr:rowOff>143890</xdr:rowOff>
    </xdr:from>
    <xdr:to>
      <xdr:col>4</xdr:col>
      <xdr:colOff>566140</xdr:colOff>
      <xdr:row>92</xdr:row>
      <xdr:rowOff>33455</xdr:rowOff>
    </xdr:to>
    <xdr:cxnSp macro="">
      <xdr:nvCxnSpPr>
        <xdr:cNvPr id="60" name="Gerader Verbinder 59">
          <a:extLst>
            <a:ext uri="{FF2B5EF4-FFF2-40B4-BE49-F238E27FC236}">
              <a16:creationId xmlns:a16="http://schemas.microsoft.com/office/drawing/2014/main" id="{3879B5BB-7A14-AE92-0CCF-917D8A289BBF}"/>
            </a:ext>
          </a:extLst>
        </xdr:cNvPr>
        <xdr:cNvCxnSpPr/>
      </xdr:nvCxnSpPr>
      <xdr:spPr>
        <a:xfrm flipH="1">
          <a:off x="2241500" y="16497008"/>
          <a:ext cx="5522" cy="63662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229315</xdr:colOff>
      <xdr:row>90</xdr:row>
      <xdr:rowOff>5522</xdr:rowOff>
    </xdr:from>
    <xdr:ext cx="383631" cy="264560"/>
    <xdr:sp macro="" textlink="">
      <xdr:nvSpPr>
        <xdr:cNvPr id="63" name="Textfeld 62">
          <a:extLst>
            <a:ext uri="{FF2B5EF4-FFF2-40B4-BE49-F238E27FC236}">
              <a16:creationId xmlns:a16="http://schemas.microsoft.com/office/drawing/2014/main" id="{6B0D3C7C-37C2-7684-6E62-2FD6549AFADE}"/>
            </a:ext>
          </a:extLst>
        </xdr:cNvPr>
        <xdr:cNvSpPr txBox="1"/>
      </xdr:nvSpPr>
      <xdr:spPr>
        <a:xfrm>
          <a:off x="1910197" y="16732169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1N</a:t>
          </a:r>
        </a:p>
      </xdr:txBody>
    </xdr:sp>
    <xdr:clientData/>
  </xdr:oneCellAnchor>
  <xdr:twoCellAnchor>
    <xdr:from>
      <xdr:col>5</xdr:col>
      <xdr:colOff>480391</xdr:colOff>
      <xdr:row>97</xdr:row>
      <xdr:rowOff>99391</xdr:rowOff>
    </xdr:from>
    <xdr:to>
      <xdr:col>6</xdr:col>
      <xdr:colOff>204304</xdr:colOff>
      <xdr:row>99</xdr:row>
      <xdr:rowOff>44174</xdr:rowOff>
    </xdr:to>
    <xdr:cxnSp macro="">
      <xdr:nvCxnSpPr>
        <xdr:cNvPr id="64" name="Gerader Verbinder 63">
          <a:extLst>
            <a:ext uri="{FF2B5EF4-FFF2-40B4-BE49-F238E27FC236}">
              <a16:creationId xmlns:a16="http://schemas.microsoft.com/office/drawing/2014/main" id="{56377A6B-AD38-42DD-2927-40156392CFF9}"/>
            </a:ext>
          </a:extLst>
        </xdr:cNvPr>
        <xdr:cNvCxnSpPr/>
      </xdr:nvCxnSpPr>
      <xdr:spPr>
        <a:xfrm flipH="1" flipV="1">
          <a:off x="2915478" y="17741348"/>
          <a:ext cx="485913" cy="309217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750135</xdr:colOff>
      <xdr:row>97</xdr:row>
      <xdr:rowOff>65171</xdr:rowOff>
    </xdr:from>
    <xdr:to>
      <xdr:col>4</xdr:col>
      <xdr:colOff>481263</xdr:colOff>
      <xdr:row>99</xdr:row>
      <xdr:rowOff>35092</xdr:rowOff>
    </xdr:to>
    <xdr:cxnSp macro="">
      <xdr:nvCxnSpPr>
        <xdr:cNvPr id="65" name="Gerader Verbinder 64">
          <a:extLst>
            <a:ext uri="{FF2B5EF4-FFF2-40B4-BE49-F238E27FC236}">
              <a16:creationId xmlns:a16="http://schemas.microsoft.com/office/drawing/2014/main" id="{305B37C9-F71F-4409-7573-BC9A655AD62F}"/>
            </a:ext>
          </a:extLst>
        </xdr:cNvPr>
        <xdr:cNvCxnSpPr/>
      </xdr:nvCxnSpPr>
      <xdr:spPr>
        <a:xfrm flipV="1">
          <a:off x="2429543" y="17691434"/>
          <a:ext cx="493128" cy="40105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173957</xdr:colOff>
      <xdr:row>97</xdr:row>
      <xdr:rowOff>198950</xdr:rowOff>
    </xdr:from>
    <xdr:ext cx="383631" cy="264560"/>
    <xdr:sp macro="" textlink="">
      <xdr:nvSpPr>
        <xdr:cNvPr id="70" name="Textfeld 69">
          <a:extLst>
            <a:ext uri="{FF2B5EF4-FFF2-40B4-BE49-F238E27FC236}">
              <a16:creationId xmlns:a16="http://schemas.microsoft.com/office/drawing/2014/main" id="{310AFCF3-44F0-F74C-FFF1-0FF30FADB96F}"/>
            </a:ext>
          </a:extLst>
        </xdr:cNvPr>
        <xdr:cNvSpPr txBox="1"/>
      </xdr:nvSpPr>
      <xdr:spPr>
        <a:xfrm>
          <a:off x="2615365" y="17825213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2N</a:t>
          </a:r>
        </a:p>
      </xdr:txBody>
    </xdr:sp>
    <xdr:clientData/>
  </xdr:oneCellAnchor>
  <xdr:oneCellAnchor>
    <xdr:from>
      <xdr:col>5</xdr:col>
      <xdr:colOff>408609</xdr:colOff>
      <xdr:row>98</xdr:row>
      <xdr:rowOff>16565</xdr:rowOff>
    </xdr:from>
    <xdr:ext cx="383631" cy="264560"/>
    <xdr:sp macro="" textlink="">
      <xdr:nvSpPr>
        <xdr:cNvPr id="71" name="Textfeld 70">
          <a:extLst>
            <a:ext uri="{FF2B5EF4-FFF2-40B4-BE49-F238E27FC236}">
              <a16:creationId xmlns:a16="http://schemas.microsoft.com/office/drawing/2014/main" id="{A708534B-9C3D-4717-EDE4-76886249BF9A}"/>
            </a:ext>
          </a:extLst>
        </xdr:cNvPr>
        <xdr:cNvSpPr txBox="1"/>
      </xdr:nvSpPr>
      <xdr:spPr>
        <a:xfrm>
          <a:off x="2846032" y="18123834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3N</a:t>
          </a:r>
        </a:p>
      </xdr:txBody>
    </xdr:sp>
    <xdr:clientData/>
  </xdr:oneCellAnchor>
  <xdr:twoCellAnchor>
    <xdr:from>
      <xdr:col>2</xdr:col>
      <xdr:colOff>693661</xdr:colOff>
      <xdr:row>87</xdr:row>
      <xdr:rowOff>115302</xdr:rowOff>
    </xdr:from>
    <xdr:to>
      <xdr:col>4</xdr:col>
      <xdr:colOff>581526</xdr:colOff>
      <xdr:row>99</xdr:row>
      <xdr:rowOff>144314</xdr:rowOff>
    </xdr:to>
    <xdr:cxnSp macro="">
      <xdr:nvCxnSpPr>
        <xdr:cNvPr id="72" name="Gerader Verbinder 71">
          <a:extLst>
            <a:ext uri="{FF2B5EF4-FFF2-40B4-BE49-F238E27FC236}">
              <a16:creationId xmlns:a16="http://schemas.microsoft.com/office/drawing/2014/main" id="{B16C710B-5739-45BF-11D8-7BFEF1FD3083}"/>
            </a:ext>
          </a:extLst>
        </xdr:cNvPr>
        <xdr:cNvCxnSpPr/>
      </xdr:nvCxnSpPr>
      <xdr:spPr>
        <a:xfrm flipV="1">
          <a:off x="1611069" y="15856618"/>
          <a:ext cx="1411865" cy="2345091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466169</xdr:colOff>
      <xdr:row>91</xdr:row>
      <xdr:rowOff>80725</xdr:rowOff>
    </xdr:from>
    <xdr:ext cx="370614" cy="264560"/>
    <xdr:sp macro="" textlink="">
      <xdr:nvSpPr>
        <xdr:cNvPr id="75" name="Textfeld 74">
          <a:extLst>
            <a:ext uri="{FF2B5EF4-FFF2-40B4-BE49-F238E27FC236}">
              <a16:creationId xmlns:a16="http://schemas.microsoft.com/office/drawing/2014/main" id="{0DD088D8-7C7E-BF84-AC62-F3AFE712BB4F}"/>
            </a:ext>
          </a:extLst>
        </xdr:cNvPr>
        <xdr:cNvSpPr txBox="1"/>
      </xdr:nvSpPr>
      <xdr:spPr>
        <a:xfrm>
          <a:off x="2145577" y="16543936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21</a:t>
          </a:r>
        </a:p>
      </xdr:txBody>
    </xdr:sp>
    <xdr:clientData/>
  </xdr:oneCellAnchor>
  <xdr:twoCellAnchor>
    <xdr:from>
      <xdr:col>1</xdr:col>
      <xdr:colOff>648034</xdr:colOff>
      <xdr:row>86</xdr:row>
      <xdr:rowOff>200527</xdr:rowOff>
    </xdr:from>
    <xdr:to>
      <xdr:col>2</xdr:col>
      <xdr:colOff>132979</xdr:colOff>
      <xdr:row>86</xdr:row>
      <xdr:rowOff>202365</xdr:rowOff>
    </xdr:to>
    <xdr:cxnSp macro="">
      <xdr:nvCxnSpPr>
        <xdr:cNvPr id="76" name="Gerader Verbinder 75">
          <a:extLst>
            <a:ext uri="{FF2B5EF4-FFF2-40B4-BE49-F238E27FC236}">
              <a16:creationId xmlns:a16="http://schemas.microsoft.com/office/drawing/2014/main" id="{F148B526-C13D-3E70-E899-FB277BF5082D}"/>
            </a:ext>
          </a:extLst>
        </xdr:cNvPr>
        <xdr:cNvCxnSpPr/>
      </xdr:nvCxnSpPr>
      <xdr:spPr>
        <a:xfrm>
          <a:off x="878639" y="15731290"/>
          <a:ext cx="171748" cy="1838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4885</xdr:colOff>
      <xdr:row>88</xdr:row>
      <xdr:rowOff>48847</xdr:rowOff>
    </xdr:from>
    <xdr:to>
      <xdr:col>5</xdr:col>
      <xdr:colOff>4885</xdr:colOff>
      <xdr:row>88</xdr:row>
      <xdr:rowOff>122116</xdr:rowOff>
    </xdr:to>
    <xdr:cxnSp macro="">
      <xdr:nvCxnSpPr>
        <xdr:cNvPr id="80" name="Gerader Verbinder 79">
          <a:extLst>
            <a:ext uri="{FF2B5EF4-FFF2-40B4-BE49-F238E27FC236}">
              <a16:creationId xmlns:a16="http://schemas.microsoft.com/office/drawing/2014/main" id="{6E4A9464-851D-895B-BAEC-82E991D9825A}"/>
            </a:ext>
          </a:extLst>
        </xdr:cNvPr>
        <xdr:cNvCxnSpPr/>
      </xdr:nvCxnSpPr>
      <xdr:spPr>
        <a:xfrm>
          <a:off x="2442308" y="16299962"/>
          <a:ext cx="0" cy="7326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355023</xdr:colOff>
      <xdr:row>95</xdr:row>
      <xdr:rowOff>83705</xdr:rowOff>
    </xdr:from>
    <xdr:to>
      <xdr:col>5</xdr:col>
      <xdr:colOff>450273</xdr:colOff>
      <xdr:row>95</xdr:row>
      <xdr:rowOff>152977</xdr:rowOff>
    </xdr:to>
    <xdr:cxnSp macro="">
      <xdr:nvCxnSpPr>
        <xdr:cNvPr id="81" name="Gerader Verbinder 80">
          <a:extLst>
            <a:ext uri="{FF2B5EF4-FFF2-40B4-BE49-F238E27FC236}">
              <a16:creationId xmlns:a16="http://schemas.microsoft.com/office/drawing/2014/main" id="{E7DA619B-BBB9-E000-C5BD-02E97C9AF33D}"/>
            </a:ext>
          </a:extLst>
        </xdr:cNvPr>
        <xdr:cNvCxnSpPr/>
      </xdr:nvCxnSpPr>
      <xdr:spPr>
        <a:xfrm flipH="1" flipV="1">
          <a:off x="2794000" y="17554864"/>
          <a:ext cx="95250" cy="69272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449385</xdr:colOff>
      <xdr:row>95</xdr:row>
      <xdr:rowOff>11546</xdr:rowOff>
    </xdr:from>
    <xdr:to>
      <xdr:col>4</xdr:col>
      <xdr:colOff>565728</xdr:colOff>
      <xdr:row>95</xdr:row>
      <xdr:rowOff>117231</xdr:rowOff>
    </xdr:to>
    <xdr:cxnSp macro="">
      <xdr:nvCxnSpPr>
        <xdr:cNvPr id="82" name="Gerader Verbinder 81">
          <a:extLst>
            <a:ext uri="{FF2B5EF4-FFF2-40B4-BE49-F238E27FC236}">
              <a16:creationId xmlns:a16="http://schemas.microsoft.com/office/drawing/2014/main" id="{2804DC05-1A9D-0C15-CFFD-1B1392137CE7}"/>
            </a:ext>
          </a:extLst>
        </xdr:cNvPr>
        <xdr:cNvCxnSpPr/>
      </xdr:nvCxnSpPr>
      <xdr:spPr>
        <a:xfrm flipV="1">
          <a:off x="2126362" y="17482705"/>
          <a:ext cx="116343" cy="105685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50556</xdr:colOff>
      <xdr:row>93</xdr:row>
      <xdr:rowOff>164368</xdr:rowOff>
    </xdr:from>
    <xdr:to>
      <xdr:col>4</xdr:col>
      <xdr:colOff>230605</xdr:colOff>
      <xdr:row>93</xdr:row>
      <xdr:rowOff>170447</xdr:rowOff>
    </xdr:to>
    <xdr:cxnSp macro="">
      <xdr:nvCxnSpPr>
        <xdr:cNvPr id="83" name="Gerader Verbinder 82">
          <a:extLst>
            <a:ext uri="{FF2B5EF4-FFF2-40B4-BE49-F238E27FC236}">
              <a16:creationId xmlns:a16="http://schemas.microsoft.com/office/drawing/2014/main" id="{410A3FED-1ADC-1C66-535D-2B1A524895A2}"/>
            </a:ext>
          </a:extLst>
        </xdr:cNvPr>
        <xdr:cNvCxnSpPr/>
      </xdr:nvCxnSpPr>
      <xdr:spPr>
        <a:xfrm flipH="1" flipV="1">
          <a:off x="2491964" y="16988526"/>
          <a:ext cx="180049" cy="607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506714</xdr:colOff>
      <xdr:row>86</xdr:row>
      <xdr:rowOff>203879</xdr:rowOff>
    </xdr:from>
    <xdr:ext cx="544893" cy="264560"/>
    <xdr:sp macro="" textlink="">
      <xdr:nvSpPr>
        <xdr:cNvPr id="84" name="Textfeld 83">
          <a:extLst>
            <a:ext uri="{FF2B5EF4-FFF2-40B4-BE49-F238E27FC236}">
              <a16:creationId xmlns:a16="http://schemas.microsoft.com/office/drawing/2014/main" id="{339BA795-370C-4BAF-01F9-0741F49228C0}"/>
            </a:ext>
          </a:extLst>
        </xdr:cNvPr>
        <xdr:cNvSpPr txBox="1"/>
      </xdr:nvSpPr>
      <xdr:spPr>
        <a:xfrm>
          <a:off x="737319" y="1573464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twoCellAnchor>
    <xdr:from>
      <xdr:col>1</xdr:col>
      <xdr:colOff>530468</xdr:colOff>
      <xdr:row>104</xdr:row>
      <xdr:rowOff>1455</xdr:rowOff>
    </xdr:from>
    <xdr:to>
      <xdr:col>2</xdr:col>
      <xdr:colOff>31404</xdr:colOff>
      <xdr:row>104</xdr:row>
      <xdr:rowOff>3136</xdr:rowOff>
    </xdr:to>
    <xdr:cxnSp macro="">
      <xdr:nvCxnSpPr>
        <xdr:cNvPr id="98" name="Gerader Verbinder 97">
          <a:extLst>
            <a:ext uri="{FF2B5EF4-FFF2-40B4-BE49-F238E27FC236}">
              <a16:creationId xmlns:a16="http://schemas.microsoft.com/office/drawing/2014/main" id="{C5BD6841-4281-91E9-D322-3A04EE4FA65C}"/>
            </a:ext>
          </a:extLst>
        </xdr:cNvPr>
        <xdr:cNvCxnSpPr/>
      </xdr:nvCxnSpPr>
      <xdr:spPr>
        <a:xfrm>
          <a:off x="761073" y="19146705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518937</xdr:colOff>
      <xdr:row>100</xdr:row>
      <xdr:rowOff>86165</xdr:rowOff>
    </xdr:from>
    <xdr:to>
      <xdr:col>2</xdr:col>
      <xdr:colOff>19873</xdr:colOff>
      <xdr:row>100</xdr:row>
      <xdr:rowOff>87846</xdr:rowOff>
    </xdr:to>
    <xdr:cxnSp macro="">
      <xdr:nvCxnSpPr>
        <xdr:cNvPr id="99" name="Gerader Verbinder 98">
          <a:extLst>
            <a:ext uri="{FF2B5EF4-FFF2-40B4-BE49-F238E27FC236}">
              <a16:creationId xmlns:a16="http://schemas.microsoft.com/office/drawing/2014/main" id="{29D191AB-15BB-7C00-526C-CF02BB3BEBFB}"/>
            </a:ext>
          </a:extLst>
        </xdr:cNvPr>
        <xdr:cNvCxnSpPr/>
      </xdr:nvCxnSpPr>
      <xdr:spPr>
        <a:xfrm>
          <a:off x="749542" y="18419283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52844</xdr:colOff>
      <xdr:row>92</xdr:row>
      <xdr:rowOff>83860</xdr:rowOff>
    </xdr:from>
    <xdr:ext cx="280911" cy="264560"/>
    <xdr:sp macro="" textlink="">
      <xdr:nvSpPr>
        <xdr:cNvPr id="100" name="Textfeld 99">
          <a:extLst>
            <a:ext uri="{FF2B5EF4-FFF2-40B4-BE49-F238E27FC236}">
              <a16:creationId xmlns:a16="http://schemas.microsoft.com/office/drawing/2014/main" id="{C807D5A7-1F3F-C66A-6C95-BE89DAED2C47}"/>
            </a:ext>
          </a:extLst>
        </xdr:cNvPr>
        <xdr:cNvSpPr txBox="1"/>
      </xdr:nvSpPr>
      <xdr:spPr>
        <a:xfrm>
          <a:off x="2494252" y="16727544"/>
          <a:ext cx="28091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N</a:t>
          </a:r>
        </a:p>
      </xdr:txBody>
    </xdr:sp>
    <xdr:clientData/>
  </xdr:oneCellAnchor>
  <xdr:oneCellAnchor>
    <xdr:from>
      <xdr:col>1</xdr:col>
      <xdr:colOff>410359</xdr:colOff>
      <xdr:row>100</xdr:row>
      <xdr:rowOff>69990</xdr:rowOff>
    </xdr:from>
    <xdr:ext cx="544893" cy="264560"/>
    <xdr:sp macro="" textlink="">
      <xdr:nvSpPr>
        <xdr:cNvPr id="101" name="Textfeld 100">
          <a:extLst>
            <a:ext uri="{FF2B5EF4-FFF2-40B4-BE49-F238E27FC236}">
              <a16:creationId xmlns:a16="http://schemas.microsoft.com/office/drawing/2014/main" id="{6C90CE5F-CF19-3805-3ED2-75329C8C9FD9}"/>
            </a:ext>
          </a:extLst>
        </xdr:cNvPr>
        <xdr:cNvSpPr txBox="1"/>
      </xdr:nvSpPr>
      <xdr:spPr>
        <a:xfrm>
          <a:off x="640964" y="18403108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1</xdr:col>
      <xdr:colOff>375949</xdr:colOff>
      <xdr:row>102</xdr:row>
      <xdr:rowOff>121148</xdr:rowOff>
    </xdr:from>
    <xdr:ext cx="544893" cy="264560"/>
    <xdr:sp macro="" textlink="">
      <xdr:nvSpPr>
        <xdr:cNvPr id="102" name="Textfeld 101">
          <a:extLst>
            <a:ext uri="{FF2B5EF4-FFF2-40B4-BE49-F238E27FC236}">
              <a16:creationId xmlns:a16="http://schemas.microsoft.com/office/drawing/2014/main" id="{A3B8F076-7461-712C-5165-0A52EFC663DF}"/>
            </a:ext>
          </a:extLst>
        </xdr:cNvPr>
        <xdr:cNvSpPr txBox="1"/>
      </xdr:nvSpPr>
      <xdr:spPr>
        <a:xfrm>
          <a:off x="606554" y="1887537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5</xdr:col>
      <xdr:colOff>43113</xdr:colOff>
      <xdr:row>87</xdr:row>
      <xdr:rowOff>101303</xdr:rowOff>
    </xdr:from>
    <xdr:ext cx="267894" cy="264560"/>
    <xdr:sp macro="" textlink="">
      <xdr:nvSpPr>
        <xdr:cNvPr id="103" name="Textfeld 102">
          <a:extLst>
            <a:ext uri="{FF2B5EF4-FFF2-40B4-BE49-F238E27FC236}">
              <a16:creationId xmlns:a16="http://schemas.microsoft.com/office/drawing/2014/main" id="{D9E141A4-BEAD-C2D8-E7C3-73DBF73B4763}"/>
            </a:ext>
          </a:extLst>
        </xdr:cNvPr>
        <xdr:cNvSpPr txBox="1"/>
      </xdr:nvSpPr>
      <xdr:spPr>
        <a:xfrm>
          <a:off x="2480536" y="16166803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</a:p>
      </xdr:txBody>
    </xdr:sp>
    <xdr:clientData/>
  </xdr:oneCellAnchor>
  <xdr:oneCellAnchor>
    <xdr:from>
      <xdr:col>5</xdr:col>
      <xdr:colOff>174998</xdr:colOff>
      <xdr:row>95</xdr:row>
      <xdr:rowOff>19537</xdr:rowOff>
    </xdr:from>
    <xdr:ext cx="280911" cy="243747"/>
    <xdr:sp macro="" textlink="">
      <xdr:nvSpPr>
        <xdr:cNvPr id="104" name="Textfeld 103">
          <a:extLst>
            <a:ext uri="{FF2B5EF4-FFF2-40B4-BE49-F238E27FC236}">
              <a16:creationId xmlns:a16="http://schemas.microsoft.com/office/drawing/2014/main" id="{B5583FED-B1C0-6832-D89D-30A4C5A764CB}"/>
            </a:ext>
          </a:extLst>
        </xdr:cNvPr>
        <xdr:cNvSpPr txBox="1"/>
      </xdr:nvSpPr>
      <xdr:spPr>
        <a:xfrm>
          <a:off x="2612421" y="17569960"/>
          <a:ext cx="280911" cy="24374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</a:p>
      </xdr:txBody>
    </xdr:sp>
    <xdr:clientData/>
  </xdr:oneCellAnchor>
  <xdr:oneCellAnchor>
    <xdr:from>
      <xdr:col>4</xdr:col>
      <xdr:colOff>472959</xdr:colOff>
      <xdr:row>95</xdr:row>
      <xdr:rowOff>8495</xdr:rowOff>
    </xdr:from>
    <xdr:ext cx="267894" cy="264560"/>
    <xdr:sp macro="" textlink="">
      <xdr:nvSpPr>
        <xdr:cNvPr id="105" name="Textfeld 104">
          <a:extLst>
            <a:ext uri="{FF2B5EF4-FFF2-40B4-BE49-F238E27FC236}">
              <a16:creationId xmlns:a16="http://schemas.microsoft.com/office/drawing/2014/main" id="{0D3418D4-CC52-36B6-A3E2-F93AEC4B9654}"/>
            </a:ext>
          </a:extLst>
        </xdr:cNvPr>
        <xdr:cNvSpPr txBox="1"/>
      </xdr:nvSpPr>
      <xdr:spPr>
        <a:xfrm>
          <a:off x="2149359" y="17458295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</a:p>
      </xdr:txBody>
    </xdr:sp>
    <xdr:clientData/>
  </xdr:oneCellAnchor>
  <xdr:twoCellAnchor>
    <xdr:from>
      <xdr:col>5</xdr:col>
      <xdr:colOff>283783</xdr:colOff>
      <xdr:row>87</xdr:row>
      <xdr:rowOff>90236</xdr:rowOff>
    </xdr:from>
    <xdr:to>
      <xdr:col>7</xdr:col>
      <xdr:colOff>353877</xdr:colOff>
      <xdr:row>99</xdr:row>
      <xdr:rowOff>26993</xdr:rowOff>
    </xdr:to>
    <xdr:cxnSp macro="">
      <xdr:nvCxnSpPr>
        <xdr:cNvPr id="106" name="Gerader Verbinder 105">
          <a:extLst>
            <a:ext uri="{FF2B5EF4-FFF2-40B4-BE49-F238E27FC236}">
              <a16:creationId xmlns:a16="http://schemas.microsoft.com/office/drawing/2014/main" id="{C3D1E51E-15CD-4140-2422-D17B0F7590D2}"/>
            </a:ext>
          </a:extLst>
        </xdr:cNvPr>
        <xdr:cNvCxnSpPr/>
      </xdr:nvCxnSpPr>
      <xdr:spPr>
        <a:xfrm>
          <a:off x="3487191" y="15831552"/>
          <a:ext cx="1594094" cy="2252836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265697</xdr:colOff>
      <xdr:row>100</xdr:row>
      <xdr:rowOff>48294</xdr:rowOff>
    </xdr:from>
    <xdr:to>
      <xdr:col>6</xdr:col>
      <xdr:colOff>715043</xdr:colOff>
      <xdr:row>100</xdr:row>
      <xdr:rowOff>50132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BB23D16C-8535-F152-10B7-FE564C880C99}"/>
            </a:ext>
          </a:extLst>
        </xdr:cNvPr>
        <xdr:cNvCxnSpPr/>
      </xdr:nvCxnSpPr>
      <xdr:spPr>
        <a:xfrm flipH="1">
          <a:off x="1945105" y="18381412"/>
          <a:ext cx="2735346" cy="1838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189932</xdr:colOff>
      <xdr:row>91</xdr:row>
      <xdr:rowOff>176451</xdr:rowOff>
    </xdr:from>
    <xdr:ext cx="370614" cy="264560"/>
    <xdr:sp macro="" textlink="">
      <xdr:nvSpPr>
        <xdr:cNvPr id="112" name="Textfeld 111">
          <a:extLst>
            <a:ext uri="{FF2B5EF4-FFF2-40B4-BE49-F238E27FC236}">
              <a16:creationId xmlns:a16="http://schemas.microsoft.com/office/drawing/2014/main" id="{2E9DD8E8-A3F6-306D-7758-48D989C2FEAE}"/>
            </a:ext>
          </a:extLst>
        </xdr:cNvPr>
        <xdr:cNvSpPr txBox="1"/>
      </xdr:nvSpPr>
      <xdr:spPr>
        <a:xfrm>
          <a:off x="4155340" y="16639662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13</a:t>
          </a:r>
        </a:p>
      </xdr:txBody>
    </xdr:sp>
    <xdr:clientData/>
  </xdr:oneCellAnchor>
  <xdr:oneCellAnchor>
    <xdr:from>
      <xdr:col>4</xdr:col>
      <xdr:colOff>627567</xdr:colOff>
      <xdr:row>100</xdr:row>
      <xdr:rowOff>77732</xdr:rowOff>
    </xdr:from>
    <xdr:ext cx="370614" cy="264560"/>
    <xdr:sp macro="" textlink="">
      <xdr:nvSpPr>
        <xdr:cNvPr id="113" name="Textfeld 112">
          <a:extLst>
            <a:ext uri="{FF2B5EF4-FFF2-40B4-BE49-F238E27FC236}">
              <a16:creationId xmlns:a16="http://schemas.microsoft.com/office/drawing/2014/main" id="{DBD890D8-2D61-E152-4500-BFBEAD5497DE}"/>
            </a:ext>
          </a:extLst>
        </xdr:cNvPr>
        <xdr:cNvSpPr txBox="1"/>
      </xdr:nvSpPr>
      <xdr:spPr>
        <a:xfrm>
          <a:off x="3068975" y="18410850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32</a:t>
          </a:r>
        </a:p>
      </xdr:txBody>
    </xdr:sp>
    <xdr:clientData/>
  </xdr:oneCellAnchor>
  <xdr:twoCellAnchor>
    <xdr:from>
      <xdr:col>8</xdr:col>
      <xdr:colOff>438150</xdr:colOff>
      <xdr:row>121</xdr:row>
      <xdr:rowOff>155574</xdr:rowOff>
    </xdr:from>
    <xdr:to>
      <xdr:col>15</xdr:col>
      <xdr:colOff>285750</xdr:colOff>
      <xdr:row>152</xdr:row>
      <xdr:rowOff>130175</xdr:rowOff>
    </xdr:to>
    <xdr:graphicFrame macro="">
      <xdr:nvGraphicFramePr>
        <xdr:cNvPr id="118" name="Diagramm 117">
          <a:extLst>
            <a:ext uri="{FF2B5EF4-FFF2-40B4-BE49-F238E27FC236}">
              <a16:creationId xmlns:a16="http://schemas.microsoft.com/office/drawing/2014/main" id="{85CEF7DE-1BCB-B330-2DDF-361C9E2DC9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549286</xdr:colOff>
      <xdr:row>28</xdr:row>
      <xdr:rowOff>21980</xdr:rowOff>
    </xdr:from>
    <xdr:to>
      <xdr:col>13</xdr:col>
      <xdr:colOff>236702</xdr:colOff>
      <xdr:row>39</xdr:row>
      <xdr:rowOff>190500</xdr:rowOff>
    </xdr:to>
    <xdr:grpSp>
      <xdr:nvGrpSpPr>
        <xdr:cNvPr id="2" name="Gruppieren 1">
          <a:extLst>
            <a:ext uri="{FF2B5EF4-FFF2-40B4-BE49-F238E27FC236}">
              <a16:creationId xmlns:a16="http://schemas.microsoft.com/office/drawing/2014/main" id="{C9CA2E73-6C0B-433D-B82A-A91D57296E0E}"/>
            </a:ext>
          </a:extLst>
        </xdr:cNvPr>
        <xdr:cNvGrpSpPr/>
      </xdr:nvGrpSpPr>
      <xdr:grpSpPr>
        <a:xfrm>
          <a:off x="9693286" y="9769230"/>
          <a:ext cx="449416" cy="5058020"/>
          <a:chOff x="8934450" y="3259336"/>
          <a:chExt cx="459441" cy="1970228"/>
        </a:xfrm>
      </xdr:grpSpPr>
      <xdr:sp macro="" textlink="">
        <xdr:nvSpPr>
          <xdr:cNvPr id="3" name="Rechteck 2">
            <a:extLst>
              <a:ext uri="{FF2B5EF4-FFF2-40B4-BE49-F238E27FC236}">
                <a16:creationId xmlns:a16="http://schemas.microsoft.com/office/drawing/2014/main" id="{B6C291D7-D1CC-D413-7F33-8456AB113FAB}"/>
              </a:ext>
            </a:extLst>
          </xdr:cNvPr>
          <xdr:cNvSpPr/>
        </xdr:nvSpPr>
        <xdr:spPr>
          <a:xfrm>
            <a:off x="8967341" y="367076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" name="Gerader Verbinder 3">
            <a:extLst>
              <a:ext uri="{FF2B5EF4-FFF2-40B4-BE49-F238E27FC236}">
                <a16:creationId xmlns:a16="http://schemas.microsoft.com/office/drawing/2014/main" id="{E0516A6C-46E8-BE1F-C4ED-9EF051F7D675}"/>
              </a:ext>
            </a:extLst>
          </xdr:cNvPr>
          <xdr:cNvCxnSpPr>
            <a:cxnSpLocks/>
            <a:endCxn id="3" idx="0"/>
          </xdr:cNvCxnSpPr>
        </xdr:nvCxnSpPr>
        <xdr:spPr>
          <a:xfrm flipH="1">
            <a:off x="9153078" y="3259336"/>
            <a:ext cx="6321" cy="41142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D52E6FF7-FD77-5860-9AD4-5A7BCF9E9B01}"/>
              </a:ext>
            </a:extLst>
          </xdr:cNvPr>
          <xdr:cNvCxnSpPr>
            <a:stCxn id="3" idx="2"/>
          </xdr:cNvCxnSpPr>
        </xdr:nvCxnSpPr>
        <xdr:spPr>
          <a:xfrm flipH="1">
            <a:off x="9150437" y="4747090"/>
            <a:ext cx="2642" cy="482474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9ED66A94-986F-EFDB-1761-286EDF7C2B3F}"/>
              </a:ext>
            </a:extLst>
          </xdr:cNvPr>
          <xdr:cNvSpPr txBox="1"/>
        </xdr:nvSpPr>
        <xdr:spPr>
          <a:xfrm>
            <a:off x="8934450" y="4010025"/>
            <a:ext cx="459441" cy="43370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13</xdr:col>
      <xdr:colOff>358771</xdr:colOff>
      <xdr:row>16</xdr:row>
      <xdr:rowOff>38099</xdr:rowOff>
    </xdr:from>
    <xdr:to>
      <xdr:col>14</xdr:col>
      <xdr:colOff>52537</xdr:colOff>
      <xdr:row>28</xdr:row>
      <xdr:rowOff>3173</xdr:rowOff>
    </xdr:to>
    <xdr:grpSp>
      <xdr:nvGrpSpPr>
        <xdr:cNvPr id="7" name="Gruppieren 6">
          <a:extLst>
            <a:ext uri="{FF2B5EF4-FFF2-40B4-BE49-F238E27FC236}">
              <a16:creationId xmlns:a16="http://schemas.microsoft.com/office/drawing/2014/main" id="{3FD35CD0-025F-4E25-A335-0736E6576A63}"/>
            </a:ext>
          </a:extLst>
        </xdr:cNvPr>
        <xdr:cNvGrpSpPr/>
      </xdr:nvGrpSpPr>
      <xdr:grpSpPr>
        <a:xfrm>
          <a:off x="10264771" y="4451349"/>
          <a:ext cx="455766" cy="5299074"/>
          <a:chOff x="8934450" y="3310662"/>
          <a:chExt cx="463177" cy="2140980"/>
        </a:xfrm>
      </xdr:grpSpPr>
      <xdr:sp macro="" textlink="">
        <xdr:nvSpPr>
          <xdr:cNvPr id="8" name="Rechteck 7">
            <a:extLst>
              <a:ext uri="{FF2B5EF4-FFF2-40B4-BE49-F238E27FC236}">
                <a16:creationId xmlns:a16="http://schemas.microsoft.com/office/drawing/2014/main" id="{48E5D1AE-E9D4-7EF3-72A8-26934DE550D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" name="Gerader Verbinder 8">
            <a:extLst>
              <a:ext uri="{FF2B5EF4-FFF2-40B4-BE49-F238E27FC236}">
                <a16:creationId xmlns:a16="http://schemas.microsoft.com/office/drawing/2014/main" id="{97AB5AFA-CF0A-FA89-42BD-AF67D5C1DF6A}"/>
              </a:ext>
            </a:extLst>
          </xdr:cNvPr>
          <xdr:cNvCxnSpPr>
            <a:endCxn id="8" idx="0"/>
          </xdr:cNvCxnSpPr>
        </xdr:nvCxnSpPr>
        <xdr:spPr>
          <a:xfrm flipH="1">
            <a:off x="9145588" y="3310662"/>
            <a:ext cx="3302" cy="46758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33E747D4-4D3F-7AB0-C551-B36A7E030ADE}"/>
              </a:ext>
            </a:extLst>
          </xdr:cNvPr>
          <xdr:cNvCxnSpPr>
            <a:stCxn id="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1" name="Textfeld 10">
            <a:extLst>
              <a:ext uri="{FF2B5EF4-FFF2-40B4-BE49-F238E27FC236}">
                <a16:creationId xmlns:a16="http://schemas.microsoft.com/office/drawing/2014/main" id="{87139A27-4A55-AE34-1795-0B8312D7F5F7}"/>
              </a:ext>
            </a:extLst>
          </xdr:cNvPr>
          <xdr:cNvSpPr txBox="1"/>
        </xdr:nvSpPr>
        <xdr:spPr>
          <a:xfrm>
            <a:off x="8934450" y="4010025"/>
            <a:ext cx="463177" cy="41931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3</a:t>
            </a:r>
          </a:p>
        </xdr:txBody>
      </xdr:sp>
    </xdr:grpSp>
    <xdr:clientData/>
  </xdr:twoCellAnchor>
  <xdr:twoCellAnchor>
    <xdr:from>
      <xdr:col>12</xdr:col>
      <xdr:colOff>171450</xdr:colOff>
      <xdr:row>16</xdr:row>
      <xdr:rowOff>30080</xdr:rowOff>
    </xdr:from>
    <xdr:to>
      <xdr:col>12</xdr:col>
      <xdr:colOff>627216</xdr:colOff>
      <xdr:row>28</xdr:row>
      <xdr:rowOff>9525</xdr:rowOff>
    </xdr:to>
    <xdr:grpSp>
      <xdr:nvGrpSpPr>
        <xdr:cNvPr id="12" name="Gruppieren 11">
          <a:extLst>
            <a:ext uri="{FF2B5EF4-FFF2-40B4-BE49-F238E27FC236}">
              <a16:creationId xmlns:a16="http://schemas.microsoft.com/office/drawing/2014/main" id="{788D343F-5EC0-40EE-A54F-D5B5231A1561}"/>
            </a:ext>
          </a:extLst>
        </xdr:cNvPr>
        <xdr:cNvGrpSpPr/>
      </xdr:nvGrpSpPr>
      <xdr:grpSpPr>
        <a:xfrm>
          <a:off x="9315450" y="4443330"/>
          <a:ext cx="455766" cy="5313445"/>
          <a:chOff x="8934450" y="3378101"/>
          <a:chExt cx="455766" cy="2073541"/>
        </a:xfrm>
      </xdr:grpSpPr>
      <xdr:sp macro="" textlink="">
        <xdr:nvSpPr>
          <xdr:cNvPr id="13" name="Rechteck 12">
            <a:extLst>
              <a:ext uri="{FF2B5EF4-FFF2-40B4-BE49-F238E27FC236}">
                <a16:creationId xmlns:a16="http://schemas.microsoft.com/office/drawing/2014/main" id="{2251E6FD-FC51-40A9-F7DE-15CAB986AC9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" name="Gerader Verbinder 13">
            <a:extLst>
              <a:ext uri="{FF2B5EF4-FFF2-40B4-BE49-F238E27FC236}">
                <a16:creationId xmlns:a16="http://schemas.microsoft.com/office/drawing/2014/main" id="{BAE997CA-FAAF-BF70-3A5C-60B1EEA5410F}"/>
              </a:ext>
            </a:extLst>
          </xdr:cNvPr>
          <xdr:cNvCxnSpPr>
            <a:endCxn id="13" idx="0"/>
          </xdr:cNvCxnSpPr>
        </xdr:nvCxnSpPr>
        <xdr:spPr>
          <a:xfrm>
            <a:off x="9144000" y="3378101"/>
            <a:ext cx="1588" cy="40014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Gerader Verbinder 14">
            <a:extLst>
              <a:ext uri="{FF2B5EF4-FFF2-40B4-BE49-F238E27FC236}">
                <a16:creationId xmlns:a16="http://schemas.microsoft.com/office/drawing/2014/main" id="{FBECA9A9-A515-7AB0-3E32-68E2318E196E}"/>
              </a:ext>
            </a:extLst>
          </xdr:cNvPr>
          <xdr:cNvCxnSpPr>
            <a:stCxn id="1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" name="Textfeld 15">
            <a:extLst>
              <a:ext uri="{FF2B5EF4-FFF2-40B4-BE49-F238E27FC236}">
                <a16:creationId xmlns:a16="http://schemas.microsoft.com/office/drawing/2014/main" id="{A1EDCC6D-3C09-B382-201E-4981D438A986}"/>
              </a:ext>
            </a:extLst>
          </xdr:cNvPr>
          <xdr:cNvSpPr txBox="1"/>
        </xdr:nvSpPr>
        <xdr:spPr>
          <a:xfrm>
            <a:off x="8934450" y="4010025"/>
            <a:ext cx="455766" cy="41433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</a:t>
            </a:r>
          </a:p>
        </xdr:txBody>
      </xdr:sp>
    </xdr:grpSp>
    <xdr:clientData/>
  </xdr:twoCellAnchor>
  <xdr:twoCellAnchor>
    <xdr:from>
      <xdr:col>9</xdr:col>
      <xdr:colOff>533400</xdr:colOff>
      <xdr:row>16</xdr:row>
      <xdr:rowOff>11258</xdr:rowOff>
    </xdr:from>
    <xdr:to>
      <xdr:col>10</xdr:col>
      <xdr:colOff>227166</xdr:colOff>
      <xdr:row>39</xdr:row>
      <xdr:rowOff>183173</xdr:rowOff>
    </xdr:to>
    <xdr:grpSp>
      <xdr:nvGrpSpPr>
        <xdr:cNvPr id="17" name="Gruppieren 16">
          <a:extLst>
            <a:ext uri="{FF2B5EF4-FFF2-40B4-BE49-F238E27FC236}">
              <a16:creationId xmlns:a16="http://schemas.microsoft.com/office/drawing/2014/main" id="{F651E0F5-4314-4A8D-934D-DDE6B8A595FC}"/>
            </a:ext>
          </a:extLst>
        </xdr:cNvPr>
        <xdr:cNvGrpSpPr/>
      </xdr:nvGrpSpPr>
      <xdr:grpSpPr>
        <a:xfrm>
          <a:off x="7391400" y="4424508"/>
          <a:ext cx="455766" cy="10395415"/>
          <a:chOff x="8934450" y="1116547"/>
          <a:chExt cx="455766" cy="4229676"/>
        </a:xfrm>
      </xdr:grpSpPr>
      <xdr:cxnSp macro="">
        <xdr:nvCxnSpPr>
          <xdr:cNvPr id="19" name="Gerader Verbinder 18">
            <a:extLst>
              <a:ext uri="{FF2B5EF4-FFF2-40B4-BE49-F238E27FC236}">
                <a16:creationId xmlns:a16="http://schemas.microsoft.com/office/drawing/2014/main" id="{CE726624-081B-9AB0-3B21-C2F2998B53CD}"/>
              </a:ext>
            </a:extLst>
          </xdr:cNvPr>
          <xdr:cNvCxnSpPr>
            <a:endCxn id="18" idx="0"/>
          </xdr:cNvCxnSpPr>
        </xdr:nvCxnSpPr>
        <xdr:spPr>
          <a:xfrm flipH="1">
            <a:off x="9196877" y="1116547"/>
            <a:ext cx="16396" cy="2593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" name="Gerader Verbinder 19">
            <a:extLst>
              <a:ext uri="{FF2B5EF4-FFF2-40B4-BE49-F238E27FC236}">
                <a16:creationId xmlns:a16="http://schemas.microsoft.com/office/drawing/2014/main" id="{6BF118E1-F6D4-24A8-8781-4FD689DFBD85}"/>
              </a:ext>
            </a:extLst>
          </xdr:cNvPr>
          <xdr:cNvCxnSpPr>
            <a:stCxn id="18" idx="2"/>
          </xdr:cNvCxnSpPr>
        </xdr:nvCxnSpPr>
        <xdr:spPr>
          <a:xfrm>
            <a:off x="9196877" y="4786418"/>
            <a:ext cx="2808" cy="55980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" name="Textfeld 20">
            <a:extLst>
              <a:ext uri="{FF2B5EF4-FFF2-40B4-BE49-F238E27FC236}">
                <a16:creationId xmlns:a16="http://schemas.microsoft.com/office/drawing/2014/main" id="{5233C419-2A9E-DADC-770A-06F56ECC9B34}"/>
              </a:ext>
            </a:extLst>
          </xdr:cNvPr>
          <xdr:cNvSpPr txBox="1"/>
        </xdr:nvSpPr>
        <xdr:spPr>
          <a:xfrm>
            <a:off x="8934450" y="4010025"/>
            <a:ext cx="455766" cy="4254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</a:t>
            </a:r>
          </a:p>
        </xdr:txBody>
      </xdr:sp>
      <xdr:sp macro="" textlink="">
        <xdr:nvSpPr>
          <xdr:cNvPr id="18" name="Rechteck 17">
            <a:extLst>
              <a:ext uri="{FF2B5EF4-FFF2-40B4-BE49-F238E27FC236}">
                <a16:creationId xmlns:a16="http://schemas.microsoft.com/office/drawing/2014/main" id="{67683963-2CCB-8186-24FD-BD96F74267F2}"/>
              </a:ext>
            </a:extLst>
          </xdr:cNvPr>
          <xdr:cNvSpPr/>
        </xdr:nvSpPr>
        <xdr:spPr>
          <a:xfrm>
            <a:off x="9011139" y="371009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10</xdr:col>
      <xdr:colOff>542925</xdr:colOff>
      <xdr:row>16</xdr:row>
      <xdr:rowOff>6350</xdr:rowOff>
    </xdr:from>
    <xdr:to>
      <xdr:col>11</xdr:col>
      <xdr:colOff>236691</xdr:colOff>
      <xdr:row>39</xdr:row>
      <xdr:rowOff>171449</xdr:rowOff>
    </xdr:to>
    <xdr:grpSp>
      <xdr:nvGrpSpPr>
        <xdr:cNvPr id="22" name="Gruppieren 21">
          <a:extLst>
            <a:ext uri="{FF2B5EF4-FFF2-40B4-BE49-F238E27FC236}">
              <a16:creationId xmlns:a16="http://schemas.microsoft.com/office/drawing/2014/main" id="{09D19D0B-4397-4318-A5E0-B0680656387E}"/>
            </a:ext>
          </a:extLst>
        </xdr:cNvPr>
        <xdr:cNvGrpSpPr/>
      </xdr:nvGrpSpPr>
      <xdr:grpSpPr>
        <a:xfrm>
          <a:off x="8162925" y="4419600"/>
          <a:ext cx="455766" cy="10388599"/>
          <a:chOff x="8934450" y="1108047"/>
          <a:chExt cx="455766" cy="4343595"/>
        </a:xfrm>
      </xdr:grpSpPr>
      <xdr:sp macro="" textlink="">
        <xdr:nvSpPr>
          <xdr:cNvPr id="23" name="Rechteck 22">
            <a:extLst>
              <a:ext uri="{FF2B5EF4-FFF2-40B4-BE49-F238E27FC236}">
                <a16:creationId xmlns:a16="http://schemas.microsoft.com/office/drawing/2014/main" id="{2ED27C57-3DB1-D123-7053-DAB4DBE1875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4" name="Gerader Verbinder 23">
            <a:extLst>
              <a:ext uri="{FF2B5EF4-FFF2-40B4-BE49-F238E27FC236}">
                <a16:creationId xmlns:a16="http://schemas.microsoft.com/office/drawing/2014/main" id="{FBE8E08A-4CDB-C4FF-3DED-02CEC854EDDA}"/>
              </a:ext>
            </a:extLst>
          </xdr:cNvPr>
          <xdr:cNvCxnSpPr>
            <a:endCxn id="2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" name="Gerader Verbinder 24">
            <a:extLst>
              <a:ext uri="{FF2B5EF4-FFF2-40B4-BE49-F238E27FC236}">
                <a16:creationId xmlns:a16="http://schemas.microsoft.com/office/drawing/2014/main" id="{A448CB53-5326-BE33-D02D-16D56050692E}"/>
              </a:ext>
            </a:extLst>
          </xdr:cNvPr>
          <xdr:cNvCxnSpPr>
            <a:stCxn id="2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6" name="Textfeld 25">
            <a:extLst>
              <a:ext uri="{FF2B5EF4-FFF2-40B4-BE49-F238E27FC236}">
                <a16:creationId xmlns:a16="http://schemas.microsoft.com/office/drawing/2014/main" id="{EAB4258E-F7EE-AA28-9EE1-36D27578D582}"/>
              </a:ext>
            </a:extLst>
          </xdr:cNvPr>
          <xdr:cNvSpPr txBox="1"/>
        </xdr:nvSpPr>
        <xdr:spPr>
          <a:xfrm>
            <a:off x="8934450" y="4010025"/>
            <a:ext cx="455766" cy="428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5</a:t>
            </a:r>
          </a:p>
        </xdr:txBody>
      </xdr:sp>
    </xdr:grpSp>
    <xdr:clientData/>
  </xdr:twoCellAnchor>
  <xdr:twoCellAnchor>
    <xdr:from>
      <xdr:col>10</xdr:col>
      <xdr:colOff>561987</xdr:colOff>
      <xdr:row>4</xdr:row>
      <xdr:rowOff>21771</xdr:rowOff>
    </xdr:from>
    <xdr:to>
      <xdr:col>11</xdr:col>
      <xdr:colOff>255753</xdr:colOff>
      <xdr:row>16</xdr:row>
      <xdr:rowOff>9523</xdr:rowOff>
    </xdr:to>
    <xdr:grpSp>
      <xdr:nvGrpSpPr>
        <xdr:cNvPr id="27" name="Gruppieren 26">
          <a:extLst>
            <a:ext uri="{FF2B5EF4-FFF2-40B4-BE49-F238E27FC236}">
              <a16:creationId xmlns:a16="http://schemas.microsoft.com/office/drawing/2014/main" id="{F79CA652-6F5D-4C5E-8E9A-BDE773339019}"/>
            </a:ext>
          </a:extLst>
        </xdr:cNvPr>
        <xdr:cNvGrpSpPr/>
      </xdr:nvGrpSpPr>
      <xdr:grpSpPr>
        <a:xfrm>
          <a:off x="8181987" y="926646"/>
          <a:ext cx="455766" cy="3496127"/>
          <a:chOff x="8934450" y="3281431"/>
          <a:chExt cx="448531" cy="2170211"/>
        </a:xfrm>
      </xdr:grpSpPr>
      <xdr:sp macro="" textlink="">
        <xdr:nvSpPr>
          <xdr:cNvPr id="28" name="Rechteck 27">
            <a:extLst>
              <a:ext uri="{FF2B5EF4-FFF2-40B4-BE49-F238E27FC236}">
                <a16:creationId xmlns:a16="http://schemas.microsoft.com/office/drawing/2014/main" id="{14BA0D7C-CACA-ED52-BC5F-932A16CC5394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9" name="Gerader Verbinder 28">
            <a:extLst>
              <a:ext uri="{FF2B5EF4-FFF2-40B4-BE49-F238E27FC236}">
                <a16:creationId xmlns:a16="http://schemas.microsoft.com/office/drawing/2014/main" id="{0729A5C8-1015-4CCC-2EF1-4C8BFF068AA2}"/>
              </a:ext>
            </a:extLst>
          </xdr:cNvPr>
          <xdr:cNvCxnSpPr>
            <a:endCxn id="2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0" name="Gerader Verbinder 29">
            <a:extLst>
              <a:ext uri="{FF2B5EF4-FFF2-40B4-BE49-F238E27FC236}">
                <a16:creationId xmlns:a16="http://schemas.microsoft.com/office/drawing/2014/main" id="{8C3B192D-CB8A-B652-FBF0-F96670770175}"/>
              </a:ext>
            </a:extLst>
          </xdr:cNvPr>
          <xdr:cNvCxnSpPr>
            <a:stCxn id="2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1" name="Textfeld 30">
            <a:extLst>
              <a:ext uri="{FF2B5EF4-FFF2-40B4-BE49-F238E27FC236}">
                <a16:creationId xmlns:a16="http://schemas.microsoft.com/office/drawing/2014/main" id="{21387352-0F71-091D-22C1-7B9CFC064E0D}"/>
              </a:ext>
            </a:extLst>
          </xdr:cNvPr>
          <xdr:cNvSpPr txBox="1"/>
        </xdr:nvSpPr>
        <xdr:spPr>
          <a:xfrm>
            <a:off x="8934450" y="4010025"/>
            <a:ext cx="448531" cy="40181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</xdr:row>
      <xdr:rowOff>28575</xdr:rowOff>
    </xdr:from>
    <xdr:to>
      <xdr:col>5</xdr:col>
      <xdr:colOff>246216</xdr:colOff>
      <xdr:row>39</xdr:row>
      <xdr:rowOff>190500</xdr:rowOff>
    </xdr:to>
    <xdr:grpSp>
      <xdr:nvGrpSpPr>
        <xdr:cNvPr id="32" name="Gruppieren 31">
          <a:extLst>
            <a:ext uri="{FF2B5EF4-FFF2-40B4-BE49-F238E27FC236}">
              <a16:creationId xmlns:a16="http://schemas.microsoft.com/office/drawing/2014/main" id="{C671B817-CF8D-4FAF-9921-9C092ABAEEAC}"/>
            </a:ext>
          </a:extLst>
        </xdr:cNvPr>
        <xdr:cNvGrpSpPr/>
      </xdr:nvGrpSpPr>
      <xdr:grpSpPr>
        <a:xfrm>
          <a:off x="3600450" y="933450"/>
          <a:ext cx="455766" cy="13893800"/>
          <a:chOff x="8934450" y="1094414"/>
          <a:chExt cx="455766" cy="6412628"/>
        </a:xfrm>
      </xdr:grpSpPr>
      <xdr:sp macro="" textlink="">
        <xdr:nvSpPr>
          <xdr:cNvPr id="33" name="Rechteck 32">
            <a:extLst>
              <a:ext uri="{FF2B5EF4-FFF2-40B4-BE49-F238E27FC236}">
                <a16:creationId xmlns:a16="http://schemas.microsoft.com/office/drawing/2014/main" id="{9D5FC9B0-F3A7-F0CE-8E1F-1DEB6079290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4" name="Gerader Verbinder 33">
            <a:extLst>
              <a:ext uri="{FF2B5EF4-FFF2-40B4-BE49-F238E27FC236}">
                <a16:creationId xmlns:a16="http://schemas.microsoft.com/office/drawing/2014/main" id="{E947AFAC-73E5-AB04-B621-64290E97DA26}"/>
              </a:ext>
            </a:extLst>
          </xdr:cNvPr>
          <xdr:cNvCxnSpPr>
            <a:endCxn id="3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5" name="Gerader Verbinder 34">
            <a:extLst>
              <a:ext uri="{FF2B5EF4-FFF2-40B4-BE49-F238E27FC236}">
                <a16:creationId xmlns:a16="http://schemas.microsoft.com/office/drawing/2014/main" id="{DAA46AE3-DEBF-011D-4141-9145F3A4FDEE}"/>
              </a:ext>
            </a:extLst>
          </xdr:cNvPr>
          <xdr:cNvCxnSpPr>
            <a:stCxn id="33" idx="2"/>
          </xdr:cNvCxnSpPr>
        </xdr:nvCxnSpPr>
        <xdr:spPr>
          <a:xfrm flipH="1">
            <a:off x="9144000" y="4854575"/>
            <a:ext cx="1588" cy="265246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6" name="Textfeld 35">
            <a:extLst>
              <a:ext uri="{FF2B5EF4-FFF2-40B4-BE49-F238E27FC236}">
                <a16:creationId xmlns:a16="http://schemas.microsoft.com/office/drawing/2014/main" id="{36392F6D-AEE8-DF8D-768F-FFAB3C17A31B}"/>
              </a:ext>
            </a:extLst>
          </xdr:cNvPr>
          <xdr:cNvSpPr txBox="1"/>
        </xdr:nvSpPr>
        <xdr:spPr>
          <a:xfrm>
            <a:off x="8934450" y="4010025"/>
            <a:ext cx="455766" cy="4184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561975</xdr:colOff>
      <xdr:row>4</xdr:row>
      <xdr:rowOff>25400</xdr:rowOff>
    </xdr:from>
    <xdr:to>
      <xdr:col>6</xdr:col>
      <xdr:colOff>255741</xdr:colOff>
      <xdr:row>23</xdr:row>
      <xdr:rowOff>133349</xdr:rowOff>
    </xdr:to>
    <xdr:grpSp>
      <xdr:nvGrpSpPr>
        <xdr:cNvPr id="37" name="Gruppieren 36">
          <a:extLst>
            <a:ext uri="{FF2B5EF4-FFF2-40B4-BE49-F238E27FC236}">
              <a16:creationId xmlns:a16="http://schemas.microsoft.com/office/drawing/2014/main" id="{5B11633B-30C4-4867-9D92-5E29F23A9E1F}"/>
            </a:ext>
          </a:extLst>
        </xdr:cNvPr>
        <xdr:cNvGrpSpPr/>
      </xdr:nvGrpSpPr>
      <xdr:grpSpPr>
        <a:xfrm>
          <a:off x="4371975" y="930275"/>
          <a:ext cx="455766" cy="6727824"/>
          <a:chOff x="8934450" y="1892573"/>
          <a:chExt cx="455766" cy="3559069"/>
        </a:xfrm>
      </xdr:grpSpPr>
      <xdr:sp macro="" textlink="">
        <xdr:nvSpPr>
          <xdr:cNvPr id="38" name="Rechteck 37">
            <a:extLst>
              <a:ext uri="{FF2B5EF4-FFF2-40B4-BE49-F238E27FC236}">
                <a16:creationId xmlns:a16="http://schemas.microsoft.com/office/drawing/2014/main" id="{85E8EA8B-4A70-7AB0-2ADD-743C1BECFD6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ADD912D7-1E6D-BF74-BBF4-8F18176E1D7D}"/>
              </a:ext>
            </a:extLst>
          </xdr:cNvPr>
          <xdr:cNvCxnSpPr>
            <a:endCxn id="38" idx="0"/>
          </xdr:cNvCxnSpPr>
        </xdr:nvCxnSpPr>
        <xdr:spPr>
          <a:xfrm flipH="1">
            <a:off x="9145588" y="1892573"/>
            <a:ext cx="1587" cy="188567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0" name="Gerader Verbinder 39">
            <a:extLst>
              <a:ext uri="{FF2B5EF4-FFF2-40B4-BE49-F238E27FC236}">
                <a16:creationId xmlns:a16="http://schemas.microsoft.com/office/drawing/2014/main" id="{E03DA228-80CC-DD14-39B8-669B28487188}"/>
              </a:ext>
            </a:extLst>
          </xdr:cNvPr>
          <xdr:cNvCxnSpPr>
            <a:stCxn id="3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1" name="Textfeld 40">
            <a:extLst>
              <a:ext uri="{FF2B5EF4-FFF2-40B4-BE49-F238E27FC236}">
                <a16:creationId xmlns:a16="http://schemas.microsoft.com/office/drawing/2014/main" id="{33373026-10FB-5FB6-511B-863BDFA78670}"/>
              </a:ext>
            </a:extLst>
          </xdr:cNvPr>
          <xdr:cNvSpPr txBox="1"/>
        </xdr:nvSpPr>
        <xdr:spPr>
          <a:xfrm>
            <a:off x="8934450" y="4010025"/>
            <a:ext cx="455766" cy="40714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</a:t>
            </a:r>
          </a:p>
        </xdr:txBody>
      </xdr:sp>
    </xdr:grpSp>
    <xdr:clientData/>
  </xdr:twoCellAnchor>
  <xdr:twoCellAnchor>
    <xdr:from>
      <xdr:col>5</xdr:col>
      <xdr:colOff>561986</xdr:colOff>
      <xdr:row>23</xdr:row>
      <xdr:rowOff>107949</xdr:rowOff>
    </xdr:from>
    <xdr:to>
      <xdr:col>6</xdr:col>
      <xdr:colOff>255752</xdr:colOff>
      <xdr:row>39</xdr:row>
      <xdr:rowOff>190499</xdr:rowOff>
    </xdr:to>
    <xdr:grpSp>
      <xdr:nvGrpSpPr>
        <xdr:cNvPr id="42" name="Gruppieren 41">
          <a:extLst>
            <a:ext uri="{FF2B5EF4-FFF2-40B4-BE49-F238E27FC236}">
              <a16:creationId xmlns:a16="http://schemas.microsoft.com/office/drawing/2014/main" id="{62206634-A6F7-4A16-8592-FE7DE7081C75}"/>
            </a:ext>
          </a:extLst>
        </xdr:cNvPr>
        <xdr:cNvGrpSpPr/>
      </xdr:nvGrpSpPr>
      <xdr:grpSpPr>
        <a:xfrm>
          <a:off x="4371986" y="7632699"/>
          <a:ext cx="455766" cy="7194550"/>
          <a:chOff x="8934450" y="3254331"/>
          <a:chExt cx="448588" cy="2885570"/>
        </a:xfrm>
      </xdr:grpSpPr>
      <xdr:sp macro="" textlink="">
        <xdr:nvSpPr>
          <xdr:cNvPr id="43" name="Rechteck 42">
            <a:extLst>
              <a:ext uri="{FF2B5EF4-FFF2-40B4-BE49-F238E27FC236}">
                <a16:creationId xmlns:a16="http://schemas.microsoft.com/office/drawing/2014/main" id="{879F0E16-0A21-0B8A-F2A7-BFFAA1EF1C19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4" name="Gerader Verbinder 43">
            <a:extLst>
              <a:ext uri="{FF2B5EF4-FFF2-40B4-BE49-F238E27FC236}">
                <a16:creationId xmlns:a16="http://schemas.microsoft.com/office/drawing/2014/main" id="{1E91B0BB-92F4-B775-0005-2314E29141EE}"/>
              </a:ext>
            </a:extLst>
          </xdr:cNvPr>
          <xdr:cNvCxnSpPr>
            <a:endCxn id="4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5" name="Gerader Verbinder 44">
            <a:extLst>
              <a:ext uri="{FF2B5EF4-FFF2-40B4-BE49-F238E27FC236}">
                <a16:creationId xmlns:a16="http://schemas.microsoft.com/office/drawing/2014/main" id="{6BB156C4-E782-DA60-06B5-C739B052E842}"/>
              </a:ext>
            </a:extLst>
          </xdr:cNvPr>
          <xdr:cNvCxnSpPr>
            <a:stCxn id="43" idx="2"/>
          </xdr:cNvCxnSpPr>
        </xdr:nvCxnSpPr>
        <xdr:spPr>
          <a:xfrm>
            <a:off x="9145588" y="4854575"/>
            <a:ext cx="150" cy="12853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0ED4AF75-0CB9-1AB2-EEFF-EDA4010E59D8}"/>
              </a:ext>
            </a:extLst>
          </xdr:cNvPr>
          <xdr:cNvSpPr txBox="1"/>
        </xdr:nvSpPr>
        <xdr:spPr>
          <a:xfrm>
            <a:off x="8934450" y="4010025"/>
            <a:ext cx="448588" cy="43123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8</a:t>
            </a:r>
          </a:p>
        </xdr:txBody>
      </xdr:sp>
    </xdr:grpSp>
    <xdr:clientData/>
  </xdr:twoCellAnchor>
  <xdr:twoCellAnchor>
    <xdr:from>
      <xdr:col>1</xdr:col>
      <xdr:colOff>536074</xdr:colOff>
      <xdr:row>4</xdr:row>
      <xdr:rowOff>9525</xdr:rowOff>
    </xdr:from>
    <xdr:to>
      <xdr:col>2</xdr:col>
      <xdr:colOff>271390</xdr:colOff>
      <xdr:row>20</xdr:row>
      <xdr:rowOff>21772</xdr:rowOff>
    </xdr:to>
    <xdr:grpSp>
      <xdr:nvGrpSpPr>
        <xdr:cNvPr id="47" name="Gruppieren 46">
          <a:extLst>
            <a:ext uri="{FF2B5EF4-FFF2-40B4-BE49-F238E27FC236}">
              <a16:creationId xmlns:a16="http://schemas.microsoft.com/office/drawing/2014/main" id="{BB70D6C6-7269-4E17-B54F-A59AFA12BB10}"/>
            </a:ext>
          </a:extLst>
        </xdr:cNvPr>
        <xdr:cNvGrpSpPr/>
      </xdr:nvGrpSpPr>
      <xdr:grpSpPr>
        <a:xfrm>
          <a:off x="1298074" y="914400"/>
          <a:ext cx="497316" cy="5298622"/>
          <a:chOff x="8911345" y="3254331"/>
          <a:chExt cx="497612" cy="3010540"/>
        </a:xfrm>
      </xdr:grpSpPr>
      <xdr:sp macro="" textlink="">
        <xdr:nvSpPr>
          <xdr:cNvPr id="48" name="Rechteck 47">
            <a:extLst>
              <a:ext uri="{FF2B5EF4-FFF2-40B4-BE49-F238E27FC236}">
                <a16:creationId xmlns:a16="http://schemas.microsoft.com/office/drawing/2014/main" id="{F344003A-F92A-009A-8DFD-920D4C307DD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9" name="Gerader Verbinder 48">
            <a:extLst>
              <a:ext uri="{FF2B5EF4-FFF2-40B4-BE49-F238E27FC236}">
                <a16:creationId xmlns:a16="http://schemas.microsoft.com/office/drawing/2014/main" id="{F6454916-4ABF-F970-C9D4-E99D726CB2EA}"/>
              </a:ext>
            </a:extLst>
          </xdr:cNvPr>
          <xdr:cNvCxnSpPr>
            <a:endCxn id="4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0" name="Gerader Verbinder 49">
            <a:extLst>
              <a:ext uri="{FF2B5EF4-FFF2-40B4-BE49-F238E27FC236}">
                <a16:creationId xmlns:a16="http://schemas.microsoft.com/office/drawing/2014/main" id="{297E9592-4C63-8C57-85AC-1DBF373ADF8E}"/>
              </a:ext>
            </a:extLst>
          </xdr:cNvPr>
          <xdr:cNvCxnSpPr>
            <a:stCxn id="48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51" name="Textfeld 50">
            <a:extLst>
              <a:ext uri="{FF2B5EF4-FFF2-40B4-BE49-F238E27FC236}">
                <a16:creationId xmlns:a16="http://schemas.microsoft.com/office/drawing/2014/main" id="{6C6A0C52-9FAF-E357-A0FC-82CC508FC418}"/>
              </a:ext>
            </a:extLst>
          </xdr:cNvPr>
          <xdr:cNvSpPr txBox="1"/>
        </xdr:nvSpPr>
        <xdr:spPr>
          <a:xfrm>
            <a:off x="8911345" y="3999822"/>
            <a:ext cx="497612" cy="3582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  <a:endParaRPr lang="de-CH" sz="1800" baseline="-25000"/>
          </a:p>
        </xdr:txBody>
      </xdr:sp>
    </xdr:grpSp>
    <xdr:clientData/>
  </xdr:twoCellAnchor>
  <xdr:twoCellAnchor>
    <xdr:from>
      <xdr:col>2</xdr:col>
      <xdr:colOff>6350</xdr:colOff>
      <xdr:row>4</xdr:row>
      <xdr:rowOff>6350</xdr:rowOff>
    </xdr:from>
    <xdr:to>
      <xdr:col>11</xdr:col>
      <xdr:colOff>9525</xdr:colOff>
      <xdr:row>4</xdr:row>
      <xdr:rowOff>19050</xdr:rowOff>
    </xdr:to>
    <xdr:cxnSp macro="">
      <xdr:nvCxnSpPr>
        <xdr:cNvPr id="52" name="Gerader Verbinder 51">
          <a:extLst>
            <a:ext uri="{FF2B5EF4-FFF2-40B4-BE49-F238E27FC236}">
              <a16:creationId xmlns:a16="http://schemas.microsoft.com/office/drawing/2014/main" id="{A2A29466-BC73-4CA9-A4E5-FFA702BB7A43}"/>
            </a:ext>
          </a:extLst>
        </xdr:cNvPr>
        <xdr:cNvCxnSpPr/>
      </xdr:nvCxnSpPr>
      <xdr:spPr>
        <a:xfrm flipH="1" flipV="1">
          <a:off x="1533525" y="733425"/>
          <a:ext cx="6854825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406400</xdr:colOff>
      <xdr:row>21</xdr:row>
      <xdr:rowOff>99332</xdr:rowOff>
    </xdr:from>
    <xdr:to>
      <xdr:col>2</xdr:col>
      <xdr:colOff>263534</xdr:colOff>
      <xdr:row>21</xdr:row>
      <xdr:rowOff>105682</xdr:rowOff>
    </xdr:to>
    <xdr:cxnSp macro="">
      <xdr:nvCxnSpPr>
        <xdr:cNvPr id="53" name="Gerader Verbinder 52">
          <a:extLst>
            <a:ext uri="{FF2B5EF4-FFF2-40B4-BE49-F238E27FC236}">
              <a16:creationId xmlns:a16="http://schemas.microsoft.com/office/drawing/2014/main" id="{DC7347B6-9D46-43A8-9AAB-2594136191F9}"/>
            </a:ext>
          </a:extLst>
        </xdr:cNvPr>
        <xdr:cNvCxnSpPr/>
      </xdr:nvCxnSpPr>
      <xdr:spPr>
        <a:xfrm flipH="1">
          <a:off x="1171575" y="3902982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597354</xdr:colOff>
      <xdr:row>20</xdr:row>
      <xdr:rowOff>58512</xdr:rowOff>
    </xdr:from>
    <xdr:to>
      <xdr:col>2</xdr:col>
      <xdr:colOff>130629</xdr:colOff>
      <xdr:row>20</xdr:row>
      <xdr:rowOff>58512</xdr:rowOff>
    </xdr:to>
    <xdr:cxnSp macro="">
      <xdr:nvCxnSpPr>
        <xdr:cNvPr id="54" name="Gerader Verbinder 53">
          <a:extLst>
            <a:ext uri="{FF2B5EF4-FFF2-40B4-BE49-F238E27FC236}">
              <a16:creationId xmlns:a16="http://schemas.microsoft.com/office/drawing/2014/main" id="{EA27FEF3-E034-473F-9395-D916E386915E}"/>
            </a:ext>
          </a:extLst>
        </xdr:cNvPr>
        <xdr:cNvCxnSpPr/>
      </xdr:nvCxnSpPr>
      <xdr:spPr>
        <a:xfrm flipH="1">
          <a:off x="1362529" y="3678012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21</xdr:row>
      <xdr:rowOff>142875</xdr:rowOff>
    </xdr:from>
    <xdr:to>
      <xdr:col>2</xdr:col>
      <xdr:colOff>142875</xdr:colOff>
      <xdr:row>21</xdr:row>
      <xdr:rowOff>142875</xdr:rowOff>
    </xdr:to>
    <xdr:cxnSp macro="">
      <xdr:nvCxnSpPr>
        <xdr:cNvPr id="55" name="Gerader Verbinder 54">
          <a:extLst>
            <a:ext uri="{FF2B5EF4-FFF2-40B4-BE49-F238E27FC236}">
              <a16:creationId xmlns:a16="http://schemas.microsoft.com/office/drawing/2014/main" id="{070457DA-E664-47F4-A370-D5F10638D575}"/>
            </a:ext>
          </a:extLst>
        </xdr:cNvPr>
        <xdr:cNvCxnSpPr/>
      </xdr:nvCxnSpPr>
      <xdr:spPr>
        <a:xfrm flipH="1">
          <a:off x="1371600" y="3940175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21</xdr:row>
      <xdr:rowOff>161925</xdr:rowOff>
    </xdr:from>
    <xdr:to>
      <xdr:col>1</xdr:col>
      <xdr:colOff>754673</xdr:colOff>
      <xdr:row>39</xdr:row>
      <xdr:rowOff>190500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14548A64-0CF7-454E-ABBC-F55A03BF7373}"/>
            </a:ext>
          </a:extLst>
        </xdr:cNvPr>
        <xdr:cNvCxnSpPr/>
      </xdr:nvCxnSpPr>
      <xdr:spPr>
        <a:xfrm>
          <a:off x="1514475" y="6910021"/>
          <a:ext cx="2198" cy="807353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742950</xdr:colOff>
      <xdr:row>39</xdr:row>
      <xdr:rowOff>171450</xdr:rowOff>
    </xdr:from>
    <xdr:to>
      <xdr:col>12</xdr:col>
      <xdr:colOff>754673</xdr:colOff>
      <xdr:row>39</xdr:row>
      <xdr:rowOff>183173</xdr:rowOff>
    </xdr:to>
    <xdr:cxnSp macro="">
      <xdr:nvCxnSpPr>
        <xdr:cNvPr id="57" name="Gerader Verbinder 56">
          <a:extLst>
            <a:ext uri="{FF2B5EF4-FFF2-40B4-BE49-F238E27FC236}">
              <a16:creationId xmlns:a16="http://schemas.microsoft.com/office/drawing/2014/main" id="{CDEEFD75-09DE-4330-8962-E13A5C574883}"/>
            </a:ext>
          </a:extLst>
        </xdr:cNvPr>
        <xdr:cNvCxnSpPr/>
      </xdr:nvCxnSpPr>
      <xdr:spPr>
        <a:xfrm flipH="1" flipV="1">
          <a:off x="1504950" y="14964508"/>
          <a:ext cx="8393723" cy="117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730250</xdr:colOff>
      <xdr:row>16</xdr:row>
      <xdr:rowOff>25400</xdr:rowOff>
    </xdr:from>
    <xdr:to>
      <xdr:col>13</xdr:col>
      <xdr:colOff>581025</xdr:colOff>
      <xdr:row>16</xdr:row>
      <xdr:rowOff>28575</xdr:rowOff>
    </xdr:to>
    <xdr:cxnSp macro="">
      <xdr:nvCxnSpPr>
        <xdr:cNvPr id="58" name="Gerader Verbinder 57">
          <a:extLst>
            <a:ext uri="{FF2B5EF4-FFF2-40B4-BE49-F238E27FC236}">
              <a16:creationId xmlns:a16="http://schemas.microsoft.com/office/drawing/2014/main" id="{2744BDFE-FDE5-4E0B-9C5E-8D0199C6ECDF}"/>
            </a:ext>
          </a:extLst>
        </xdr:cNvPr>
        <xdr:cNvCxnSpPr/>
      </xdr:nvCxnSpPr>
      <xdr:spPr>
        <a:xfrm flipH="1" flipV="1">
          <a:off x="7591425" y="2924175"/>
          <a:ext cx="2892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381000</xdr:colOff>
      <xdr:row>28</xdr:row>
      <xdr:rowOff>0</xdr:rowOff>
    </xdr:from>
    <xdr:to>
      <xdr:col>13</xdr:col>
      <xdr:colOff>571500</xdr:colOff>
      <xdr:row>28</xdr:row>
      <xdr:rowOff>6350</xdr:rowOff>
    </xdr:to>
    <xdr:cxnSp macro="">
      <xdr:nvCxnSpPr>
        <xdr:cNvPr id="59" name="Gerader Verbinder 58">
          <a:extLst>
            <a:ext uri="{FF2B5EF4-FFF2-40B4-BE49-F238E27FC236}">
              <a16:creationId xmlns:a16="http://schemas.microsoft.com/office/drawing/2014/main" id="{90159D6A-5C00-4FC8-A3B5-8C39E58A73A8}"/>
            </a:ext>
          </a:extLst>
        </xdr:cNvPr>
        <xdr:cNvCxnSpPr/>
      </xdr:nvCxnSpPr>
      <xdr:spPr>
        <a:xfrm flipH="1">
          <a:off x="9525000" y="5067300"/>
          <a:ext cx="952500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726167</xdr:colOff>
      <xdr:row>15</xdr:row>
      <xdr:rowOff>291353</xdr:rowOff>
    </xdr:from>
    <xdr:to>
      <xdr:col>11</xdr:col>
      <xdr:colOff>67234</xdr:colOff>
      <xdr:row>16</xdr:row>
      <xdr:rowOff>87539</xdr:rowOff>
    </xdr:to>
    <xdr:sp macro="" textlink="">
      <xdr:nvSpPr>
        <xdr:cNvPr id="62" name="Ellipse 61">
          <a:extLst>
            <a:ext uri="{FF2B5EF4-FFF2-40B4-BE49-F238E27FC236}">
              <a16:creationId xmlns:a16="http://schemas.microsoft.com/office/drawing/2014/main" id="{4BB271A2-30A8-477C-AE55-6FAA828A8FA3}"/>
            </a:ext>
          </a:extLst>
        </xdr:cNvPr>
        <xdr:cNvSpPr/>
      </xdr:nvSpPr>
      <xdr:spPr>
        <a:xfrm>
          <a:off x="8346167" y="4157382"/>
          <a:ext cx="103067" cy="9874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20</xdr:row>
      <xdr:rowOff>12246</xdr:rowOff>
    </xdr:from>
    <xdr:to>
      <xdr:col>2</xdr:col>
      <xdr:colOff>296191</xdr:colOff>
      <xdr:row>20</xdr:row>
      <xdr:rowOff>18596</xdr:rowOff>
    </xdr:to>
    <xdr:cxnSp macro="">
      <xdr:nvCxnSpPr>
        <xdr:cNvPr id="70" name="Gerader Verbinder 69">
          <a:extLst>
            <a:ext uri="{FF2B5EF4-FFF2-40B4-BE49-F238E27FC236}">
              <a16:creationId xmlns:a16="http://schemas.microsoft.com/office/drawing/2014/main" id="{D3FE5053-3D1E-4DFA-AA08-81E4579D4582}"/>
            </a:ext>
          </a:extLst>
        </xdr:cNvPr>
        <xdr:cNvCxnSpPr/>
      </xdr:nvCxnSpPr>
      <xdr:spPr>
        <a:xfrm flipH="1">
          <a:off x="1201057" y="3628571"/>
          <a:ext cx="615959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754289</xdr:colOff>
      <xdr:row>20</xdr:row>
      <xdr:rowOff>65314</xdr:rowOff>
    </xdr:from>
    <xdr:to>
      <xdr:col>2</xdr:col>
      <xdr:colOff>0</xdr:colOff>
      <xdr:row>21</xdr:row>
      <xdr:rowOff>106589</xdr:rowOff>
    </xdr:to>
    <xdr:cxnSp macro="">
      <xdr:nvCxnSpPr>
        <xdr:cNvPr id="71" name="Gerader Verbinder 70">
          <a:extLst>
            <a:ext uri="{FF2B5EF4-FFF2-40B4-BE49-F238E27FC236}">
              <a16:creationId xmlns:a16="http://schemas.microsoft.com/office/drawing/2014/main" id="{F7BC80C0-F92A-4FB5-BC69-CC352CC02D88}"/>
            </a:ext>
          </a:extLst>
        </xdr:cNvPr>
        <xdr:cNvCxnSpPr/>
      </xdr:nvCxnSpPr>
      <xdr:spPr>
        <a:xfrm flipH="1">
          <a:off x="1513114" y="3687989"/>
          <a:ext cx="10886" cy="21590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514649</xdr:colOff>
      <xdr:row>69</xdr:row>
      <xdr:rowOff>128186</xdr:rowOff>
    </xdr:from>
    <xdr:to>
      <xdr:col>13</xdr:col>
      <xdr:colOff>208415</xdr:colOff>
      <xdr:row>77</xdr:row>
      <xdr:rowOff>51831</xdr:rowOff>
    </xdr:to>
    <xdr:grpSp>
      <xdr:nvGrpSpPr>
        <xdr:cNvPr id="72" name="Gruppieren 71">
          <a:extLst>
            <a:ext uri="{FF2B5EF4-FFF2-40B4-BE49-F238E27FC236}">
              <a16:creationId xmlns:a16="http://schemas.microsoft.com/office/drawing/2014/main" id="{987A2552-79D4-4ABD-A7FC-602ACE4F2FEE}"/>
            </a:ext>
          </a:extLst>
        </xdr:cNvPr>
        <xdr:cNvGrpSpPr/>
      </xdr:nvGrpSpPr>
      <xdr:grpSpPr>
        <a:xfrm>
          <a:off x="9658649" y="22940561"/>
          <a:ext cx="455766" cy="1892145"/>
          <a:chOff x="8934450" y="3785005"/>
          <a:chExt cx="459441" cy="1387868"/>
        </a:xfrm>
      </xdr:grpSpPr>
      <xdr:sp macro="" textlink="">
        <xdr:nvSpPr>
          <xdr:cNvPr id="73" name="Rechteck 72">
            <a:extLst>
              <a:ext uri="{FF2B5EF4-FFF2-40B4-BE49-F238E27FC236}">
                <a16:creationId xmlns:a16="http://schemas.microsoft.com/office/drawing/2014/main" id="{B793B27C-39E9-13E0-6881-CCA9412F625C}"/>
              </a:ext>
            </a:extLst>
          </xdr:cNvPr>
          <xdr:cNvSpPr/>
        </xdr:nvSpPr>
        <xdr:spPr>
          <a:xfrm>
            <a:off x="8974482" y="378500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5" name="Gerader Verbinder 74">
            <a:extLst>
              <a:ext uri="{FF2B5EF4-FFF2-40B4-BE49-F238E27FC236}">
                <a16:creationId xmlns:a16="http://schemas.microsoft.com/office/drawing/2014/main" id="{AF0F45CF-5CFE-ED44-6C9D-51D6355DE5E7}"/>
              </a:ext>
            </a:extLst>
          </xdr:cNvPr>
          <xdr:cNvCxnSpPr>
            <a:stCxn id="73" idx="2"/>
            <a:endCxn id="121" idx="0"/>
          </xdr:cNvCxnSpPr>
        </xdr:nvCxnSpPr>
        <xdr:spPr>
          <a:xfrm>
            <a:off x="9160220" y="4861330"/>
            <a:ext cx="1213" cy="31154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76" name="Textfeld 75">
            <a:extLst>
              <a:ext uri="{FF2B5EF4-FFF2-40B4-BE49-F238E27FC236}">
                <a16:creationId xmlns:a16="http://schemas.microsoft.com/office/drawing/2014/main" id="{007766BB-D102-A4F0-F05A-A88474491C25}"/>
              </a:ext>
            </a:extLst>
          </xdr:cNvPr>
          <xdr:cNvSpPr txBox="1"/>
        </xdr:nvSpPr>
        <xdr:spPr>
          <a:xfrm>
            <a:off x="8934450" y="4010025"/>
            <a:ext cx="459441" cy="4348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12</xdr:col>
      <xdr:colOff>566414</xdr:colOff>
      <xdr:row>56</xdr:row>
      <xdr:rowOff>74756</xdr:rowOff>
    </xdr:from>
    <xdr:to>
      <xdr:col>13</xdr:col>
      <xdr:colOff>292556</xdr:colOff>
      <xdr:row>69</xdr:row>
      <xdr:rowOff>128186</xdr:rowOff>
    </xdr:to>
    <xdr:grpSp>
      <xdr:nvGrpSpPr>
        <xdr:cNvPr id="77" name="Gruppieren 76">
          <a:extLst>
            <a:ext uri="{FF2B5EF4-FFF2-40B4-BE49-F238E27FC236}">
              <a16:creationId xmlns:a16="http://schemas.microsoft.com/office/drawing/2014/main" id="{3F5B8930-99D5-4424-B1DF-267DD02E87E0}"/>
            </a:ext>
          </a:extLst>
        </xdr:cNvPr>
        <xdr:cNvGrpSpPr/>
      </xdr:nvGrpSpPr>
      <xdr:grpSpPr>
        <a:xfrm>
          <a:off x="9710414" y="18759631"/>
          <a:ext cx="488142" cy="4180930"/>
          <a:chOff x="8959850" y="3254331"/>
          <a:chExt cx="481583" cy="2549202"/>
        </a:xfrm>
      </xdr:grpSpPr>
      <xdr:sp macro="" textlink="">
        <xdr:nvSpPr>
          <xdr:cNvPr id="78" name="Rechteck 77">
            <a:extLst>
              <a:ext uri="{FF2B5EF4-FFF2-40B4-BE49-F238E27FC236}">
                <a16:creationId xmlns:a16="http://schemas.microsoft.com/office/drawing/2014/main" id="{9AB7EDC7-D000-B0A3-B72C-4BEEC45CB717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9" name="Gerader Verbinder 78">
            <a:extLst>
              <a:ext uri="{FF2B5EF4-FFF2-40B4-BE49-F238E27FC236}">
                <a16:creationId xmlns:a16="http://schemas.microsoft.com/office/drawing/2014/main" id="{9625D2CE-DFB7-BFB5-2384-17525DB8574C}"/>
              </a:ext>
            </a:extLst>
          </xdr:cNvPr>
          <xdr:cNvCxnSpPr>
            <a:endCxn id="7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0" name="Gerader Verbinder 79">
            <a:extLst>
              <a:ext uri="{FF2B5EF4-FFF2-40B4-BE49-F238E27FC236}">
                <a16:creationId xmlns:a16="http://schemas.microsoft.com/office/drawing/2014/main" id="{3F970D69-8C36-319C-5E8F-BCB47E93C33B}"/>
              </a:ext>
            </a:extLst>
          </xdr:cNvPr>
          <xdr:cNvCxnSpPr>
            <a:stCxn id="78" idx="2"/>
            <a:endCxn id="73" idx="0"/>
          </xdr:cNvCxnSpPr>
        </xdr:nvCxnSpPr>
        <xdr:spPr>
          <a:xfrm flipH="1">
            <a:off x="9129735" y="4854575"/>
            <a:ext cx="15852" cy="94895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1" name="Textfeld 80">
            <a:extLst>
              <a:ext uri="{FF2B5EF4-FFF2-40B4-BE49-F238E27FC236}">
                <a16:creationId xmlns:a16="http://schemas.microsoft.com/office/drawing/2014/main" id="{E82CE0F1-60BE-14C1-279F-B15C4DB16387}"/>
              </a:ext>
            </a:extLst>
          </xdr:cNvPr>
          <xdr:cNvSpPr txBox="1"/>
        </xdr:nvSpPr>
        <xdr:spPr>
          <a:xfrm rot="5400000">
            <a:off x="8956766" y="3991364"/>
            <a:ext cx="507609" cy="4617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23</a:t>
            </a:r>
          </a:p>
        </xdr:txBody>
      </xdr:sp>
    </xdr:grpSp>
    <xdr:clientData/>
  </xdr:twoCellAnchor>
  <xdr:twoCellAnchor>
    <xdr:from>
      <xdr:col>10</xdr:col>
      <xdr:colOff>577270</xdr:colOff>
      <xdr:row>56</xdr:row>
      <xdr:rowOff>52532</xdr:rowOff>
    </xdr:from>
    <xdr:to>
      <xdr:col>11</xdr:col>
      <xdr:colOff>283283</xdr:colOff>
      <xdr:row>77</xdr:row>
      <xdr:rowOff>150833</xdr:rowOff>
    </xdr:to>
    <xdr:grpSp>
      <xdr:nvGrpSpPr>
        <xdr:cNvPr id="82" name="Gruppieren 81">
          <a:extLst>
            <a:ext uri="{FF2B5EF4-FFF2-40B4-BE49-F238E27FC236}">
              <a16:creationId xmlns:a16="http://schemas.microsoft.com/office/drawing/2014/main" id="{F101B3AC-540A-403C-9E37-5AE22697C424}"/>
            </a:ext>
          </a:extLst>
        </xdr:cNvPr>
        <xdr:cNvGrpSpPr/>
      </xdr:nvGrpSpPr>
      <xdr:grpSpPr>
        <a:xfrm>
          <a:off x="8197270" y="18737407"/>
          <a:ext cx="468013" cy="6194301"/>
          <a:chOff x="8957189" y="1108047"/>
          <a:chExt cx="467002" cy="4074160"/>
        </a:xfrm>
      </xdr:grpSpPr>
      <xdr:sp macro="" textlink="">
        <xdr:nvSpPr>
          <xdr:cNvPr id="83" name="Rechteck 82">
            <a:extLst>
              <a:ext uri="{FF2B5EF4-FFF2-40B4-BE49-F238E27FC236}">
                <a16:creationId xmlns:a16="http://schemas.microsoft.com/office/drawing/2014/main" id="{04AACBFD-C4D8-D17F-183F-0EF7BBD4C7A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4" name="Gerader Verbinder 83">
            <a:extLst>
              <a:ext uri="{FF2B5EF4-FFF2-40B4-BE49-F238E27FC236}">
                <a16:creationId xmlns:a16="http://schemas.microsoft.com/office/drawing/2014/main" id="{6D046719-DF66-124B-5D9C-A9AFB1452A12}"/>
              </a:ext>
            </a:extLst>
          </xdr:cNvPr>
          <xdr:cNvCxnSpPr>
            <a:endCxn id="8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5" name="Gerader Verbinder 84">
            <a:extLst>
              <a:ext uri="{FF2B5EF4-FFF2-40B4-BE49-F238E27FC236}">
                <a16:creationId xmlns:a16="http://schemas.microsoft.com/office/drawing/2014/main" id="{CB5DEA31-864A-CFEF-76FB-B91D0BFD7F47}"/>
              </a:ext>
            </a:extLst>
          </xdr:cNvPr>
          <xdr:cNvCxnSpPr>
            <a:stCxn id="83" idx="2"/>
            <a:endCxn id="120" idx="4"/>
          </xdr:cNvCxnSpPr>
        </xdr:nvCxnSpPr>
        <xdr:spPr>
          <a:xfrm>
            <a:off x="9145588" y="4854575"/>
            <a:ext cx="663" cy="32763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6" name="Textfeld 85">
            <a:extLst>
              <a:ext uri="{FF2B5EF4-FFF2-40B4-BE49-F238E27FC236}">
                <a16:creationId xmlns:a16="http://schemas.microsoft.com/office/drawing/2014/main" id="{F155BA14-CD05-3FEA-CD30-4260228381A1}"/>
              </a:ext>
            </a:extLst>
          </xdr:cNvPr>
          <xdr:cNvSpPr txBox="1"/>
        </xdr:nvSpPr>
        <xdr:spPr>
          <a:xfrm rot="5400000">
            <a:off x="8933428" y="3991616"/>
            <a:ext cx="514524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10</xdr:col>
      <xdr:colOff>565131</xdr:colOff>
      <xdr:row>46</xdr:row>
      <xdr:rowOff>21771</xdr:rowOff>
    </xdr:from>
    <xdr:to>
      <xdr:col>11</xdr:col>
      <xdr:colOff>258897</xdr:colOff>
      <xdr:row>58</xdr:row>
      <xdr:rowOff>9523</xdr:rowOff>
    </xdr:to>
    <xdr:grpSp>
      <xdr:nvGrpSpPr>
        <xdr:cNvPr id="87" name="Gruppieren 86">
          <a:extLst>
            <a:ext uri="{FF2B5EF4-FFF2-40B4-BE49-F238E27FC236}">
              <a16:creationId xmlns:a16="http://schemas.microsoft.com/office/drawing/2014/main" id="{1D771FE0-DF60-4910-9BE9-E0CE03A66212}"/>
            </a:ext>
          </a:extLst>
        </xdr:cNvPr>
        <xdr:cNvGrpSpPr/>
      </xdr:nvGrpSpPr>
      <xdr:grpSpPr>
        <a:xfrm>
          <a:off x="8185131" y="16325396"/>
          <a:ext cx="455766" cy="2972252"/>
          <a:chOff x="8934450" y="3281431"/>
          <a:chExt cx="448997" cy="2170211"/>
        </a:xfrm>
      </xdr:grpSpPr>
      <xdr:sp macro="" textlink="">
        <xdr:nvSpPr>
          <xdr:cNvPr id="88" name="Rechteck 87">
            <a:extLst>
              <a:ext uri="{FF2B5EF4-FFF2-40B4-BE49-F238E27FC236}">
                <a16:creationId xmlns:a16="http://schemas.microsoft.com/office/drawing/2014/main" id="{476E7D71-B534-BD27-8520-84A1FB39E0A2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9" name="Gerader Verbinder 88">
            <a:extLst>
              <a:ext uri="{FF2B5EF4-FFF2-40B4-BE49-F238E27FC236}">
                <a16:creationId xmlns:a16="http://schemas.microsoft.com/office/drawing/2014/main" id="{9C1B384A-6478-022D-329A-FC1D36C5302A}"/>
              </a:ext>
            </a:extLst>
          </xdr:cNvPr>
          <xdr:cNvCxnSpPr>
            <a:endCxn id="8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423F1F0A-6043-C7C4-6DE3-C5958326C924}"/>
              </a:ext>
            </a:extLst>
          </xdr:cNvPr>
          <xdr:cNvCxnSpPr>
            <a:stCxn id="8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8D94A4C6-EBAA-6292-E64D-D2D2F3B7D99B}"/>
              </a:ext>
            </a:extLst>
          </xdr:cNvPr>
          <xdr:cNvSpPr txBox="1"/>
        </xdr:nvSpPr>
        <xdr:spPr>
          <a:xfrm>
            <a:off x="8934450" y="4010025"/>
            <a:ext cx="448997" cy="42926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46</xdr:row>
      <xdr:rowOff>28575</xdr:rowOff>
    </xdr:from>
    <xdr:to>
      <xdr:col>5</xdr:col>
      <xdr:colOff>246216</xdr:colOff>
      <xdr:row>77</xdr:row>
      <xdr:rowOff>156277</xdr:rowOff>
    </xdr:to>
    <xdr:grpSp>
      <xdr:nvGrpSpPr>
        <xdr:cNvPr id="92" name="Gruppieren 91">
          <a:extLst>
            <a:ext uri="{FF2B5EF4-FFF2-40B4-BE49-F238E27FC236}">
              <a16:creationId xmlns:a16="http://schemas.microsoft.com/office/drawing/2014/main" id="{E98F5540-E339-46FB-A3F5-31396610CE1A}"/>
            </a:ext>
          </a:extLst>
        </xdr:cNvPr>
        <xdr:cNvGrpSpPr/>
      </xdr:nvGrpSpPr>
      <xdr:grpSpPr>
        <a:xfrm>
          <a:off x="3600450" y="16332200"/>
          <a:ext cx="455766" cy="8604952"/>
          <a:chOff x="8934450" y="1094414"/>
          <a:chExt cx="455766" cy="5820587"/>
        </a:xfrm>
      </xdr:grpSpPr>
      <xdr:sp macro="" textlink="">
        <xdr:nvSpPr>
          <xdr:cNvPr id="93" name="Rechteck 92">
            <a:extLst>
              <a:ext uri="{FF2B5EF4-FFF2-40B4-BE49-F238E27FC236}">
                <a16:creationId xmlns:a16="http://schemas.microsoft.com/office/drawing/2014/main" id="{9DC4299E-9B33-C9E4-8523-59152E7C058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C6CD0426-8F9E-31D0-ED2C-158E153AA8CF}"/>
              </a:ext>
            </a:extLst>
          </xdr:cNvPr>
          <xdr:cNvCxnSpPr>
            <a:endCxn id="9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5" name="Gerader Verbinder 94">
            <a:extLst>
              <a:ext uri="{FF2B5EF4-FFF2-40B4-BE49-F238E27FC236}">
                <a16:creationId xmlns:a16="http://schemas.microsoft.com/office/drawing/2014/main" id="{BF44E216-47BD-6AAA-EEB6-C4E6E63DA4DC}"/>
              </a:ext>
            </a:extLst>
          </xdr:cNvPr>
          <xdr:cNvCxnSpPr>
            <a:stCxn id="93" idx="2"/>
            <a:endCxn id="119" idx="4"/>
          </xdr:cNvCxnSpPr>
        </xdr:nvCxnSpPr>
        <xdr:spPr>
          <a:xfrm flipH="1">
            <a:off x="9145566" y="4854575"/>
            <a:ext cx="22" cy="20604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6" name="Textfeld 95">
            <a:extLst>
              <a:ext uri="{FF2B5EF4-FFF2-40B4-BE49-F238E27FC236}">
                <a16:creationId xmlns:a16="http://schemas.microsoft.com/office/drawing/2014/main" id="{775A4C14-A06E-021C-FA20-568825BDD35B}"/>
              </a:ext>
            </a:extLst>
          </xdr:cNvPr>
          <xdr:cNvSpPr txBox="1"/>
        </xdr:nvSpPr>
        <xdr:spPr>
          <a:xfrm>
            <a:off x="8934450" y="4010025"/>
            <a:ext cx="455766" cy="4294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564688</xdr:colOff>
      <xdr:row>46</xdr:row>
      <xdr:rowOff>57150</xdr:rowOff>
    </xdr:from>
    <xdr:to>
      <xdr:col>6</xdr:col>
      <xdr:colOff>302669</xdr:colOff>
      <xdr:row>77</xdr:row>
      <xdr:rowOff>161721</xdr:rowOff>
    </xdr:to>
    <xdr:grpSp>
      <xdr:nvGrpSpPr>
        <xdr:cNvPr id="97" name="Gruppieren 96">
          <a:extLst>
            <a:ext uri="{FF2B5EF4-FFF2-40B4-BE49-F238E27FC236}">
              <a16:creationId xmlns:a16="http://schemas.microsoft.com/office/drawing/2014/main" id="{31E3BCD0-5084-4761-B50B-3578CB44EE0F}"/>
            </a:ext>
          </a:extLst>
        </xdr:cNvPr>
        <xdr:cNvGrpSpPr/>
      </xdr:nvGrpSpPr>
      <xdr:grpSpPr>
        <a:xfrm>
          <a:off x="4374688" y="16360775"/>
          <a:ext cx="499981" cy="8581821"/>
          <a:chOff x="8948330" y="1114406"/>
          <a:chExt cx="498901" cy="5842881"/>
        </a:xfrm>
      </xdr:grpSpPr>
      <xdr:sp macro="" textlink="">
        <xdr:nvSpPr>
          <xdr:cNvPr id="98" name="Rechteck 97">
            <a:extLst>
              <a:ext uri="{FF2B5EF4-FFF2-40B4-BE49-F238E27FC236}">
                <a16:creationId xmlns:a16="http://schemas.microsoft.com/office/drawing/2014/main" id="{5845AB6F-3134-8FBD-25E8-0814BA67B67D}"/>
              </a:ext>
            </a:extLst>
          </xdr:cNvPr>
          <xdr:cNvSpPr/>
        </xdr:nvSpPr>
        <xdr:spPr>
          <a:xfrm>
            <a:off x="8948330" y="3847567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9" name="Gerader Verbinder 98">
            <a:extLst>
              <a:ext uri="{FF2B5EF4-FFF2-40B4-BE49-F238E27FC236}">
                <a16:creationId xmlns:a16="http://schemas.microsoft.com/office/drawing/2014/main" id="{9CF2D7C0-E511-FEE5-F122-A1C141A051A0}"/>
              </a:ext>
            </a:extLst>
          </xdr:cNvPr>
          <xdr:cNvCxnSpPr>
            <a:stCxn id="115" idx="4"/>
            <a:endCxn id="98" idx="0"/>
          </xdr:cNvCxnSpPr>
        </xdr:nvCxnSpPr>
        <xdr:spPr>
          <a:xfrm flipH="1">
            <a:off x="9134068" y="1114406"/>
            <a:ext cx="20652" cy="273316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0" name="Gerader Verbinder 99">
            <a:extLst>
              <a:ext uri="{FF2B5EF4-FFF2-40B4-BE49-F238E27FC236}">
                <a16:creationId xmlns:a16="http://schemas.microsoft.com/office/drawing/2014/main" id="{B79B14ED-B3A8-BD66-AC70-9138A5FD51A7}"/>
              </a:ext>
            </a:extLst>
          </xdr:cNvPr>
          <xdr:cNvCxnSpPr>
            <a:stCxn id="98" idx="2"/>
            <a:endCxn id="118" idx="4"/>
          </xdr:cNvCxnSpPr>
        </xdr:nvCxnSpPr>
        <xdr:spPr>
          <a:xfrm>
            <a:off x="9134068" y="4923892"/>
            <a:ext cx="29004" cy="203339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1" name="Textfeld 100">
            <a:extLst>
              <a:ext uri="{FF2B5EF4-FFF2-40B4-BE49-F238E27FC236}">
                <a16:creationId xmlns:a16="http://schemas.microsoft.com/office/drawing/2014/main" id="{9AC538A7-2036-A551-5A82-AEB6D55D9EF7}"/>
              </a:ext>
            </a:extLst>
          </xdr:cNvPr>
          <xdr:cNvSpPr txBox="1"/>
        </xdr:nvSpPr>
        <xdr:spPr>
          <a:xfrm rot="5400000">
            <a:off x="8955007" y="3992838"/>
            <a:ext cx="517445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</a:t>
            </a:r>
          </a:p>
        </xdr:txBody>
      </xdr:sp>
    </xdr:grpSp>
    <xdr:clientData/>
  </xdr:twoCellAnchor>
  <xdr:twoCellAnchor>
    <xdr:from>
      <xdr:col>1</xdr:col>
      <xdr:colOff>508148</xdr:colOff>
      <xdr:row>46</xdr:row>
      <xdr:rowOff>6350</xdr:rowOff>
    </xdr:from>
    <xdr:to>
      <xdr:col>2</xdr:col>
      <xdr:colOff>305548</xdr:colOff>
      <xdr:row>62</xdr:row>
      <xdr:rowOff>21772</xdr:rowOff>
    </xdr:to>
    <xdr:grpSp>
      <xdr:nvGrpSpPr>
        <xdr:cNvPr id="102" name="Gruppieren 101">
          <a:extLst>
            <a:ext uri="{FF2B5EF4-FFF2-40B4-BE49-F238E27FC236}">
              <a16:creationId xmlns:a16="http://schemas.microsoft.com/office/drawing/2014/main" id="{6B8E58F5-F742-4F97-8E7D-7D3372AE8F9E}"/>
            </a:ext>
          </a:extLst>
        </xdr:cNvPr>
        <xdr:cNvGrpSpPr/>
      </xdr:nvGrpSpPr>
      <xdr:grpSpPr>
        <a:xfrm>
          <a:off x="1270148" y="16309975"/>
          <a:ext cx="559400" cy="4428672"/>
          <a:chOff x="8879803" y="3254331"/>
          <a:chExt cx="563543" cy="3010540"/>
        </a:xfrm>
      </xdr:grpSpPr>
      <xdr:sp macro="" textlink="">
        <xdr:nvSpPr>
          <xdr:cNvPr id="103" name="Rechteck 102">
            <a:extLst>
              <a:ext uri="{FF2B5EF4-FFF2-40B4-BE49-F238E27FC236}">
                <a16:creationId xmlns:a16="http://schemas.microsoft.com/office/drawing/2014/main" id="{300EBCD0-EF4C-EB02-495B-FB7F0E5A26A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04" name="Gerader Verbinder 103">
            <a:extLst>
              <a:ext uri="{FF2B5EF4-FFF2-40B4-BE49-F238E27FC236}">
                <a16:creationId xmlns:a16="http://schemas.microsoft.com/office/drawing/2014/main" id="{82117A7C-CCE5-4C08-5630-446B95B34F1A}"/>
              </a:ext>
            </a:extLst>
          </xdr:cNvPr>
          <xdr:cNvCxnSpPr>
            <a:endCxn id="10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5" name="Gerader Verbinder 104">
            <a:extLst>
              <a:ext uri="{FF2B5EF4-FFF2-40B4-BE49-F238E27FC236}">
                <a16:creationId xmlns:a16="http://schemas.microsoft.com/office/drawing/2014/main" id="{E500007C-F407-2229-45FF-22641B917420}"/>
              </a:ext>
            </a:extLst>
          </xdr:cNvPr>
          <xdr:cNvCxnSpPr>
            <a:stCxn id="10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6" name="Textfeld 105">
            <a:extLst>
              <a:ext uri="{FF2B5EF4-FFF2-40B4-BE49-F238E27FC236}">
                <a16:creationId xmlns:a16="http://schemas.microsoft.com/office/drawing/2014/main" id="{E8C28716-AF63-F1B8-ECED-AED65AAF6198}"/>
              </a:ext>
            </a:extLst>
          </xdr:cNvPr>
          <xdr:cNvSpPr txBox="1"/>
        </xdr:nvSpPr>
        <xdr:spPr>
          <a:xfrm rot="5400000">
            <a:off x="8942990" y="3925579"/>
            <a:ext cx="437170" cy="5635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9525</xdr:colOff>
      <xdr:row>46</xdr:row>
      <xdr:rowOff>9525</xdr:rowOff>
    </xdr:from>
    <xdr:to>
      <xdr:col>11</xdr:col>
      <xdr:colOff>6350</xdr:colOff>
      <xdr:row>46</xdr:row>
      <xdr:rowOff>19050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CCB505F4-2990-4FFA-8B5E-B0D9F85972E3}"/>
            </a:ext>
          </a:extLst>
        </xdr:cNvPr>
        <xdr:cNvCxnSpPr/>
      </xdr:nvCxnSpPr>
      <xdr:spPr>
        <a:xfrm flipH="1" flipV="1">
          <a:off x="1530350" y="9598025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409575</xdr:colOff>
      <xdr:row>63</xdr:row>
      <xdr:rowOff>102507</xdr:rowOff>
    </xdr:from>
    <xdr:to>
      <xdr:col>2</xdr:col>
      <xdr:colOff>263534</xdr:colOff>
      <xdr:row>63</xdr:row>
      <xdr:rowOff>102507</xdr:rowOff>
    </xdr:to>
    <xdr:cxnSp macro="">
      <xdr:nvCxnSpPr>
        <xdr:cNvPr id="108" name="Gerader Verbinder 107">
          <a:extLst>
            <a:ext uri="{FF2B5EF4-FFF2-40B4-BE49-F238E27FC236}">
              <a16:creationId xmlns:a16="http://schemas.microsoft.com/office/drawing/2014/main" id="{708F6FE9-59E8-4780-8592-0E432A8B9910}"/>
            </a:ext>
          </a:extLst>
        </xdr:cNvPr>
        <xdr:cNvCxnSpPr/>
      </xdr:nvCxnSpPr>
      <xdr:spPr>
        <a:xfrm flipH="1">
          <a:off x="1168400" y="1277393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600529</xdr:colOff>
      <xdr:row>62</xdr:row>
      <xdr:rowOff>58512</xdr:rowOff>
    </xdr:from>
    <xdr:to>
      <xdr:col>2</xdr:col>
      <xdr:colOff>130629</xdr:colOff>
      <xdr:row>62</xdr:row>
      <xdr:rowOff>58512</xdr:rowOff>
    </xdr:to>
    <xdr:cxnSp macro="">
      <xdr:nvCxnSpPr>
        <xdr:cNvPr id="109" name="Gerader Verbinder 108">
          <a:extLst>
            <a:ext uri="{FF2B5EF4-FFF2-40B4-BE49-F238E27FC236}">
              <a16:creationId xmlns:a16="http://schemas.microsoft.com/office/drawing/2014/main" id="{88514293-BAAC-47FA-BC0D-A2DC8B2E1C2E}"/>
            </a:ext>
          </a:extLst>
        </xdr:cNvPr>
        <xdr:cNvCxnSpPr/>
      </xdr:nvCxnSpPr>
      <xdr:spPr>
        <a:xfrm flipH="1">
          <a:off x="1359354" y="1254578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63</xdr:row>
      <xdr:rowOff>139700</xdr:rowOff>
    </xdr:from>
    <xdr:to>
      <xdr:col>2</xdr:col>
      <xdr:colOff>139700</xdr:colOff>
      <xdr:row>63</xdr:row>
      <xdr:rowOff>139700</xdr:rowOff>
    </xdr:to>
    <xdr:cxnSp macro="">
      <xdr:nvCxnSpPr>
        <xdr:cNvPr id="110" name="Gerader Verbinder 109">
          <a:extLst>
            <a:ext uri="{FF2B5EF4-FFF2-40B4-BE49-F238E27FC236}">
              <a16:creationId xmlns:a16="http://schemas.microsoft.com/office/drawing/2014/main" id="{33ED34F7-BBFD-4390-9B3A-305E0631D087}"/>
            </a:ext>
          </a:extLst>
        </xdr:cNvPr>
        <xdr:cNvCxnSpPr/>
      </xdr:nvCxnSpPr>
      <xdr:spPr>
        <a:xfrm flipH="1">
          <a:off x="1371600" y="12811125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63</xdr:row>
      <xdr:rowOff>161925</xdr:rowOff>
    </xdr:from>
    <xdr:to>
      <xdr:col>2</xdr:col>
      <xdr:colOff>0</xdr:colOff>
      <xdr:row>77</xdr:row>
      <xdr:rowOff>90714</xdr:rowOff>
    </xdr:to>
    <xdr:cxnSp macro="">
      <xdr:nvCxnSpPr>
        <xdr:cNvPr id="111" name="Gerader Verbinder 110">
          <a:extLst>
            <a:ext uri="{FF2B5EF4-FFF2-40B4-BE49-F238E27FC236}">
              <a16:creationId xmlns:a16="http://schemas.microsoft.com/office/drawing/2014/main" id="{DA84748A-8BBB-442E-8C1D-E75621BA4052}"/>
            </a:ext>
          </a:extLst>
        </xdr:cNvPr>
        <xdr:cNvCxnSpPr/>
      </xdr:nvCxnSpPr>
      <xdr:spPr>
        <a:xfrm>
          <a:off x="1514475" y="13681982"/>
          <a:ext cx="9525" cy="26719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754495</xdr:colOff>
      <xdr:row>77</xdr:row>
      <xdr:rowOff>90632</xdr:rowOff>
    </xdr:from>
    <xdr:to>
      <xdr:col>13</xdr:col>
      <xdr:colOff>11545</xdr:colOff>
      <xdr:row>77</xdr:row>
      <xdr:rowOff>115455</xdr:rowOff>
    </xdr:to>
    <xdr:cxnSp macro="">
      <xdr:nvCxnSpPr>
        <xdr:cNvPr id="112" name="Gerader Verbinder 111">
          <a:extLst>
            <a:ext uri="{FF2B5EF4-FFF2-40B4-BE49-F238E27FC236}">
              <a16:creationId xmlns:a16="http://schemas.microsoft.com/office/drawing/2014/main" id="{FF5D0390-03B8-40FB-801F-D144DEE82921}"/>
            </a:ext>
          </a:extLst>
        </xdr:cNvPr>
        <xdr:cNvCxnSpPr/>
      </xdr:nvCxnSpPr>
      <xdr:spPr>
        <a:xfrm flipH="1" flipV="1">
          <a:off x="1516495" y="16358177"/>
          <a:ext cx="8401050" cy="248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10349</xdr:colOff>
      <xdr:row>56</xdr:row>
      <xdr:rowOff>34884</xdr:rowOff>
    </xdr:from>
    <xdr:to>
      <xdr:col>12</xdr:col>
      <xdr:colOff>757381</xdr:colOff>
      <xdr:row>56</xdr:row>
      <xdr:rowOff>54161</xdr:rowOff>
    </xdr:to>
    <xdr:cxnSp macro="">
      <xdr:nvCxnSpPr>
        <xdr:cNvPr id="113" name="Gerader Verbinder 112">
          <a:extLst>
            <a:ext uri="{FF2B5EF4-FFF2-40B4-BE49-F238E27FC236}">
              <a16:creationId xmlns:a16="http://schemas.microsoft.com/office/drawing/2014/main" id="{9D7E7AD1-54B5-4A2D-8A52-ECC31915305F}"/>
            </a:ext>
          </a:extLst>
        </xdr:cNvPr>
        <xdr:cNvCxnSpPr/>
      </xdr:nvCxnSpPr>
      <xdr:spPr>
        <a:xfrm flipH="1">
          <a:off x="8392349" y="11557248"/>
          <a:ext cx="1509032" cy="1927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714375</xdr:colOff>
      <xdr:row>45</xdr:row>
      <xdr:rowOff>139700</xdr:rowOff>
    </xdr:from>
    <xdr:to>
      <xdr:col>5</xdr:col>
      <xdr:colOff>47625</xdr:colOff>
      <xdr:row>46</xdr:row>
      <xdr:rowOff>66675</xdr:rowOff>
    </xdr:to>
    <xdr:sp macro="" textlink="">
      <xdr:nvSpPr>
        <xdr:cNvPr id="114" name="Ellipse 113">
          <a:extLst>
            <a:ext uri="{FF2B5EF4-FFF2-40B4-BE49-F238E27FC236}">
              <a16:creationId xmlns:a16="http://schemas.microsoft.com/office/drawing/2014/main" id="{5F44980E-FB55-42C6-9C9E-EAA1839A6D19}"/>
            </a:ext>
          </a:extLst>
        </xdr:cNvPr>
        <xdr:cNvSpPr/>
      </xdr:nvSpPr>
      <xdr:spPr>
        <a:xfrm>
          <a:off x="3759200" y="9553575"/>
          <a:ext cx="95250" cy="1016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723900</xdr:colOff>
      <xdr:row>45</xdr:row>
      <xdr:rowOff>130175</xdr:rowOff>
    </xdr:from>
    <xdr:to>
      <xdr:col>6</xdr:col>
      <xdr:colOff>57150</xdr:colOff>
      <xdr:row>46</xdr:row>
      <xdr:rowOff>57150</xdr:rowOff>
    </xdr:to>
    <xdr:sp macro="" textlink="">
      <xdr:nvSpPr>
        <xdr:cNvPr id="115" name="Ellipse 114">
          <a:extLst>
            <a:ext uri="{FF2B5EF4-FFF2-40B4-BE49-F238E27FC236}">
              <a16:creationId xmlns:a16="http://schemas.microsoft.com/office/drawing/2014/main" id="{4877C00A-C081-4937-AB0D-892D3F40829C}"/>
            </a:ext>
          </a:extLst>
        </xdr:cNvPr>
        <xdr:cNvSpPr/>
      </xdr:nvSpPr>
      <xdr:spPr>
        <a:xfrm>
          <a:off x="4533900" y="9540875"/>
          <a:ext cx="9525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727610</xdr:colOff>
      <xdr:row>56</xdr:row>
      <xdr:rowOff>13392</xdr:rowOff>
    </xdr:from>
    <xdr:to>
      <xdr:col>11</xdr:col>
      <xdr:colOff>59417</xdr:colOff>
      <xdr:row>56</xdr:row>
      <xdr:rowOff>87539</xdr:rowOff>
    </xdr:to>
    <xdr:sp macro="" textlink="">
      <xdr:nvSpPr>
        <xdr:cNvPr id="116" name="Ellipse 115">
          <a:extLst>
            <a:ext uri="{FF2B5EF4-FFF2-40B4-BE49-F238E27FC236}">
              <a16:creationId xmlns:a16="http://schemas.microsoft.com/office/drawing/2014/main" id="{6B50278C-7605-4EFD-A71D-DE52B27B7303}"/>
            </a:ext>
          </a:extLst>
        </xdr:cNvPr>
        <xdr:cNvSpPr/>
      </xdr:nvSpPr>
      <xdr:spPr>
        <a:xfrm>
          <a:off x="8347610" y="11535756"/>
          <a:ext cx="93807" cy="74147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704271</xdr:colOff>
      <xdr:row>56</xdr:row>
      <xdr:rowOff>0</xdr:rowOff>
    </xdr:from>
    <xdr:to>
      <xdr:col>13</xdr:col>
      <xdr:colOff>36078</xdr:colOff>
      <xdr:row>56</xdr:row>
      <xdr:rowOff>75046</xdr:rowOff>
    </xdr:to>
    <xdr:sp macro="" textlink="">
      <xdr:nvSpPr>
        <xdr:cNvPr id="117" name="Ellipse 116">
          <a:extLst>
            <a:ext uri="{FF2B5EF4-FFF2-40B4-BE49-F238E27FC236}">
              <a16:creationId xmlns:a16="http://schemas.microsoft.com/office/drawing/2014/main" id="{B4E22A94-4E09-45B4-9F57-B27A1EA8EF11}"/>
            </a:ext>
          </a:extLst>
        </xdr:cNvPr>
        <xdr:cNvSpPr/>
      </xdr:nvSpPr>
      <xdr:spPr>
        <a:xfrm>
          <a:off x="9848271" y="11522364"/>
          <a:ext cx="93807" cy="7504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732270</xdr:colOff>
      <xdr:row>77</xdr:row>
      <xdr:rowOff>44822</xdr:rowOff>
    </xdr:from>
    <xdr:to>
      <xdr:col>6</xdr:col>
      <xdr:colOff>65520</xdr:colOff>
      <xdr:row>77</xdr:row>
      <xdr:rowOff>161720</xdr:rowOff>
    </xdr:to>
    <xdr:sp macro="" textlink="">
      <xdr:nvSpPr>
        <xdr:cNvPr id="118" name="Ellipse 117">
          <a:extLst>
            <a:ext uri="{FF2B5EF4-FFF2-40B4-BE49-F238E27FC236}">
              <a16:creationId xmlns:a16="http://schemas.microsoft.com/office/drawing/2014/main" id="{F39EBE4D-9C5A-4791-BFED-28486902CB51}"/>
            </a:ext>
          </a:extLst>
        </xdr:cNvPr>
        <xdr:cNvSpPr/>
      </xdr:nvSpPr>
      <xdr:spPr>
        <a:xfrm>
          <a:off x="4542270" y="16312367"/>
          <a:ext cx="95250" cy="11689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715941</xdr:colOff>
      <xdr:row>77</xdr:row>
      <xdr:rowOff>42554</xdr:rowOff>
    </xdr:from>
    <xdr:to>
      <xdr:col>5</xdr:col>
      <xdr:colOff>49191</xdr:colOff>
      <xdr:row>77</xdr:row>
      <xdr:rowOff>156277</xdr:rowOff>
    </xdr:to>
    <xdr:sp macro="" textlink="">
      <xdr:nvSpPr>
        <xdr:cNvPr id="119" name="Ellipse 118">
          <a:extLst>
            <a:ext uri="{FF2B5EF4-FFF2-40B4-BE49-F238E27FC236}">
              <a16:creationId xmlns:a16="http://schemas.microsoft.com/office/drawing/2014/main" id="{390E1B5C-8DAD-4793-8A0D-BCDFED8DF89B}"/>
            </a:ext>
          </a:extLst>
        </xdr:cNvPr>
        <xdr:cNvSpPr/>
      </xdr:nvSpPr>
      <xdr:spPr>
        <a:xfrm>
          <a:off x="3763941" y="16310099"/>
          <a:ext cx="95250" cy="11372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719116</xdr:colOff>
      <xdr:row>77</xdr:row>
      <xdr:rowOff>43461</xdr:rowOff>
    </xdr:from>
    <xdr:to>
      <xdr:col>11</xdr:col>
      <xdr:colOff>52366</xdr:colOff>
      <xdr:row>77</xdr:row>
      <xdr:rowOff>150834</xdr:rowOff>
    </xdr:to>
    <xdr:sp macro="" textlink="">
      <xdr:nvSpPr>
        <xdr:cNvPr id="120" name="Ellipse 119">
          <a:extLst>
            <a:ext uri="{FF2B5EF4-FFF2-40B4-BE49-F238E27FC236}">
              <a16:creationId xmlns:a16="http://schemas.microsoft.com/office/drawing/2014/main" id="{7E7F31BC-C44B-487C-A7DC-C7D2C09474BE}"/>
            </a:ext>
          </a:extLst>
        </xdr:cNvPr>
        <xdr:cNvSpPr/>
      </xdr:nvSpPr>
      <xdr:spPr>
        <a:xfrm>
          <a:off x="8339116" y="16311006"/>
          <a:ext cx="95250" cy="10737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692191</xdr:colOff>
      <xdr:row>77</xdr:row>
      <xdr:rowOff>51831</xdr:rowOff>
    </xdr:from>
    <xdr:to>
      <xdr:col>13</xdr:col>
      <xdr:colOff>25441</xdr:colOff>
      <xdr:row>77</xdr:row>
      <xdr:rowOff>162379</xdr:rowOff>
    </xdr:to>
    <xdr:sp macro="" textlink="">
      <xdr:nvSpPr>
        <xdr:cNvPr id="121" name="Ellipse 120">
          <a:extLst>
            <a:ext uri="{FF2B5EF4-FFF2-40B4-BE49-F238E27FC236}">
              <a16:creationId xmlns:a16="http://schemas.microsoft.com/office/drawing/2014/main" id="{BF084887-BBFA-41A5-A9F1-B79A4E9AF87B}"/>
            </a:ext>
          </a:extLst>
        </xdr:cNvPr>
        <xdr:cNvSpPr/>
      </xdr:nvSpPr>
      <xdr:spPr>
        <a:xfrm>
          <a:off x="9836191" y="16319376"/>
          <a:ext cx="95250" cy="11054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62</xdr:row>
      <xdr:rowOff>9071</xdr:rowOff>
    </xdr:from>
    <xdr:to>
      <xdr:col>2</xdr:col>
      <xdr:colOff>293016</xdr:colOff>
      <xdr:row>62</xdr:row>
      <xdr:rowOff>18596</xdr:rowOff>
    </xdr:to>
    <xdr:cxnSp macro="">
      <xdr:nvCxnSpPr>
        <xdr:cNvPr id="122" name="Gerader Verbinder 121">
          <a:extLst>
            <a:ext uri="{FF2B5EF4-FFF2-40B4-BE49-F238E27FC236}">
              <a16:creationId xmlns:a16="http://schemas.microsoft.com/office/drawing/2014/main" id="{8E203255-FE21-447A-9D10-6FA4F73B3D8D}"/>
            </a:ext>
          </a:extLst>
        </xdr:cNvPr>
        <xdr:cNvCxnSpPr/>
      </xdr:nvCxnSpPr>
      <xdr:spPr>
        <a:xfrm flipH="1">
          <a:off x="1201057" y="12499521"/>
          <a:ext cx="619134" cy="63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751114</xdr:colOff>
      <xdr:row>62</xdr:row>
      <xdr:rowOff>68489</xdr:rowOff>
    </xdr:from>
    <xdr:to>
      <xdr:col>2</xdr:col>
      <xdr:colOff>0</xdr:colOff>
      <xdr:row>63</xdr:row>
      <xdr:rowOff>103414</xdr:rowOff>
    </xdr:to>
    <xdr:cxnSp macro="">
      <xdr:nvCxnSpPr>
        <xdr:cNvPr id="123" name="Gerader Verbinder 122">
          <a:extLst>
            <a:ext uri="{FF2B5EF4-FFF2-40B4-BE49-F238E27FC236}">
              <a16:creationId xmlns:a16="http://schemas.microsoft.com/office/drawing/2014/main" id="{B8C5A9E0-D4A2-4752-A434-6F29F959EE85}"/>
            </a:ext>
          </a:extLst>
        </xdr:cNvPr>
        <xdr:cNvCxnSpPr/>
      </xdr:nvCxnSpPr>
      <xdr:spPr>
        <a:xfrm flipH="1">
          <a:off x="1516289" y="12552589"/>
          <a:ext cx="7711" cy="22225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707572</xdr:colOff>
      <xdr:row>45</xdr:row>
      <xdr:rowOff>143329</xdr:rowOff>
    </xdr:from>
    <xdr:to>
      <xdr:col>11</xdr:col>
      <xdr:colOff>40822</xdr:colOff>
      <xdr:row>46</xdr:row>
      <xdr:rowOff>73479</xdr:rowOff>
    </xdr:to>
    <xdr:sp macro="" textlink="">
      <xdr:nvSpPr>
        <xdr:cNvPr id="124" name="Ellipse 123">
          <a:extLst>
            <a:ext uri="{FF2B5EF4-FFF2-40B4-BE49-F238E27FC236}">
              <a16:creationId xmlns:a16="http://schemas.microsoft.com/office/drawing/2014/main" id="{61F4DEDA-3D4A-44C0-98C7-C473C9FC99DF}"/>
            </a:ext>
          </a:extLst>
        </xdr:cNvPr>
        <xdr:cNvSpPr/>
      </xdr:nvSpPr>
      <xdr:spPr>
        <a:xfrm>
          <a:off x="8327572" y="9550854"/>
          <a:ext cx="95250" cy="1143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487671</xdr:colOff>
      <xdr:row>100</xdr:row>
      <xdr:rowOff>210002</xdr:rowOff>
    </xdr:from>
    <xdr:to>
      <xdr:col>13</xdr:col>
      <xdr:colOff>200034</xdr:colOff>
      <xdr:row>112</xdr:row>
      <xdr:rowOff>48298</xdr:rowOff>
    </xdr:to>
    <xdr:grpSp>
      <xdr:nvGrpSpPr>
        <xdr:cNvPr id="125" name="Gruppieren 124">
          <a:extLst>
            <a:ext uri="{FF2B5EF4-FFF2-40B4-BE49-F238E27FC236}">
              <a16:creationId xmlns:a16="http://schemas.microsoft.com/office/drawing/2014/main" id="{9460CB2C-7072-4A21-B375-D1E0792DA4AF}"/>
            </a:ext>
          </a:extLst>
        </xdr:cNvPr>
        <xdr:cNvGrpSpPr/>
      </xdr:nvGrpSpPr>
      <xdr:grpSpPr>
        <a:xfrm>
          <a:off x="9631671" y="29372377"/>
          <a:ext cx="474363" cy="2521171"/>
          <a:chOff x="8920180" y="3499704"/>
          <a:chExt cx="480926" cy="1951938"/>
        </a:xfrm>
      </xdr:grpSpPr>
      <xdr:sp macro="" textlink="">
        <xdr:nvSpPr>
          <xdr:cNvPr id="126" name="Rechteck 125">
            <a:extLst>
              <a:ext uri="{FF2B5EF4-FFF2-40B4-BE49-F238E27FC236}">
                <a16:creationId xmlns:a16="http://schemas.microsoft.com/office/drawing/2014/main" id="{DB0A9D0B-7DAD-B0F1-8EC3-FD2F0A94E06C}"/>
              </a:ext>
            </a:extLst>
          </xdr:cNvPr>
          <xdr:cNvSpPr/>
        </xdr:nvSpPr>
        <xdr:spPr>
          <a:xfrm>
            <a:off x="8959842" y="3778250"/>
            <a:ext cx="371474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A6B43988-0D8B-431B-FC48-AE22B0A6D96E}"/>
              </a:ext>
            </a:extLst>
          </xdr:cNvPr>
          <xdr:cNvCxnSpPr>
            <a:stCxn id="154" idx="0"/>
            <a:endCxn id="126" idx="0"/>
          </xdr:cNvCxnSpPr>
        </xdr:nvCxnSpPr>
        <xdr:spPr>
          <a:xfrm>
            <a:off x="9144272" y="3499704"/>
            <a:ext cx="1308" cy="278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28" name="Gerader Verbinder 127">
            <a:extLst>
              <a:ext uri="{FF2B5EF4-FFF2-40B4-BE49-F238E27FC236}">
                <a16:creationId xmlns:a16="http://schemas.microsoft.com/office/drawing/2014/main" id="{40D323D4-D9FA-7B48-344D-08A96DBBECB0}"/>
              </a:ext>
            </a:extLst>
          </xdr:cNvPr>
          <xdr:cNvCxnSpPr>
            <a:stCxn id="126" idx="2"/>
          </xdr:cNvCxnSpPr>
        </xdr:nvCxnSpPr>
        <xdr:spPr>
          <a:xfrm>
            <a:off x="9145589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29" name="Textfeld 128">
            <a:extLst>
              <a:ext uri="{FF2B5EF4-FFF2-40B4-BE49-F238E27FC236}">
                <a16:creationId xmlns:a16="http://schemas.microsoft.com/office/drawing/2014/main" id="{0E6B01E4-0556-509A-CB36-ABAB353354F9}"/>
              </a:ext>
            </a:extLst>
          </xdr:cNvPr>
          <xdr:cNvSpPr txBox="1"/>
        </xdr:nvSpPr>
        <xdr:spPr>
          <a:xfrm rot="5400000">
            <a:off x="8870650" y="3884124"/>
            <a:ext cx="579986" cy="4809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</a:t>
            </a:r>
          </a:p>
        </xdr:txBody>
      </xdr:sp>
    </xdr:grpSp>
    <xdr:clientData/>
  </xdr:twoCellAnchor>
  <xdr:twoCellAnchor>
    <xdr:from>
      <xdr:col>10</xdr:col>
      <xdr:colOff>521693</xdr:colOff>
      <xdr:row>100</xdr:row>
      <xdr:rowOff>261258</xdr:rowOff>
    </xdr:from>
    <xdr:to>
      <xdr:col>11</xdr:col>
      <xdr:colOff>221356</xdr:colOff>
      <xdr:row>111</xdr:row>
      <xdr:rowOff>152619</xdr:rowOff>
    </xdr:to>
    <xdr:grpSp>
      <xdr:nvGrpSpPr>
        <xdr:cNvPr id="130" name="Gruppieren 129">
          <a:extLst>
            <a:ext uri="{FF2B5EF4-FFF2-40B4-BE49-F238E27FC236}">
              <a16:creationId xmlns:a16="http://schemas.microsoft.com/office/drawing/2014/main" id="{6944798E-DD9E-49C3-8AE2-77E230291A08}"/>
            </a:ext>
          </a:extLst>
        </xdr:cNvPr>
        <xdr:cNvGrpSpPr/>
      </xdr:nvGrpSpPr>
      <xdr:grpSpPr>
        <a:xfrm>
          <a:off x="8141693" y="29423633"/>
          <a:ext cx="461663" cy="2383736"/>
          <a:chOff x="9527870" y="3599470"/>
          <a:chExt cx="467002" cy="1797691"/>
        </a:xfrm>
      </xdr:grpSpPr>
      <xdr:sp macro="" textlink="">
        <xdr:nvSpPr>
          <xdr:cNvPr id="131" name="Rechteck 130">
            <a:extLst>
              <a:ext uri="{FF2B5EF4-FFF2-40B4-BE49-F238E27FC236}">
                <a16:creationId xmlns:a16="http://schemas.microsoft.com/office/drawing/2014/main" id="{4B81DC39-9301-60CA-DFDF-46F703EE25B6}"/>
              </a:ext>
            </a:extLst>
          </xdr:cNvPr>
          <xdr:cNvSpPr/>
        </xdr:nvSpPr>
        <xdr:spPr>
          <a:xfrm>
            <a:off x="9534648" y="3723771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2" name="Gerader Verbinder 131">
            <a:extLst>
              <a:ext uri="{FF2B5EF4-FFF2-40B4-BE49-F238E27FC236}">
                <a16:creationId xmlns:a16="http://schemas.microsoft.com/office/drawing/2014/main" id="{8E1EDB74-B1AC-14FB-8337-156909887074}"/>
              </a:ext>
            </a:extLst>
          </xdr:cNvPr>
          <xdr:cNvCxnSpPr>
            <a:stCxn id="153" idx="0"/>
            <a:endCxn id="131" idx="0"/>
          </xdr:cNvCxnSpPr>
        </xdr:nvCxnSpPr>
        <xdr:spPr>
          <a:xfrm flipH="1">
            <a:off x="9720386" y="3599470"/>
            <a:ext cx="16618" cy="12430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3" name="Gerader Verbinder 132">
            <a:extLst>
              <a:ext uri="{FF2B5EF4-FFF2-40B4-BE49-F238E27FC236}">
                <a16:creationId xmlns:a16="http://schemas.microsoft.com/office/drawing/2014/main" id="{B4175276-3923-E1FC-30CA-E446F215FB9A}"/>
              </a:ext>
            </a:extLst>
          </xdr:cNvPr>
          <xdr:cNvCxnSpPr>
            <a:stCxn id="131" idx="2"/>
          </xdr:cNvCxnSpPr>
        </xdr:nvCxnSpPr>
        <xdr:spPr>
          <a:xfrm>
            <a:off x="9720386" y="4800095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4" name="Textfeld 133">
            <a:extLst>
              <a:ext uri="{FF2B5EF4-FFF2-40B4-BE49-F238E27FC236}">
                <a16:creationId xmlns:a16="http://schemas.microsoft.com/office/drawing/2014/main" id="{2C6205FF-4C81-C732-0AFD-49DCBF9B373C}"/>
              </a:ext>
            </a:extLst>
          </xdr:cNvPr>
          <xdr:cNvSpPr txBox="1"/>
        </xdr:nvSpPr>
        <xdr:spPr>
          <a:xfrm rot="5400000">
            <a:off x="9521244" y="3790501"/>
            <a:ext cx="480253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5</xdr:col>
      <xdr:colOff>719508</xdr:colOff>
      <xdr:row>88</xdr:row>
      <xdr:rowOff>176646</xdr:rowOff>
    </xdr:from>
    <xdr:to>
      <xdr:col>6</xdr:col>
      <xdr:colOff>425521</xdr:colOff>
      <xdr:row>111</xdr:row>
      <xdr:rowOff>128164</xdr:rowOff>
    </xdr:to>
    <xdr:grpSp>
      <xdr:nvGrpSpPr>
        <xdr:cNvPr id="135" name="Gruppieren 134">
          <a:extLst>
            <a:ext uri="{FF2B5EF4-FFF2-40B4-BE49-F238E27FC236}">
              <a16:creationId xmlns:a16="http://schemas.microsoft.com/office/drawing/2014/main" id="{200066EE-7AF6-453A-A371-BCF986E6EC48}"/>
            </a:ext>
          </a:extLst>
        </xdr:cNvPr>
        <xdr:cNvGrpSpPr/>
      </xdr:nvGrpSpPr>
      <xdr:grpSpPr>
        <a:xfrm>
          <a:off x="4529508" y="26481521"/>
          <a:ext cx="468013" cy="5301393"/>
          <a:chOff x="8941283" y="3264625"/>
          <a:chExt cx="469428" cy="4311071"/>
        </a:xfrm>
      </xdr:grpSpPr>
      <xdr:sp macro="" textlink="">
        <xdr:nvSpPr>
          <xdr:cNvPr id="136" name="Rechteck 135">
            <a:extLst>
              <a:ext uri="{FF2B5EF4-FFF2-40B4-BE49-F238E27FC236}">
                <a16:creationId xmlns:a16="http://schemas.microsoft.com/office/drawing/2014/main" id="{F74C7D56-8712-6502-3DBE-AFC4196C3BEC}"/>
              </a:ext>
            </a:extLst>
          </xdr:cNvPr>
          <xdr:cNvSpPr/>
        </xdr:nvSpPr>
        <xdr:spPr>
          <a:xfrm>
            <a:off x="8959850" y="370602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7" name="Gerader Verbinder 136">
            <a:extLst>
              <a:ext uri="{FF2B5EF4-FFF2-40B4-BE49-F238E27FC236}">
                <a16:creationId xmlns:a16="http://schemas.microsoft.com/office/drawing/2014/main" id="{D2D4F756-F07C-0998-0EFA-9944FA002B1A}"/>
              </a:ext>
            </a:extLst>
          </xdr:cNvPr>
          <xdr:cNvCxnSpPr>
            <a:stCxn id="152" idx="4"/>
            <a:endCxn id="136" idx="0"/>
          </xdr:cNvCxnSpPr>
        </xdr:nvCxnSpPr>
        <xdr:spPr>
          <a:xfrm flipH="1">
            <a:off x="9145588" y="3264625"/>
            <a:ext cx="3910" cy="44139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8" name="Gerader Verbinder 137">
            <a:extLst>
              <a:ext uri="{FF2B5EF4-FFF2-40B4-BE49-F238E27FC236}">
                <a16:creationId xmlns:a16="http://schemas.microsoft.com/office/drawing/2014/main" id="{E312C5A4-5E87-5BE1-8656-6AC39A2A50B6}"/>
              </a:ext>
            </a:extLst>
          </xdr:cNvPr>
          <xdr:cNvCxnSpPr>
            <a:stCxn id="136" idx="2"/>
            <a:endCxn id="314" idx="7"/>
          </xdr:cNvCxnSpPr>
        </xdr:nvCxnSpPr>
        <xdr:spPr>
          <a:xfrm flipH="1">
            <a:off x="9136444" y="4782348"/>
            <a:ext cx="9144" cy="279334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9" name="Textfeld 138">
            <a:extLst>
              <a:ext uri="{FF2B5EF4-FFF2-40B4-BE49-F238E27FC236}">
                <a16:creationId xmlns:a16="http://schemas.microsoft.com/office/drawing/2014/main" id="{EE4EB164-6E18-7DA5-68EB-1B7A152E3316}"/>
              </a:ext>
            </a:extLst>
          </xdr:cNvPr>
          <xdr:cNvSpPr txBox="1"/>
        </xdr:nvSpPr>
        <xdr:spPr>
          <a:xfrm rot="5400000">
            <a:off x="8880795" y="3904822"/>
            <a:ext cx="590404" cy="4694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789</a:t>
            </a:r>
          </a:p>
        </xdr:txBody>
      </xdr:sp>
    </xdr:grpSp>
    <xdr:clientData/>
  </xdr:twoCellAnchor>
  <xdr:twoCellAnchor>
    <xdr:from>
      <xdr:col>1</xdr:col>
      <xdr:colOff>525997</xdr:colOff>
      <xdr:row>88</xdr:row>
      <xdr:rowOff>169857</xdr:rowOff>
    </xdr:from>
    <xdr:to>
      <xdr:col>2</xdr:col>
      <xdr:colOff>232011</xdr:colOff>
      <xdr:row>104</xdr:row>
      <xdr:rowOff>169404</xdr:rowOff>
    </xdr:to>
    <xdr:grpSp>
      <xdr:nvGrpSpPr>
        <xdr:cNvPr id="140" name="Gruppieren 139">
          <a:extLst>
            <a:ext uri="{FF2B5EF4-FFF2-40B4-BE49-F238E27FC236}">
              <a16:creationId xmlns:a16="http://schemas.microsoft.com/office/drawing/2014/main" id="{05B30160-D525-41F2-84A2-DBCBF72533F6}"/>
            </a:ext>
          </a:extLst>
        </xdr:cNvPr>
        <xdr:cNvGrpSpPr/>
      </xdr:nvGrpSpPr>
      <xdr:grpSpPr>
        <a:xfrm>
          <a:off x="1287997" y="26474732"/>
          <a:ext cx="468014" cy="4015922"/>
          <a:chOff x="8945774" y="3254331"/>
          <a:chExt cx="471479" cy="3010540"/>
        </a:xfrm>
      </xdr:grpSpPr>
      <xdr:sp macro="" textlink="">
        <xdr:nvSpPr>
          <xdr:cNvPr id="141" name="Rechteck 140">
            <a:extLst>
              <a:ext uri="{FF2B5EF4-FFF2-40B4-BE49-F238E27FC236}">
                <a16:creationId xmlns:a16="http://schemas.microsoft.com/office/drawing/2014/main" id="{2AF0EDE1-D50C-AE91-D8AD-FE038CC9914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2" name="Gerader Verbinder 141">
            <a:extLst>
              <a:ext uri="{FF2B5EF4-FFF2-40B4-BE49-F238E27FC236}">
                <a16:creationId xmlns:a16="http://schemas.microsoft.com/office/drawing/2014/main" id="{E869693A-F8FC-BA88-3242-F74A84CB883B}"/>
              </a:ext>
            </a:extLst>
          </xdr:cNvPr>
          <xdr:cNvCxnSpPr>
            <a:endCxn id="141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43" name="Gerader Verbinder 142">
            <a:extLst>
              <a:ext uri="{FF2B5EF4-FFF2-40B4-BE49-F238E27FC236}">
                <a16:creationId xmlns:a16="http://schemas.microsoft.com/office/drawing/2014/main" id="{1F8D820D-2879-5873-7B8B-2651B182FC18}"/>
              </a:ext>
            </a:extLst>
          </xdr:cNvPr>
          <xdr:cNvCxnSpPr>
            <a:stCxn id="141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44" name="Textfeld 143">
            <a:extLst>
              <a:ext uri="{FF2B5EF4-FFF2-40B4-BE49-F238E27FC236}">
                <a16:creationId xmlns:a16="http://schemas.microsoft.com/office/drawing/2014/main" id="{E47179F7-3F61-33EE-604C-DF1D5C1974D6}"/>
              </a:ext>
            </a:extLst>
          </xdr:cNvPr>
          <xdr:cNvSpPr txBox="1"/>
        </xdr:nvSpPr>
        <xdr:spPr>
          <a:xfrm rot="5400000">
            <a:off x="8942200" y="3826294"/>
            <a:ext cx="478628" cy="47147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1</xdr:col>
      <xdr:colOff>720725</xdr:colOff>
      <xdr:row>88</xdr:row>
      <xdr:rowOff>169857</xdr:rowOff>
    </xdr:from>
    <xdr:to>
      <xdr:col>10</xdr:col>
      <xdr:colOff>723900</xdr:colOff>
      <xdr:row>88</xdr:row>
      <xdr:rowOff>179382</xdr:rowOff>
    </xdr:to>
    <xdr:cxnSp macro="">
      <xdr:nvCxnSpPr>
        <xdr:cNvPr id="145" name="Gerader Verbinder 144">
          <a:extLst>
            <a:ext uri="{FF2B5EF4-FFF2-40B4-BE49-F238E27FC236}">
              <a16:creationId xmlns:a16="http://schemas.microsoft.com/office/drawing/2014/main" id="{181822FE-F81A-4AB0-9474-8304ED2B2F7B}"/>
            </a:ext>
          </a:extLst>
        </xdr:cNvPr>
        <xdr:cNvCxnSpPr/>
      </xdr:nvCxnSpPr>
      <xdr:spPr>
        <a:xfrm flipH="1" flipV="1">
          <a:off x="1482725" y="18086382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358775</xdr:colOff>
      <xdr:row>106</xdr:row>
      <xdr:rowOff>53289</xdr:rowOff>
    </xdr:from>
    <xdr:to>
      <xdr:col>2</xdr:col>
      <xdr:colOff>219084</xdr:colOff>
      <xdr:row>106</xdr:row>
      <xdr:rowOff>53289</xdr:rowOff>
    </xdr:to>
    <xdr:cxnSp macro="">
      <xdr:nvCxnSpPr>
        <xdr:cNvPr id="146" name="Gerader Verbinder 145">
          <a:extLst>
            <a:ext uri="{FF2B5EF4-FFF2-40B4-BE49-F238E27FC236}">
              <a16:creationId xmlns:a16="http://schemas.microsoft.com/office/drawing/2014/main" id="{E65F5531-835A-474F-A1B9-40CD568489D6}"/>
            </a:ext>
          </a:extLst>
        </xdr:cNvPr>
        <xdr:cNvCxnSpPr/>
      </xdr:nvCxnSpPr>
      <xdr:spPr>
        <a:xfrm flipH="1">
          <a:off x="1120775" y="21224189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549729</xdr:colOff>
      <xdr:row>105</xdr:row>
      <xdr:rowOff>34694</xdr:rowOff>
    </xdr:from>
    <xdr:to>
      <xdr:col>2</xdr:col>
      <xdr:colOff>86179</xdr:colOff>
      <xdr:row>105</xdr:row>
      <xdr:rowOff>34694</xdr:rowOff>
    </xdr:to>
    <xdr:cxnSp macro="">
      <xdr:nvCxnSpPr>
        <xdr:cNvPr id="147" name="Gerader Verbinder 146">
          <a:extLst>
            <a:ext uri="{FF2B5EF4-FFF2-40B4-BE49-F238E27FC236}">
              <a16:creationId xmlns:a16="http://schemas.microsoft.com/office/drawing/2014/main" id="{C9F4872B-67B9-4B7C-8F79-F1C102821658}"/>
            </a:ext>
          </a:extLst>
        </xdr:cNvPr>
        <xdr:cNvCxnSpPr/>
      </xdr:nvCxnSpPr>
      <xdr:spPr>
        <a:xfrm flipH="1">
          <a:off x="1311729" y="21024619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558800</xdr:colOff>
      <xdr:row>106</xdr:row>
      <xdr:rowOff>103182</xdr:rowOff>
    </xdr:from>
    <xdr:to>
      <xdr:col>2</xdr:col>
      <xdr:colOff>95250</xdr:colOff>
      <xdr:row>106</xdr:row>
      <xdr:rowOff>103182</xdr:rowOff>
    </xdr:to>
    <xdr:cxnSp macro="">
      <xdr:nvCxnSpPr>
        <xdr:cNvPr id="148" name="Gerader Verbinder 147">
          <a:extLst>
            <a:ext uri="{FF2B5EF4-FFF2-40B4-BE49-F238E27FC236}">
              <a16:creationId xmlns:a16="http://schemas.microsoft.com/office/drawing/2014/main" id="{30AA35CF-6F5D-4DA2-82AA-211DD76BE7C2}"/>
            </a:ext>
          </a:extLst>
        </xdr:cNvPr>
        <xdr:cNvCxnSpPr/>
      </xdr:nvCxnSpPr>
      <xdr:spPr>
        <a:xfrm flipH="1">
          <a:off x="1323975" y="2128043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701675</xdr:colOff>
      <xdr:row>106</xdr:row>
      <xdr:rowOff>131757</xdr:rowOff>
    </xdr:from>
    <xdr:to>
      <xdr:col>1</xdr:col>
      <xdr:colOff>714375</xdr:colOff>
      <xdr:row>111</xdr:row>
      <xdr:rowOff>174625</xdr:rowOff>
    </xdr:to>
    <xdr:cxnSp macro="">
      <xdr:nvCxnSpPr>
        <xdr:cNvPr id="149" name="Gerader Verbinder 148">
          <a:extLst>
            <a:ext uri="{FF2B5EF4-FFF2-40B4-BE49-F238E27FC236}">
              <a16:creationId xmlns:a16="http://schemas.microsoft.com/office/drawing/2014/main" id="{E6B11A79-5F54-4CC3-8240-CC063668EF20}"/>
            </a:ext>
          </a:extLst>
        </xdr:cNvPr>
        <xdr:cNvCxnSpPr/>
      </xdr:nvCxnSpPr>
      <xdr:spPr>
        <a:xfrm>
          <a:off x="1463675" y="22150382"/>
          <a:ext cx="12700" cy="99536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726849</xdr:colOff>
      <xdr:row>100</xdr:row>
      <xdr:rowOff>258082</xdr:rowOff>
    </xdr:from>
    <xdr:to>
      <xdr:col>12</xdr:col>
      <xdr:colOff>674006</xdr:colOff>
      <xdr:row>100</xdr:row>
      <xdr:rowOff>273263</xdr:rowOff>
    </xdr:to>
    <xdr:cxnSp macro="">
      <xdr:nvCxnSpPr>
        <xdr:cNvPr id="151" name="Gerader Verbinder 150">
          <a:extLst>
            <a:ext uri="{FF2B5EF4-FFF2-40B4-BE49-F238E27FC236}">
              <a16:creationId xmlns:a16="http://schemas.microsoft.com/office/drawing/2014/main" id="{2A5F2E8A-8DC6-4A6A-B7A6-B7D2ABC5F127}"/>
            </a:ext>
          </a:extLst>
        </xdr:cNvPr>
        <xdr:cNvCxnSpPr>
          <a:stCxn id="154" idx="2"/>
          <a:endCxn id="153" idx="0"/>
        </xdr:cNvCxnSpPr>
      </xdr:nvCxnSpPr>
      <xdr:spPr>
        <a:xfrm flipH="1" flipV="1">
          <a:off x="8346849" y="22910264"/>
          <a:ext cx="1471157" cy="15181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95250</xdr:colOff>
      <xdr:row>88</xdr:row>
      <xdr:rowOff>127000</xdr:rowOff>
    </xdr:from>
    <xdr:to>
      <xdr:col>6</xdr:col>
      <xdr:colOff>234950</xdr:colOff>
      <xdr:row>89</xdr:row>
      <xdr:rowOff>38100</xdr:rowOff>
    </xdr:to>
    <xdr:sp macro="" textlink="">
      <xdr:nvSpPr>
        <xdr:cNvPr id="152" name="Ellipse 151">
          <a:extLst>
            <a:ext uri="{FF2B5EF4-FFF2-40B4-BE49-F238E27FC236}">
              <a16:creationId xmlns:a16="http://schemas.microsoft.com/office/drawing/2014/main" id="{2BFCD440-4F1D-4B26-B010-7349B0B9D6E7}"/>
            </a:ext>
          </a:extLst>
        </xdr:cNvPr>
        <xdr:cNvSpPr/>
      </xdr:nvSpPr>
      <xdr:spPr>
        <a:xfrm>
          <a:off x="4667250" y="18751550"/>
          <a:ext cx="13970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678543</xdr:colOff>
      <xdr:row>100</xdr:row>
      <xdr:rowOff>261257</xdr:rowOff>
    </xdr:from>
    <xdr:to>
      <xdr:col>11</xdr:col>
      <xdr:colOff>16329</xdr:colOff>
      <xdr:row>101</xdr:row>
      <xdr:rowOff>66896</xdr:rowOff>
    </xdr:to>
    <xdr:sp macro="" textlink="">
      <xdr:nvSpPr>
        <xdr:cNvPr id="153" name="Ellipse 152">
          <a:extLst>
            <a:ext uri="{FF2B5EF4-FFF2-40B4-BE49-F238E27FC236}">
              <a16:creationId xmlns:a16="http://schemas.microsoft.com/office/drawing/2014/main" id="{41944E40-0241-426F-88A5-2743A8AD3611}"/>
            </a:ext>
          </a:extLst>
        </xdr:cNvPr>
        <xdr:cNvSpPr/>
      </xdr:nvSpPr>
      <xdr:spPr>
        <a:xfrm>
          <a:off x="8298543" y="22489886"/>
          <a:ext cx="99786" cy="13765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670831</xdr:colOff>
      <xdr:row>100</xdr:row>
      <xdr:rowOff>210002</xdr:rowOff>
    </xdr:from>
    <xdr:to>
      <xdr:col>12</xdr:col>
      <xdr:colOff>743403</xdr:colOff>
      <xdr:row>101</xdr:row>
      <xdr:rowOff>4303</xdr:rowOff>
    </xdr:to>
    <xdr:sp macro="" textlink="">
      <xdr:nvSpPr>
        <xdr:cNvPr id="154" name="Ellipse 153">
          <a:extLst>
            <a:ext uri="{FF2B5EF4-FFF2-40B4-BE49-F238E27FC236}">
              <a16:creationId xmlns:a16="http://schemas.microsoft.com/office/drawing/2014/main" id="{2DD53F97-06F9-4309-BB3A-8F46914F70BC}"/>
            </a:ext>
          </a:extLst>
        </xdr:cNvPr>
        <xdr:cNvSpPr/>
      </xdr:nvSpPr>
      <xdr:spPr>
        <a:xfrm>
          <a:off x="9814831" y="22438631"/>
          <a:ext cx="72572" cy="12631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388257</xdr:colOff>
      <xdr:row>104</xdr:row>
      <xdr:rowOff>169403</xdr:rowOff>
    </xdr:from>
    <xdr:to>
      <xdr:col>2</xdr:col>
      <xdr:colOff>248566</xdr:colOff>
      <xdr:row>104</xdr:row>
      <xdr:rowOff>178928</xdr:rowOff>
    </xdr:to>
    <xdr:cxnSp macro="">
      <xdr:nvCxnSpPr>
        <xdr:cNvPr id="158" name="Gerader Verbinder 157">
          <a:extLst>
            <a:ext uri="{FF2B5EF4-FFF2-40B4-BE49-F238E27FC236}">
              <a16:creationId xmlns:a16="http://schemas.microsoft.com/office/drawing/2014/main" id="{D3A4645F-56ED-495D-9594-AD493BE04380}"/>
            </a:ext>
          </a:extLst>
        </xdr:cNvPr>
        <xdr:cNvCxnSpPr/>
      </xdr:nvCxnSpPr>
      <xdr:spPr>
        <a:xfrm flipH="1">
          <a:off x="1153432" y="20981528"/>
          <a:ext cx="619134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706664</xdr:colOff>
      <xdr:row>105</xdr:row>
      <xdr:rowOff>25621</xdr:rowOff>
    </xdr:from>
    <xdr:to>
      <xdr:col>1</xdr:col>
      <xdr:colOff>711200</xdr:colOff>
      <xdr:row>106</xdr:row>
      <xdr:rowOff>73246</xdr:rowOff>
    </xdr:to>
    <xdr:cxnSp macro="">
      <xdr:nvCxnSpPr>
        <xdr:cNvPr id="159" name="Gerader Verbinder 158">
          <a:extLst>
            <a:ext uri="{FF2B5EF4-FFF2-40B4-BE49-F238E27FC236}">
              <a16:creationId xmlns:a16="http://schemas.microsoft.com/office/drawing/2014/main" id="{F04EA0E6-AB35-4F2A-BA9D-67B8CF441F13}"/>
            </a:ext>
          </a:extLst>
        </xdr:cNvPr>
        <xdr:cNvCxnSpPr/>
      </xdr:nvCxnSpPr>
      <xdr:spPr>
        <a:xfrm flipH="1">
          <a:off x="1468664" y="21021896"/>
          <a:ext cx="7711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656772</xdr:colOff>
      <xdr:row>88</xdr:row>
      <xdr:rowOff>97286</xdr:rowOff>
    </xdr:from>
    <xdr:to>
      <xdr:col>10</xdr:col>
      <xdr:colOff>752022</xdr:colOff>
      <xdr:row>89</xdr:row>
      <xdr:rowOff>52836</xdr:rowOff>
    </xdr:to>
    <xdr:sp macro="" textlink="">
      <xdr:nvSpPr>
        <xdr:cNvPr id="160" name="Ellipse 159">
          <a:extLst>
            <a:ext uri="{FF2B5EF4-FFF2-40B4-BE49-F238E27FC236}">
              <a16:creationId xmlns:a16="http://schemas.microsoft.com/office/drawing/2014/main" id="{B2F0D5CB-F8C3-40C2-ADD8-D9E1EB452909}"/>
            </a:ext>
          </a:extLst>
        </xdr:cNvPr>
        <xdr:cNvSpPr/>
      </xdr:nvSpPr>
      <xdr:spPr>
        <a:xfrm>
          <a:off x="8279947" y="18013811"/>
          <a:ext cx="95250" cy="1333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520907</xdr:colOff>
      <xdr:row>89</xdr:row>
      <xdr:rowOff>27891</xdr:rowOff>
    </xdr:from>
    <xdr:to>
      <xdr:col>11</xdr:col>
      <xdr:colOff>214673</xdr:colOff>
      <xdr:row>101</xdr:row>
      <xdr:rowOff>42524</xdr:rowOff>
    </xdr:to>
    <xdr:grpSp>
      <xdr:nvGrpSpPr>
        <xdr:cNvPr id="161" name="Gruppieren 160">
          <a:extLst>
            <a:ext uri="{FF2B5EF4-FFF2-40B4-BE49-F238E27FC236}">
              <a16:creationId xmlns:a16="http://schemas.microsoft.com/office/drawing/2014/main" id="{B74431DE-8D5E-43E5-ADA6-24D7CAD55F4F}"/>
            </a:ext>
          </a:extLst>
        </xdr:cNvPr>
        <xdr:cNvGrpSpPr/>
      </xdr:nvGrpSpPr>
      <xdr:grpSpPr>
        <a:xfrm>
          <a:off x="8140907" y="26523266"/>
          <a:ext cx="455766" cy="3062633"/>
          <a:chOff x="8934450" y="3237320"/>
          <a:chExt cx="448997" cy="2214322"/>
        </a:xfrm>
      </xdr:grpSpPr>
      <xdr:sp macro="" textlink="">
        <xdr:nvSpPr>
          <xdr:cNvPr id="162" name="Rechteck 161">
            <a:extLst>
              <a:ext uri="{FF2B5EF4-FFF2-40B4-BE49-F238E27FC236}">
                <a16:creationId xmlns:a16="http://schemas.microsoft.com/office/drawing/2014/main" id="{952E1648-E0B0-B5FD-952E-D3ACFCC78FBE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3" name="Gerader Verbinder 162">
            <a:extLst>
              <a:ext uri="{FF2B5EF4-FFF2-40B4-BE49-F238E27FC236}">
                <a16:creationId xmlns:a16="http://schemas.microsoft.com/office/drawing/2014/main" id="{9F6A15A8-BC82-B15A-3141-AC4BDEC0B391}"/>
              </a:ext>
            </a:extLst>
          </xdr:cNvPr>
          <xdr:cNvCxnSpPr>
            <a:stCxn id="160" idx="4"/>
            <a:endCxn id="162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4" name="Gerader Verbinder 163">
            <a:extLst>
              <a:ext uri="{FF2B5EF4-FFF2-40B4-BE49-F238E27FC236}">
                <a16:creationId xmlns:a16="http://schemas.microsoft.com/office/drawing/2014/main" id="{69EEFAEE-B9BD-C7AC-B06E-BEF7AA59F286}"/>
              </a:ext>
            </a:extLst>
          </xdr:cNvPr>
          <xdr:cNvCxnSpPr>
            <a:stCxn id="162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5" name="Textfeld 164">
            <a:extLst>
              <a:ext uri="{FF2B5EF4-FFF2-40B4-BE49-F238E27FC236}">
                <a16:creationId xmlns:a16="http://schemas.microsoft.com/office/drawing/2014/main" id="{540D5752-C2A3-42CC-4D04-E740F8C4AAD1}"/>
              </a:ext>
            </a:extLst>
          </xdr:cNvPr>
          <xdr:cNvSpPr txBox="1"/>
        </xdr:nvSpPr>
        <xdr:spPr>
          <a:xfrm>
            <a:off x="8934450" y="4010025"/>
            <a:ext cx="448997" cy="37585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11</xdr:col>
      <xdr:colOff>148640</xdr:colOff>
      <xdr:row>140</xdr:row>
      <xdr:rowOff>104215</xdr:rowOff>
    </xdr:from>
    <xdr:to>
      <xdr:col>11</xdr:col>
      <xdr:colOff>554072</xdr:colOff>
      <xdr:row>153</xdr:row>
      <xdr:rowOff>37645</xdr:rowOff>
    </xdr:to>
    <xdr:grpSp>
      <xdr:nvGrpSpPr>
        <xdr:cNvPr id="166" name="Gruppieren 165">
          <a:extLst>
            <a:ext uri="{FF2B5EF4-FFF2-40B4-BE49-F238E27FC236}">
              <a16:creationId xmlns:a16="http://schemas.microsoft.com/office/drawing/2014/main" id="{DED18BFE-2598-4365-85C4-2DE46C73BC52}"/>
            </a:ext>
          </a:extLst>
        </xdr:cNvPr>
        <xdr:cNvGrpSpPr/>
      </xdr:nvGrpSpPr>
      <xdr:grpSpPr>
        <a:xfrm>
          <a:off x="8530640" y="36346840"/>
          <a:ext cx="405432" cy="3473555"/>
          <a:chOff x="8934017" y="3167408"/>
          <a:chExt cx="408386" cy="2284234"/>
        </a:xfrm>
      </xdr:grpSpPr>
      <xdr:sp macro="" textlink="">
        <xdr:nvSpPr>
          <xdr:cNvPr id="167" name="Rechteck 166">
            <a:extLst>
              <a:ext uri="{FF2B5EF4-FFF2-40B4-BE49-F238E27FC236}">
                <a16:creationId xmlns:a16="http://schemas.microsoft.com/office/drawing/2014/main" id="{B0F52602-9E9F-629D-F459-2430C13345C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8" name="Gerader Verbinder 167">
            <a:extLst>
              <a:ext uri="{FF2B5EF4-FFF2-40B4-BE49-F238E27FC236}">
                <a16:creationId xmlns:a16="http://schemas.microsoft.com/office/drawing/2014/main" id="{FFFC0E3A-A979-2081-3195-8E8D419F933B}"/>
              </a:ext>
            </a:extLst>
          </xdr:cNvPr>
          <xdr:cNvCxnSpPr>
            <a:stCxn id="195" idx="2"/>
            <a:endCxn id="167" idx="0"/>
          </xdr:cNvCxnSpPr>
        </xdr:nvCxnSpPr>
        <xdr:spPr>
          <a:xfrm>
            <a:off x="9137573" y="3167408"/>
            <a:ext cx="8014" cy="61084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9" name="Gerader Verbinder 168">
            <a:extLst>
              <a:ext uri="{FF2B5EF4-FFF2-40B4-BE49-F238E27FC236}">
                <a16:creationId xmlns:a16="http://schemas.microsoft.com/office/drawing/2014/main" id="{20643A44-C672-7B77-5DD5-011F68448A99}"/>
              </a:ext>
            </a:extLst>
          </xdr:cNvPr>
          <xdr:cNvCxnSpPr>
            <a:stCxn id="167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0" name="Textfeld 169">
            <a:extLst>
              <a:ext uri="{FF2B5EF4-FFF2-40B4-BE49-F238E27FC236}">
                <a16:creationId xmlns:a16="http://schemas.microsoft.com/office/drawing/2014/main" id="{FDC7320A-E1C8-BCBB-D8DB-BD3E005C95E1}"/>
              </a:ext>
            </a:extLst>
          </xdr:cNvPr>
          <xdr:cNvSpPr txBox="1"/>
        </xdr:nvSpPr>
        <xdr:spPr>
          <a:xfrm rot="5400000">
            <a:off x="8796809" y="4010254"/>
            <a:ext cx="682801" cy="40838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12345</a:t>
            </a:r>
          </a:p>
        </xdr:txBody>
      </xdr:sp>
    </xdr:grpSp>
    <xdr:clientData/>
  </xdr:twoCellAnchor>
  <xdr:twoCellAnchor>
    <xdr:from>
      <xdr:col>6</xdr:col>
      <xdr:colOff>163983</xdr:colOff>
      <xdr:row>131</xdr:row>
      <xdr:rowOff>102641</xdr:rowOff>
    </xdr:from>
    <xdr:to>
      <xdr:col>6</xdr:col>
      <xdr:colOff>563065</xdr:colOff>
      <xdr:row>153</xdr:row>
      <xdr:rowOff>117156</xdr:rowOff>
    </xdr:to>
    <xdr:grpSp>
      <xdr:nvGrpSpPr>
        <xdr:cNvPr id="171" name="Gruppieren 170">
          <a:extLst>
            <a:ext uri="{FF2B5EF4-FFF2-40B4-BE49-F238E27FC236}">
              <a16:creationId xmlns:a16="http://schemas.microsoft.com/office/drawing/2014/main" id="{1220E730-6CB8-407E-8AE4-53CA8BA18EBB}"/>
            </a:ext>
          </a:extLst>
        </xdr:cNvPr>
        <xdr:cNvGrpSpPr/>
      </xdr:nvGrpSpPr>
      <xdr:grpSpPr>
        <a:xfrm>
          <a:off x="4735983" y="33710016"/>
          <a:ext cx="399082" cy="6189890"/>
          <a:chOff x="8947344" y="3293238"/>
          <a:chExt cx="410723" cy="3638269"/>
        </a:xfrm>
      </xdr:grpSpPr>
      <xdr:sp macro="" textlink="">
        <xdr:nvSpPr>
          <xdr:cNvPr id="172" name="Rechteck 171">
            <a:extLst>
              <a:ext uri="{FF2B5EF4-FFF2-40B4-BE49-F238E27FC236}">
                <a16:creationId xmlns:a16="http://schemas.microsoft.com/office/drawing/2014/main" id="{6294B1EB-5BD0-F2C2-09A1-5ECCB359C75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3" name="Gerader Verbinder 172">
            <a:extLst>
              <a:ext uri="{FF2B5EF4-FFF2-40B4-BE49-F238E27FC236}">
                <a16:creationId xmlns:a16="http://schemas.microsoft.com/office/drawing/2014/main" id="{4EEF60C1-7703-0D8E-4BBA-DC9E7C703790}"/>
              </a:ext>
            </a:extLst>
          </xdr:cNvPr>
          <xdr:cNvCxnSpPr>
            <a:stCxn id="187" idx="4"/>
            <a:endCxn id="172" idx="0"/>
          </xdr:cNvCxnSpPr>
        </xdr:nvCxnSpPr>
        <xdr:spPr>
          <a:xfrm>
            <a:off x="9138015" y="3293238"/>
            <a:ext cx="7573" cy="48501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4" name="Gerader Verbinder 173">
            <a:extLst>
              <a:ext uri="{FF2B5EF4-FFF2-40B4-BE49-F238E27FC236}">
                <a16:creationId xmlns:a16="http://schemas.microsoft.com/office/drawing/2014/main" id="{31DD2C80-B851-7A4B-0B05-09752D0BCB6F}"/>
              </a:ext>
            </a:extLst>
          </xdr:cNvPr>
          <xdr:cNvCxnSpPr>
            <a:stCxn id="172" idx="2"/>
            <a:endCxn id="189" idx="4"/>
          </xdr:cNvCxnSpPr>
        </xdr:nvCxnSpPr>
        <xdr:spPr>
          <a:xfrm>
            <a:off x="9145588" y="4854576"/>
            <a:ext cx="5498" cy="207693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5" name="Textfeld 174">
            <a:extLst>
              <a:ext uri="{FF2B5EF4-FFF2-40B4-BE49-F238E27FC236}">
                <a16:creationId xmlns:a16="http://schemas.microsoft.com/office/drawing/2014/main" id="{C3AFFFE3-FF50-58F5-F51A-B605EC30DD19}"/>
              </a:ext>
            </a:extLst>
          </xdr:cNvPr>
          <xdr:cNvSpPr txBox="1"/>
        </xdr:nvSpPr>
        <xdr:spPr>
          <a:xfrm rot="5400000">
            <a:off x="8886648" y="3924984"/>
            <a:ext cx="532116" cy="41072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183832</xdr:colOff>
      <xdr:row>131</xdr:row>
      <xdr:rowOff>69396</xdr:rowOff>
    </xdr:from>
    <xdr:to>
      <xdr:col>2</xdr:col>
      <xdr:colOff>595008</xdr:colOff>
      <xdr:row>147</xdr:row>
      <xdr:rowOff>68943</xdr:rowOff>
    </xdr:to>
    <xdr:grpSp>
      <xdr:nvGrpSpPr>
        <xdr:cNvPr id="176" name="Gruppieren 175">
          <a:extLst>
            <a:ext uri="{FF2B5EF4-FFF2-40B4-BE49-F238E27FC236}">
              <a16:creationId xmlns:a16="http://schemas.microsoft.com/office/drawing/2014/main" id="{C46ACBA1-51A8-4F3D-A14F-F2BB06C039D9}"/>
            </a:ext>
          </a:extLst>
        </xdr:cNvPr>
        <xdr:cNvGrpSpPr/>
      </xdr:nvGrpSpPr>
      <xdr:grpSpPr>
        <a:xfrm>
          <a:off x="1707832" y="33676771"/>
          <a:ext cx="411176" cy="5031922"/>
          <a:chOff x="8959850" y="3254331"/>
          <a:chExt cx="416653" cy="3010540"/>
        </a:xfrm>
      </xdr:grpSpPr>
      <xdr:sp macro="" textlink="">
        <xdr:nvSpPr>
          <xdr:cNvPr id="177" name="Rechteck 176">
            <a:extLst>
              <a:ext uri="{FF2B5EF4-FFF2-40B4-BE49-F238E27FC236}">
                <a16:creationId xmlns:a16="http://schemas.microsoft.com/office/drawing/2014/main" id="{F41F6980-6838-F3F5-1A80-5CA10B535EE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8" name="Gerader Verbinder 177">
            <a:extLst>
              <a:ext uri="{FF2B5EF4-FFF2-40B4-BE49-F238E27FC236}">
                <a16:creationId xmlns:a16="http://schemas.microsoft.com/office/drawing/2014/main" id="{1D0E69A8-D0E3-D2DC-8AA7-887CCB2532BD}"/>
              </a:ext>
            </a:extLst>
          </xdr:cNvPr>
          <xdr:cNvCxnSpPr>
            <a:endCxn id="177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9" name="Gerader Verbinder 178">
            <a:extLst>
              <a:ext uri="{FF2B5EF4-FFF2-40B4-BE49-F238E27FC236}">
                <a16:creationId xmlns:a16="http://schemas.microsoft.com/office/drawing/2014/main" id="{B60F6529-C57E-873A-A659-224199F025C9}"/>
              </a:ext>
            </a:extLst>
          </xdr:cNvPr>
          <xdr:cNvCxnSpPr>
            <a:stCxn id="177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80" name="Textfeld 179">
            <a:extLst>
              <a:ext uri="{FF2B5EF4-FFF2-40B4-BE49-F238E27FC236}">
                <a16:creationId xmlns:a16="http://schemas.microsoft.com/office/drawing/2014/main" id="{35F87FAA-71BA-6207-01FB-6A61BB8627B2}"/>
              </a:ext>
            </a:extLst>
          </xdr:cNvPr>
          <xdr:cNvSpPr txBox="1"/>
        </xdr:nvSpPr>
        <xdr:spPr>
          <a:xfrm rot="5400000">
            <a:off x="8937147" y="3982563"/>
            <a:ext cx="467880" cy="41083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131</xdr:row>
      <xdr:rowOff>72571</xdr:rowOff>
    </xdr:from>
    <xdr:to>
      <xdr:col>11</xdr:col>
      <xdr:colOff>365125</xdr:colOff>
      <xdr:row>131</xdr:row>
      <xdr:rowOff>88446</xdr:rowOff>
    </xdr:to>
    <xdr:cxnSp macro="">
      <xdr:nvCxnSpPr>
        <xdr:cNvPr id="181" name="Gerader Verbinder 180">
          <a:extLst>
            <a:ext uri="{FF2B5EF4-FFF2-40B4-BE49-F238E27FC236}">
              <a16:creationId xmlns:a16="http://schemas.microsoft.com/office/drawing/2014/main" id="{0882CC81-FE2F-43BC-AC2C-13C9BE654A11}"/>
            </a:ext>
          </a:extLst>
        </xdr:cNvPr>
        <xdr:cNvCxnSpPr/>
      </xdr:nvCxnSpPr>
      <xdr:spPr>
        <a:xfrm flipH="1" flipV="1">
          <a:off x="1885950" y="27758571"/>
          <a:ext cx="6864350" cy="1587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148</xdr:row>
      <xdr:rowOff>128947</xdr:rowOff>
    </xdr:from>
    <xdr:to>
      <xdr:col>2</xdr:col>
      <xdr:colOff>622309</xdr:colOff>
      <xdr:row>148</xdr:row>
      <xdr:rowOff>128947</xdr:rowOff>
    </xdr:to>
    <xdr:cxnSp macro="">
      <xdr:nvCxnSpPr>
        <xdr:cNvPr id="182" name="Gerader Verbinder 181">
          <a:extLst>
            <a:ext uri="{FF2B5EF4-FFF2-40B4-BE49-F238E27FC236}">
              <a16:creationId xmlns:a16="http://schemas.microsoft.com/office/drawing/2014/main" id="{2BE0C322-B753-48A3-AB48-8D377290B5B8}"/>
            </a:ext>
          </a:extLst>
        </xdr:cNvPr>
        <xdr:cNvCxnSpPr/>
      </xdr:nvCxnSpPr>
      <xdr:spPr>
        <a:xfrm flipH="1">
          <a:off x="1524000" y="3089152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147</xdr:row>
      <xdr:rowOff>110352</xdr:rowOff>
    </xdr:from>
    <xdr:to>
      <xdr:col>2</xdr:col>
      <xdr:colOff>489404</xdr:colOff>
      <xdr:row>147</xdr:row>
      <xdr:rowOff>110352</xdr:rowOff>
    </xdr:to>
    <xdr:cxnSp macro="">
      <xdr:nvCxnSpPr>
        <xdr:cNvPr id="183" name="Gerader Verbinder 182">
          <a:extLst>
            <a:ext uri="{FF2B5EF4-FFF2-40B4-BE49-F238E27FC236}">
              <a16:creationId xmlns:a16="http://schemas.microsoft.com/office/drawing/2014/main" id="{38B2D312-D868-47FD-BD05-623B6FA73D85}"/>
            </a:ext>
          </a:extLst>
        </xdr:cNvPr>
        <xdr:cNvCxnSpPr/>
      </xdr:nvCxnSpPr>
      <xdr:spPr>
        <a:xfrm flipH="1">
          <a:off x="1714954" y="3069195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149</xdr:row>
      <xdr:rowOff>5896</xdr:rowOff>
    </xdr:from>
    <xdr:to>
      <xdr:col>2</xdr:col>
      <xdr:colOff>498475</xdr:colOff>
      <xdr:row>149</xdr:row>
      <xdr:rowOff>5896</xdr:rowOff>
    </xdr:to>
    <xdr:cxnSp macro="">
      <xdr:nvCxnSpPr>
        <xdr:cNvPr id="184" name="Gerader Verbinder 183">
          <a:extLst>
            <a:ext uri="{FF2B5EF4-FFF2-40B4-BE49-F238E27FC236}">
              <a16:creationId xmlns:a16="http://schemas.microsoft.com/office/drawing/2014/main" id="{CA232F66-062D-4968-A272-F06CEEC63614}"/>
            </a:ext>
          </a:extLst>
        </xdr:cNvPr>
        <xdr:cNvCxnSpPr/>
      </xdr:nvCxnSpPr>
      <xdr:spPr>
        <a:xfrm flipH="1">
          <a:off x="1720850" y="30955796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149</xdr:row>
      <xdr:rowOff>31296</xdr:rowOff>
    </xdr:from>
    <xdr:to>
      <xdr:col>2</xdr:col>
      <xdr:colOff>342900</xdr:colOff>
      <xdr:row>153</xdr:row>
      <xdr:rowOff>76200</xdr:rowOff>
    </xdr:to>
    <xdr:cxnSp macro="">
      <xdr:nvCxnSpPr>
        <xdr:cNvPr id="185" name="Gerader Verbinder 184">
          <a:extLst>
            <a:ext uri="{FF2B5EF4-FFF2-40B4-BE49-F238E27FC236}">
              <a16:creationId xmlns:a16="http://schemas.microsoft.com/office/drawing/2014/main" id="{7FA9236D-5E45-43D6-9D89-6BD7624E7ABB}"/>
            </a:ext>
          </a:extLst>
        </xdr:cNvPr>
        <xdr:cNvCxnSpPr/>
      </xdr:nvCxnSpPr>
      <xdr:spPr>
        <a:xfrm flipH="1">
          <a:off x="1857375" y="31530471"/>
          <a:ext cx="9525" cy="84500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342900</xdr:colOff>
      <xdr:row>153</xdr:row>
      <xdr:rowOff>50346</xdr:rowOff>
    </xdr:from>
    <xdr:to>
      <xdr:col>11</xdr:col>
      <xdr:colOff>402771</xdr:colOff>
      <xdr:row>153</xdr:row>
      <xdr:rowOff>65835</xdr:rowOff>
    </xdr:to>
    <xdr:cxnSp macro="">
      <xdr:nvCxnSpPr>
        <xdr:cNvPr id="186" name="Gerader Verbinder 185">
          <a:extLst>
            <a:ext uri="{FF2B5EF4-FFF2-40B4-BE49-F238E27FC236}">
              <a16:creationId xmlns:a16="http://schemas.microsoft.com/office/drawing/2014/main" id="{55F5153A-F1F6-4A1E-A247-9128DA598938}"/>
            </a:ext>
          </a:extLst>
        </xdr:cNvPr>
        <xdr:cNvCxnSpPr>
          <a:stCxn id="190" idx="6"/>
        </xdr:cNvCxnSpPr>
      </xdr:nvCxnSpPr>
      <xdr:spPr>
        <a:xfrm flipH="1" flipV="1">
          <a:off x="1866900" y="32349621"/>
          <a:ext cx="6917871" cy="154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131</xdr:row>
      <xdr:rowOff>5896</xdr:rowOff>
    </xdr:from>
    <xdr:to>
      <xdr:col>6</xdr:col>
      <xdr:colOff>409575</xdr:colOff>
      <xdr:row>131</xdr:row>
      <xdr:rowOff>108990</xdr:rowOff>
    </xdr:to>
    <xdr:sp macro="" textlink="">
      <xdr:nvSpPr>
        <xdr:cNvPr id="187" name="Ellipse 186">
          <a:extLst>
            <a:ext uri="{FF2B5EF4-FFF2-40B4-BE49-F238E27FC236}">
              <a16:creationId xmlns:a16="http://schemas.microsoft.com/office/drawing/2014/main" id="{A5C8B922-181F-4467-A014-82AB5E7D788B}"/>
            </a:ext>
          </a:extLst>
        </xdr:cNvPr>
        <xdr:cNvSpPr/>
      </xdr:nvSpPr>
      <xdr:spPr>
        <a:xfrm>
          <a:off x="4883150" y="27698246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323850</xdr:colOff>
      <xdr:row>153</xdr:row>
      <xdr:rowOff>26761</xdr:rowOff>
    </xdr:from>
    <xdr:to>
      <xdr:col>6</xdr:col>
      <xdr:colOff>419100</xdr:colOff>
      <xdr:row>153</xdr:row>
      <xdr:rowOff>117155</xdr:rowOff>
    </xdr:to>
    <xdr:sp macro="" textlink="">
      <xdr:nvSpPr>
        <xdr:cNvPr id="189" name="Ellipse 188">
          <a:extLst>
            <a:ext uri="{FF2B5EF4-FFF2-40B4-BE49-F238E27FC236}">
              <a16:creationId xmlns:a16="http://schemas.microsoft.com/office/drawing/2014/main" id="{36AFEAA0-DE57-4CCD-9170-A64F0F8461DA}"/>
            </a:ext>
          </a:extLst>
        </xdr:cNvPr>
        <xdr:cNvSpPr/>
      </xdr:nvSpPr>
      <xdr:spPr>
        <a:xfrm>
          <a:off x="4895850" y="32326036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304346</xdr:colOff>
      <xdr:row>153</xdr:row>
      <xdr:rowOff>19050</xdr:rowOff>
    </xdr:from>
    <xdr:to>
      <xdr:col>11</xdr:col>
      <xdr:colOff>399596</xdr:colOff>
      <xdr:row>153</xdr:row>
      <xdr:rowOff>106269</xdr:rowOff>
    </xdr:to>
    <xdr:sp macro="" textlink="">
      <xdr:nvSpPr>
        <xdr:cNvPr id="190" name="Ellipse 189">
          <a:extLst>
            <a:ext uri="{FF2B5EF4-FFF2-40B4-BE49-F238E27FC236}">
              <a16:creationId xmlns:a16="http://schemas.microsoft.com/office/drawing/2014/main" id="{10DC8C68-7B25-4517-859F-D847D195EFBF}"/>
            </a:ext>
          </a:extLst>
        </xdr:cNvPr>
        <xdr:cNvSpPr/>
      </xdr:nvSpPr>
      <xdr:spPr>
        <a:xfrm>
          <a:off x="8686346" y="32318325"/>
          <a:ext cx="95250" cy="872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29308</xdr:colOff>
      <xdr:row>147</xdr:row>
      <xdr:rowOff>68942</xdr:rowOff>
    </xdr:from>
    <xdr:to>
      <xdr:col>2</xdr:col>
      <xdr:colOff>654966</xdr:colOff>
      <xdr:row>147</xdr:row>
      <xdr:rowOff>73269</xdr:rowOff>
    </xdr:to>
    <xdr:cxnSp macro="">
      <xdr:nvCxnSpPr>
        <xdr:cNvPr id="191" name="Gerader Verbinder 190">
          <a:extLst>
            <a:ext uri="{FF2B5EF4-FFF2-40B4-BE49-F238E27FC236}">
              <a16:creationId xmlns:a16="http://schemas.microsoft.com/office/drawing/2014/main" id="{D359FF8A-3BCF-40CD-A286-FBEB106141E3}"/>
            </a:ext>
          </a:extLst>
        </xdr:cNvPr>
        <xdr:cNvCxnSpPr/>
      </xdr:nvCxnSpPr>
      <xdr:spPr>
        <a:xfrm flipH="1">
          <a:off x="1550133" y="30650542"/>
          <a:ext cx="632008" cy="7502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347889</xdr:colOff>
      <xdr:row>147</xdr:row>
      <xdr:rowOff>107629</xdr:rowOff>
    </xdr:from>
    <xdr:to>
      <xdr:col>2</xdr:col>
      <xdr:colOff>352425</xdr:colOff>
      <xdr:row>148</xdr:row>
      <xdr:rowOff>155254</xdr:rowOff>
    </xdr:to>
    <xdr:cxnSp macro="">
      <xdr:nvCxnSpPr>
        <xdr:cNvPr id="192" name="Gerader Verbinder 191">
          <a:extLst>
            <a:ext uri="{FF2B5EF4-FFF2-40B4-BE49-F238E27FC236}">
              <a16:creationId xmlns:a16="http://schemas.microsoft.com/office/drawing/2014/main" id="{6F854997-B5DA-4CE4-BFF8-CB4FB967F1C1}"/>
            </a:ext>
          </a:extLst>
        </xdr:cNvPr>
        <xdr:cNvCxnSpPr/>
      </xdr:nvCxnSpPr>
      <xdr:spPr>
        <a:xfrm flipH="1">
          <a:off x="1875064" y="30689229"/>
          <a:ext cx="0" cy="2317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297997</xdr:colOff>
      <xdr:row>131</xdr:row>
      <xdr:rowOff>0</xdr:rowOff>
    </xdr:from>
    <xdr:to>
      <xdr:col>11</xdr:col>
      <xdr:colOff>393247</xdr:colOff>
      <xdr:row>131</xdr:row>
      <xdr:rowOff>128494</xdr:rowOff>
    </xdr:to>
    <xdr:sp macro="" textlink="">
      <xdr:nvSpPr>
        <xdr:cNvPr id="193" name="Ellipse 192">
          <a:extLst>
            <a:ext uri="{FF2B5EF4-FFF2-40B4-BE49-F238E27FC236}">
              <a16:creationId xmlns:a16="http://schemas.microsoft.com/office/drawing/2014/main" id="{6C1AB6AD-1650-4BD6-BFD9-AE2763BC9FAE}"/>
            </a:ext>
          </a:extLst>
        </xdr:cNvPr>
        <xdr:cNvSpPr/>
      </xdr:nvSpPr>
      <xdr:spPr>
        <a:xfrm>
          <a:off x="8676822" y="27689175"/>
          <a:ext cx="95250" cy="1253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127874</xdr:colOff>
      <xdr:row>131</xdr:row>
      <xdr:rowOff>131669</xdr:rowOff>
    </xdr:from>
    <xdr:to>
      <xdr:col>11</xdr:col>
      <xdr:colOff>534566</xdr:colOff>
      <xdr:row>140</xdr:row>
      <xdr:rowOff>101896</xdr:rowOff>
    </xdr:to>
    <xdr:grpSp>
      <xdr:nvGrpSpPr>
        <xdr:cNvPr id="194" name="Gruppieren 193">
          <a:extLst>
            <a:ext uri="{FF2B5EF4-FFF2-40B4-BE49-F238E27FC236}">
              <a16:creationId xmlns:a16="http://schemas.microsoft.com/office/drawing/2014/main" id="{E306F9A4-271B-4656-A060-A29BBC3FA228}"/>
            </a:ext>
          </a:extLst>
        </xdr:cNvPr>
        <xdr:cNvGrpSpPr/>
      </xdr:nvGrpSpPr>
      <xdr:grpSpPr>
        <a:xfrm>
          <a:off x="8509874" y="33739044"/>
          <a:ext cx="406692" cy="2605477"/>
          <a:chOff x="8924231" y="3237320"/>
          <a:chExt cx="403919" cy="1617255"/>
        </a:xfrm>
      </xdr:grpSpPr>
      <xdr:sp macro="" textlink="">
        <xdr:nvSpPr>
          <xdr:cNvPr id="195" name="Rechteck 194">
            <a:extLst>
              <a:ext uri="{FF2B5EF4-FFF2-40B4-BE49-F238E27FC236}">
                <a16:creationId xmlns:a16="http://schemas.microsoft.com/office/drawing/2014/main" id="{A8F7CA95-0034-13CE-A862-0D2D43664E79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96" name="Gerader Verbinder 195">
            <a:extLst>
              <a:ext uri="{FF2B5EF4-FFF2-40B4-BE49-F238E27FC236}">
                <a16:creationId xmlns:a16="http://schemas.microsoft.com/office/drawing/2014/main" id="{9BEB0025-BEDF-112E-D29B-3EE27A39E6D6}"/>
              </a:ext>
            </a:extLst>
          </xdr:cNvPr>
          <xdr:cNvCxnSpPr>
            <a:stCxn id="193" idx="4"/>
            <a:endCxn id="195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98" name="Textfeld 197">
            <a:extLst>
              <a:ext uri="{FF2B5EF4-FFF2-40B4-BE49-F238E27FC236}">
                <a16:creationId xmlns:a16="http://schemas.microsoft.com/office/drawing/2014/main" id="{CED70750-9D26-F5FE-60DA-1D62C5107283}"/>
              </a:ext>
            </a:extLst>
          </xdr:cNvPr>
          <xdr:cNvSpPr txBox="1"/>
        </xdr:nvSpPr>
        <xdr:spPr>
          <a:xfrm rot="5400000">
            <a:off x="8938018" y="3980913"/>
            <a:ext cx="375094" cy="40266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6</a:t>
            </a:r>
          </a:p>
        </xdr:txBody>
      </xdr:sp>
    </xdr:grpSp>
    <xdr:clientData/>
  </xdr:twoCellAnchor>
  <xdr:twoCellAnchor>
    <xdr:from>
      <xdr:col>7</xdr:col>
      <xdr:colOff>614080</xdr:colOff>
      <xdr:row>171</xdr:row>
      <xdr:rowOff>105476</xdr:rowOff>
    </xdr:from>
    <xdr:to>
      <xdr:col>8</xdr:col>
      <xdr:colOff>328974</xdr:colOff>
      <xdr:row>191</xdr:row>
      <xdr:rowOff>120651</xdr:rowOff>
    </xdr:to>
    <xdr:grpSp>
      <xdr:nvGrpSpPr>
        <xdr:cNvPr id="199" name="Gruppieren 198">
          <a:extLst>
            <a:ext uri="{FF2B5EF4-FFF2-40B4-BE49-F238E27FC236}">
              <a16:creationId xmlns:a16="http://schemas.microsoft.com/office/drawing/2014/main" id="{F995D911-EDA8-4888-87BE-87FD6AC5D704}"/>
            </a:ext>
          </a:extLst>
        </xdr:cNvPr>
        <xdr:cNvGrpSpPr/>
      </xdr:nvGrpSpPr>
      <xdr:grpSpPr>
        <a:xfrm>
          <a:off x="5948080" y="41809101"/>
          <a:ext cx="476894" cy="5269800"/>
          <a:chOff x="8959850" y="3318320"/>
          <a:chExt cx="465916" cy="4346414"/>
        </a:xfrm>
      </xdr:grpSpPr>
      <xdr:sp macro="" textlink="">
        <xdr:nvSpPr>
          <xdr:cNvPr id="200" name="Rechteck 199">
            <a:extLst>
              <a:ext uri="{FF2B5EF4-FFF2-40B4-BE49-F238E27FC236}">
                <a16:creationId xmlns:a16="http://schemas.microsoft.com/office/drawing/2014/main" id="{D2F77EA9-22DC-40AF-295D-36B9DAD475C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1" name="Gerader Verbinder 200">
            <a:extLst>
              <a:ext uri="{FF2B5EF4-FFF2-40B4-BE49-F238E27FC236}">
                <a16:creationId xmlns:a16="http://schemas.microsoft.com/office/drawing/2014/main" id="{31A0BA4A-9D66-D66F-1846-34261AAA51C0}"/>
              </a:ext>
            </a:extLst>
          </xdr:cNvPr>
          <xdr:cNvCxnSpPr>
            <a:stCxn id="224" idx="4"/>
            <a:endCxn id="200" idx="0"/>
          </xdr:cNvCxnSpPr>
        </xdr:nvCxnSpPr>
        <xdr:spPr>
          <a:xfrm flipH="1">
            <a:off x="9145588" y="3318320"/>
            <a:ext cx="809" cy="459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2" name="Gerader Verbinder 201">
            <a:extLst>
              <a:ext uri="{FF2B5EF4-FFF2-40B4-BE49-F238E27FC236}">
                <a16:creationId xmlns:a16="http://schemas.microsoft.com/office/drawing/2014/main" id="{DD01A19C-C130-8A9A-064E-59EA887A392C}"/>
              </a:ext>
            </a:extLst>
          </xdr:cNvPr>
          <xdr:cNvCxnSpPr>
            <a:stCxn id="200" idx="2"/>
          </xdr:cNvCxnSpPr>
        </xdr:nvCxnSpPr>
        <xdr:spPr>
          <a:xfrm flipH="1">
            <a:off x="9123021" y="4854574"/>
            <a:ext cx="22567" cy="281016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3" name="Textfeld 202">
            <a:extLst>
              <a:ext uri="{FF2B5EF4-FFF2-40B4-BE49-F238E27FC236}">
                <a16:creationId xmlns:a16="http://schemas.microsoft.com/office/drawing/2014/main" id="{36435FE7-C2D9-2BFA-2D75-AAF114A7CD53}"/>
              </a:ext>
            </a:extLst>
          </xdr:cNvPr>
          <xdr:cNvSpPr txBox="1"/>
        </xdr:nvSpPr>
        <xdr:spPr>
          <a:xfrm rot="5400000">
            <a:off x="8751998" y="4008615"/>
            <a:ext cx="884094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</a:t>
            </a:r>
          </a:p>
        </xdr:txBody>
      </xdr:sp>
    </xdr:grpSp>
    <xdr:clientData/>
  </xdr:twoCellAnchor>
  <xdr:twoCellAnchor>
    <xdr:from>
      <xdr:col>6</xdr:col>
      <xdr:colOff>172893</xdr:colOff>
      <xdr:row>171</xdr:row>
      <xdr:rowOff>102639</xdr:rowOff>
    </xdr:from>
    <xdr:to>
      <xdr:col>6</xdr:col>
      <xdr:colOff>592945</xdr:colOff>
      <xdr:row>191</xdr:row>
      <xdr:rowOff>85726</xdr:rowOff>
    </xdr:to>
    <xdr:grpSp>
      <xdr:nvGrpSpPr>
        <xdr:cNvPr id="204" name="Gruppieren 203">
          <a:extLst>
            <a:ext uri="{FF2B5EF4-FFF2-40B4-BE49-F238E27FC236}">
              <a16:creationId xmlns:a16="http://schemas.microsoft.com/office/drawing/2014/main" id="{F38047DF-0EDF-4CE3-9A04-E68789210C06}"/>
            </a:ext>
          </a:extLst>
        </xdr:cNvPr>
        <xdr:cNvGrpSpPr/>
      </xdr:nvGrpSpPr>
      <xdr:grpSpPr>
        <a:xfrm>
          <a:off x="4744893" y="41806264"/>
          <a:ext cx="420052" cy="5237712"/>
          <a:chOff x="8962537" y="3292557"/>
          <a:chExt cx="411552" cy="3962878"/>
        </a:xfrm>
      </xdr:grpSpPr>
      <xdr:sp macro="" textlink="">
        <xdr:nvSpPr>
          <xdr:cNvPr id="205" name="Rechteck 204">
            <a:extLst>
              <a:ext uri="{FF2B5EF4-FFF2-40B4-BE49-F238E27FC236}">
                <a16:creationId xmlns:a16="http://schemas.microsoft.com/office/drawing/2014/main" id="{32543ED6-E5FA-A2FE-3A58-149B428F9885}"/>
              </a:ext>
            </a:extLst>
          </xdr:cNvPr>
          <xdr:cNvSpPr/>
        </xdr:nvSpPr>
        <xdr:spPr>
          <a:xfrm>
            <a:off x="8962537" y="3779798"/>
            <a:ext cx="369068" cy="1075901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6" name="Gerader Verbinder 205">
            <a:extLst>
              <a:ext uri="{FF2B5EF4-FFF2-40B4-BE49-F238E27FC236}">
                <a16:creationId xmlns:a16="http://schemas.microsoft.com/office/drawing/2014/main" id="{CDBB4975-F86F-9934-9FA9-D7AD4EC39050}"/>
              </a:ext>
            </a:extLst>
          </xdr:cNvPr>
          <xdr:cNvCxnSpPr>
            <a:stCxn id="220" idx="4"/>
            <a:endCxn id="205" idx="0"/>
          </xdr:cNvCxnSpPr>
        </xdr:nvCxnSpPr>
        <xdr:spPr>
          <a:xfrm>
            <a:off x="9144658" y="3292557"/>
            <a:ext cx="2414" cy="48724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7" name="Gerader Verbinder 206">
            <a:extLst>
              <a:ext uri="{FF2B5EF4-FFF2-40B4-BE49-F238E27FC236}">
                <a16:creationId xmlns:a16="http://schemas.microsoft.com/office/drawing/2014/main" id="{A9A82670-0FDA-D367-7EE9-AB81D9FA1BE6}"/>
              </a:ext>
            </a:extLst>
          </xdr:cNvPr>
          <xdr:cNvCxnSpPr>
            <a:stCxn id="205" idx="2"/>
          </xdr:cNvCxnSpPr>
        </xdr:nvCxnSpPr>
        <xdr:spPr>
          <a:xfrm flipH="1">
            <a:off x="9129104" y="4855699"/>
            <a:ext cx="17968" cy="23997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8" name="Textfeld 207">
            <a:extLst>
              <a:ext uri="{FF2B5EF4-FFF2-40B4-BE49-F238E27FC236}">
                <a16:creationId xmlns:a16="http://schemas.microsoft.com/office/drawing/2014/main" id="{1E8E5C81-F876-E383-D588-ABCB45D0CB2C}"/>
              </a:ext>
            </a:extLst>
          </xdr:cNvPr>
          <xdr:cNvSpPr txBox="1"/>
        </xdr:nvSpPr>
        <xdr:spPr>
          <a:xfrm rot="5400000">
            <a:off x="8935183" y="3943138"/>
            <a:ext cx="477994" cy="39981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183822</xdr:colOff>
      <xdr:row>171</xdr:row>
      <xdr:rowOff>69396</xdr:rowOff>
    </xdr:from>
    <xdr:to>
      <xdr:col>2</xdr:col>
      <xdr:colOff>610530</xdr:colOff>
      <xdr:row>187</xdr:row>
      <xdr:rowOff>68943</xdr:rowOff>
    </xdr:to>
    <xdr:grpSp>
      <xdr:nvGrpSpPr>
        <xdr:cNvPr id="209" name="Gruppieren 208">
          <a:extLst>
            <a:ext uri="{FF2B5EF4-FFF2-40B4-BE49-F238E27FC236}">
              <a16:creationId xmlns:a16="http://schemas.microsoft.com/office/drawing/2014/main" id="{F5EC0718-07B1-4E57-B891-01B6A170B751}"/>
            </a:ext>
          </a:extLst>
        </xdr:cNvPr>
        <xdr:cNvGrpSpPr/>
      </xdr:nvGrpSpPr>
      <xdr:grpSpPr>
        <a:xfrm>
          <a:off x="1707822" y="41773021"/>
          <a:ext cx="426708" cy="4349297"/>
          <a:chOff x="8959850" y="3254331"/>
          <a:chExt cx="439393" cy="3010540"/>
        </a:xfrm>
      </xdr:grpSpPr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A3562E13-4177-5780-4738-FAEE497EF4F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11" name="Gerader Verbinder 210">
            <a:extLst>
              <a:ext uri="{FF2B5EF4-FFF2-40B4-BE49-F238E27FC236}">
                <a16:creationId xmlns:a16="http://schemas.microsoft.com/office/drawing/2014/main" id="{1F098B79-B118-B4FA-0B03-0D7FA586F417}"/>
              </a:ext>
            </a:extLst>
          </xdr:cNvPr>
          <xdr:cNvCxnSpPr>
            <a:endCxn id="210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12" name="Gerader Verbinder 211">
            <a:extLst>
              <a:ext uri="{FF2B5EF4-FFF2-40B4-BE49-F238E27FC236}">
                <a16:creationId xmlns:a16="http://schemas.microsoft.com/office/drawing/2014/main" id="{54BAEF03-DB82-CAAD-E0A7-72AB83C208D4}"/>
              </a:ext>
            </a:extLst>
          </xdr:cNvPr>
          <xdr:cNvCxnSpPr>
            <a:stCxn id="210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3" name="Textfeld 212">
            <a:extLst>
              <a:ext uri="{FF2B5EF4-FFF2-40B4-BE49-F238E27FC236}">
                <a16:creationId xmlns:a16="http://schemas.microsoft.com/office/drawing/2014/main" id="{EAFF9617-70B5-EA95-6A3E-86CAF79EEE87}"/>
              </a:ext>
            </a:extLst>
          </xdr:cNvPr>
          <xdr:cNvSpPr txBox="1"/>
        </xdr:nvSpPr>
        <xdr:spPr>
          <a:xfrm rot="5400000">
            <a:off x="8969083" y="3981791"/>
            <a:ext cx="442835" cy="4174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171</xdr:row>
      <xdr:rowOff>61377</xdr:rowOff>
    </xdr:from>
    <xdr:to>
      <xdr:col>8</xdr:col>
      <xdr:colOff>21375</xdr:colOff>
      <xdr:row>171</xdr:row>
      <xdr:rowOff>66221</xdr:rowOff>
    </xdr:to>
    <xdr:cxnSp macro="">
      <xdr:nvCxnSpPr>
        <xdr:cNvPr id="214" name="Gerader Verbinder 213">
          <a:extLst>
            <a:ext uri="{FF2B5EF4-FFF2-40B4-BE49-F238E27FC236}">
              <a16:creationId xmlns:a16="http://schemas.microsoft.com/office/drawing/2014/main" id="{7DC20548-4F80-4A87-8A97-D4C53159207A}"/>
            </a:ext>
          </a:extLst>
        </xdr:cNvPr>
        <xdr:cNvCxnSpPr>
          <a:stCxn id="224" idx="6"/>
        </xdr:cNvCxnSpPr>
      </xdr:nvCxnSpPr>
      <xdr:spPr>
        <a:xfrm flipH="1">
          <a:off x="1885950" y="35897602"/>
          <a:ext cx="4231425" cy="484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188</xdr:row>
      <xdr:rowOff>122597</xdr:rowOff>
    </xdr:from>
    <xdr:to>
      <xdr:col>2</xdr:col>
      <xdr:colOff>615959</xdr:colOff>
      <xdr:row>188</xdr:row>
      <xdr:rowOff>122597</xdr:rowOff>
    </xdr:to>
    <xdr:cxnSp macro="">
      <xdr:nvCxnSpPr>
        <xdr:cNvPr id="215" name="Gerader Verbinder 214">
          <a:extLst>
            <a:ext uri="{FF2B5EF4-FFF2-40B4-BE49-F238E27FC236}">
              <a16:creationId xmlns:a16="http://schemas.microsoft.com/office/drawing/2014/main" id="{ED87840F-5354-45CC-8184-5489CB61337D}"/>
            </a:ext>
          </a:extLst>
        </xdr:cNvPr>
        <xdr:cNvCxnSpPr/>
      </xdr:nvCxnSpPr>
      <xdr:spPr>
        <a:xfrm flipH="1">
          <a:off x="1524000" y="39035397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187</xdr:row>
      <xdr:rowOff>104002</xdr:rowOff>
    </xdr:from>
    <xdr:to>
      <xdr:col>2</xdr:col>
      <xdr:colOff>483054</xdr:colOff>
      <xdr:row>187</xdr:row>
      <xdr:rowOff>104002</xdr:rowOff>
    </xdr:to>
    <xdr:cxnSp macro="">
      <xdr:nvCxnSpPr>
        <xdr:cNvPr id="216" name="Gerader Verbinder 215">
          <a:extLst>
            <a:ext uri="{FF2B5EF4-FFF2-40B4-BE49-F238E27FC236}">
              <a16:creationId xmlns:a16="http://schemas.microsoft.com/office/drawing/2014/main" id="{0DDF0A28-C692-43FC-B3A4-C3F83F0DAC82}"/>
            </a:ext>
          </a:extLst>
        </xdr:cNvPr>
        <xdr:cNvCxnSpPr/>
      </xdr:nvCxnSpPr>
      <xdr:spPr>
        <a:xfrm flipH="1">
          <a:off x="1714954" y="3883582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171450</xdr:colOff>
      <xdr:row>188</xdr:row>
      <xdr:rowOff>170996</xdr:rowOff>
    </xdr:from>
    <xdr:to>
      <xdr:col>2</xdr:col>
      <xdr:colOff>476250</xdr:colOff>
      <xdr:row>188</xdr:row>
      <xdr:rowOff>170996</xdr:rowOff>
    </xdr:to>
    <xdr:cxnSp macro="">
      <xdr:nvCxnSpPr>
        <xdr:cNvPr id="217" name="Gerader Verbinder 216">
          <a:extLst>
            <a:ext uri="{FF2B5EF4-FFF2-40B4-BE49-F238E27FC236}">
              <a16:creationId xmlns:a16="http://schemas.microsoft.com/office/drawing/2014/main" id="{76C59095-DA85-428E-8640-7C5B9B517FF9}"/>
            </a:ext>
          </a:extLst>
        </xdr:cNvPr>
        <xdr:cNvCxnSpPr/>
      </xdr:nvCxnSpPr>
      <xdr:spPr>
        <a:xfrm flipH="1">
          <a:off x="1695450" y="40014071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352425</xdr:colOff>
      <xdr:row>188</xdr:row>
      <xdr:rowOff>190500</xdr:rowOff>
    </xdr:from>
    <xdr:to>
      <xdr:col>2</xdr:col>
      <xdr:colOff>354750</xdr:colOff>
      <xdr:row>191</xdr:row>
      <xdr:rowOff>95155</xdr:rowOff>
    </xdr:to>
    <xdr:cxnSp macro="">
      <xdr:nvCxnSpPr>
        <xdr:cNvPr id="218" name="Gerader Verbinder 217">
          <a:extLst>
            <a:ext uri="{FF2B5EF4-FFF2-40B4-BE49-F238E27FC236}">
              <a16:creationId xmlns:a16="http://schemas.microsoft.com/office/drawing/2014/main" id="{3AFA8C21-4AA7-4007-95DE-582BF8255A5D}"/>
            </a:ext>
          </a:extLst>
        </xdr:cNvPr>
        <xdr:cNvCxnSpPr>
          <a:endCxn id="226" idx="4"/>
        </xdr:cNvCxnSpPr>
      </xdr:nvCxnSpPr>
      <xdr:spPr>
        <a:xfrm>
          <a:off x="1876425" y="40033575"/>
          <a:ext cx="2325" cy="100955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191</xdr:row>
      <xdr:rowOff>69395</xdr:rowOff>
    </xdr:from>
    <xdr:to>
      <xdr:col>7</xdr:col>
      <xdr:colOff>715451</xdr:colOff>
      <xdr:row>191</xdr:row>
      <xdr:rowOff>106518</xdr:rowOff>
    </xdr:to>
    <xdr:cxnSp macro="">
      <xdr:nvCxnSpPr>
        <xdr:cNvPr id="219" name="Gerader Verbinder 218">
          <a:extLst>
            <a:ext uri="{FF2B5EF4-FFF2-40B4-BE49-F238E27FC236}">
              <a16:creationId xmlns:a16="http://schemas.microsoft.com/office/drawing/2014/main" id="{6B33C268-E793-489F-B53B-8E28197B5D0D}"/>
            </a:ext>
          </a:extLst>
        </xdr:cNvPr>
        <xdr:cNvCxnSpPr>
          <a:cxnSpLocks/>
          <a:stCxn id="225" idx="5"/>
        </xdr:cNvCxnSpPr>
      </xdr:nvCxnSpPr>
      <xdr:spPr>
        <a:xfrm flipH="1" flipV="1">
          <a:off x="1857375" y="41017370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171</xdr:row>
      <xdr:rowOff>12246</xdr:rowOff>
    </xdr:from>
    <xdr:to>
      <xdr:col>6</xdr:col>
      <xdr:colOff>409575</xdr:colOff>
      <xdr:row>171</xdr:row>
      <xdr:rowOff>102640</xdr:rowOff>
    </xdr:to>
    <xdr:sp macro="" textlink="">
      <xdr:nvSpPr>
        <xdr:cNvPr id="220" name="Ellipse 219">
          <a:extLst>
            <a:ext uri="{FF2B5EF4-FFF2-40B4-BE49-F238E27FC236}">
              <a16:creationId xmlns:a16="http://schemas.microsoft.com/office/drawing/2014/main" id="{D4308A23-A7C1-4D63-AD96-3982ABD1D02E}"/>
            </a:ext>
          </a:extLst>
        </xdr:cNvPr>
        <xdr:cNvSpPr/>
      </xdr:nvSpPr>
      <xdr:spPr>
        <a:xfrm>
          <a:off x="4883150" y="35842121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314325</xdr:colOff>
      <xdr:row>191</xdr:row>
      <xdr:rowOff>45810</xdr:rowOff>
    </xdr:from>
    <xdr:to>
      <xdr:col>6</xdr:col>
      <xdr:colOff>409575</xdr:colOff>
      <xdr:row>191</xdr:row>
      <xdr:rowOff>136204</xdr:rowOff>
    </xdr:to>
    <xdr:sp macro="" textlink="">
      <xdr:nvSpPr>
        <xdr:cNvPr id="221" name="Ellipse 220">
          <a:extLst>
            <a:ext uri="{FF2B5EF4-FFF2-40B4-BE49-F238E27FC236}">
              <a16:creationId xmlns:a16="http://schemas.microsoft.com/office/drawing/2014/main" id="{E174DE91-76D0-48A6-9EA1-4F500765EA3C}"/>
            </a:ext>
          </a:extLst>
        </xdr:cNvPr>
        <xdr:cNvSpPr/>
      </xdr:nvSpPr>
      <xdr:spPr>
        <a:xfrm>
          <a:off x="4886325" y="40993785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73269</xdr:colOff>
      <xdr:row>187</xdr:row>
      <xdr:rowOff>65943</xdr:rowOff>
    </xdr:from>
    <xdr:to>
      <xdr:col>2</xdr:col>
      <xdr:colOff>654966</xdr:colOff>
      <xdr:row>187</xdr:row>
      <xdr:rowOff>68942</xdr:rowOff>
    </xdr:to>
    <xdr:cxnSp macro="">
      <xdr:nvCxnSpPr>
        <xdr:cNvPr id="222" name="Gerader Verbinder 221">
          <a:extLst>
            <a:ext uri="{FF2B5EF4-FFF2-40B4-BE49-F238E27FC236}">
              <a16:creationId xmlns:a16="http://schemas.microsoft.com/office/drawing/2014/main" id="{CF2EFF0F-AC3E-453B-AC00-77A94185D518}"/>
            </a:ext>
          </a:extLst>
        </xdr:cNvPr>
        <xdr:cNvCxnSpPr/>
      </xdr:nvCxnSpPr>
      <xdr:spPr>
        <a:xfrm flipH="1" flipV="1">
          <a:off x="1597269" y="38797768"/>
          <a:ext cx="584872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351064</xdr:colOff>
      <xdr:row>187</xdr:row>
      <xdr:rowOff>104454</xdr:rowOff>
    </xdr:from>
    <xdr:to>
      <xdr:col>2</xdr:col>
      <xdr:colOff>352425</xdr:colOff>
      <xdr:row>188</xdr:row>
      <xdr:rowOff>123825</xdr:rowOff>
    </xdr:to>
    <xdr:cxnSp macro="">
      <xdr:nvCxnSpPr>
        <xdr:cNvPr id="223" name="Gerader Verbinder 222">
          <a:extLst>
            <a:ext uri="{FF2B5EF4-FFF2-40B4-BE49-F238E27FC236}">
              <a16:creationId xmlns:a16="http://schemas.microsoft.com/office/drawing/2014/main" id="{BD1D44ED-7BB7-45B9-ACB5-205DEF0BB48D}"/>
            </a:ext>
          </a:extLst>
        </xdr:cNvPr>
        <xdr:cNvCxnSpPr/>
      </xdr:nvCxnSpPr>
      <xdr:spPr>
        <a:xfrm>
          <a:off x="1875064" y="39566529"/>
          <a:ext cx="1361" cy="400371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171</xdr:row>
      <xdr:rowOff>17279</xdr:rowOff>
    </xdr:from>
    <xdr:to>
      <xdr:col>8</xdr:col>
      <xdr:colOff>21375</xdr:colOff>
      <xdr:row>171</xdr:row>
      <xdr:rowOff>102300</xdr:rowOff>
    </xdr:to>
    <xdr:sp macro="" textlink="">
      <xdr:nvSpPr>
        <xdr:cNvPr id="224" name="Ellipse 223">
          <a:extLst>
            <a:ext uri="{FF2B5EF4-FFF2-40B4-BE49-F238E27FC236}">
              <a16:creationId xmlns:a16="http://schemas.microsoft.com/office/drawing/2014/main" id="{263255F5-61F7-4019-80D1-24664C605C6B}"/>
            </a:ext>
          </a:extLst>
        </xdr:cNvPr>
        <xdr:cNvSpPr/>
      </xdr:nvSpPr>
      <xdr:spPr>
        <a:xfrm>
          <a:off x="6022125" y="35850329"/>
          <a:ext cx="95250" cy="8819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637325</xdr:colOff>
      <xdr:row>191</xdr:row>
      <xdr:rowOff>18073</xdr:rowOff>
    </xdr:from>
    <xdr:to>
      <xdr:col>7</xdr:col>
      <xdr:colOff>732575</xdr:colOff>
      <xdr:row>191</xdr:row>
      <xdr:rowOff>122144</xdr:rowOff>
    </xdr:to>
    <xdr:sp macro="" textlink="">
      <xdr:nvSpPr>
        <xdr:cNvPr id="225" name="Ellipse 224">
          <a:extLst>
            <a:ext uri="{FF2B5EF4-FFF2-40B4-BE49-F238E27FC236}">
              <a16:creationId xmlns:a16="http://schemas.microsoft.com/office/drawing/2014/main" id="{EA49E4E9-B81C-4465-9A2D-A5D621B664EE}"/>
            </a:ext>
          </a:extLst>
        </xdr:cNvPr>
        <xdr:cNvSpPr/>
      </xdr:nvSpPr>
      <xdr:spPr>
        <a:xfrm>
          <a:off x="5971325" y="40966048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307125</xdr:colOff>
      <xdr:row>190</xdr:row>
      <xdr:rowOff>381609</xdr:rowOff>
    </xdr:from>
    <xdr:to>
      <xdr:col>2</xdr:col>
      <xdr:colOff>402375</xdr:colOff>
      <xdr:row>191</xdr:row>
      <xdr:rowOff>95155</xdr:rowOff>
    </xdr:to>
    <xdr:sp macro="" textlink="">
      <xdr:nvSpPr>
        <xdr:cNvPr id="226" name="Ellipse 225">
          <a:extLst>
            <a:ext uri="{FF2B5EF4-FFF2-40B4-BE49-F238E27FC236}">
              <a16:creationId xmlns:a16="http://schemas.microsoft.com/office/drawing/2014/main" id="{6E551A18-706D-436D-A9A5-D20C9745BD49}"/>
            </a:ext>
          </a:extLst>
        </xdr:cNvPr>
        <xdr:cNvSpPr/>
      </xdr:nvSpPr>
      <xdr:spPr>
        <a:xfrm>
          <a:off x="1831125" y="40939059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541573</xdr:colOff>
      <xdr:row>214</xdr:row>
      <xdr:rowOff>83704</xdr:rowOff>
    </xdr:from>
    <xdr:to>
      <xdr:col>8</xdr:col>
      <xdr:colOff>266550</xdr:colOff>
      <xdr:row>236</xdr:row>
      <xdr:rowOff>190500</xdr:rowOff>
    </xdr:to>
    <xdr:grpSp>
      <xdr:nvGrpSpPr>
        <xdr:cNvPr id="227" name="Gruppieren 226">
          <a:extLst>
            <a:ext uri="{FF2B5EF4-FFF2-40B4-BE49-F238E27FC236}">
              <a16:creationId xmlns:a16="http://schemas.microsoft.com/office/drawing/2014/main" id="{CE35614E-2981-4322-A02D-0976D488B0BA}"/>
            </a:ext>
          </a:extLst>
        </xdr:cNvPr>
        <xdr:cNvGrpSpPr/>
      </xdr:nvGrpSpPr>
      <xdr:grpSpPr>
        <a:xfrm>
          <a:off x="5875573" y="50232829"/>
          <a:ext cx="486977" cy="5551921"/>
          <a:chOff x="8959850" y="2289804"/>
          <a:chExt cx="495429" cy="5374930"/>
        </a:xfrm>
      </xdr:grpSpPr>
      <xdr:sp macro="" textlink="">
        <xdr:nvSpPr>
          <xdr:cNvPr id="228" name="Rechteck 227">
            <a:extLst>
              <a:ext uri="{FF2B5EF4-FFF2-40B4-BE49-F238E27FC236}">
                <a16:creationId xmlns:a16="http://schemas.microsoft.com/office/drawing/2014/main" id="{5A711B8F-BB6C-A73F-62C8-77FC98DE0F76}"/>
              </a:ext>
            </a:extLst>
          </xdr:cNvPr>
          <xdr:cNvSpPr/>
        </xdr:nvSpPr>
        <xdr:spPr>
          <a:xfrm>
            <a:off x="8959850" y="3778250"/>
            <a:ext cx="396148" cy="1420372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29" name="Gerader Verbinder 228">
            <a:extLst>
              <a:ext uri="{FF2B5EF4-FFF2-40B4-BE49-F238E27FC236}">
                <a16:creationId xmlns:a16="http://schemas.microsoft.com/office/drawing/2014/main" id="{4CE35CA0-DBB8-F2FE-7BCE-B8D666ADFCAA}"/>
              </a:ext>
            </a:extLst>
          </xdr:cNvPr>
          <xdr:cNvCxnSpPr>
            <a:stCxn id="245" idx="4"/>
            <a:endCxn id="228" idx="0"/>
          </xdr:cNvCxnSpPr>
        </xdr:nvCxnSpPr>
        <xdr:spPr>
          <a:xfrm>
            <a:off x="9154515" y="2289804"/>
            <a:ext cx="3409" cy="14884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0" name="Gerader Verbinder 229">
            <a:extLst>
              <a:ext uri="{FF2B5EF4-FFF2-40B4-BE49-F238E27FC236}">
                <a16:creationId xmlns:a16="http://schemas.microsoft.com/office/drawing/2014/main" id="{F8E19461-3A15-4F10-9E6C-29D2173DC9D2}"/>
              </a:ext>
            </a:extLst>
          </xdr:cNvPr>
          <xdr:cNvCxnSpPr>
            <a:stCxn id="228" idx="2"/>
          </xdr:cNvCxnSpPr>
        </xdr:nvCxnSpPr>
        <xdr:spPr>
          <a:xfrm flipH="1">
            <a:off x="9123021" y="5198622"/>
            <a:ext cx="34903" cy="246611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1" name="Textfeld 230">
            <a:extLst>
              <a:ext uri="{FF2B5EF4-FFF2-40B4-BE49-F238E27FC236}">
                <a16:creationId xmlns:a16="http://schemas.microsoft.com/office/drawing/2014/main" id="{28B878FC-A94D-3D3E-2413-6B3F9F855466}"/>
              </a:ext>
            </a:extLst>
          </xdr:cNvPr>
          <xdr:cNvSpPr txBox="1"/>
        </xdr:nvSpPr>
        <xdr:spPr>
          <a:xfrm rot="5400000">
            <a:off x="8365960" y="4423745"/>
            <a:ext cx="1705171" cy="47346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123456789</a:t>
            </a:r>
          </a:p>
        </xdr:txBody>
      </xdr:sp>
    </xdr:grpSp>
    <xdr:clientData/>
  </xdr:twoCellAnchor>
  <xdr:twoCellAnchor>
    <xdr:from>
      <xdr:col>2</xdr:col>
      <xdr:colOff>164181</xdr:colOff>
      <xdr:row>214</xdr:row>
      <xdr:rowOff>53975</xdr:rowOff>
    </xdr:from>
    <xdr:to>
      <xdr:col>2</xdr:col>
      <xdr:colOff>637920</xdr:colOff>
      <xdr:row>230</xdr:row>
      <xdr:rowOff>50347</xdr:rowOff>
    </xdr:to>
    <xdr:grpSp>
      <xdr:nvGrpSpPr>
        <xdr:cNvPr id="232" name="Gruppieren 231">
          <a:extLst>
            <a:ext uri="{FF2B5EF4-FFF2-40B4-BE49-F238E27FC236}">
              <a16:creationId xmlns:a16="http://schemas.microsoft.com/office/drawing/2014/main" id="{162CA9EB-077B-435A-A434-4A3FEB5FF94B}"/>
            </a:ext>
          </a:extLst>
        </xdr:cNvPr>
        <xdr:cNvGrpSpPr/>
      </xdr:nvGrpSpPr>
      <xdr:grpSpPr>
        <a:xfrm>
          <a:off x="1688181" y="50203100"/>
          <a:ext cx="473739" cy="4092122"/>
          <a:chOff x="8939955" y="3254331"/>
          <a:chExt cx="487058" cy="3010540"/>
        </a:xfrm>
      </xdr:grpSpPr>
      <xdr:sp macro="" textlink="">
        <xdr:nvSpPr>
          <xdr:cNvPr id="233" name="Rechteck 232">
            <a:extLst>
              <a:ext uri="{FF2B5EF4-FFF2-40B4-BE49-F238E27FC236}">
                <a16:creationId xmlns:a16="http://schemas.microsoft.com/office/drawing/2014/main" id="{C702BAC5-E5F8-62C5-9A42-D08FB22E486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34" name="Gerader Verbinder 233">
            <a:extLst>
              <a:ext uri="{FF2B5EF4-FFF2-40B4-BE49-F238E27FC236}">
                <a16:creationId xmlns:a16="http://schemas.microsoft.com/office/drawing/2014/main" id="{03B1E5B0-8EA3-EB1D-9FD8-A8A14425E899}"/>
              </a:ext>
            </a:extLst>
          </xdr:cNvPr>
          <xdr:cNvCxnSpPr>
            <a:endCxn id="23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5" name="Gerader Verbinder 234">
            <a:extLst>
              <a:ext uri="{FF2B5EF4-FFF2-40B4-BE49-F238E27FC236}">
                <a16:creationId xmlns:a16="http://schemas.microsoft.com/office/drawing/2014/main" id="{27409DA4-3FD8-F4E3-8A31-BB3980E26573}"/>
              </a:ext>
            </a:extLst>
          </xdr:cNvPr>
          <xdr:cNvCxnSpPr>
            <a:stCxn id="23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6" name="Textfeld 235">
            <a:extLst>
              <a:ext uri="{FF2B5EF4-FFF2-40B4-BE49-F238E27FC236}">
                <a16:creationId xmlns:a16="http://schemas.microsoft.com/office/drawing/2014/main" id="{CF1CE4F1-2705-51F4-4E46-D16FEBB6E4F1}"/>
              </a:ext>
            </a:extLst>
          </xdr:cNvPr>
          <xdr:cNvSpPr txBox="1"/>
        </xdr:nvSpPr>
        <xdr:spPr>
          <a:xfrm rot="5400000">
            <a:off x="8968748" y="3866702"/>
            <a:ext cx="429471" cy="48705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214</xdr:row>
      <xdr:rowOff>55481</xdr:rowOff>
    </xdr:from>
    <xdr:to>
      <xdr:col>8</xdr:col>
      <xdr:colOff>21375</xdr:colOff>
      <xdr:row>214</xdr:row>
      <xdr:rowOff>55481</xdr:rowOff>
    </xdr:to>
    <xdr:cxnSp macro="">
      <xdr:nvCxnSpPr>
        <xdr:cNvPr id="237" name="Gerader Verbinder 236">
          <a:extLst>
            <a:ext uri="{FF2B5EF4-FFF2-40B4-BE49-F238E27FC236}">
              <a16:creationId xmlns:a16="http://schemas.microsoft.com/office/drawing/2014/main" id="{04ADF779-7DE1-473C-8750-C4237A57A0F0}"/>
            </a:ext>
          </a:extLst>
        </xdr:cNvPr>
        <xdr:cNvCxnSpPr>
          <a:stCxn id="245" idx="6"/>
        </xdr:cNvCxnSpPr>
      </xdr:nvCxnSpPr>
      <xdr:spPr>
        <a:xfrm flipH="1">
          <a:off x="1885950" y="45299231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231</xdr:row>
      <xdr:rowOff>110351</xdr:rowOff>
    </xdr:from>
    <xdr:to>
      <xdr:col>2</xdr:col>
      <xdr:colOff>615959</xdr:colOff>
      <xdr:row>231</xdr:row>
      <xdr:rowOff>110351</xdr:rowOff>
    </xdr:to>
    <xdr:cxnSp macro="">
      <xdr:nvCxnSpPr>
        <xdr:cNvPr id="238" name="Gerader Verbinder 237">
          <a:extLst>
            <a:ext uri="{FF2B5EF4-FFF2-40B4-BE49-F238E27FC236}">
              <a16:creationId xmlns:a16="http://schemas.microsoft.com/office/drawing/2014/main" id="{E40AFB32-7E1A-45C4-B2D3-F0F94F825461}"/>
            </a:ext>
          </a:extLst>
        </xdr:cNvPr>
        <xdr:cNvCxnSpPr/>
      </xdr:nvCxnSpPr>
      <xdr:spPr>
        <a:xfrm flipH="1">
          <a:off x="1524000" y="48427501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230</xdr:row>
      <xdr:rowOff>91756</xdr:rowOff>
    </xdr:from>
    <xdr:to>
      <xdr:col>2</xdr:col>
      <xdr:colOff>483054</xdr:colOff>
      <xdr:row>230</xdr:row>
      <xdr:rowOff>91756</xdr:rowOff>
    </xdr:to>
    <xdr:cxnSp macro="">
      <xdr:nvCxnSpPr>
        <xdr:cNvPr id="239" name="Gerader Verbinder 238">
          <a:extLst>
            <a:ext uri="{FF2B5EF4-FFF2-40B4-BE49-F238E27FC236}">
              <a16:creationId xmlns:a16="http://schemas.microsoft.com/office/drawing/2014/main" id="{A95FEC27-8A2A-43FE-B258-C11CC3D75A2C}"/>
            </a:ext>
          </a:extLst>
        </xdr:cNvPr>
        <xdr:cNvCxnSpPr/>
      </xdr:nvCxnSpPr>
      <xdr:spPr>
        <a:xfrm flipH="1">
          <a:off x="1714954" y="48227931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232</xdr:row>
      <xdr:rowOff>0</xdr:rowOff>
    </xdr:from>
    <xdr:to>
      <xdr:col>2</xdr:col>
      <xdr:colOff>504825</xdr:colOff>
      <xdr:row>232</xdr:row>
      <xdr:rowOff>0</xdr:rowOff>
    </xdr:to>
    <xdr:cxnSp macro="">
      <xdr:nvCxnSpPr>
        <xdr:cNvPr id="240" name="Gerader Verbinder 239">
          <a:extLst>
            <a:ext uri="{FF2B5EF4-FFF2-40B4-BE49-F238E27FC236}">
              <a16:creationId xmlns:a16="http://schemas.microsoft.com/office/drawing/2014/main" id="{B8CEDCF9-074A-4AA2-9C1F-E4FC2ACA2F16}"/>
            </a:ext>
          </a:extLst>
        </xdr:cNvPr>
        <xdr:cNvCxnSpPr/>
      </xdr:nvCxnSpPr>
      <xdr:spPr>
        <a:xfrm flipH="1">
          <a:off x="1720850" y="48501300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232</xdr:row>
      <xdr:rowOff>15875</xdr:rowOff>
    </xdr:from>
    <xdr:to>
      <xdr:col>2</xdr:col>
      <xdr:colOff>342900</xdr:colOff>
      <xdr:row>236</xdr:row>
      <xdr:rowOff>180975</xdr:rowOff>
    </xdr:to>
    <xdr:cxnSp macro="">
      <xdr:nvCxnSpPr>
        <xdr:cNvPr id="241" name="Gerader Verbinder 240">
          <a:extLst>
            <a:ext uri="{FF2B5EF4-FFF2-40B4-BE49-F238E27FC236}">
              <a16:creationId xmlns:a16="http://schemas.microsoft.com/office/drawing/2014/main" id="{C5986D69-4D56-4D8D-A63A-172E63E1F8FF}"/>
            </a:ext>
          </a:extLst>
        </xdr:cNvPr>
        <xdr:cNvCxnSpPr/>
      </xdr:nvCxnSpPr>
      <xdr:spPr>
        <a:xfrm flipH="1">
          <a:off x="1857375" y="49174400"/>
          <a:ext cx="9525" cy="9652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236</xdr:row>
      <xdr:rowOff>155574</xdr:rowOff>
    </xdr:from>
    <xdr:to>
      <xdr:col>7</xdr:col>
      <xdr:colOff>715451</xdr:colOff>
      <xdr:row>236</xdr:row>
      <xdr:rowOff>192697</xdr:rowOff>
    </xdr:to>
    <xdr:cxnSp macro="">
      <xdr:nvCxnSpPr>
        <xdr:cNvPr id="242" name="Gerader Verbinder 241">
          <a:extLst>
            <a:ext uri="{FF2B5EF4-FFF2-40B4-BE49-F238E27FC236}">
              <a16:creationId xmlns:a16="http://schemas.microsoft.com/office/drawing/2014/main" id="{B818C33C-08AE-4644-BE1D-47736C300BD4}"/>
            </a:ext>
          </a:extLst>
        </xdr:cNvPr>
        <xdr:cNvCxnSpPr>
          <a:cxnSpLocks/>
        </xdr:cNvCxnSpPr>
      </xdr:nvCxnSpPr>
      <xdr:spPr>
        <a:xfrm flipH="1" flipV="1">
          <a:off x="1857375" y="49476024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51288</xdr:colOff>
      <xdr:row>230</xdr:row>
      <xdr:rowOff>50346</xdr:rowOff>
    </xdr:from>
    <xdr:to>
      <xdr:col>2</xdr:col>
      <xdr:colOff>654966</xdr:colOff>
      <xdr:row>230</xdr:row>
      <xdr:rowOff>51289</xdr:rowOff>
    </xdr:to>
    <xdr:cxnSp macro="">
      <xdr:nvCxnSpPr>
        <xdr:cNvPr id="243" name="Gerader Verbinder 242">
          <a:extLst>
            <a:ext uri="{FF2B5EF4-FFF2-40B4-BE49-F238E27FC236}">
              <a16:creationId xmlns:a16="http://schemas.microsoft.com/office/drawing/2014/main" id="{F5EDF239-C2A6-4BAC-A2C5-0024E87A77CD}"/>
            </a:ext>
          </a:extLst>
        </xdr:cNvPr>
        <xdr:cNvCxnSpPr/>
      </xdr:nvCxnSpPr>
      <xdr:spPr>
        <a:xfrm flipH="1">
          <a:off x="1572113" y="48186521"/>
          <a:ext cx="610028" cy="94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230</xdr:row>
      <xdr:rowOff>95383</xdr:rowOff>
    </xdr:from>
    <xdr:to>
      <xdr:col>2</xdr:col>
      <xdr:colOff>354239</xdr:colOff>
      <xdr:row>231</xdr:row>
      <xdr:rowOff>143008</xdr:rowOff>
    </xdr:to>
    <xdr:cxnSp macro="">
      <xdr:nvCxnSpPr>
        <xdr:cNvPr id="244" name="Gerader Verbinder 243">
          <a:extLst>
            <a:ext uri="{FF2B5EF4-FFF2-40B4-BE49-F238E27FC236}">
              <a16:creationId xmlns:a16="http://schemas.microsoft.com/office/drawing/2014/main" id="{D4CDCCB0-BF2B-4CEE-BEF2-B541FEBBF313}"/>
            </a:ext>
          </a:extLst>
        </xdr:cNvPr>
        <xdr:cNvCxnSpPr/>
      </xdr:nvCxnSpPr>
      <xdr:spPr>
        <a:xfrm flipH="1">
          <a:off x="1875064" y="48234733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214</xdr:row>
      <xdr:rowOff>5033</xdr:rowOff>
    </xdr:from>
    <xdr:to>
      <xdr:col>8</xdr:col>
      <xdr:colOff>21375</xdr:colOff>
      <xdr:row>214</xdr:row>
      <xdr:rowOff>90054</xdr:rowOff>
    </xdr:to>
    <xdr:sp macro="" textlink="">
      <xdr:nvSpPr>
        <xdr:cNvPr id="245" name="Ellipse 244">
          <a:extLst>
            <a:ext uri="{FF2B5EF4-FFF2-40B4-BE49-F238E27FC236}">
              <a16:creationId xmlns:a16="http://schemas.microsoft.com/office/drawing/2014/main" id="{82B3B459-A157-41EC-A758-0CE5286039B0}"/>
            </a:ext>
          </a:extLst>
        </xdr:cNvPr>
        <xdr:cNvSpPr/>
      </xdr:nvSpPr>
      <xdr:spPr>
        <a:xfrm>
          <a:off x="6022125" y="45251958"/>
          <a:ext cx="95250" cy="786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656375</xdr:colOff>
      <xdr:row>236</xdr:row>
      <xdr:rowOff>113777</xdr:rowOff>
    </xdr:from>
    <xdr:to>
      <xdr:col>7</xdr:col>
      <xdr:colOff>751625</xdr:colOff>
      <xdr:row>237</xdr:row>
      <xdr:rowOff>17823</xdr:rowOff>
    </xdr:to>
    <xdr:sp macro="" textlink="">
      <xdr:nvSpPr>
        <xdr:cNvPr id="246" name="Ellipse 245">
          <a:extLst>
            <a:ext uri="{FF2B5EF4-FFF2-40B4-BE49-F238E27FC236}">
              <a16:creationId xmlns:a16="http://schemas.microsoft.com/office/drawing/2014/main" id="{C984CF36-EE41-4B8B-8B35-81B6C93F960A}"/>
            </a:ext>
          </a:extLst>
        </xdr:cNvPr>
        <xdr:cNvSpPr/>
      </xdr:nvSpPr>
      <xdr:spPr>
        <a:xfrm>
          <a:off x="5990375" y="50072402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297600</xdr:colOff>
      <xdr:row>236</xdr:row>
      <xdr:rowOff>86788</xdr:rowOff>
    </xdr:from>
    <xdr:to>
      <xdr:col>2</xdr:col>
      <xdr:colOff>392850</xdr:colOff>
      <xdr:row>236</xdr:row>
      <xdr:rowOff>190859</xdr:rowOff>
    </xdr:to>
    <xdr:sp macro="" textlink="">
      <xdr:nvSpPr>
        <xdr:cNvPr id="247" name="Ellipse 246">
          <a:extLst>
            <a:ext uri="{FF2B5EF4-FFF2-40B4-BE49-F238E27FC236}">
              <a16:creationId xmlns:a16="http://schemas.microsoft.com/office/drawing/2014/main" id="{247615D7-8CE4-43FB-A3C4-BE0CBA8A148D}"/>
            </a:ext>
          </a:extLst>
        </xdr:cNvPr>
        <xdr:cNvSpPr/>
      </xdr:nvSpPr>
      <xdr:spPr>
        <a:xfrm>
          <a:off x="1821600" y="50045413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542357</xdr:colOff>
      <xdr:row>265</xdr:row>
      <xdr:rowOff>66676</xdr:rowOff>
    </xdr:from>
    <xdr:to>
      <xdr:col>8</xdr:col>
      <xdr:colOff>254720</xdr:colOff>
      <xdr:row>279</xdr:row>
      <xdr:rowOff>177801</xdr:rowOff>
    </xdr:to>
    <xdr:grpSp>
      <xdr:nvGrpSpPr>
        <xdr:cNvPr id="248" name="Gruppieren 247">
          <a:extLst>
            <a:ext uri="{FF2B5EF4-FFF2-40B4-BE49-F238E27FC236}">
              <a16:creationId xmlns:a16="http://schemas.microsoft.com/office/drawing/2014/main" id="{9BC03B36-D2B5-4D26-87DA-4E416B13A31E}"/>
            </a:ext>
          </a:extLst>
        </xdr:cNvPr>
        <xdr:cNvGrpSpPr/>
      </xdr:nvGrpSpPr>
      <xdr:grpSpPr>
        <a:xfrm>
          <a:off x="5876357" y="58058051"/>
          <a:ext cx="474363" cy="3159125"/>
          <a:chOff x="8959665" y="2585803"/>
          <a:chExt cx="463443" cy="3651126"/>
        </a:xfrm>
      </xdr:grpSpPr>
      <xdr:sp macro="" textlink="">
        <xdr:nvSpPr>
          <xdr:cNvPr id="249" name="Rechteck 248">
            <a:extLst>
              <a:ext uri="{FF2B5EF4-FFF2-40B4-BE49-F238E27FC236}">
                <a16:creationId xmlns:a16="http://schemas.microsoft.com/office/drawing/2014/main" id="{03622AEA-1518-178A-8723-C8349C2D6BEF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50" name="Gerader Verbinder 249">
            <a:extLst>
              <a:ext uri="{FF2B5EF4-FFF2-40B4-BE49-F238E27FC236}">
                <a16:creationId xmlns:a16="http://schemas.microsoft.com/office/drawing/2014/main" id="{D7FE6F77-F216-303A-6BB0-46191EF7AE20}"/>
              </a:ext>
            </a:extLst>
          </xdr:cNvPr>
          <xdr:cNvCxnSpPr>
            <a:endCxn id="249" idx="0"/>
          </xdr:cNvCxnSpPr>
        </xdr:nvCxnSpPr>
        <xdr:spPr>
          <a:xfrm flipH="1">
            <a:off x="9145587" y="2585803"/>
            <a:ext cx="10053" cy="119244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1" name="Gerader Verbinder 250">
            <a:extLst>
              <a:ext uri="{FF2B5EF4-FFF2-40B4-BE49-F238E27FC236}">
                <a16:creationId xmlns:a16="http://schemas.microsoft.com/office/drawing/2014/main" id="{D4E552A6-1188-4AC3-8B6F-B6E06BBAC693}"/>
              </a:ext>
            </a:extLst>
          </xdr:cNvPr>
          <xdr:cNvCxnSpPr>
            <a:stCxn id="249" idx="2"/>
          </xdr:cNvCxnSpPr>
        </xdr:nvCxnSpPr>
        <xdr:spPr>
          <a:xfrm flipH="1">
            <a:off x="9133927" y="4854576"/>
            <a:ext cx="11660" cy="138235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52" name="Textfeld 251">
            <a:extLst>
              <a:ext uri="{FF2B5EF4-FFF2-40B4-BE49-F238E27FC236}">
                <a16:creationId xmlns:a16="http://schemas.microsoft.com/office/drawing/2014/main" id="{73824CC5-EFD7-6BC4-40E9-F48E9657CFC4}"/>
              </a:ext>
            </a:extLst>
          </xdr:cNvPr>
          <xdr:cNvSpPr txBox="1"/>
        </xdr:nvSpPr>
        <xdr:spPr>
          <a:xfrm rot="5400000">
            <a:off x="8927696" y="4017507"/>
            <a:ext cx="527381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Tot</a:t>
            </a:r>
          </a:p>
        </xdr:txBody>
      </xdr:sp>
    </xdr:grpSp>
    <xdr:clientData/>
  </xdr:twoCellAnchor>
  <xdr:twoCellAnchor>
    <xdr:from>
      <xdr:col>2</xdr:col>
      <xdr:colOff>353493</xdr:colOff>
      <xdr:row>265</xdr:row>
      <xdr:rowOff>66675</xdr:rowOff>
    </xdr:from>
    <xdr:to>
      <xdr:col>2</xdr:col>
      <xdr:colOff>400050</xdr:colOff>
      <xdr:row>274</xdr:row>
      <xdr:rowOff>35790</xdr:rowOff>
    </xdr:to>
    <xdr:cxnSp macro="">
      <xdr:nvCxnSpPr>
        <xdr:cNvPr id="253" name="Gerader Verbinder 252">
          <a:extLst>
            <a:ext uri="{FF2B5EF4-FFF2-40B4-BE49-F238E27FC236}">
              <a16:creationId xmlns:a16="http://schemas.microsoft.com/office/drawing/2014/main" id="{DD9644D4-4AB1-4669-B0CE-5C144F167D8C}"/>
            </a:ext>
          </a:extLst>
        </xdr:cNvPr>
        <xdr:cNvCxnSpPr>
          <a:cxnSpLocks/>
        </xdr:cNvCxnSpPr>
      </xdr:nvCxnSpPr>
      <xdr:spPr>
        <a:xfrm flipH="1">
          <a:off x="1877493" y="55959375"/>
          <a:ext cx="46557" cy="208366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323850</xdr:colOff>
      <xdr:row>265</xdr:row>
      <xdr:rowOff>50448</xdr:rowOff>
    </xdr:from>
    <xdr:to>
      <xdr:col>7</xdr:col>
      <xdr:colOff>745275</xdr:colOff>
      <xdr:row>265</xdr:row>
      <xdr:rowOff>50448</xdr:rowOff>
    </xdr:to>
    <xdr:cxnSp macro="">
      <xdr:nvCxnSpPr>
        <xdr:cNvPr id="254" name="Gerader Verbinder 253">
          <a:extLst>
            <a:ext uri="{FF2B5EF4-FFF2-40B4-BE49-F238E27FC236}">
              <a16:creationId xmlns:a16="http://schemas.microsoft.com/office/drawing/2014/main" id="{577FFF10-EBFB-4F7B-9680-8412EB868DCD}"/>
            </a:ext>
          </a:extLst>
        </xdr:cNvPr>
        <xdr:cNvCxnSpPr/>
      </xdr:nvCxnSpPr>
      <xdr:spPr>
        <a:xfrm flipH="1">
          <a:off x="1847850" y="55943148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275</xdr:row>
      <xdr:rowOff>92618</xdr:rowOff>
    </xdr:from>
    <xdr:to>
      <xdr:col>2</xdr:col>
      <xdr:colOff>615959</xdr:colOff>
      <xdr:row>275</xdr:row>
      <xdr:rowOff>92618</xdr:rowOff>
    </xdr:to>
    <xdr:cxnSp macro="">
      <xdr:nvCxnSpPr>
        <xdr:cNvPr id="255" name="Gerader Verbinder 254">
          <a:extLst>
            <a:ext uri="{FF2B5EF4-FFF2-40B4-BE49-F238E27FC236}">
              <a16:creationId xmlns:a16="http://schemas.microsoft.com/office/drawing/2014/main" id="{2D350255-4570-44D9-9F3C-6CDEB5A3A08E}"/>
            </a:ext>
          </a:extLst>
        </xdr:cNvPr>
        <xdr:cNvCxnSpPr/>
      </xdr:nvCxnSpPr>
      <xdr:spPr>
        <a:xfrm flipH="1">
          <a:off x="1524000" y="56918768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274</xdr:row>
      <xdr:rowOff>74023</xdr:rowOff>
    </xdr:from>
    <xdr:to>
      <xdr:col>2</xdr:col>
      <xdr:colOff>483054</xdr:colOff>
      <xdr:row>274</xdr:row>
      <xdr:rowOff>74023</xdr:rowOff>
    </xdr:to>
    <xdr:cxnSp macro="">
      <xdr:nvCxnSpPr>
        <xdr:cNvPr id="256" name="Gerader Verbinder 255">
          <a:extLst>
            <a:ext uri="{FF2B5EF4-FFF2-40B4-BE49-F238E27FC236}">
              <a16:creationId xmlns:a16="http://schemas.microsoft.com/office/drawing/2014/main" id="{113DEC6E-45CD-4236-BA6F-0F735B7348DF}"/>
            </a:ext>
          </a:extLst>
        </xdr:cNvPr>
        <xdr:cNvCxnSpPr/>
      </xdr:nvCxnSpPr>
      <xdr:spPr>
        <a:xfrm flipH="1">
          <a:off x="1714954" y="56719198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275</xdr:row>
      <xdr:rowOff>179117</xdr:rowOff>
    </xdr:from>
    <xdr:to>
      <xdr:col>2</xdr:col>
      <xdr:colOff>504825</xdr:colOff>
      <xdr:row>275</xdr:row>
      <xdr:rowOff>179117</xdr:rowOff>
    </xdr:to>
    <xdr:cxnSp macro="">
      <xdr:nvCxnSpPr>
        <xdr:cNvPr id="257" name="Gerader Verbinder 256">
          <a:extLst>
            <a:ext uri="{FF2B5EF4-FFF2-40B4-BE49-F238E27FC236}">
              <a16:creationId xmlns:a16="http://schemas.microsoft.com/office/drawing/2014/main" id="{3941BCA9-7336-450E-B938-8C7CD608622C}"/>
            </a:ext>
          </a:extLst>
        </xdr:cNvPr>
        <xdr:cNvCxnSpPr/>
      </xdr:nvCxnSpPr>
      <xdr:spPr>
        <a:xfrm flipH="1">
          <a:off x="1720850" y="57008442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276</xdr:row>
      <xdr:rowOff>7667</xdr:rowOff>
    </xdr:from>
    <xdr:to>
      <xdr:col>2</xdr:col>
      <xdr:colOff>342900</xdr:colOff>
      <xdr:row>279</xdr:row>
      <xdr:rowOff>133350</xdr:rowOff>
    </xdr:to>
    <xdr:cxnSp macro="">
      <xdr:nvCxnSpPr>
        <xdr:cNvPr id="258" name="Gerader Verbinder 257">
          <a:extLst>
            <a:ext uri="{FF2B5EF4-FFF2-40B4-BE49-F238E27FC236}">
              <a16:creationId xmlns:a16="http://schemas.microsoft.com/office/drawing/2014/main" id="{D1F6B4C0-7EBB-4323-8F5B-82BFC30BF87A}"/>
            </a:ext>
          </a:extLst>
        </xdr:cNvPr>
        <xdr:cNvCxnSpPr/>
      </xdr:nvCxnSpPr>
      <xdr:spPr>
        <a:xfrm flipH="1">
          <a:off x="1857375" y="57957767"/>
          <a:ext cx="9525" cy="72575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346982</xdr:colOff>
      <xdr:row>279</xdr:row>
      <xdr:rowOff>106998</xdr:rowOff>
    </xdr:from>
    <xdr:to>
      <xdr:col>7</xdr:col>
      <xdr:colOff>729058</xdr:colOff>
      <xdr:row>279</xdr:row>
      <xdr:rowOff>157728</xdr:rowOff>
    </xdr:to>
    <xdr:cxnSp macro="">
      <xdr:nvCxnSpPr>
        <xdr:cNvPr id="259" name="Gerader Verbinder 258">
          <a:extLst>
            <a:ext uri="{FF2B5EF4-FFF2-40B4-BE49-F238E27FC236}">
              <a16:creationId xmlns:a16="http://schemas.microsoft.com/office/drawing/2014/main" id="{B370FA0F-A41E-4DEC-B831-3C3C1054A0A1}"/>
            </a:ext>
          </a:extLst>
        </xdr:cNvPr>
        <xdr:cNvCxnSpPr>
          <a:cxnSpLocks/>
        </xdr:cNvCxnSpPr>
      </xdr:nvCxnSpPr>
      <xdr:spPr>
        <a:xfrm flipH="1" flipV="1">
          <a:off x="1870982" y="59692677"/>
          <a:ext cx="4192076" cy="5073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44938</xdr:colOff>
      <xdr:row>274</xdr:row>
      <xdr:rowOff>38963</xdr:rowOff>
    </xdr:from>
    <xdr:to>
      <xdr:col>2</xdr:col>
      <xdr:colOff>654966</xdr:colOff>
      <xdr:row>274</xdr:row>
      <xdr:rowOff>38963</xdr:rowOff>
    </xdr:to>
    <xdr:cxnSp macro="">
      <xdr:nvCxnSpPr>
        <xdr:cNvPr id="260" name="Gerader Verbinder 259">
          <a:extLst>
            <a:ext uri="{FF2B5EF4-FFF2-40B4-BE49-F238E27FC236}">
              <a16:creationId xmlns:a16="http://schemas.microsoft.com/office/drawing/2014/main" id="{1D4A9766-A70A-47F1-A4D0-BA61141488DC}"/>
            </a:ext>
          </a:extLst>
        </xdr:cNvPr>
        <xdr:cNvCxnSpPr/>
      </xdr:nvCxnSpPr>
      <xdr:spPr>
        <a:xfrm flipH="1">
          <a:off x="1572113" y="56684138"/>
          <a:ext cx="610028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274</xdr:row>
      <xdr:rowOff>84000</xdr:rowOff>
    </xdr:from>
    <xdr:to>
      <xdr:col>2</xdr:col>
      <xdr:colOff>354239</xdr:colOff>
      <xdr:row>275</xdr:row>
      <xdr:rowOff>131625</xdr:rowOff>
    </xdr:to>
    <xdr:cxnSp macro="">
      <xdr:nvCxnSpPr>
        <xdr:cNvPr id="261" name="Gerader Verbinder 260">
          <a:extLst>
            <a:ext uri="{FF2B5EF4-FFF2-40B4-BE49-F238E27FC236}">
              <a16:creationId xmlns:a16="http://schemas.microsoft.com/office/drawing/2014/main" id="{0E24E3E8-9404-46C7-8009-4C826FBA90BC}"/>
            </a:ext>
          </a:extLst>
        </xdr:cNvPr>
        <xdr:cNvCxnSpPr/>
      </xdr:nvCxnSpPr>
      <xdr:spPr>
        <a:xfrm flipH="1">
          <a:off x="1875064" y="56732350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697650</xdr:colOff>
      <xdr:row>265</xdr:row>
      <xdr:rowOff>19050</xdr:rowOff>
    </xdr:from>
    <xdr:to>
      <xdr:col>8</xdr:col>
      <xdr:colOff>30900</xdr:colOff>
      <xdr:row>265</xdr:row>
      <xdr:rowOff>85021</xdr:rowOff>
    </xdr:to>
    <xdr:sp macro="" textlink="">
      <xdr:nvSpPr>
        <xdr:cNvPr id="262" name="Ellipse 261">
          <a:extLst>
            <a:ext uri="{FF2B5EF4-FFF2-40B4-BE49-F238E27FC236}">
              <a16:creationId xmlns:a16="http://schemas.microsoft.com/office/drawing/2014/main" id="{F8714C43-9CE7-4303-B308-65BFE799591F}"/>
            </a:ext>
          </a:extLst>
        </xdr:cNvPr>
        <xdr:cNvSpPr/>
      </xdr:nvSpPr>
      <xdr:spPr>
        <a:xfrm>
          <a:off x="6031650" y="55911750"/>
          <a:ext cx="95250" cy="659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665900</xdr:colOff>
      <xdr:row>279</xdr:row>
      <xdr:rowOff>105569</xdr:rowOff>
    </xdr:from>
    <xdr:to>
      <xdr:col>7</xdr:col>
      <xdr:colOff>761150</xdr:colOff>
      <xdr:row>280</xdr:row>
      <xdr:rowOff>9615</xdr:rowOff>
    </xdr:to>
    <xdr:sp macro="" textlink="">
      <xdr:nvSpPr>
        <xdr:cNvPr id="263" name="Ellipse 262">
          <a:extLst>
            <a:ext uri="{FF2B5EF4-FFF2-40B4-BE49-F238E27FC236}">
              <a16:creationId xmlns:a16="http://schemas.microsoft.com/office/drawing/2014/main" id="{43E2F0C3-69D2-4E76-8286-536B42FD4E0B}"/>
            </a:ext>
          </a:extLst>
        </xdr:cNvPr>
        <xdr:cNvSpPr/>
      </xdr:nvSpPr>
      <xdr:spPr>
        <a:xfrm>
          <a:off x="5999900" y="586557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292954</xdr:colOff>
      <xdr:row>279</xdr:row>
      <xdr:rowOff>48069</xdr:rowOff>
    </xdr:from>
    <xdr:to>
      <xdr:col>2</xdr:col>
      <xdr:colOff>388204</xdr:colOff>
      <xdr:row>279</xdr:row>
      <xdr:rowOff>152140</xdr:rowOff>
    </xdr:to>
    <xdr:sp macro="" textlink="">
      <xdr:nvSpPr>
        <xdr:cNvPr id="264" name="Ellipse 263">
          <a:extLst>
            <a:ext uri="{FF2B5EF4-FFF2-40B4-BE49-F238E27FC236}">
              <a16:creationId xmlns:a16="http://schemas.microsoft.com/office/drawing/2014/main" id="{BE739B1A-7F2B-4B66-BBDA-67831122BBE7}"/>
            </a:ext>
          </a:extLst>
        </xdr:cNvPr>
        <xdr:cNvSpPr/>
      </xdr:nvSpPr>
      <xdr:spPr>
        <a:xfrm>
          <a:off x="1816954" y="585982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345457</xdr:colOff>
      <xdr:row>265</xdr:row>
      <xdr:rowOff>17114</xdr:rowOff>
    </xdr:from>
    <xdr:to>
      <xdr:col>2</xdr:col>
      <xdr:colOff>440707</xdr:colOff>
      <xdr:row>265</xdr:row>
      <xdr:rowOff>76735</xdr:rowOff>
    </xdr:to>
    <xdr:sp macro="" textlink="">
      <xdr:nvSpPr>
        <xdr:cNvPr id="265" name="Ellipse 264">
          <a:extLst>
            <a:ext uri="{FF2B5EF4-FFF2-40B4-BE49-F238E27FC236}">
              <a16:creationId xmlns:a16="http://schemas.microsoft.com/office/drawing/2014/main" id="{A32B36B3-949E-4E22-A9BD-A01BC1BF26EA}"/>
            </a:ext>
          </a:extLst>
        </xdr:cNvPr>
        <xdr:cNvSpPr/>
      </xdr:nvSpPr>
      <xdr:spPr>
        <a:xfrm>
          <a:off x="1869457" y="55909814"/>
          <a:ext cx="95250" cy="596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470647</xdr:colOff>
      <xdr:row>1</xdr:row>
      <xdr:rowOff>67236</xdr:rowOff>
    </xdr:from>
    <xdr:to>
      <xdr:col>1</xdr:col>
      <xdr:colOff>440204</xdr:colOff>
      <xdr:row>3</xdr:row>
      <xdr:rowOff>145676</xdr:rowOff>
    </xdr:to>
    <xdr:sp macro="" textlink="">
      <xdr:nvSpPr>
        <xdr:cNvPr id="266" name="Pfeil: nach rechts 26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B9A57B2-6062-4514-876F-CB4DDC039A61}"/>
            </a:ext>
          </a:extLst>
        </xdr:cNvPr>
        <xdr:cNvSpPr/>
      </xdr:nvSpPr>
      <xdr:spPr>
        <a:xfrm rot="10800000">
          <a:off x="470647" y="246530"/>
          <a:ext cx="731557" cy="59391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161636</xdr:colOff>
      <xdr:row>18</xdr:row>
      <xdr:rowOff>103909</xdr:rowOff>
    </xdr:from>
    <xdr:to>
      <xdr:col>1</xdr:col>
      <xdr:colOff>161636</xdr:colOff>
      <xdr:row>24</xdr:row>
      <xdr:rowOff>11546</xdr:rowOff>
    </xdr:to>
    <xdr:cxnSp macro="">
      <xdr:nvCxnSpPr>
        <xdr:cNvPr id="268" name="Gerade Verbindung mit Pfeil 267">
          <a:extLst>
            <a:ext uri="{FF2B5EF4-FFF2-40B4-BE49-F238E27FC236}">
              <a16:creationId xmlns:a16="http://schemas.microsoft.com/office/drawing/2014/main" id="{F3A7D8CD-E941-5137-ACD7-922F0F2F5C0A}"/>
            </a:ext>
          </a:extLst>
        </xdr:cNvPr>
        <xdr:cNvCxnSpPr/>
      </xdr:nvCxnSpPr>
      <xdr:spPr>
        <a:xfrm>
          <a:off x="923636" y="3810000"/>
          <a:ext cx="0" cy="1039091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181444</xdr:colOff>
      <xdr:row>18</xdr:row>
      <xdr:rowOff>217355</xdr:rowOff>
    </xdr:from>
    <xdr:to>
      <xdr:col>1</xdr:col>
      <xdr:colOff>135032</xdr:colOff>
      <xdr:row>21</xdr:row>
      <xdr:rowOff>161635</xdr:rowOff>
    </xdr:to>
    <xdr:sp macro="" textlink="">
      <xdr:nvSpPr>
        <xdr:cNvPr id="269" name="Textfeld 268">
          <a:extLst>
            <a:ext uri="{FF2B5EF4-FFF2-40B4-BE49-F238E27FC236}">
              <a16:creationId xmlns:a16="http://schemas.microsoft.com/office/drawing/2014/main" id="{93219C76-B9DF-2E04-AB52-191B06151378}"/>
            </a:ext>
          </a:extLst>
        </xdr:cNvPr>
        <xdr:cNvSpPr txBox="1"/>
      </xdr:nvSpPr>
      <xdr:spPr>
        <a:xfrm>
          <a:off x="181444" y="4119719"/>
          <a:ext cx="715588" cy="5561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2400">
              <a:solidFill>
                <a:srgbClr val="00B0F0"/>
              </a:solidFill>
            </a:rPr>
            <a:t>U</a:t>
          </a:r>
          <a:r>
            <a:rPr lang="de-CH" sz="24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684696</xdr:colOff>
      <xdr:row>16</xdr:row>
      <xdr:rowOff>11043</xdr:rowOff>
    </xdr:from>
    <xdr:to>
      <xdr:col>2</xdr:col>
      <xdr:colOff>77304</xdr:colOff>
      <xdr:row>17</xdr:row>
      <xdr:rowOff>16565</xdr:rowOff>
    </xdr:to>
    <xdr:sp macro="" textlink="">
      <xdr:nvSpPr>
        <xdr:cNvPr id="270" name="Pfeil: nach oben 269">
          <a:extLst>
            <a:ext uri="{FF2B5EF4-FFF2-40B4-BE49-F238E27FC236}">
              <a16:creationId xmlns:a16="http://schemas.microsoft.com/office/drawing/2014/main" id="{4C6E30B6-468A-B7D9-A641-3015509039B3}"/>
            </a:ext>
          </a:extLst>
        </xdr:cNvPr>
        <xdr:cNvSpPr/>
      </xdr:nvSpPr>
      <xdr:spPr>
        <a:xfrm>
          <a:off x="1446696" y="3296478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219365</xdr:colOff>
      <xdr:row>15</xdr:row>
      <xdr:rowOff>127001</xdr:rowOff>
    </xdr:from>
    <xdr:to>
      <xdr:col>1</xdr:col>
      <xdr:colOff>712305</xdr:colOff>
      <xdr:row>17</xdr:row>
      <xdr:rowOff>104914</xdr:rowOff>
    </xdr:to>
    <xdr:sp macro="" textlink="">
      <xdr:nvSpPr>
        <xdr:cNvPr id="271" name="Textfeld 270">
          <a:extLst>
            <a:ext uri="{FF2B5EF4-FFF2-40B4-BE49-F238E27FC236}">
              <a16:creationId xmlns:a16="http://schemas.microsoft.com/office/drawing/2014/main" id="{F131651E-981E-B454-E958-A65A4BCE859F}"/>
            </a:ext>
          </a:extLst>
        </xdr:cNvPr>
        <xdr:cNvSpPr txBox="1"/>
      </xdr:nvSpPr>
      <xdr:spPr>
        <a:xfrm>
          <a:off x="981365" y="3371274"/>
          <a:ext cx="492940" cy="4166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171946</xdr:colOff>
      <xdr:row>60</xdr:row>
      <xdr:rowOff>43170</xdr:rowOff>
    </xdr:from>
    <xdr:to>
      <xdr:col>1</xdr:col>
      <xdr:colOff>171946</xdr:colOff>
      <xdr:row>65</xdr:row>
      <xdr:rowOff>160633</xdr:rowOff>
    </xdr:to>
    <xdr:cxnSp macro="">
      <xdr:nvCxnSpPr>
        <xdr:cNvPr id="272" name="Gerade Verbindung mit Pfeil 271">
          <a:extLst>
            <a:ext uri="{FF2B5EF4-FFF2-40B4-BE49-F238E27FC236}">
              <a16:creationId xmlns:a16="http://schemas.microsoft.com/office/drawing/2014/main" id="{C6B0644D-9831-4E3E-92BF-9D0078B9D217}"/>
            </a:ext>
          </a:extLst>
        </xdr:cNvPr>
        <xdr:cNvCxnSpPr/>
      </xdr:nvCxnSpPr>
      <xdr:spPr>
        <a:xfrm>
          <a:off x="933946" y="11578083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480391</xdr:colOff>
      <xdr:row>62</xdr:row>
      <xdr:rowOff>11043</xdr:rowOff>
    </xdr:from>
    <xdr:to>
      <xdr:col>1</xdr:col>
      <xdr:colOff>433979</xdr:colOff>
      <xdr:row>64</xdr:row>
      <xdr:rowOff>108857</xdr:rowOff>
    </xdr:to>
    <xdr:sp macro="" textlink="">
      <xdr:nvSpPr>
        <xdr:cNvPr id="273" name="Textfeld 272">
          <a:extLst>
            <a:ext uri="{FF2B5EF4-FFF2-40B4-BE49-F238E27FC236}">
              <a16:creationId xmlns:a16="http://schemas.microsoft.com/office/drawing/2014/main" id="{F5E557CF-1666-415D-BB2D-FE16D9CA3F3F}"/>
            </a:ext>
          </a:extLst>
        </xdr:cNvPr>
        <xdr:cNvSpPr txBox="1"/>
      </xdr:nvSpPr>
      <xdr:spPr>
        <a:xfrm>
          <a:off x="480391" y="13545614"/>
          <a:ext cx="715588" cy="49695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695006</xdr:colOff>
      <xdr:row>57</xdr:row>
      <xdr:rowOff>77304</xdr:rowOff>
    </xdr:from>
    <xdr:to>
      <xdr:col>2</xdr:col>
      <xdr:colOff>87614</xdr:colOff>
      <xdr:row>58</xdr:row>
      <xdr:rowOff>110435</xdr:rowOff>
    </xdr:to>
    <xdr:sp macro="" textlink="">
      <xdr:nvSpPr>
        <xdr:cNvPr id="274" name="Pfeil: nach oben 273">
          <a:extLst>
            <a:ext uri="{FF2B5EF4-FFF2-40B4-BE49-F238E27FC236}">
              <a16:creationId xmlns:a16="http://schemas.microsoft.com/office/drawing/2014/main" id="{8DF85F41-C811-44D7-839A-B7B6D3384C68}"/>
            </a:ext>
          </a:extLst>
        </xdr:cNvPr>
        <xdr:cNvSpPr/>
      </xdr:nvSpPr>
      <xdr:spPr>
        <a:xfrm>
          <a:off x="1457006" y="11065565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172357</xdr:colOff>
      <xdr:row>57</xdr:row>
      <xdr:rowOff>71783</xdr:rowOff>
    </xdr:from>
    <xdr:to>
      <xdr:col>1</xdr:col>
      <xdr:colOff>722614</xdr:colOff>
      <xdr:row>58</xdr:row>
      <xdr:rowOff>281215</xdr:rowOff>
    </xdr:to>
    <xdr:sp macro="" textlink="">
      <xdr:nvSpPr>
        <xdr:cNvPr id="275" name="Textfeld 274">
          <a:extLst>
            <a:ext uri="{FF2B5EF4-FFF2-40B4-BE49-F238E27FC236}">
              <a16:creationId xmlns:a16="http://schemas.microsoft.com/office/drawing/2014/main" id="{C5DFBA3C-981D-4F0A-935D-F686A35DC39E}"/>
            </a:ext>
          </a:extLst>
        </xdr:cNvPr>
        <xdr:cNvSpPr txBox="1"/>
      </xdr:nvSpPr>
      <xdr:spPr>
        <a:xfrm>
          <a:off x="934357" y="12000712"/>
          <a:ext cx="550257" cy="5450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122250</xdr:colOff>
      <xdr:row>103</xdr:row>
      <xdr:rowOff>15561</xdr:rowOff>
    </xdr:from>
    <xdr:to>
      <xdr:col>1</xdr:col>
      <xdr:colOff>122250</xdr:colOff>
      <xdr:row>108</xdr:row>
      <xdr:rowOff>133024</xdr:rowOff>
    </xdr:to>
    <xdr:cxnSp macro="">
      <xdr:nvCxnSpPr>
        <xdr:cNvPr id="276" name="Gerade Verbindung mit Pfeil 275">
          <a:extLst>
            <a:ext uri="{FF2B5EF4-FFF2-40B4-BE49-F238E27FC236}">
              <a16:creationId xmlns:a16="http://schemas.microsoft.com/office/drawing/2014/main" id="{AB8FFA72-51FB-46F9-9CA2-6C76883DC72E}"/>
            </a:ext>
          </a:extLst>
        </xdr:cNvPr>
        <xdr:cNvCxnSpPr/>
      </xdr:nvCxnSpPr>
      <xdr:spPr>
        <a:xfrm>
          <a:off x="884250" y="19534909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381000</xdr:colOff>
      <xdr:row>103</xdr:row>
      <xdr:rowOff>115454</xdr:rowOff>
    </xdr:from>
    <xdr:to>
      <xdr:col>1</xdr:col>
      <xdr:colOff>384283</xdr:colOff>
      <xdr:row>106</xdr:row>
      <xdr:rowOff>145071</xdr:rowOff>
    </xdr:to>
    <xdr:sp macro="" textlink="">
      <xdr:nvSpPr>
        <xdr:cNvPr id="277" name="Textfeld 276">
          <a:extLst>
            <a:ext uri="{FF2B5EF4-FFF2-40B4-BE49-F238E27FC236}">
              <a16:creationId xmlns:a16="http://schemas.microsoft.com/office/drawing/2014/main" id="{FE44B1BC-840A-4A37-907C-5A6753FAB478}"/>
            </a:ext>
          </a:extLst>
        </xdr:cNvPr>
        <xdr:cNvSpPr txBox="1"/>
      </xdr:nvSpPr>
      <xdr:spPr>
        <a:xfrm>
          <a:off x="381000" y="22005636"/>
          <a:ext cx="765283" cy="61843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645310</xdr:colOff>
      <xdr:row>100</xdr:row>
      <xdr:rowOff>49695</xdr:rowOff>
    </xdr:from>
    <xdr:to>
      <xdr:col>2</xdr:col>
      <xdr:colOff>37918</xdr:colOff>
      <xdr:row>101</xdr:row>
      <xdr:rowOff>82826</xdr:rowOff>
    </xdr:to>
    <xdr:sp macro="" textlink="">
      <xdr:nvSpPr>
        <xdr:cNvPr id="278" name="Pfeil: nach oben 277">
          <a:extLst>
            <a:ext uri="{FF2B5EF4-FFF2-40B4-BE49-F238E27FC236}">
              <a16:creationId xmlns:a16="http://schemas.microsoft.com/office/drawing/2014/main" id="{87024B88-BA3C-4472-9D8E-5A25A1092B2A}"/>
            </a:ext>
          </a:extLst>
        </xdr:cNvPr>
        <xdr:cNvSpPr/>
      </xdr:nvSpPr>
      <xdr:spPr>
        <a:xfrm>
          <a:off x="1407310" y="19022391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196273</xdr:colOff>
      <xdr:row>98</xdr:row>
      <xdr:rowOff>311727</xdr:rowOff>
    </xdr:from>
    <xdr:to>
      <xdr:col>1</xdr:col>
      <xdr:colOff>672918</xdr:colOff>
      <xdr:row>101</xdr:row>
      <xdr:rowOff>171174</xdr:rowOff>
    </xdr:to>
    <xdr:sp macro="" textlink="">
      <xdr:nvSpPr>
        <xdr:cNvPr id="279" name="Textfeld 278">
          <a:extLst>
            <a:ext uri="{FF2B5EF4-FFF2-40B4-BE49-F238E27FC236}">
              <a16:creationId xmlns:a16="http://schemas.microsoft.com/office/drawing/2014/main" id="{9201322D-024F-4D64-B86B-D1FFB54C2D42}"/>
            </a:ext>
          </a:extLst>
        </xdr:cNvPr>
        <xdr:cNvSpPr txBox="1"/>
      </xdr:nvSpPr>
      <xdr:spPr>
        <a:xfrm>
          <a:off x="958273" y="21082000"/>
          <a:ext cx="476645" cy="5868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145</xdr:row>
      <xdr:rowOff>54212</xdr:rowOff>
    </xdr:from>
    <xdr:to>
      <xdr:col>1</xdr:col>
      <xdr:colOff>525338</xdr:colOff>
      <xdr:row>150</xdr:row>
      <xdr:rowOff>171675</xdr:rowOff>
    </xdr:to>
    <xdr:cxnSp macro="">
      <xdr:nvCxnSpPr>
        <xdr:cNvPr id="280" name="Gerade Verbindung mit Pfeil 279">
          <a:extLst>
            <a:ext uri="{FF2B5EF4-FFF2-40B4-BE49-F238E27FC236}">
              <a16:creationId xmlns:a16="http://schemas.microsoft.com/office/drawing/2014/main" id="{2C13523F-1EF9-4370-B6D9-3F6BFCAA25FB}"/>
            </a:ext>
          </a:extLst>
        </xdr:cNvPr>
        <xdr:cNvCxnSpPr/>
      </xdr:nvCxnSpPr>
      <xdr:spPr>
        <a:xfrm>
          <a:off x="1287338" y="27375777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14179</xdr:colOff>
      <xdr:row>146</xdr:row>
      <xdr:rowOff>171763</xdr:rowOff>
    </xdr:from>
    <xdr:to>
      <xdr:col>1</xdr:col>
      <xdr:colOff>736117</xdr:colOff>
      <xdr:row>148</xdr:row>
      <xdr:rowOff>151182</xdr:rowOff>
    </xdr:to>
    <xdr:sp macro="" textlink="">
      <xdr:nvSpPr>
        <xdr:cNvPr id="281" name="Textfeld 280">
          <a:extLst>
            <a:ext uri="{FF2B5EF4-FFF2-40B4-BE49-F238E27FC236}">
              <a16:creationId xmlns:a16="http://schemas.microsoft.com/office/drawing/2014/main" id="{59210DCD-D4AC-489D-9FEB-4F183764D756}"/>
            </a:ext>
          </a:extLst>
        </xdr:cNvPr>
        <xdr:cNvSpPr txBox="1"/>
      </xdr:nvSpPr>
      <xdr:spPr>
        <a:xfrm>
          <a:off x="776179" y="31631477"/>
          <a:ext cx="721938" cy="38763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142</xdr:row>
      <xdr:rowOff>88346</xdr:rowOff>
    </xdr:from>
    <xdr:to>
      <xdr:col>2</xdr:col>
      <xdr:colOff>441006</xdr:colOff>
      <xdr:row>143</xdr:row>
      <xdr:rowOff>121477</xdr:rowOff>
    </xdr:to>
    <xdr:sp macro="" textlink="">
      <xdr:nvSpPr>
        <xdr:cNvPr id="282" name="Pfeil: nach oben 281">
          <a:extLst>
            <a:ext uri="{FF2B5EF4-FFF2-40B4-BE49-F238E27FC236}">
              <a16:creationId xmlns:a16="http://schemas.microsoft.com/office/drawing/2014/main" id="{48C1510F-7897-4EAF-8963-AEA07F70D55A}"/>
            </a:ext>
          </a:extLst>
        </xdr:cNvPr>
        <xdr:cNvSpPr/>
      </xdr:nvSpPr>
      <xdr:spPr>
        <a:xfrm>
          <a:off x="1810398" y="26863259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141</xdr:row>
      <xdr:rowOff>149678</xdr:rowOff>
    </xdr:from>
    <xdr:to>
      <xdr:col>2</xdr:col>
      <xdr:colOff>317181</xdr:colOff>
      <xdr:row>144</xdr:row>
      <xdr:rowOff>30782</xdr:rowOff>
    </xdr:to>
    <xdr:sp macro="" textlink="">
      <xdr:nvSpPr>
        <xdr:cNvPr id="283" name="Textfeld 282">
          <a:extLst>
            <a:ext uri="{FF2B5EF4-FFF2-40B4-BE49-F238E27FC236}">
              <a16:creationId xmlns:a16="http://schemas.microsoft.com/office/drawing/2014/main" id="{44BF3E1A-9638-4F63-A7C2-437D06AEB41A}"/>
            </a:ext>
          </a:extLst>
        </xdr:cNvPr>
        <xdr:cNvSpPr txBox="1"/>
      </xdr:nvSpPr>
      <xdr:spPr>
        <a:xfrm>
          <a:off x="1265464" y="30588857"/>
          <a:ext cx="575717" cy="4934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185</xdr:row>
      <xdr:rowOff>37647</xdr:rowOff>
    </xdr:from>
    <xdr:to>
      <xdr:col>1</xdr:col>
      <xdr:colOff>525338</xdr:colOff>
      <xdr:row>190</xdr:row>
      <xdr:rowOff>155110</xdr:rowOff>
    </xdr:to>
    <xdr:cxnSp macro="">
      <xdr:nvCxnSpPr>
        <xdr:cNvPr id="284" name="Gerade Verbindung mit Pfeil 283">
          <a:extLst>
            <a:ext uri="{FF2B5EF4-FFF2-40B4-BE49-F238E27FC236}">
              <a16:creationId xmlns:a16="http://schemas.microsoft.com/office/drawing/2014/main" id="{31A24FC4-9BFB-4D73-97DE-9BF957E16EE9}"/>
            </a:ext>
          </a:extLst>
        </xdr:cNvPr>
        <xdr:cNvCxnSpPr/>
      </xdr:nvCxnSpPr>
      <xdr:spPr>
        <a:xfrm>
          <a:off x="1287338" y="34796995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27787</xdr:colOff>
      <xdr:row>186</xdr:row>
      <xdr:rowOff>144766</xdr:rowOff>
    </xdr:from>
    <xdr:to>
      <xdr:col>1</xdr:col>
      <xdr:colOff>749725</xdr:colOff>
      <xdr:row>188</xdr:row>
      <xdr:rowOff>82339</xdr:rowOff>
    </xdr:to>
    <xdr:sp macro="" textlink="">
      <xdr:nvSpPr>
        <xdr:cNvPr id="285" name="Textfeld 284">
          <a:extLst>
            <a:ext uri="{FF2B5EF4-FFF2-40B4-BE49-F238E27FC236}">
              <a16:creationId xmlns:a16="http://schemas.microsoft.com/office/drawing/2014/main" id="{C26B671C-1EF3-4D2A-B218-241A14112CDB}"/>
            </a:ext>
          </a:extLst>
        </xdr:cNvPr>
        <xdr:cNvSpPr txBox="1"/>
      </xdr:nvSpPr>
      <xdr:spPr>
        <a:xfrm>
          <a:off x="789787" y="39932052"/>
          <a:ext cx="721938" cy="35939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182</xdr:row>
      <xdr:rowOff>71781</xdr:rowOff>
    </xdr:from>
    <xdr:to>
      <xdr:col>2</xdr:col>
      <xdr:colOff>441006</xdr:colOff>
      <xdr:row>183</xdr:row>
      <xdr:rowOff>104912</xdr:rowOff>
    </xdr:to>
    <xdr:sp macro="" textlink="">
      <xdr:nvSpPr>
        <xdr:cNvPr id="286" name="Pfeil: nach oben 285">
          <a:extLst>
            <a:ext uri="{FF2B5EF4-FFF2-40B4-BE49-F238E27FC236}">
              <a16:creationId xmlns:a16="http://schemas.microsoft.com/office/drawing/2014/main" id="{099C31F0-C8FF-4EC7-9F42-68FE57C137C8}"/>
            </a:ext>
          </a:extLst>
        </xdr:cNvPr>
        <xdr:cNvSpPr/>
      </xdr:nvSpPr>
      <xdr:spPr>
        <a:xfrm>
          <a:off x="1810398" y="34284477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181</xdr:row>
      <xdr:rowOff>190500</xdr:rowOff>
    </xdr:from>
    <xdr:to>
      <xdr:col>2</xdr:col>
      <xdr:colOff>317181</xdr:colOff>
      <xdr:row>184</xdr:row>
      <xdr:rowOff>7868</xdr:rowOff>
    </xdr:to>
    <xdr:sp macro="" textlink="">
      <xdr:nvSpPr>
        <xdr:cNvPr id="287" name="Textfeld 286">
          <a:extLst>
            <a:ext uri="{FF2B5EF4-FFF2-40B4-BE49-F238E27FC236}">
              <a16:creationId xmlns:a16="http://schemas.microsoft.com/office/drawing/2014/main" id="{60678C1F-E980-418E-B1C1-95832E70CAE5}"/>
            </a:ext>
          </a:extLst>
        </xdr:cNvPr>
        <xdr:cNvSpPr txBox="1"/>
      </xdr:nvSpPr>
      <xdr:spPr>
        <a:xfrm>
          <a:off x="1265464" y="38957250"/>
          <a:ext cx="575717" cy="4296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530860</xdr:colOff>
      <xdr:row>228</xdr:row>
      <xdr:rowOff>70778</xdr:rowOff>
    </xdr:from>
    <xdr:to>
      <xdr:col>1</xdr:col>
      <xdr:colOff>530860</xdr:colOff>
      <xdr:row>234</xdr:row>
      <xdr:rowOff>6024</xdr:rowOff>
    </xdr:to>
    <xdr:cxnSp macro="">
      <xdr:nvCxnSpPr>
        <xdr:cNvPr id="288" name="Gerade Verbindung mit Pfeil 287">
          <a:extLst>
            <a:ext uri="{FF2B5EF4-FFF2-40B4-BE49-F238E27FC236}">
              <a16:creationId xmlns:a16="http://schemas.microsoft.com/office/drawing/2014/main" id="{33BF8919-E250-4BB6-8530-5CD40966F287}"/>
            </a:ext>
          </a:extLst>
        </xdr:cNvPr>
        <xdr:cNvCxnSpPr/>
      </xdr:nvCxnSpPr>
      <xdr:spPr>
        <a:xfrm>
          <a:off x="1292860" y="42814561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36484</xdr:colOff>
      <xdr:row>229</xdr:row>
      <xdr:rowOff>188330</xdr:rowOff>
    </xdr:from>
    <xdr:to>
      <xdr:col>1</xdr:col>
      <xdr:colOff>748897</xdr:colOff>
      <xdr:row>231</xdr:row>
      <xdr:rowOff>167749</xdr:rowOff>
    </xdr:to>
    <xdr:sp macro="" textlink="">
      <xdr:nvSpPr>
        <xdr:cNvPr id="289" name="Textfeld 288">
          <a:extLst>
            <a:ext uri="{FF2B5EF4-FFF2-40B4-BE49-F238E27FC236}">
              <a16:creationId xmlns:a16="http://schemas.microsoft.com/office/drawing/2014/main" id="{20D41A9B-C72D-4EAB-92F4-0904A11BED03}"/>
            </a:ext>
          </a:extLst>
        </xdr:cNvPr>
        <xdr:cNvSpPr txBox="1"/>
      </xdr:nvSpPr>
      <xdr:spPr>
        <a:xfrm>
          <a:off x="798484" y="48942723"/>
          <a:ext cx="712413" cy="38763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291920</xdr:colOff>
      <xdr:row>225</xdr:row>
      <xdr:rowOff>104913</xdr:rowOff>
    </xdr:from>
    <xdr:to>
      <xdr:col>2</xdr:col>
      <xdr:colOff>446528</xdr:colOff>
      <xdr:row>226</xdr:row>
      <xdr:rowOff>138043</xdr:rowOff>
    </xdr:to>
    <xdr:sp macro="" textlink="">
      <xdr:nvSpPr>
        <xdr:cNvPr id="290" name="Pfeil: nach oben 289">
          <a:extLst>
            <a:ext uri="{FF2B5EF4-FFF2-40B4-BE49-F238E27FC236}">
              <a16:creationId xmlns:a16="http://schemas.microsoft.com/office/drawing/2014/main" id="{F1410EA6-A850-4B99-90F7-A7CFE196DEF4}"/>
            </a:ext>
          </a:extLst>
        </xdr:cNvPr>
        <xdr:cNvSpPr/>
      </xdr:nvSpPr>
      <xdr:spPr>
        <a:xfrm>
          <a:off x="1815920" y="42302043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544286</xdr:colOff>
      <xdr:row>225</xdr:row>
      <xdr:rowOff>13607</xdr:rowOff>
    </xdr:from>
    <xdr:to>
      <xdr:col>2</xdr:col>
      <xdr:colOff>316353</xdr:colOff>
      <xdr:row>227</xdr:row>
      <xdr:rowOff>47349</xdr:rowOff>
    </xdr:to>
    <xdr:sp macro="" textlink="">
      <xdr:nvSpPr>
        <xdr:cNvPr id="291" name="Textfeld 290">
          <a:extLst>
            <a:ext uri="{FF2B5EF4-FFF2-40B4-BE49-F238E27FC236}">
              <a16:creationId xmlns:a16="http://schemas.microsoft.com/office/drawing/2014/main" id="{603072BE-3927-4B6D-B924-0C8F93B116C9}"/>
            </a:ext>
          </a:extLst>
        </xdr:cNvPr>
        <xdr:cNvSpPr txBox="1"/>
      </xdr:nvSpPr>
      <xdr:spPr>
        <a:xfrm>
          <a:off x="1306286" y="47924357"/>
          <a:ext cx="534067" cy="4555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508773</xdr:colOff>
      <xdr:row>271</xdr:row>
      <xdr:rowOff>148083</xdr:rowOff>
    </xdr:from>
    <xdr:to>
      <xdr:col>1</xdr:col>
      <xdr:colOff>508773</xdr:colOff>
      <xdr:row>277</xdr:row>
      <xdr:rowOff>83328</xdr:rowOff>
    </xdr:to>
    <xdr:cxnSp macro="">
      <xdr:nvCxnSpPr>
        <xdr:cNvPr id="296" name="Gerade Verbindung mit Pfeil 295">
          <a:extLst>
            <a:ext uri="{FF2B5EF4-FFF2-40B4-BE49-F238E27FC236}">
              <a16:creationId xmlns:a16="http://schemas.microsoft.com/office/drawing/2014/main" id="{1328C720-FE39-40DC-9851-A6E29511DF01}"/>
            </a:ext>
          </a:extLst>
        </xdr:cNvPr>
        <xdr:cNvCxnSpPr/>
      </xdr:nvCxnSpPr>
      <xdr:spPr>
        <a:xfrm>
          <a:off x="1270773" y="50876300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789</xdr:colOff>
      <xdr:row>273</xdr:row>
      <xdr:rowOff>102349</xdr:rowOff>
    </xdr:from>
    <xdr:to>
      <xdr:col>1</xdr:col>
      <xdr:colOff>719552</xdr:colOff>
      <xdr:row>275</xdr:row>
      <xdr:rowOff>81768</xdr:rowOff>
    </xdr:to>
    <xdr:sp macro="" textlink="">
      <xdr:nvSpPr>
        <xdr:cNvPr id="297" name="Textfeld 296">
          <a:extLst>
            <a:ext uri="{FF2B5EF4-FFF2-40B4-BE49-F238E27FC236}">
              <a16:creationId xmlns:a16="http://schemas.microsoft.com/office/drawing/2014/main" id="{8F9B733C-289E-436C-8E2B-00CFC0E240E5}"/>
            </a:ext>
          </a:extLst>
        </xdr:cNvPr>
        <xdr:cNvSpPr txBox="1"/>
      </xdr:nvSpPr>
      <xdr:spPr>
        <a:xfrm>
          <a:off x="762789" y="57987135"/>
          <a:ext cx="718763" cy="4012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>
              <a:solidFill>
                <a:srgbClr val="00B0F0"/>
              </a:solidFill>
            </a:rPr>
            <a:t>U</a:t>
          </a:r>
          <a:r>
            <a:rPr lang="de-CH" sz="16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269833</xdr:colOff>
      <xdr:row>268</xdr:row>
      <xdr:rowOff>182217</xdr:rowOff>
    </xdr:from>
    <xdr:to>
      <xdr:col>2</xdr:col>
      <xdr:colOff>424441</xdr:colOff>
      <xdr:row>270</xdr:row>
      <xdr:rowOff>33130</xdr:rowOff>
    </xdr:to>
    <xdr:sp macro="" textlink="">
      <xdr:nvSpPr>
        <xdr:cNvPr id="298" name="Pfeil: nach oben 297">
          <a:extLst>
            <a:ext uri="{FF2B5EF4-FFF2-40B4-BE49-F238E27FC236}">
              <a16:creationId xmlns:a16="http://schemas.microsoft.com/office/drawing/2014/main" id="{A154736E-E81A-4FB7-B8F1-FF3086923150}"/>
            </a:ext>
          </a:extLst>
        </xdr:cNvPr>
        <xdr:cNvSpPr/>
      </xdr:nvSpPr>
      <xdr:spPr>
        <a:xfrm>
          <a:off x="1793833" y="50363782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462643</xdr:colOff>
      <xdr:row>268</xdr:row>
      <xdr:rowOff>81643</xdr:rowOff>
    </xdr:from>
    <xdr:to>
      <xdr:col>2</xdr:col>
      <xdr:colOff>294266</xdr:colOff>
      <xdr:row>270</xdr:row>
      <xdr:rowOff>124653</xdr:rowOff>
    </xdr:to>
    <xdr:sp macro="" textlink="">
      <xdr:nvSpPr>
        <xdr:cNvPr id="299" name="Textfeld 298">
          <a:extLst>
            <a:ext uri="{FF2B5EF4-FFF2-40B4-BE49-F238E27FC236}">
              <a16:creationId xmlns:a16="http://schemas.microsoft.com/office/drawing/2014/main" id="{CB4C7DB5-A4E5-4034-897F-6AE2311B85CF}"/>
            </a:ext>
          </a:extLst>
        </xdr:cNvPr>
        <xdr:cNvSpPr txBox="1"/>
      </xdr:nvSpPr>
      <xdr:spPr>
        <a:xfrm>
          <a:off x="1224643" y="56932286"/>
          <a:ext cx="593623" cy="4512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 baseline="0">
              <a:solidFill>
                <a:srgbClr val="FF0000"/>
              </a:solidFill>
            </a:rPr>
            <a:t>I</a:t>
          </a:r>
          <a:r>
            <a:rPr lang="de-CH" sz="16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692150</xdr:colOff>
      <xdr:row>111</xdr:row>
      <xdr:rowOff>153982</xdr:rowOff>
    </xdr:from>
    <xdr:to>
      <xdr:col>12</xdr:col>
      <xdr:colOff>711200</xdr:colOff>
      <xdr:row>112</xdr:row>
      <xdr:rowOff>1582</xdr:rowOff>
    </xdr:to>
    <xdr:cxnSp macro="">
      <xdr:nvCxnSpPr>
        <xdr:cNvPr id="313" name="Gerader Verbinder 312">
          <a:extLst>
            <a:ext uri="{FF2B5EF4-FFF2-40B4-BE49-F238E27FC236}">
              <a16:creationId xmlns:a16="http://schemas.microsoft.com/office/drawing/2014/main" id="{19AF9F94-8328-CF17-7274-986CD7DFA080}"/>
            </a:ext>
          </a:extLst>
        </xdr:cNvPr>
        <xdr:cNvCxnSpPr/>
      </xdr:nvCxnSpPr>
      <xdr:spPr>
        <a:xfrm flipH="1" flipV="1">
          <a:off x="1454150" y="23125107"/>
          <a:ext cx="8401050" cy="381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76200</xdr:colOff>
      <xdr:row>111</xdr:row>
      <xdr:rowOff>114300</xdr:rowOff>
    </xdr:from>
    <xdr:to>
      <xdr:col>6</xdr:col>
      <xdr:colOff>165100</xdr:colOff>
      <xdr:row>112</xdr:row>
      <xdr:rowOff>12701</xdr:rowOff>
    </xdr:to>
    <xdr:sp macro="" textlink="">
      <xdr:nvSpPr>
        <xdr:cNvPr id="314" name="Ellipse 313">
          <a:extLst>
            <a:ext uri="{FF2B5EF4-FFF2-40B4-BE49-F238E27FC236}">
              <a16:creationId xmlns:a16="http://schemas.microsoft.com/office/drawing/2014/main" id="{E6CB9E18-BF70-904C-AEA8-B50E029E19EF}"/>
            </a:ext>
          </a:extLst>
        </xdr:cNvPr>
        <xdr:cNvSpPr/>
      </xdr:nvSpPr>
      <xdr:spPr>
        <a:xfrm>
          <a:off x="4648200" y="23647400"/>
          <a:ext cx="88900" cy="9525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660400</xdr:colOff>
      <xdr:row>111</xdr:row>
      <xdr:rowOff>119743</xdr:rowOff>
    </xdr:from>
    <xdr:to>
      <xdr:col>10</xdr:col>
      <xdr:colOff>749300</xdr:colOff>
      <xdr:row>112</xdr:row>
      <xdr:rowOff>18144</xdr:rowOff>
    </xdr:to>
    <xdr:sp macro="" textlink="">
      <xdr:nvSpPr>
        <xdr:cNvPr id="332" name="Ellipse 331">
          <a:extLst>
            <a:ext uri="{FF2B5EF4-FFF2-40B4-BE49-F238E27FC236}">
              <a16:creationId xmlns:a16="http://schemas.microsoft.com/office/drawing/2014/main" id="{6E3A6A7D-3C60-B4C4-4EB5-AF4B036EA643}"/>
            </a:ext>
          </a:extLst>
        </xdr:cNvPr>
        <xdr:cNvSpPr/>
      </xdr:nvSpPr>
      <xdr:spPr>
        <a:xfrm>
          <a:off x="8280400" y="23563943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656771</xdr:colOff>
      <xdr:row>111</xdr:row>
      <xdr:rowOff>152400</xdr:rowOff>
    </xdr:from>
    <xdr:to>
      <xdr:col>12</xdr:col>
      <xdr:colOff>745671</xdr:colOff>
      <xdr:row>112</xdr:row>
      <xdr:rowOff>50801</xdr:rowOff>
    </xdr:to>
    <xdr:sp macro="" textlink="">
      <xdr:nvSpPr>
        <xdr:cNvPr id="333" name="Ellipse 332">
          <a:extLst>
            <a:ext uri="{FF2B5EF4-FFF2-40B4-BE49-F238E27FC236}">
              <a16:creationId xmlns:a16="http://schemas.microsoft.com/office/drawing/2014/main" id="{F189DBA0-5D9A-7849-BB6D-068C6D98CA39}"/>
            </a:ext>
          </a:extLst>
        </xdr:cNvPr>
        <xdr:cNvSpPr/>
      </xdr:nvSpPr>
      <xdr:spPr>
        <a:xfrm>
          <a:off x="9800771" y="23596600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330128</xdr:colOff>
      <xdr:row>15</xdr:row>
      <xdr:rowOff>284501</xdr:rowOff>
    </xdr:from>
    <xdr:to>
      <xdr:col>12</xdr:col>
      <xdr:colOff>430020</xdr:colOff>
      <xdr:row>16</xdr:row>
      <xdr:rowOff>74337</xdr:rowOff>
    </xdr:to>
    <xdr:sp macro="" textlink="">
      <xdr:nvSpPr>
        <xdr:cNvPr id="150" name="Ellipse 149">
          <a:extLst>
            <a:ext uri="{FF2B5EF4-FFF2-40B4-BE49-F238E27FC236}">
              <a16:creationId xmlns:a16="http://schemas.microsoft.com/office/drawing/2014/main" id="{DE367366-5C5F-32EF-4C47-3209D4B739F5}"/>
            </a:ext>
          </a:extLst>
        </xdr:cNvPr>
        <xdr:cNvSpPr/>
      </xdr:nvSpPr>
      <xdr:spPr>
        <a:xfrm>
          <a:off x="9474128" y="4164685"/>
          <a:ext cx="9989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518790</xdr:colOff>
      <xdr:row>15</xdr:row>
      <xdr:rowOff>289515</xdr:rowOff>
    </xdr:from>
    <xdr:to>
      <xdr:col>13</xdr:col>
      <xdr:colOff>612332</xdr:colOff>
      <xdr:row>16</xdr:row>
      <xdr:rowOff>79351</xdr:rowOff>
    </xdr:to>
    <xdr:sp macro="" textlink="">
      <xdr:nvSpPr>
        <xdr:cNvPr id="155" name="Ellipse 154">
          <a:extLst>
            <a:ext uri="{FF2B5EF4-FFF2-40B4-BE49-F238E27FC236}">
              <a16:creationId xmlns:a16="http://schemas.microsoft.com/office/drawing/2014/main" id="{BCCAD656-3D18-00B8-D836-7465A6F38C3C}"/>
            </a:ext>
          </a:extLst>
        </xdr:cNvPr>
        <xdr:cNvSpPr/>
      </xdr:nvSpPr>
      <xdr:spPr>
        <a:xfrm>
          <a:off x="10424790" y="4169699"/>
          <a:ext cx="9354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727441</xdr:colOff>
      <xdr:row>3</xdr:row>
      <xdr:rowOff>172829</xdr:rowOff>
    </xdr:from>
    <xdr:to>
      <xdr:col>6</xdr:col>
      <xdr:colOff>58983</xdr:colOff>
      <xdr:row>4</xdr:row>
      <xdr:rowOff>67768</xdr:rowOff>
    </xdr:to>
    <xdr:sp macro="" textlink="">
      <xdr:nvSpPr>
        <xdr:cNvPr id="293" name="Ellipse 292">
          <a:extLst>
            <a:ext uri="{FF2B5EF4-FFF2-40B4-BE49-F238E27FC236}">
              <a16:creationId xmlns:a16="http://schemas.microsoft.com/office/drawing/2014/main" id="{22CDDD38-3204-8B35-B88C-5D68FC2E3E24}"/>
            </a:ext>
          </a:extLst>
        </xdr:cNvPr>
        <xdr:cNvSpPr/>
      </xdr:nvSpPr>
      <xdr:spPr>
        <a:xfrm>
          <a:off x="4537441" y="901984"/>
          <a:ext cx="93542" cy="9200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730616</xdr:colOff>
      <xdr:row>3</xdr:row>
      <xdr:rowOff>159691</xdr:rowOff>
    </xdr:from>
    <xdr:to>
      <xdr:col>5</xdr:col>
      <xdr:colOff>58983</xdr:colOff>
      <xdr:row>4</xdr:row>
      <xdr:rowOff>51455</xdr:rowOff>
    </xdr:to>
    <xdr:sp macro="" textlink="">
      <xdr:nvSpPr>
        <xdr:cNvPr id="300" name="Ellipse 299">
          <a:extLst>
            <a:ext uri="{FF2B5EF4-FFF2-40B4-BE49-F238E27FC236}">
              <a16:creationId xmlns:a16="http://schemas.microsoft.com/office/drawing/2014/main" id="{200CFCCA-5AE6-05FB-77E4-681D583B78C8}"/>
            </a:ext>
          </a:extLst>
        </xdr:cNvPr>
        <xdr:cNvSpPr/>
      </xdr:nvSpPr>
      <xdr:spPr>
        <a:xfrm>
          <a:off x="3778616" y="888846"/>
          <a:ext cx="90367" cy="8883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742854</xdr:colOff>
      <xdr:row>15</xdr:row>
      <xdr:rowOff>190499</xdr:rowOff>
    </xdr:from>
    <xdr:to>
      <xdr:col>10</xdr:col>
      <xdr:colOff>92075</xdr:colOff>
      <xdr:row>16</xdr:row>
      <xdr:rowOff>62877</xdr:rowOff>
    </xdr:to>
    <xdr:sp macro="" textlink="">
      <xdr:nvSpPr>
        <xdr:cNvPr id="60" name="Ellipse 59">
          <a:extLst>
            <a:ext uri="{FF2B5EF4-FFF2-40B4-BE49-F238E27FC236}">
              <a16:creationId xmlns:a16="http://schemas.microsoft.com/office/drawing/2014/main" id="{91091990-449F-3D28-C293-AD9F70AFD940}"/>
            </a:ext>
          </a:extLst>
        </xdr:cNvPr>
        <xdr:cNvSpPr/>
      </xdr:nvSpPr>
      <xdr:spPr>
        <a:xfrm>
          <a:off x="7600854" y="4435928"/>
          <a:ext cx="111221" cy="7648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709394</xdr:colOff>
      <xdr:row>3</xdr:row>
      <xdr:rowOff>190500</xdr:rowOff>
    </xdr:from>
    <xdr:to>
      <xdr:col>11</xdr:col>
      <xdr:colOff>55440</xdr:colOff>
      <xdr:row>4</xdr:row>
      <xdr:rowOff>66053</xdr:rowOff>
    </xdr:to>
    <xdr:sp macro="" textlink="">
      <xdr:nvSpPr>
        <xdr:cNvPr id="61" name="Ellipse 60">
          <a:extLst>
            <a:ext uri="{FF2B5EF4-FFF2-40B4-BE49-F238E27FC236}">
              <a16:creationId xmlns:a16="http://schemas.microsoft.com/office/drawing/2014/main" id="{E3E8292C-173F-648B-4C70-7E7FF3F7EF5C}"/>
            </a:ext>
          </a:extLst>
        </xdr:cNvPr>
        <xdr:cNvSpPr/>
      </xdr:nvSpPr>
      <xdr:spPr>
        <a:xfrm>
          <a:off x="8329394" y="923192"/>
          <a:ext cx="108046" cy="7338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718039</xdr:colOff>
      <xdr:row>27</xdr:row>
      <xdr:rowOff>417635</xdr:rowOff>
    </xdr:from>
    <xdr:to>
      <xdr:col>13</xdr:col>
      <xdr:colOff>62281</xdr:colOff>
      <xdr:row>28</xdr:row>
      <xdr:rowOff>53606</xdr:rowOff>
    </xdr:to>
    <xdr:sp macro="" textlink="">
      <xdr:nvSpPr>
        <xdr:cNvPr id="301" name="Ellipse 300">
          <a:extLst>
            <a:ext uri="{FF2B5EF4-FFF2-40B4-BE49-F238E27FC236}">
              <a16:creationId xmlns:a16="http://schemas.microsoft.com/office/drawing/2014/main" id="{E909EC2C-3A5B-5642-2406-5EDA22D3E5F4}"/>
            </a:ext>
          </a:extLst>
        </xdr:cNvPr>
        <xdr:cNvSpPr/>
      </xdr:nvSpPr>
      <xdr:spPr>
        <a:xfrm>
          <a:off x="9862039" y="9847385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703385</xdr:colOff>
      <xdr:row>39</xdr:row>
      <xdr:rowOff>131885</xdr:rowOff>
    </xdr:from>
    <xdr:to>
      <xdr:col>5</xdr:col>
      <xdr:colOff>47627</xdr:colOff>
      <xdr:row>39</xdr:row>
      <xdr:rowOff>214798</xdr:rowOff>
    </xdr:to>
    <xdr:sp macro="" textlink="">
      <xdr:nvSpPr>
        <xdr:cNvPr id="302" name="Ellipse 301">
          <a:extLst>
            <a:ext uri="{FF2B5EF4-FFF2-40B4-BE49-F238E27FC236}">
              <a16:creationId xmlns:a16="http://schemas.microsoft.com/office/drawing/2014/main" id="{278BA440-586D-5C8C-ACC1-C4DE6CE926B4}"/>
            </a:ext>
          </a:extLst>
        </xdr:cNvPr>
        <xdr:cNvSpPr/>
      </xdr:nvSpPr>
      <xdr:spPr>
        <a:xfrm>
          <a:off x="3751385" y="14924943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692884</xdr:colOff>
      <xdr:row>39</xdr:row>
      <xdr:rowOff>139212</xdr:rowOff>
    </xdr:from>
    <xdr:to>
      <xdr:col>13</xdr:col>
      <xdr:colOff>43476</xdr:colOff>
      <xdr:row>39</xdr:row>
      <xdr:rowOff>218950</xdr:rowOff>
    </xdr:to>
    <xdr:sp macro="" textlink="">
      <xdr:nvSpPr>
        <xdr:cNvPr id="303" name="Ellipse 302">
          <a:extLst>
            <a:ext uri="{FF2B5EF4-FFF2-40B4-BE49-F238E27FC236}">
              <a16:creationId xmlns:a16="http://schemas.microsoft.com/office/drawing/2014/main" id="{7F2DB4EF-7D64-14AD-3E4B-44469E1BC325}"/>
            </a:ext>
          </a:extLst>
        </xdr:cNvPr>
        <xdr:cNvSpPr/>
      </xdr:nvSpPr>
      <xdr:spPr>
        <a:xfrm>
          <a:off x="9836884" y="14932270"/>
          <a:ext cx="112592" cy="7973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696058</xdr:colOff>
      <xdr:row>39</xdr:row>
      <xdr:rowOff>117231</xdr:rowOff>
    </xdr:from>
    <xdr:to>
      <xdr:col>11</xdr:col>
      <xdr:colOff>43475</xdr:colOff>
      <xdr:row>39</xdr:row>
      <xdr:rowOff>203319</xdr:rowOff>
    </xdr:to>
    <xdr:sp macro="" textlink="">
      <xdr:nvSpPr>
        <xdr:cNvPr id="304" name="Ellipse 303">
          <a:extLst>
            <a:ext uri="{FF2B5EF4-FFF2-40B4-BE49-F238E27FC236}">
              <a16:creationId xmlns:a16="http://schemas.microsoft.com/office/drawing/2014/main" id="{76195015-FDA5-7FE8-56E7-C03FF2AD4DE9}"/>
            </a:ext>
          </a:extLst>
        </xdr:cNvPr>
        <xdr:cNvSpPr/>
      </xdr:nvSpPr>
      <xdr:spPr>
        <a:xfrm>
          <a:off x="8316058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732693</xdr:colOff>
      <xdr:row>39</xdr:row>
      <xdr:rowOff>109904</xdr:rowOff>
    </xdr:from>
    <xdr:to>
      <xdr:col>10</xdr:col>
      <xdr:colOff>80110</xdr:colOff>
      <xdr:row>39</xdr:row>
      <xdr:rowOff>195992</xdr:rowOff>
    </xdr:to>
    <xdr:sp macro="" textlink="">
      <xdr:nvSpPr>
        <xdr:cNvPr id="305" name="Ellipse 304">
          <a:extLst>
            <a:ext uri="{FF2B5EF4-FFF2-40B4-BE49-F238E27FC236}">
              <a16:creationId xmlns:a16="http://schemas.microsoft.com/office/drawing/2014/main" id="{8381E6AD-78CC-BBAD-2F59-403FC5151E14}"/>
            </a:ext>
          </a:extLst>
        </xdr:cNvPr>
        <xdr:cNvSpPr/>
      </xdr:nvSpPr>
      <xdr:spPr>
        <a:xfrm>
          <a:off x="7590693" y="14902962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718039</xdr:colOff>
      <xdr:row>39</xdr:row>
      <xdr:rowOff>117231</xdr:rowOff>
    </xdr:from>
    <xdr:to>
      <xdr:col>6</xdr:col>
      <xdr:colOff>65456</xdr:colOff>
      <xdr:row>39</xdr:row>
      <xdr:rowOff>203319</xdr:rowOff>
    </xdr:to>
    <xdr:sp macro="" textlink="">
      <xdr:nvSpPr>
        <xdr:cNvPr id="306" name="Ellipse 305">
          <a:extLst>
            <a:ext uri="{FF2B5EF4-FFF2-40B4-BE49-F238E27FC236}">
              <a16:creationId xmlns:a16="http://schemas.microsoft.com/office/drawing/2014/main" id="{A99482C0-BF57-B1AC-3C53-5BEF5CD93B7F}"/>
            </a:ext>
          </a:extLst>
        </xdr:cNvPr>
        <xdr:cNvSpPr/>
      </xdr:nvSpPr>
      <xdr:spPr>
        <a:xfrm>
          <a:off x="4528039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695325</xdr:colOff>
      <xdr:row>1</xdr:row>
      <xdr:rowOff>0</xdr:rowOff>
    </xdr:from>
    <xdr:to>
      <xdr:col>1</xdr:col>
      <xdr:colOff>427718</xdr:colOff>
      <xdr:row>2</xdr:row>
      <xdr:rowOff>28121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38383C-683F-4257-A285-727C47CFC1A7}"/>
            </a:ext>
          </a:extLst>
        </xdr:cNvPr>
        <xdr:cNvSpPr/>
      </xdr:nvSpPr>
      <xdr:spPr>
        <a:xfrm rot="10800000">
          <a:off x="695325" y="180975"/>
          <a:ext cx="494393" cy="32339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</xdr:col>
      <xdr:colOff>19050</xdr:colOff>
      <xdr:row>4</xdr:row>
      <xdr:rowOff>47625</xdr:rowOff>
    </xdr:from>
    <xdr:to>
      <xdr:col>6</xdr:col>
      <xdr:colOff>673724</xdr:colOff>
      <xdr:row>16</xdr:row>
      <xdr:rowOff>19349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B36F08A4-2431-D356-B9AC-1D148959A1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1050" y="885825"/>
          <a:ext cx="4464674" cy="21434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9</xdr:col>
      <xdr:colOff>73026</xdr:colOff>
      <xdr:row>3</xdr:row>
      <xdr:rowOff>171450</xdr:rowOff>
    </xdr:from>
    <xdr:to>
      <xdr:col>11</xdr:col>
      <xdr:colOff>396876</xdr:colOff>
      <xdr:row>8</xdr:row>
      <xdr:rowOff>178987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3F38F032-46A6-601B-947A-5BEEDDD305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931026" y="828675"/>
          <a:ext cx="1847850" cy="912412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13</xdr:col>
      <xdr:colOff>733425</xdr:colOff>
      <xdr:row>3</xdr:row>
      <xdr:rowOff>161925</xdr:rowOff>
    </xdr:from>
    <xdr:to>
      <xdr:col>19</xdr:col>
      <xdr:colOff>530835</xdr:colOff>
      <xdr:row>16</xdr:row>
      <xdr:rowOff>140026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5A55D28-7221-786A-3D88-0C8DF7998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639425" y="819150"/>
          <a:ext cx="4369410" cy="233077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28575</xdr:colOff>
      <xdr:row>21</xdr:row>
      <xdr:rowOff>0</xdr:rowOff>
    </xdr:from>
    <xdr:to>
      <xdr:col>7</xdr:col>
      <xdr:colOff>130828</xdr:colOff>
      <xdr:row>36</xdr:row>
      <xdr:rowOff>121046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63EED871-1370-6BFA-ED4C-4B7D4879C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90575" y="3914775"/>
          <a:ext cx="4674253" cy="2835671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8</xdr:col>
      <xdr:colOff>0</xdr:colOff>
      <xdr:row>21</xdr:row>
      <xdr:rowOff>0</xdr:rowOff>
    </xdr:from>
    <xdr:to>
      <xdr:col>13</xdr:col>
      <xdr:colOff>257743</xdr:colOff>
      <xdr:row>30</xdr:row>
      <xdr:rowOff>143122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8DBBAD87-5EC9-35F1-D732-2D1E21BCA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96000" y="3914775"/>
          <a:ext cx="4067743" cy="1771897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14</xdr:col>
      <xdr:colOff>0</xdr:colOff>
      <xdr:row>21</xdr:row>
      <xdr:rowOff>0</xdr:rowOff>
    </xdr:from>
    <xdr:to>
      <xdr:col>19</xdr:col>
      <xdr:colOff>419690</xdr:colOff>
      <xdr:row>34</xdr:row>
      <xdr:rowOff>19381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02D9BAF9-EBF4-68DE-BFF9-8E2410E9C7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68000" y="3914775"/>
          <a:ext cx="4229690" cy="237205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0</xdr:colOff>
      <xdr:row>39</xdr:row>
      <xdr:rowOff>66675</xdr:rowOff>
    </xdr:from>
    <xdr:to>
      <xdr:col>8</xdr:col>
      <xdr:colOff>191271</xdr:colOff>
      <xdr:row>52</xdr:row>
      <xdr:rowOff>73355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C8C7D199-0D9B-BAC0-6FE5-235930630F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62000" y="7239000"/>
          <a:ext cx="5525271" cy="235935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676275</xdr:colOff>
      <xdr:row>1</xdr:row>
      <xdr:rowOff>0</xdr:rowOff>
    </xdr:from>
    <xdr:to>
      <xdr:col>1</xdr:col>
      <xdr:colOff>408668</xdr:colOff>
      <xdr:row>2</xdr:row>
      <xdr:rowOff>31296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4DC7C4-FB0B-4B50-9D5E-05677DA8BD77}"/>
            </a:ext>
          </a:extLst>
        </xdr:cNvPr>
        <xdr:cNvSpPr/>
      </xdr:nvSpPr>
      <xdr:spPr>
        <a:xfrm rot="10800000">
          <a:off x="676275" y="180975"/>
          <a:ext cx="494393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</xdr:col>
      <xdr:colOff>9525</xdr:colOff>
      <xdr:row>3</xdr:row>
      <xdr:rowOff>161925</xdr:rowOff>
    </xdr:from>
    <xdr:to>
      <xdr:col>9</xdr:col>
      <xdr:colOff>416727</xdr:colOff>
      <xdr:row>18</xdr:row>
      <xdr:rowOff>76567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F77A1F2-DBBE-4173-DA96-C6E5AA87BA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3525" y="819150"/>
          <a:ext cx="5741202" cy="2629267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3</xdr:row>
      <xdr:rowOff>0</xdr:rowOff>
    </xdr:from>
    <xdr:to>
      <xdr:col>18</xdr:col>
      <xdr:colOff>153166</xdr:colOff>
      <xdr:row>13</xdr:row>
      <xdr:rowOff>38358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DC4659E2-25C9-A809-DB69-BA2DB6F305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82000" y="657225"/>
          <a:ext cx="5487166" cy="1848108"/>
        </a:xfrm>
        <a:prstGeom prst="rect">
          <a:avLst/>
        </a:prstGeom>
      </xdr:spPr>
    </xdr:pic>
    <xdr:clientData/>
  </xdr:twoCellAnchor>
  <xdr:twoCellAnchor>
    <xdr:from>
      <xdr:col>16</xdr:col>
      <xdr:colOff>15875</xdr:colOff>
      <xdr:row>19</xdr:row>
      <xdr:rowOff>173037</xdr:rowOff>
    </xdr:from>
    <xdr:to>
      <xdr:col>22</xdr:col>
      <xdr:colOff>15875</xdr:colOff>
      <xdr:row>34</xdr:row>
      <xdr:rowOff>173037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B7A400EA-A412-F7DD-0749-B7F7BE59E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4.bin"/><Relationship Id="rId4" Type="http://schemas.openxmlformats.org/officeDocument/2006/relationships/comments" Target="../comments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8.bin"/><Relationship Id="rId4" Type="http://schemas.openxmlformats.org/officeDocument/2006/relationships/comments" Target="../comments3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26683-FE2E-404D-B380-566552D5F12F}">
  <sheetPr>
    <tabColor rgb="FFFF0000"/>
  </sheetPr>
  <dimension ref="B2:G26"/>
  <sheetViews>
    <sheetView topLeftCell="A10" workbookViewId="0">
      <selection activeCell="C23" sqref="C23"/>
    </sheetView>
  </sheetViews>
  <sheetFormatPr baseColWidth="10" defaultRowHeight="14.5" x14ac:dyDescent="0.35"/>
  <cols>
    <col min="2" max="2" width="12.54296875" customWidth="1"/>
    <col min="3" max="3" width="57" customWidth="1"/>
    <col min="5" max="5" width="57" customWidth="1"/>
    <col min="7" max="7" width="57" customWidth="1"/>
  </cols>
  <sheetData>
    <row r="2" spans="2:7" ht="21" x14ac:dyDescent="0.5">
      <c r="B2" s="73" t="s">
        <v>99</v>
      </c>
    </row>
    <row r="4" spans="2:7" x14ac:dyDescent="0.35">
      <c r="B4" s="94" t="s">
        <v>848</v>
      </c>
      <c r="D4" s="94" t="s">
        <v>850</v>
      </c>
      <c r="F4" s="94" t="s">
        <v>851</v>
      </c>
    </row>
    <row r="5" spans="2:7" x14ac:dyDescent="0.35">
      <c r="B5" s="74">
        <v>45750</v>
      </c>
      <c r="C5" s="93" t="s">
        <v>126</v>
      </c>
      <c r="D5" s="74">
        <v>45991</v>
      </c>
      <c r="E5" s="75" t="str">
        <f>Einheitenvorsätze!C2</f>
        <v>Einheiten-Vorsätze</v>
      </c>
      <c r="F5" s="74">
        <v>45758</v>
      </c>
      <c r="G5" s="75" t="str">
        <f ca="1">Geburtstagsliste!C2</f>
        <v>Geburtstagsliste für 2025</v>
      </c>
    </row>
    <row r="6" spans="2:7" x14ac:dyDescent="0.35">
      <c r="B6" s="74">
        <v>45730</v>
      </c>
      <c r="C6" s="75" t="str">
        <f>Flächenberechnungen!C2</f>
        <v>Flächenberechnungen</v>
      </c>
      <c r="D6" s="74">
        <v>45944</v>
      </c>
      <c r="E6" s="75" t="str">
        <f>'Elektronische Schaltzeichen'!C2</f>
        <v>Elektronische Schaltzeichen</v>
      </c>
    </row>
    <row r="7" spans="2:7" x14ac:dyDescent="0.35">
      <c r="B7" s="74">
        <v>46002</v>
      </c>
      <c r="C7" s="75" t="str">
        <f>Sinus_Cosinus!E2</f>
        <v>Sinus / Cosinus / Tangens</v>
      </c>
      <c r="D7" s="74">
        <v>45932</v>
      </c>
      <c r="E7" s="75" t="str">
        <f>'Quelle mit Innenwiderstand'!C2</f>
        <v>Quelle mit Innenwiderstand</v>
      </c>
    </row>
    <row r="8" spans="2:7" x14ac:dyDescent="0.35">
      <c r="B8" s="74">
        <v>45772</v>
      </c>
      <c r="C8" s="75" t="s">
        <v>332</v>
      </c>
      <c r="D8" s="74">
        <v>45799</v>
      </c>
      <c r="E8" s="75" t="str">
        <f>'Gemischte Schaltung'!C2</f>
        <v>Gemischte Schaltungen</v>
      </c>
    </row>
    <row r="9" spans="2:7" x14ac:dyDescent="0.35">
      <c r="B9" s="74">
        <v>45870</v>
      </c>
      <c r="C9" s="75" t="str">
        <f>VektorZeitbereich!C2</f>
        <v>Sinusförmige Signale im Zeitbereich / Vektoren</v>
      </c>
      <c r="D9" s="74">
        <v>45998</v>
      </c>
      <c r="E9" s="75" t="str">
        <f>'LCR-Glieder'!C2</f>
        <v>RCL-Glieder</v>
      </c>
    </row>
    <row r="10" spans="2:7" x14ac:dyDescent="0.35">
      <c r="B10" s="74">
        <v>45873</v>
      </c>
      <c r="C10" s="75" t="str">
        <f>Theoreme!$C$2</f>
        <v>Trigonometrischen Theoreme und Identitäten</v>
      </c>
    </row>
    <row r="11" spans="2:7" x14ac:dyDescent="0.35">
      <c r="B11" s="74">
        <v>45873</v>
      </c>
      <c r="C11" s="75" t="str">
        <f>'Fläche eines Polygones'!C2</f>
        <v>Polygone-Fläche</v>
      </c>
    </row>
    <row r="12" spans="2:7" x14ac:dyDescent="0.35">
      <c r="B12" s="94"/>
    </row>
    <row r="13" spans="2:7" x14ac:dyDescent="0.35">
      <c r="B13" s="94"/>
    </row>
    <row r="14" spans="2:7" x14ac:dyDescent="0.35">
      <c r="B14" s="94"/>
    </row>
    <row r="15" spans="2:7" x14ac:dyDescent="0.35">
      <c r="B15" s="94"/>
      <c r="D15" s="74">
        <v>45873</v>
      </c>
      <c r="E15" s="75" t="str">
        <f>Scheinleistung!C2</f>
        <v>Scheinleistung S [VA] - Blindleistung Q [var] - Wirkleistung P [W]</v>
      </c>
    </row>
    <row r="16" spans="2:7" x14ac:dyDescent="0.35">
      <c r="B16" s="94"/>
      <c r="D16" s="74">
        <v>45908</v>
      </c>
      <c r="E16" s="75" t="str">
        <f>'Leistung bei Wechselstrom'!C2</f>
        <v>Leistung bei  ein-phasigem Wechselstrom</v>
      </c>
    </row>
    <row r="17" spans="2:5" x14ac:dyDescent="0.35">
      <c r="B17" s="94" t="s">
        <v>849</v>
      </c>
      <c r="D17" s="74">
        <v>45939</v>
      </c>
      <c r="E17" s="75" t="str">
        <f>'3-Phasenstrom'!C2</f>
        <v>3-Phasenstrom (Verkettete Spannung)</v>
      </c>
    </row>
    <row r="18" spans="2:5" x14ac:dyDescent="0.35">
      <c r="B18" s="74">
        <v>45979</v>
      </c>
      <c r="C18" s="75" t="str">
        <f>Kinematik_1!C2</f>
        <v>Kinematik I</v>
      </c>
      <c r="D18" s="74">
        <v>45870</v>
      </c>
      <c r="E18" s="75" t="str">
        <f>Fourierreihe!C2</f>
        <v>Fourierreihe</v>
      </c>
    </row>
    <row r="19" spans="2:5" x14ac:dyDescent="0.35">
      <c r="B19" s="74">
        <v>45998</v>
      </c>
      <c r="C19" s="75" t="str">
        <f>'Kinematik_1 (Weg-Zeit)'!C2</f>
        <v>Weg-Zeit Diagramm (Kinematik I)</v>
      </c>
    </row>
    <row r="20" spans="2:5" x14ac:dyDescent="0.35">
      <c r="B20" s="74"/>
      <c r="C20" s="75"/>
    </row>
    <row r="21" spans="2:5" x14ac:dyDescent="0.35">
      <c r="B21" s="74">
        <v>46002</v>
      </c>
      <c r="C21" s="75" t="s">
        <v>100</v>
      </c>
    </row>
    <row r="22" spans="2:5" x14ac:dyDescent="0.35">
      <c r="B22" s="74">
        <v>45701</v>
      </c>
      <c r="C22" s="75" t="s">
        <v>101</v>
      </c>
    </row>
    <row r="23" spans="2:5" x14ac:dyDescent="0.35">
      <c r="B23" s="74">
        <v>45998</v>
      </c>
      <c r="C23" s="75" t="str">
        <f>'Kinematik_2 (Weg-Zeit)'!C2</f>
        <v>Weg-Zeit Diagramm (Kinematik II)</v>
      </c>
    </row>
    <row r="24" spans="2:5" x14ac:dyDescent="0.35">
      <c r="B24" s="74"/>
      <c r="C24" s="75"/>
    </row>
    <row r="25" spans="2:5" x14ac:dyDescent="0.35">
      <c r="B25" s="74">
        <v>45786</v>
      </c>
      <c r="C25" s="75" t="s">
        <v>239</v>
      </c>
      <c r="D25" s="74"/>
    </row>
    <row r="26" spans="2:5" x14ac:dyDescent="0.35">
      <c r="D26" s="74"/>
    </row>
  </sheetData>
  <hyperlinks>
    <hyperlink ref="C18" location="Kinematik_1!A1" display="Kinematik 1" xr:uid="{9BFDC351-688D-4CF1-A81C-1D2AC11060FA}"/>
    <hyperlink ref="C21" location="Kinematik_2!E4" display="Kinematik_2" xr:uid="{0ED973E2-EF1D-49F0-BD37-E2FB8C64272F}"/>
    <hyperlink ref="C22" location="Kinematik_2_Berechnungen!A1" display="Kinematik 2 Berechnungen" xr:uid="{DB60A9A6-3C9B-4444-9F00-AC60502D68B3}"/>
    <hyperlink ref="E18" location="Fourierreihe!A1" display="Fouirierreihe" xr:uid="{CA7D746B-B699-4E02-BE38-0C7F996F76BD}"/>
    <hyperlink ref="C6" location="Flächenberechnungen!A1" display="Flächenberechnungen" xr:uid="{D5743AC9-A34F-4B3C-B139-43A4B498D6F8}"/>
    <hyperlink ref="E15" location="Scheinleistung!A1" display="Scheinleistung" xr:uid="{CAAE3E9B-0504-4F22-BE6A-F3547C6DB238}"/>
    <hyperlink ref="C5" location="'Einheiten umrechnen'!A1" display="Einheiten umrechnen" xr:uid="{63CF0BE5-46CF-4488-897E-89B66FF0D916}"/>
    <hyperlink ref="G5" location="Geburtstagsliste!A1" display="Geburtstagsliste" xr:uid="{951CF648-09E0-4733-A935-D9691C8D79E9}"/>
    <hyperlink ref="C8" location="Vektoroperationen!A1" display="Vektoroperationen" xr:uid="{898F9560-9AB3-43EE-B105-DB9C3B6E61A9}"/>
    <hyperlink ref="C25" location="Schiefeebene!A1" display="Schiefe Ebene" xr:uid="{ED253B79-5E32-4C6D-BC31-035CD76A77DC}"/>
    <hyperlink ref="C7" location="Sinus_Cosinus!A1" display="Sinus/Cosinus/Tangens" xr:uid="{9C72A74A-3681-4E08-BF54-03C3D64D9F80}"/>
    <hyperlink ref="C9" location="VektorZeitbereich!A1" display="VektorZeitbereich!A1" xr:uid="{1D9A0842-7145-4C54-B55F-840F1885E41F}"/>
    <hyperlink ref="E17" location="'3-Phasenstrom'!A1" display="Verkettete Spannung (3-Phasenstrom)" xr:uid="{F0D6490D-D7FD-40F5-9193-AEF7266C201A}"/>
    <hyperlink ref="C10" location="Theoreme!A1" display="Theoreme!A1" xr:uid="{0BE171A1-EFB5-45EC-AE54-5B69665FAB10}"/>
    <hyperlink ref="C11" location="'Fläche eines Polygones'!A1" display="'Fläche eines Polygones'!A1" xr:uid="{FA6D782C-8632-4E5B-97A4-90B6A18392EC}"/>
    <hyperlink ref="E16" location="'Leistung bei Wechselstrom'!A1" display="'Leistung bei Wechselstrom'!A1" xr:uid="{77978076-EEC0-461A-8111-26B1D9FA8228}"/>
    <hyperlink ref="E7" location="'Quelle mit Innenwiderstand'!A1" display="'Quelle mit Innenwiderstand'!A1" xr:uid="{DBDBA1F4-4576-4AB1-B068-29371CD2820B}"/>
    <hyperlink ref="E6" location="'Elektronische Schaltzeichen'!A1" display="'Elektronische Schaltzeichen'!A1" xr:uid="{3E4E7D55-1EFB-4293-88E7-02E0884B45DC}"/>
    <hyperlink ref="E5" location="Einheitenvorsätze!A1" display="Einheitenvorsätze!A1" xr:uid="{ED68D5CA-D774-4166-8A92-CCDADD10D231}"/>
    <hyperlink ref="C19" location="'Kinematik_1 (Weg-Zeit)'!A1" display="'Kinematik_1 (Weg-Zeit)'!A1" xr:uid="{B1422022-E543-4261-8911-DFC9E5156ACF}"/>
    <hyperlink ref="C23" location="'Kinematik_2 (Weg-Zeit)'!A1" display="'Kinematik_2 (Weg-Zeit)'!A1" xr:uid="{5BDE7B26-D458-4650-BF34-68BC7D1AC05E}"/>
    <hyperlink ref="E9" location="'LCR-Glieder'!A1" display="'LCR-Glieder'!A1" xr:uid="{1D94E871-4DC6-4C72-899A-E3ADEA3E8E24}"/>
  </hyperlinks>
  <pageMargins left="0.7" right="0.7" top="0.78740157499999996" bottom="0.78740157499999996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FE013-6E13-44EB-B2FE-BDD4AE303E4D}">
  <dimension ref="A2:O61"/>
  <sheetViews>
    <sheetView showGridLines="0" topLeftCell="A2" workbookViewId="0">
      <selection activeCell="L22" sqref="L22"/>
    </sheetView>
  </sheetViews>
  <sheetFormatPr baseColWidth="10" defaultRowHeight="14.5" x14ac:dyDescent="0.35"/>
  <cols>
    <col min="1" max="1" width="12.81640625" customWidth="1"/>
    <col min="2" max="2" width="14.453125" customWidth="1"/>
    <col min="3" max="3" width="40.54296875" customWidth="1"/>
    <col min="4" max="4" width="17.26953125" customWidth="1"/>
    <col min="5" max="5" width="14.7265625" customWidth="1"/>
    <col min="8" max="8" width="14.81640625" customWidth="1"/>
    <col min="10" max="10" width="2.453125" customWidth="1"/>
    <col min="15" max="15" width="14.1796875" customWidth="1"/>
  </cols>
  <sheetData>
    <row r="2" spans="1:15" ht="23.5" x14ac:dyDescent="0.55000000000000004">
      <c r="C2" s="11" t="s">
        <v>669</v>
      </c>
    </row>
    <row r="6" spans="1:15" ht="16" customHeight="1" x14ac:dyDescent="0.35">
      <c r="A6" s="363" t="s">
        <v>671</v>
      </c>
      <c r="B6" s="363" t="s">
        <v>670</v>
      </c>
      <c r="C6" s="363" t="s">
        <v>672</v>
      </c>
      <c r="D6" s="363" t="s">
        <v>673</v>
      </c>
      <c r="E6" s="363" t="s">
        <v>824</v>
      </c>
    </row>
    <row r="7" spans="1:15" ht="16" customHeight="1" x14ac:dyDescent="0.35">
      <c r="A7" s="115" t="s">
        <v>675</v>
      </c>
      <c r="B7" s="360" t="s">
        <v>674</v>
      </c>
      <c r="C7" s="362">
        <v>1E+30</v>
      </c>
      <c r="D7" s="115" t="s">
        <v>676</v>
      </c>
      <c r="E7" s="5">
        <v>30</v>
      </c>
    </row>
    <row r="8" spans="1:15" ht="16" customHeight="1" x14ac:dyDescent="0.35">
      <c r="A8" s="115" t="s">
        <v>678</v>
      </c>
      <c r="B8" s="360" t="s">
        <v>677</v>
      </c>
      <c r="C8" s="362">
        <v>1E+27</v>
      </c>
      <c r="D8" s="115" t="s">
        <v>679</v>
      </c>
      <c r="E8" s="5">
        <v>27</v>
      </c>
    </row>
    <row r="9" spans="1:15" ht="16" customHeight="1" x14ac:dyDescent="0.35">
      <c r="A9" s="115" t="s">
        <v>681</v>
      </c>
      <c r="B9" s="360" t="s">
        <v>680</v>
      </c>
      <c r="C9" s="362">
        <v>9.9999999999999998E+23</v>
      </c>
      <c r="D9" s="115" t="s">
        <v>682</v>
      </c>
      <c r="E9" s="5">
        <v>24</v>
      </c>
    </row>
    <row r="10" spans="1:15" ht="16" customHeight="1" thickBot="1" x14ac:dyDescent="0.4">
      <c r="A10" s="115" t="s">
        <v>684</v>
      </c>
      <c r="B10" s="360" t="s">
        <v>683</v>
      </c>
      <c r="C10" s="362">
        <v>1E+21</v>
      </c>
      <c r="D10" s="115" t="s">
        <v>685</v>
      </c>
      <c r="E10" s="5">
        <v>21</v>
      </c>
    </row>
    <row r="11" spans="1:15" ht="16" customHeight="1" thickBot="1" x14ac:dyDescent="0.4">
      <c r="A11" s="115" t="s">
        <v>43</v>
      </c>
      <c r="B11" s="360" t="s">
        <v>686</v>
      </c>
      <c r="C11" s="362">
        <v>1E+18</v>
      </c>
      <c r="D11" s="115" t="s">
        <v>687</v>
      </c>
      <c r="E11" s="5">
        <v>18</v>
      </c>
      <c r="H11" s="367" t="s">
        <v>745</v>
      </c>
      <c r="I11" s="368"/>
      <c r="J11" s="369"/>
      <c r="L11" s="5" t="s">
        <v>748</v>
      </c>
      <c r="M11" s="5"/>
      <c r="O11" s="5" t="s">
        <v>747</v>
      </c>
    </row>
    <row r="12" spans="1:15" ht="16" customHeight="1" thickBot="1" x14ac:dyDescent="0.4">
      <c r="A12" s="115" t="s">
        <v>689</v>
      </c>
      <c r="B12" s="360" t="s">
        <v>688</v>
      </c>
      <c r="C12" s="362">
        <v>1000000000000000</v>
      </c>
      <c r="D12" s="115" t="s">
        <v>690</v>
      </c>
      <c r="E12" s="5">
        <v>15</v>
      </c>
      <c r="H12" s="364">
        <v>5.23</v>
      </c>
      <c r="I12" s="365" t="s">
        <v>699</v>
      </c>
      <c r="J12" s="366" t="s">
        <v>746</v>
      </c>
      <c r="L12" s="81">
        <f>H12*VLOOKUP(I12, CHOOSE({1,2,3,4}, Einheitenvorsätze!A:A, Einheitenvorsätze!B:B, Einheitenvorsätze!C:C, Einheitenvorsätze!D:D), 3, FALSE)</f>
        <v>5230</v>
      </c>
      <c r="M12" s="81" t="str">
        <f>J12</f>
        <v>s</v>
      </c>
      <c r="O12" s="81" t="str">
        <f>IF(I12=Einheitenvorsätze!$A$19,_xlfn.CONCAT(H12,J12),_xlfn.CONCAT(H12," * ",VLOOKUP(I12, CHOOSE({1,2,3,4}, Einheitenvorsätze!A:A, Einheitenvorsätze!B:B, Einheitenvorsätze!C:C, Einheitenvorsätze!D:D), 4, FALSE),J12))</f>
        <v>5.23 * 10³s</v>
      </c>
    </row>
    <row r="13" spans="1:15" ht="16" customHeight="1" x14ac:dyDescent="0.35">
      <c r="A13" s="115" t="s">
        <v>692</v>
      </c>
      <c r="B13" s="360" t="s">
        <v>691</v>
      </c>
      <c r="C13" s="362">
        <v>1000000000000</v>
      </c>
      <c r="D13" s="115" t="s">
        <v>693</v>
      </c>
      <c r="E13" s="5">
        <v>12</v>
      </c>
    </row>
    <row r="14" spans="1:15" ht="16" customHeight="1" x14ac:dyDescent="0.35">
      <c r="A14" s="115" t="s">
        <v>44</v>
      </c>
      <c r="B14" s="360" t="s">
        <v>694</v>
      </c>
      <c r="C14" s="362">
        <v>1000000000</v>
      </c>
      <c r="D14" s="115" t="s">
        <v>695</v>
      </c>
      <c r="E14" s="5">
        <v>9</v>
      </c>
    </row>
    <row r="15" spans="1:15" ht="16" customHeight="1" x14ac:dyDescent="0.35">
      <c r="A15" s="115" t="s">
        <v>823</v>
      </c>
      <c r="B15" s="360" t="s">
        <v>696</v>
      </c>
      <c r="C15" s="362">
        <v>1000000</v>
      </c>
      <c r="D15" s="115" t="s">
        <v>697</v>
      </c>
      <c r="E15" s="5">
        <v>6</v>
      </c>
    </row>
    <row r="16" spans="1:15" ht="16" customHeight="1" x14ac:dyDescent="0.35">
      <c r="A16" s="115" t="s">
        <v>699</v>
      </c>
      <c r="B16" s="360" t="s">
        <v>698</v>
      </c>
      <c r="C16" s="362">
        <v>1000</v>
      </c>
      <c r="D16" s="115" t="s">
        <v>700</v>
      </c>
      <c r="E16" s="5">
        <v>3</v>
      </c>
      <c r="H16" s="8" t="s">
        <v>670</v>
      </c>
      <c r="I16" s="370" t="str">
        <f>VLOOKUP(I12, CHOOSE({1,2,3,4}, Einheitenvorsätze!A:A, Einheitenvorsätze!B:B, Einheitenvorsätze!C:C, Einheitenvorsätze!D:D), 2, FALSE)</f>
        <v>Kilo</v>
      </c>
    </row>
    <row r="17" spans="1:9" ht="16" customHeight="1" x14ac:dyDescent="0.35">
      <c r="A17" s="115" t="s">
        <v>702</v>
      </c>
      <c r="B17" s="360" t="s">
        <v>701</v>
      </c>
      <c r="C17" s="362">
        <v>100</v>
      </c>
      <c r="D17" s="115" t="s">
        <v>703</v>
      </c>
      <c r="E17" s="5">
        <v>2</v>
      </c>
      <c r="H17" s="8" t="s">
        <v>672</v>
      </c>
      <c r="I17" s="370">
        <f>VLOOKUP(I12, CHOOSE({1,2,3,4}, Einheitenvorsätze!A:A, Einheitenvorsätze!B:B, Einheitenvorsätze!C:C, Einheitenvorsätze!D:D), 3, FALSE)</f>
        <v>1000</v>
      </c>
    </row>
    <row r="18" spans="1:9" ht="16" customHeight="1" x14ac:dyDescent="0.35">
      <c r="A18" s="115" t="s">
        <v>705</v>
      </c>
      <c r="B18" s="360" t="s">
        <v>704</v>
      </c>
      <c r="C18" s="362">
        <v>10</v>
      </c>
      <c r="D18" s="115" t="s">
        <v>706</v>
      </c>
      <c r="E18" s="5">
        <v>1</v>
      </c>
      <c r="H18" s="8" t="s">
        <v>673</v>
      </c>
      <c r="I18" s="370" t="str">
        <f>VLOOKUP(I12, CHOOSE({1,2,3,4}, Einheitenvorsätze!A:A, Einheitenvorsätze!B:B, Einheitenvorsätze!C:C, Einheitenvorsätze!D:D), 4, FALSE)</f>
        <v>10³</v>
      </c>
    </row>
    <row r="19" spans="1:9" ht="16" customHeight="1" x14ac:dyDescent="0.35">
      <c r="A19" s="115" t="s">
        <v>708</v>
      </c>
      <c r="B19" s="360" t="s">
        <v>707</v>
      </c>
      <c r="C19" s="362">
        <v>1</v>
      </c>
      <c r="D19" s="115" t="s">
        <v>709</v>
      </c>
      <c r="E19" s="5">
        <v>0</v>
      </c>
      <c r="H19" s="8" t="str">
        <f>E6</f>
        <v>Vielfaches</v>
      </c>
      <c r="I19" s="370">
        <f>VLOOKUP(I12, CHOOSE({1,2,3,4,5}, Einheitenvorsätze!A:A, Einheitenvorsätze!B:B, Einheitenvorsätze!C:C, Einheitenvorsätze!D:D, Einheitenvorsätze!E:E), 5, FALSE)</f>
        <v>3</v>
      </c>
    </row>
    <row r="20" spans="1:9" ht="16" customHeight="1" x14ac:dyDescent="0.35">
      <c r="A20" s="115" t="s">
        <v>711</v>
      </c>
      <c r="B20" s="360" t="s">
        <v>710</v>
      </c>
      <c r="C20" s="115">
        <v>0.1</v>
      </c>
      <c r="D20" s="115" t="s">
        <v>712</v>
      </c>
      <c r="E20" s="5">
        <v>-1</v>
      </c>
    </row>
    <row r="21" spans="1:9" ht="16" customHeight="1" x14ac:dyDescent="0.35">
      <c r="A21" s="115" t="s">
        <v>714</v>
      </c>
      <c r="B21" s="360" t="s">
        <v>713</v>
      </c>
      <c r="C21" s="115">
        <v>0.01</v>
      </c>
      <c r="D21" s="115" t="s">
        <v>715</v>
      </c>
      <c r="E21" s="5">
        <v>-2</v>
      </c>
    </row>
    <row r="22" spans="1:9" ht="16" customHeight="1" x14ac:dyDescent="0.35">
      <c r="A22" s="115" t="s">
        <v>717</v>
      </c>
      <c r="B22" s="360" t="s">
        <v>716</v>
      </c>
      <c r="C22" s="115">
        <v>1E-3</v>
      </c>
      <c r="D22" s="115" t="s">
        <v>718</v>
      </c>
      <c r="E22" s="5">
        <v>-3</v>
      </c>
    </row>
    <row r="23" spans="1:9" ht="16" customHeight="1" x14ac:dyDescent="0.35">
      <c r="A23" s="115" t="s">
        <v>720</v>
      </c>
      <c r="B23" s="360" t="s">
        <v>719</v>
      </c>
      <c r="C23" s="115">
        <v>9.9999999999999995E-7</v>
      </c>
      <c r="D23" s="115" t="s">
        <v>721</v>
      </c>
      <c r="E23" s="5">
        <v>-6</v>
      </c>
    </row>
    <row r="24" spans="1:9" ht="16" customHeight="1" x14ac:dyDescent="0.35">
      <c r="A24" s="115" t="s">
        <v>723</v>
      </c>
      <c r="B24" s="360" t="s">
        <v>722</v>
      </c>
      <c r="C24" s="115">
        <v>1.0000000000000001E-9</v>
      </c>
      <c r="D24" s="115" t="s">
        <v>724</v>
      </c>
      <c r="E24" s="5">
        <v>-9</v>
      </c>
    </row>
    <row r="25" spans="1:9" ht="16" customHeight="1" x14ac:dyDescent="0.35">
      <c r="A25" s="115" t="s">
        <v>726</v>
      </c>
      <c r="B25" s="360" t="s">
        <v>725</v>
      </c>
      <c r="C25" s="115">
        <v>9.9999999999999998E-13</v>
      </c>
      <c r="D25" s="115" t="s">
        <v>727</v>
      </c>
      <c r="E25" s="5">
        <v>-12</v>
      </c>
    </row>
    <row r="26" spans="1:9" ht="16" customHeight="1" x14ac:dyDescent="0.35">
      <c r="A26" s="115" t="s">
        <v>729</v>
      </c>
      <c r="B26" s="360" t="s">
        <v>728</v>
      </c>
      <c r="C26" s="115">
        <v>1.0000000000000001E-15</v>
      </c>
      <c r="D26" s="115" t="s">
        <v>730</v>
      </c>
      <c r="E26" s="5">
        <v>-15</v>
      </c>
    </row>
    <row r="27" spans="1:9" ht="16" customHeight="1" x14ac:dyDescent="0.35">
      <c r="A27" s="115" t="s">
        <v>732</v>
      </c>
      <c r="B27" s="360" t="s">
        <v>731</v>
      </c>
      <c r="C27" s="115">
        <v>1.0000000000000001E-18</v>
      </c>
      <c r="D27" s="115" t="s">
        <v>733</v>
      </c>
      <c r="E27" s="5">
        <v>-18</v>
      </c>
    </row>
    <row r="28" spans="1:9" ht="16" customHeight="1" x14ac:dyDescent="0.35">
      <c r="A28" s="115" t="s">
        <v>735</v>
      </c>
      <c r="B28" s="360" t="s">
        <v>734</v>
      </c>
      <c r="C28" s="361">
        <v>9.9999999999999991E-22</v>
      </c>
      <c r="D28" s="115" t="s">
        <v>736</v>
      </c>
      <c r="E28" s="5">
        <v>-21</v>
      </c>
    </row>
    <row r="29" spans="1:9" ht="16" customHeight="1" x14ac:dyDescent="0.35">
      <c r="A29" s="115" t="s">
        <v>417</v>
      </c>
      <c r="B29" s="360" t="s">
        <v>737</v>
      </c>
      <c r="C29" s="361">
        <v>9.9999999999999992E-25</v>
      </c>
      <c r="D29" s="115" t="s">
        <v>738</v>
      </c>
      <c r="E29" s="5">
        <v>-24</v>
      </c>
    </row>
    <row r="30" spans="1:9" ht="16" customHeight="1" x14ac:dyDescent="0.35">
      <c r="A30" s="115" t="s">
        <v>740</v>
      </c>
      <c r="B30" s="360" t="s">
        <v>739</v>
      </c>
      <c r="C30" s="361">
        <v>1.0000000000000001E-30</v>
      </c>
      <c r="D30" s="115" t="s">
        <v>741</v>
      </c>
      <c r="E30" s="5">
        <v>-27</v>
      </c>
    </row>
    <row r="31" spans="1:9" ht="16" customHeight="1" x14ac:dyDescent="0.35">
      <c r="A31" s="115" t="s">
        <v>743</v>
      </c>
      <c r="B31" s="360" t="s">
        <v>742</v>
      </c>
      <c r="C31" s="361">
        <v>1E-27</v>
      </c>
      <c r="D31" s="115" t="s">
        <v>744</v>
      </c>
      <c r="E31" s="5">
        <v>-30</v>
      </c>
    </row>
    <row r="36" spans="1:3" x14ac:dyDescent="0.35">
      <c r="A36" t="s">
        <v>750</v>
      </c>
    </row>
    <row r="37" spans="1:3" x14ac:dyDescent="0.35">
      <c r="A37" s="377" t="s">
        <v>753</v>
      </c>
      <c r="B37" s="377" t="s">
        <v>751</v>
      </c>
      <c r="C37" s="377" t="s">
        <v>752</v>
      </c>
    </row>
    <row r="38" spans="1:3" x14ac:dyDescent="0.35">
      <c r="A38" s="115" t="s">
        <v>755</v>
      </c>
      <c r="B38" s="115" t="s">
        <v>754</v>
      </c>
      <c r="C38" s="115" t="s">
        <v>654</v>
      </c>
    </row>
    <row r="39" spans="1:3" x14ac:dyDescent="0.35">
      <c r="A39" s="115" t="s">
        <v>758</v>
      </c>
      <c r="B39" s="115" t="s">
        <v>756</v>
      </c>
      <c r="C39" s="115" t="s">
        <v>757</v>
      </c>
    </row>
    <row r="40" spans="1:3" x14ac:dyDescent="0.35">
      <c r="A40" s="115" t="s">
        <v>761</v>
      </c>
      <c r="B40" s="115" t="s">
        <v>759</v>
      </c>
      <c r="C40" s="115" t="s">
        <v>760</v>
      </c>
    </row>
    <row r="41" spans="1:3" x14ac:dyDescent="0.35">
      <c r="A41" s="115" t="s">
        <v>764</v>
      </c>
      <c r="B41" s="115" t="s">
        <v>762</v>
      </c>
      <c r="C41" s="115" t="s">
        <v>763</v>
      </c>
    </row>
    <row r="42" spans="1:3" x14ac:dyDescent="0.35">
      <c r="A42" s="115" t="s">
        <v>767</v>
      </c>
      <c r="B42" s="115" t="s">
        <v>765</v>
      </c>
      <c r="C42" s="115" t="s">
        <v>766</v>
      </c>
    </row>
    <row r="43" spans="1:3" x14ac:dyDescent="0.35">
      <c r="A43" s="115" t="s">
        <v>770</v>
      </c>
      <c r="B43" s="115" t="s">
        <v>768</v>
      </c>
      <c r="C43" s="115" t="s">
        <v>769</v>
      </c>
    </row>
    <row r="44" spans="1:3" x14ac:dyDescent="0.35">
      <c r="A44" s="115" t="s">
        <v>773</v>
      </c>
      <c r="B44" s="115" t="s">
        <v>771</v>
      </c>
      <c r="C44" s="115" t="s">
        <v>772</v>
      </c>
    </row>
    <row r="45" spans="1:3" x14ac:dyDescent="0.35">
      <c r="A45" s="115" t="s">
        <v>776</v>
      </c>
      <c r="B45" s="115" t="s">
        <v>774</v>
      </c>
      <c r="C45" s="115" t="s">
        <v>775</v>
      </c>
    </row>
    <row r="46" spans="1:3" x14ac:dyDescent="0.35">
      <c r="A46" s="115" t="s">
        <v>779</v>
      </c>
      <c r="B46" s="115" t="s">
        <v>777</v>
      </c>
      <c r="C46" s="115" t="s">
        <v>778</v>
      </c>
    </row>
    <row r="47" spans="1:3" x14ac:dyDescent="0.35">
      <c r="A47" s="115" t="s">
        <v>782</v>
      </c>
      <c r="B47" s="115" t="s">
        <v>780</v>
      </c>
      <c r="C47" s="115" t="s">
        <v>781</v>
      </c>
    </row>
    <row r="48" spans="1:3" x14ac:dyDescent="0.35">
      <c r="A48" s="115" t="s">
        <v>785</v>
      </c>
      <c r="B48" s="115" t="s">
        <v>783</v>
      </c>
      <c r="C48" s="115" t="s">
        <v>784</v>
      </c>
    </row>
    <row r="49" spans="1:3" x14ac:dyDescent="0.35">
      <c r="A49" s="115" t="s">
        <v>788</v>
      </c>
      <c r="B49" s="115" t="s">
        <v>786</v>
      </c>
      <c r="C49" s="115" t="s">
        <v>787</v>
      </c>
    </row>
    <row r="50" spans="1:3" x14ac:dyDescent="0.35">
      <c r="A50" s="115" t="s">
        <v>791</v>
      </c>
      <c r="B50" s="115" t="s">
        <v>789</v>
      </c>
      <c r="C50" s="115" t="s">
        <v>790</v>
      </c>
    </row>
    <row r="51" spans="1:3" x14ac:dyDescent="0.35">
      <c r="A51" s="115" t="s">
        <v>794</v>
      </c>
      <c r="B51" s="115" t="s">
        <v>792</v>
      </c>
      <c r="C51" s="115" t="s">
        <v>793</v>
      </c>
    </row>
    <row r="52" spans="1:3" x14ac:dyDescent="0.35">
      <c r="A52" s="115" t="s">
        <v>797</v>
      </c>
      <c r="B52" s="115" t="s">
        <v>795</v>
      </c>
      <c r="C52" s="115" t="s">
        <v>796</v>
      </c>
    </row>
    <row r="53" spans="1:3" x14ac:dyDescent="0.35">
      <c r="A53" s="115" t="s">
        <v>799</v>
      </c>
      <c r="B53" s="115" t="s">
        <v>798</v>
      </c>
      <c r="C53" s="115" t="s">
        <v>312</v>
      </c>
    </row>
    <row r="54" spans="1:3" x14ac:dyDescent="0.35">
      <c r="A54" s="115" t="s">
        <v>802</v>
      </c>
      <c r="B54" s="115" t="s">
        <v>800</v>
      </c>
      <c r="C54" s="115" t="s">
        <v>801</v>
      </c>
    </row>
    <row r="55" spans="1:3" x14ac:dyDescent="0.35">
      <c r="A55" s="115" t="s">
        <v>821</v>
      </c>
      <c r="B55" s="115" t="s">
        <v>803</v>
      </c>
      <c r="C55" s="115" t="s">
        <v>804</v>
      </c>
    </row>
    <row r="56" spans="1:3" x14ac:dyDescent="0.35">
      <c r="A56" s="115" t="s">
        <v>807</v>
      </c>
      <c r="B56" s="115" t="s">
        <v>805</v>
      </c>
      <c r="C56" s="115" t="s">
        <v>806</v>
      </c>
    </row>
    <row r="57" spans="1:3" x14ac:dyDescent="0.35">
      <c r="A57" s="115" t="s">
        <v>810</v>
      </c>
      <c r="B57" s="115" t="s">
        <v>808</v>
      </c>
      <c r="C57" s="115" t="s">
        <v>809</v>
      </c>
    </row>
    <row r="58" spans="1:3" x14ac:dyDescent="0.35">
      <c r="A58" s="115" t="s">
        <v>812</v>
      </c>
      <c r="B58" s="115" t="s">
        <v>811</v>
      </c>
      <c r="C58" s="115" t="s">
        <v>308</v>
      </c>
    </row>
    <row r="59" spans="1:3" x14ac:dyDescent="0.35">
      <c r="A59" s="115" t="s">
        <v>815</v>
      </c>
      <c r="B59" s="115" t="s">
        <v>813</v>
      </c>
      <c r="C59" s="115" t="s">
        <v>814</v>
      </c>
    </row>
    <row r="60" spans="1:3" x14ac:dyDescent="0.35">
      <c r="A60" s="115" t="s">
        <v>818</v>
      </c>
      <c r="B60" s="115" t="s">
        <v>816</v>
      </c>
      <c r="C60" s="115" t="s">
        <v>817</v>
      </c>
    </row>
    <row r="61" spans="1:3" x14ac:dyDescent="0.35">
      <c r="A61" s="115" t="s">
        <v>820</v>
      </c>
      <c r="B61" s="115" t="s">
        <v>322</v>
      </c>
      <c r="C61" s="115" t="s">
        <v>819</v>
      </c>
    </row>
  </sheetData>
  <dataValidations count="1">
    <dataValidation type="list" allowBlank="1" showInputMessage="1" showErrorMessage="1" sqref="I12" xr:uid="{B46EE706-8CDA-4D63-9BD9-200F8DE440DA}">
      <formula1>$A$7:$A$31</formula1>
    </dataValidation>
  </dataValidations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36A79-F1D9-4DCA-BAF5-2C24011BED35}">
  <dimension ref="C2"/>
  <sheetViews>
    <sheetView topLeftCell="A9" zoomScale="115" zoomScaleNormal="115" workbookViewId="0">
      <selection activeCell="P17" sqref="P17"/>
    </sheetView>
  </sheetViews>
  <sheetFormatPr baseColWidth="10" defaultRowHeight="14.5" x14ac:dyDescent="0.35"/>
  <cols>
    <col min="13" max="14" width="4.36328125" customWidth="1"/>
    <col min="16" max="21" width="3.36328125" customWidth="1"/>
  </cols>
  <sheetData>
    <row r="2" spans="3:3" ht="23.5" x14ac:dyDescent="0.55000000000000004">
      <c r="C2" s="11" t="s">
        <v>615</v>
      </c>
    </row>
  </sheetData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72248-4BAA-4906-931A-7DA179A4CAFF}">
  <dimension ref="B2:AH21"/>
  <sheetViews>
    <sheetView showGridLines="0" workbookViewId="0">
      <selection activeCell="F15" sqref="F15"/>
    </sheetView>
  </sheetViews>
  <sheetFormatPr baseColWidth="10" defaultRowHeight="14.5" x14ac:dyDescent="0.35"/>
  <cols>
    <col min="5" max="5" width="5.1796875" customWidth="1"/>
    <col min="6" max="6" width="4.1796875" customWidth="1"/>
    <col min="7" max="7" width="9.36328125" customWidth="1"/>
    <col min="10" max="12" width="20.7265625" customWidth="1"/>
    <col min="13" max="13" width="26.6328125" customWidth="1"/>
    <col min="14" max="14" width="6.81640625" customWidth="1"/>
    <col min="15" max="15" width="9.54296875" customWidth="1"/>
    <col min="17" max="17" width="7.90625" customWidth="1"/>
    <col min="19" max="19" width="5.453125" customWidth="1"/>
    <col min="20" max="20" width="8.7265625" customWidth="1"/>
    <col min="21" max="21" width="5.453125" customWidth="1"/>
    <col min="23" max="23" width="18.54296875" customWidth="1"/>
    <col min="24" max="24" width="14.7265625" customWidth="1"/>
    <col min="25" max="25" width="4.1796875" customWidth="1"/>
    <col min="26" max="26" width="19.453125" customWidth="1"/>
  </cols>
  <sheetData>
    <row r="2" spans="3:34" ht="23.5" x14ac:dyDescent="0.55000000000000004">
      <c r="C2" s="11" t="s">
        <v>866</v>
      </c>
      <c r="R2" t="s">
        <v>65</v>
      </c>
      <c r="W2" s="8" t="s">
        <v>881</v>
      </c>
      <c r="X2" s="4" t="s">
        <v>65</v>
      </c>
    </row>
    <row r="3" spans="3:34" ht="15" thickBot="1" x14ac:dyDescent="0.4">
      <c r="R3" t="s">
        <v>66</v>
      </c>
    </row>
    <row r="4" spans="3:34" x14ac:dyDescent="0.35">
      <c r="V4" s="409"/>
      <c r="W4" s="410"/>
      <c r="X4" s="410"/>
      <c r="Y4" s="410"/>
      <c r="Z4" s="410"/>
      <c r="AA4" s="411"/>
    </row>
    <row r="5" spans="3:34" x14ac:dyDescent="0.35">
      <c r="V5" s="412"/>
      <c r="AA5" s="413"/>
    </row>
    <row r="6" spans="3:34" x14ac:dyDescent="0.35">
      <c r="V6" s="412"/>
      <c r="X6" s="5" t="s">
        <v>883</v>
      </c>
      <c r="Z6" s="5" t="s">
        <v>882</v>
      </c>
      <c r="AA6" s="413"/>
    </row>
    <row r="7" spans="3:34" ht="20.5" customHeight="1" x14ac:dyDescent="0.45">
      <c r="C7" s="8" t="s">
        <v>867</v>
      </c>
      <c r="D7" s="4">
        <v>5</v>
      </c>
      <c r="E7" s="4" t="s">
        <v>708</v>
      </c>
      <c r="F7" s="5" t="str">
        <f>Einheitenvorsätze!B61</f>
        <v>Ω</v>
      </c>
      <c r="G7" s="81">
        <f>VLOOKUP(E7, CHOOSE({1,2,3,4,5}, Einheitenvorsätze!A:A, Einheitenvorsätze!B:B, Einheitenvorsätze!C:C, Einheitenvorsätze!D:D, Einheitenvorsätze!E:E), 5, FALSE)</f>
        <v>0</v>
      </c>
      <c r="H7" s="81">
        <f>D7*VLOOKUP(E7, CHOOSE({1,2,3,4}, Einheitenvorsätze!A:A, Einheitenvorsätze!B:B, Einheitenvorsätze!C:C, Einheitenvorsätze!D:D), 3, FALSE)</f>
        <v>5</v>
      </c>
      <c r="I7" s="406" t="str">
        <f>C7</f>
        <v xml:space="preserve">R = </v>
      </c>
      <c r="J7" s="81" t="str">
        <f>IF(E7=Einheitenvorsätze!$A$19,_xlfn.CONCAT(D7,F7),_xlfn.CONCAT(D7," * ",VLOOKUP(E7, CHOOSE({1,2,3,4}, Einheitenvorsätze!A:A, Einheitenvorsätze!B:B, Einheitenvorsätze!C:C, Einheitenvorsätze!D:D), 4, FALSE),F7))</f>
        <v>5Ω</v>
      </c>
      <c r="K7" s="81" t="str">
        <f>IF(E7=Einheitenvorsätze!$A$19,_xlfn.CONCAT(D7,F7),_xlfn.CONCAT(D7,E7,F7))</f>
        <v>5Ω</v>
      </c>
      <c r="L7" s="81" t="str">
        <f>_xlfn.CONCAT(I7,K7)</f>
        <v>R = 5Ω</v>
      </c>
      <c r="M7" s="81" t="str">
        <f>_xlfn.CONCAT(I7,J7)</f>
        <v>R = 5Ω</v>
      </c>
      <c r="V7" s="412"/>
      <c r="X7" s="407" t="str">
        <f>L7</f>
        <v>R = 5Ω</v>
      </c>
      <c r="Z7" s="408" t="str">
        <f>IF($X$2=$R$2,L12,_xlfn.CONCAT(C12,"?"))</f>
        <v>ω = 12.57k(1/s)</v>
      </c>
      <c r="AA7" s="413"/>
      <c r="AB7">
        <f>H7</f>
        <v>5</v>
      </c>
      <c r="AD7">
        <v>0</v>
      </c>
      <c r="AE7">
        <f>IF($X$2=$R$2,AB7,0)</f>
        <v>5</v>
      </c>
      <c r="AG7">
        <v>0</v>
      </c>
      <c r="AH7">
        <v>0</v>
      </c>
    </row>
    <row r="8" spans="3:34" ht="20.5" customHeight="1" x14ac:dyDescent="0.45">
      <c r="C8" s="8" t="s">
        <v>868</v>
      </c>
      <c r="D8" s="4">
        <v>50</v>
      </c>
      <c r="E8" s="4" t="s">
        <v>720</v>
      </c>
      <c r="F8" s="5" t="s">
        <v>45</v>
      </c>
      <c r="G8" s="81">
        <f>VLOOKUP(E8, CHOOSE({1,2,3,4,5}, Einheitenvorsätze!A:A, Einheitenvorsätze!B:B, Einheitenvorsätze!C:C, Einheitenvorsätze!D:D, Einheitenvorsätze!E:E), 5, FALSE)</f>
        <v>-6</v>
      </c>
      <c r="H8" s="81">
        <f>D8*VLOOKUP(E8, CHOOSE({1,2,3,4}, Einheitenvorsätze!A:A, Einheitenvorsätze!B:B, Einheitenvorsätze!C:C, Einheitenvorsätze!D:D), 3, FALSE)</f>
        <v>4.9999999999999996E-5</v>
      </c>
      <c r="I8" s="406" t="str">
        <f t="shared" ref="I8:I10" si="0">C8</f>
        <v xml:space="preserve">C = </v>
      </c>
      <c r="J8" s="81" t="str">
        <f>IF(E8=Einheitenvorsätze!$A$19,_xlfn.CONCAT(D8,F8),_xlfn.CONCAT(D8," * ",VLOOKUP(E8, CHOOSE({1,2,3,4}, Einheitenvorsätze!A:A, Einheitenvorsätze!B:B, Einheitenvorsätze!C:C, Einheitenvorsätze!D:D), 4, FALSE),F8))</f>
        <v>50 * 10⁻⁶F</v>
      </c>
      <c r="K8" s="81" t="str">
        <f>IF(E8=Einheitenvorsätze!$A$19,_xlfn.CONCAT(D8,F8),_xlfn.CONCAT(D8,E8,F8))</f>
        <v>50µF</v>
      </c>
      <c r="L8" s="81" t="str">
        <f t="shared" ref="L8:L10" si="1">_xlfn.CONCAT(I8,K8)</f>
        <v>C = 50µF</v>
      </c>
      <c r="M8" s="81" t="str">
        <f t="shared" ref="M8:M10" si="2">_xlfn.CONCAT(I8,J8)</f>
        <v>C = 50 * 10⁻⁶F</v>
      </c>
      <c r="V8" s="412"/>
      <c r="X8" s="407" t="str">
        <f t="shared" ref="X8" si="3">L8</f>
        <v>C = 50µF</v>
      </c>
      <c r="Z8" s="408" t="str">
        <f>IF($X$2=$R$2,L15,_xlfn.CONCAT(C15,"?"))</f>
        <v>XC = 1.59Ω</v>
      </c>
      <c r="AA8" s="413"/>
      <c r="AB8">
        <f>H15</f>
        <v>1.59</v>
      </c>
      <c r="AD8">
        <v>0</v>
      </c>
      <c r="AE8">
        <v>0</v>
      </c>
      <c r="AG8">
        <v>0</v>
      </c>
      <c r="AH8">
        <f>IF($X$2=$R$2,-AB8,0)</f>
        <v>-1.59</v>
      </c>
    </row>
    <row r="9" spans="3:34" ht="20.5" customHeight="1" x14ac:dyDescent="0.45">
      <c r="C9" s="8" t="s">
        <v>869</v>
      </c>
      <c r="D9" s="4">
        <v>20</v>
      </c>
      <c r="E9" s="4" t="s">
        <v>717</v>
      </c>
      <c r="F9" s="5" t="s">
        <v>46</v>
      </c>
      <c r="G9" s="81">
        <f>VLOOKUP(E9, CHOOSE({1,2,3,4,5}, Einheitenvorsätze!A:A, Einheitenvorsätze!B:B, Einheitenvorsätze!C:C, Einheitenvorsätze!D:D, Einheitenvorsätze!E:E), 5, FALSE)</f>
        <v>-3</v>
      </c>
      <c r="H9" s="81">
        <f>D9*VLOOKUP(E9, CHOOSE({1,2,3,4}, Einheitenvorsätze!A:A, Einheitenvorsätze!B:B, Einheitenvorsätze!C:C, Einheitenvorsätze!D:D), 3, FALSE)</f>
        <v>0.02</v>
      </c>
      <c r="I9" s="406" t="str">
        <f t="shared" si="0"/>
        <v xml:space="preserve">L = </v>
      </c>
      <c r="J9" s="81" t="str">
        <f>IF(E9=Einheitenvorsätze!$A$19,_xlfn.CONCAT(D9,F9),_xlfn.CONCAT(D9," * ",VLOOKUP(E9, CHOOSE({1,2,3,4}, Einheitenvorsätze!A:A, Einheitenvorsätze!B:B, Einheitenvorsätze!C:C, Einheitenvorsätze!D:D), 4, FALSE),F9))</f>
        <v>20 * 10⁻³H</v>
      </c>
      <c r="K9" s="81" t="str">
        <f>IF(E9=Einheitenvorsätze!$A$19,_xlfn.CONCAT(D9,F9),_xlfn.CONCAT(D9,E9,F9))</f>
        <v>20mH</v>
      </c>
      <c r="L9" s="81" t="str">
        <f t="shared" si="1"/>
        <v>L = 20mH</v>
      </c>
      <c r="M9" s="81" t="str">
        <f t="shared" si="2"/>
        <v>L = 20 * 10⁻³H</v>
      </c>
      <c r="V9" s="412"/>
      <c r="X9" s="407" t="str">
        <f>L10</f>
        <v>f =2kHZ</v>
      </c>
      <c r="Z9" s="408" t="str">
        <f>IF($X$2=$R$2,L19,_xlfn.CONCAT(C19,"?"))</f>
        <v>ZRC = 5.25Ω</v>
      </c>
      <c r="AA9" s="414"/>
      <c r="AB9">
        <f>ABS(MAX(AB7:AB8))*1.1</f>
        <v>5.5</v>
      </c>
      <c r="AD9">
        <f>-AB9</f>
        <v>-5.5</v>
      </c>
      <c r="AE9">
        <f>AB9</f>
        <v>5.5</v>
      </c>
      <c r="AG9">
        <v>0</v>
      </c>
      <c r="AH9">
        <v>0</v>
      </c>
    </row>
    <row r="10" spans="3:34" ht="20.5" customHeight="1" x14ac:dyDescent="0.45">
      <c r="C10" s="8" t="s">
        <v>870</v>
      </c>
      <c r="D10" s="4">
        <v>2</v>
      </c>
      <c r="E10" s="4" t="s">
        <v>699</v>
      </c>
      <c r="F10" s="5" t="s">
        <v>871</v>
      </c>
      <c r="G10" s="81">
        <f>VLOOKUP(E10, CHOOSE({1,2,3,4,5}, Einheitenvorsätze!A:A, Einheitenvorsätze!B:B, Einheitenvorsätze!C:C, Einheitenvorsätze!D:D, Einheitenvorsätze!E:E), 5, FALSE)</f>
        <v>3</v>
      </c>
      <c r="H10" s="81">
        <f>D10*VLOOKUP(E10, CHOOSE({1,2,3,4}, Einheitenvorsätze!A:A, Einheitenvorsätze!B:B, Einheitenvorsätze!C:C, Einheitenvorsätze!D:D), 3, FALSE)</f>
        <v>2000</v>
      </c>
      <c r="I10" s="406" t="str">
        <f t="shared" si="0"/>
        <v>f =</v>
      </c>
      <c r="J10" s="81" t="str">
        <f>IF(E10=Einheitenvorsätze!$A$19,_xlfn.CONCAT(D10,F10),_xlfn.CONCAT(D10," * ",VLOOKUP(E10, CHOOSE({1,2,3,4}, Einheitenvorsätze!A:A, Einheitenvorsätze!B:B, Einheitenvorsätze!C:C, Einheitenvorsätze!D:D), 4, FALSE),F10))</f>
        <v>2 * 10³HZ</v>
      </c>
      <c r="K10" s="81" t="str">
        <f>IF(E10=Einheitenvorsätze!$A$19,_xlfn.CONCAT(D10,F10),_xlfn.CONCAT(D10,E10,F10))</f>
        <v>2kHZ</v>
      </c>
      <c r="L10" s="81" t="str">
        <f t="shared" si="1"/>
        <v>f =2kHZ</v>
      </c>
      <c r="M10" s="81" t="str">
        <f t="shared" si="2"/>
        <v>f =2 * 10³HZ</v>
      </c>
      <c r="V10" s="412"/>
      <c r="Z10" s="408" t="str">
        <f>IF($X$2=$R$2,T19,_xlfn.CONCAT(O19,"?"))</f>
        <v>φ = -17.6°</v>
      </c>
      <c r="AA10" s="413"/>
      <c r="AD10">
        <v>0</v>
      </c>
      <c r="AE10">
        <v>0</v>
      </c>
      <c r="AG10">
        <f>AD9</f>
        <v>-5.5</v>
      </c>
      <c r="AH10">
        <f>AE9</f>
        <v>5.5</v>
      </c>
    </row>
    <row r="11" spans="3:34" ht="20.5" customHeight="1" x14ac:dyDescent="0.35">
      <c r="V11" s="412"/>
      <c r="AA11" s="413"/>
      <c r="AD11">
        <v>0</v>
      </c>
      <c r="AE11">
        <f>AE7</f>
        <v>5</v>
      </c>
      <c r="AG11">
        <v>0</v>
      </c>
      <c r="AH11">
        <f>AH8</f>
        <v>-1.59</v>
      </c>
    </row>
    <row r="12" spans="3:34" ht="20.5" customHeight="1" thickBot="1" x14ac:dyDescent="0.4">
      <c r="C12" s="8" t="s">
        <v>872</v>
      </c>
      <c r="D12" s="81">
        <f>ROUND((2*PI()*H10 / 10^G12),2)</f>
        <v>12.57</v>
      </c>
      <c r="E12" s="4" t="s">
        <v>699</v>
      </c>
      <c r="F12" s="5" t="s">
        <v>873</v>
      </c>
      <c r="G12" s="81">
        <f>VLOOKUP(E12, CHOOSE({1,2,3,4,5}, Einheitenvorsätze!A:A, Einheitenvorsätze!B:B, Einheitenvorsätze!C:C, Einheitenvorsätze!D:D, Einheitenvorsätze!E:E), 5, FALSE)</f>
        <v>3</v>
      </c>
      <c r="H12" s="81">
        <f>D12*VLOOKUP(E12, CHOOSE({1,2,3,4}, Einheitenvorsätze!A:A, Einheitenvorsätze!B:B, Einheitenvorsätze!C:C, Einheitenvorsätze!D:D), 3, FALSE)</f>
        <v>12570</v>
      </c>
      <c r="I12" s="406" t="str">
        <f t="shared" ref="I12" si="4">C12</f>
        <v xml:space="preserve">ω = </v>
      </c>
      <c r="J12" s="81" t="str">
        <f>IF(E12=Einheitenvorsätze!$A$19,_xlfn.CONCAT(D12,F12),_xlfn.CONCAT(D12," * ",VLOOKUP(E12, CHOOSE({1,2,3,4}, Einheitenvorsätze!A:A, Einheitenvorsätze!B:B, Einheitenvorsätze!C:C, Einheitenvorsätze!D:D), 4, FALSE),F12))</f>
        <v>12.57 * 10³(1/s)</v>
      </c>
      <c r="K12" s="81" t="str">
        <f>IF(E12=Einheitenvorsätze!$A$19,_xlfn.CONCAT(D12,F12),_xlfn.CONCAT(D12,E12,F12))</f>
        <v>12.57k(1/s)</v>
      </c>
      <c r="L12" s="81" t="str">
        <f t="shared" ref="L12" si="5">_xlfn.CONCAT(I12,K12)</f>
        <v>ω = 12.57k(1/s)</v>
      </c>
      <c r="M12" s="81" t="str">
        <f t="shared" ref="M12" si="6">_xlfn.CONCAT(I12,J12)</f>
        <v>ω = 12.57 * 10³(1/s)</v>
      </c>
      <c r="V12" s="415"/>
      <c r="W12" s="416"/>
      <c r="X12" s="416"/>
      <c r="Y12" s="416"/>
      <c r="Z12" s="416"/>
      <c r="AA12" s="417"/>
    </row>
    <row r="13" spans="3:34" ht="20.5" customHeight="1" x14ac:dyDescent="0.35"/>
    <row r="14" spans="3:34" ht="20.5" customHeight="1" x14ac:dyDescent="0.55000000000000004">
      <c r="V14" s="351"/>
      <c r="W14" s="249"/>
    </row>
    <row r="15" spans="3:34" ht="20.5" customHeight="1" x14ac:dyDescent="0.55000000000000004">
      <c r="C15" s="8" t="s">
        <v>874</v>
      </c>
      <c r="D15" s="81">
        <f>ROUND((1/((D12*D8)*10^(G12+G8)))/10^G15,2)</f>
        <v>1.59</v>
      </c>
      <c r="E15" s="4" t="s">
        <v>708</v>
      </c>
      <c r="F15" s="5" t="str">
        <f>F7</f>
        <v>Ω</v>
      </c>
      <c r="G15" s="81">
        <f>VLOOKUP(E15, CHOOSE({1,2,3,4,5}, Einheitenvorsätze!A:A, Einheitenvorsätze!B:B, Einheitenvorsätze!C:C, Einheitenvorsätze!D:D, Einheitenvorsätze!E:E), 5, FALSE)</f>
        <v>0</v>
      </c>
      <c r="H15" s="81">
        <f>D15*VLOOKUP(E15, CHOOSE({1,2,3,4}, Einheitenvorsätze!A:A, Einheitenvorsätze!B:B, Einheitenvorsätze!C:C, Einheitenvorsätze!D:D), 3, FALSE)</f>
        <v>1.59</v>
      </c>
      <c r="I15" s="406" t="str">
        <f t="shared" ref="I15:I16" si="7">C15</f>
        <v xml:space="preserve">XC = </v>
      </c>
      <c r="J15" s="81" t="str">
        <f>IF(E15=Einheitenvorsätze!$A$19,_xlfn.CONCAT(D15,F15),_xlfn.CONCAT(D15," * ",VLOOKUP(E15, CHOOSE({1,2,3,4}, Einheitenvorsätze!A:A, Einheitenvorsätze!B:B, Einheitenvorsätze!C:C, Einheitenvorsätze!D:D), 4, FALSE),F15))</f>
        <v>1.59Ω</v>
      </c>
      <c r="K15" s="81" t="str">
        <f>IF(E15=Einheitenvorsätze!$A$19,_xlfn.CONCAT(D15,F15),_xlfn.CONCAT(D15,E15,F15))</f>
        <v>1.59Ω</v>
      </c>
      <c r="L15" s="81" t="str">
        <f t="shared" ref="L15:L16" si="8">_xlfn.CONCAT(I15,K15)</f>
        <v>XC = 1.59Ω</v>
      </c>
      <c r="M15" s="81" t="str">
        <f t="shared" ref="M15:M16" si="9">_xlfn.CONCAT(I15,J15)</f>
        <v>XC = 1.59Ω</v>
      </c>
      <c r="V15" s="351"/>
      <c r="W15" s="249"/>
    </row>
    <row r="16" spans="3:34" ht="20.5" customHeight="1" x14ac:dyDescent="0.45">
      <c r="C16" s="8" t="s">
        <v>875</v>
      </c>
      <c r="D16" s="81">
        <f>ROUND(((D12*D9)*10^(G12+G9))/10^G16,2)</f>
        <v>0.25</v>
      </c>
      <c r="E16" s="4" t="s">
        <v>699</v>
      </c>
      <c r="F16" s="5" t="str">
        <f>F7</f>
        <v>Ω</v>
      </c>
      <c r="G16" s="81">
        <f>VLOOKUP(E16, CHOOSE({1,2,3,4,5}, Einheitenvorsätze!A:A, Einheitenvorsätze!B:B, Einheitenvorsätze!C:C, Einheitenvorsätze!D:D, Einheitenvorsätze!E:E), 5, FALSE)</f>
        <v>3</v>
      </c>
      <c r="H16" s="81">
        <f>D16*VLOOKUP(E16, CHOOSE({1,2,3,4}, Einheitenvorsätze!A:A, Einheitenvorsätze!B:B, Einheitenvorsätze!C:C, Einheitenvorsätze!D:D), 3, FALSE)</f>
        <v>250</v>
      </c>
      <c r="I16" s="406" t="str">
        <f t="shared" si="7"/>
        <v xml:space="preserve">XL = </v>
      </c>
      <c r="J16" s="81" t="str">
        <f>IF(E16=Einheitenvorsätze!$A$19,_xlfn.CONCAT(D16,F16),_xlfn.CONCAT(D16," * ",VLOOKUP(E16, CHOOSE({1,2,3,4}, Einheitenvorsätze!A:A, Einheitenvorsätze!B:B, Einheitenvorsätze!C:C, Einheitenvorsätze!D:D), 4, FALSE),F16))</f>
        <v>0.25 * 10³Ω</v>
      </c>
      <c r="K16" s="81" t="str">
        <f>IF(E16=Einheitenvorsätze!$A$19,_xlfn.CONCAT(D16,F16),_xlfn.CONCAT(D16,E16,F16))</f>
        <v>0.25kΩ</v>
      </c>
      <c r="L16" s="81" t="str">
        <f t="shared" si="8"/>
        <v>XL = 0.25kΩ</v>
      </c>
      <c r="M16" s="81" t="str">
        <f t="shared" si="9"/>
        <v>XL = 0.25 * 10³Ω</v>
      </c>
    </row>
    <row r="18" spans="2:20" x14ac:dyDescent="0.35">
      <c r="C18" t="s">
        <v>877</v>
      </c>
    </row>
    <row r="19" spans="2:20" ht="16.5" x14ac:dyDescent="0.45">
      <c r="C19" s="8" t="s">
        <v>876</v>
      </c>
      <c r="D19" s="81">
        <f>ROUND(SQRT(H7^2 + H15^2) / 10^G19,2)</f>
        <v>5.25</v>
      </c>
      <c r="E19" s="4" t="s">
        <v>708</v>
      </c>
      <c r="F19" s="5" t="str">
        <f>F16</f>
        <v>Ω</v>
      </c>
      <c r="G19" s="81">
        <f>VLOOKUP(E19, CHOOSE({1,2,3,4,5}, Einheitenvorsätze!A:A, Einheitenvorsätze!B:B, Einheitenvorsätze!C:C, Einheitenvorsätze!D:D, Einheitenvorsätze!E:E), 5, FALSE)</f>
        <v>0</v>
      </c>
      <c r="H19" s="81">
        <f>D19*VLOOKUP(E19, CHOOSE({1,2,3,4}, Einheitenvorsätze!A:A, Einheitenvorsätze!B:B, Einheitenvorsätze!C:C, Einheitenvorsätze!D:D), 3, FALSE)</f>
        <v>5.25</v>
      </c>
      <c r="I19" s="406" t="str">
        <f t="shared" ref="I19:I21" si="10">C19</f>
        <v xml:space="preserve">ZRC = </v>
      </c>
      <c r="J19" s="81" t="str">
        <f>IF(E19=Einheitenvorsätze!$A$19,_xlfn.CONCAT(D19,F19),_xlfn.CONCAT(D19," * ",VLOOKUP(E19, CHOOSE({1,2,3,4}, Einheitenvorsätze!A:A, Einheitenvorsätze!B:B, Einheitenvorsätze!C:C, Einheitenvorsätze!D:D), 4, FALSE),F19))</f>
        <v>5.25Ω</v>
      </c>
      <c r="K19" s="81" t="str">
        <f>IF(E19=Einheitenvorsätze!$A$19,_xlfn.CONCAT(D19,F19),_xlfn.CONCAT(D19,E19,F19))</f>
        <v>5.25Ω</v>
      </c>
      <c r="L19" s="81" t="str">
        <f t="shared" ref="L19:L21" si="11">_xlfn.CONCAT(I19,K19)</f>
        <v>ZRC = 5.25Ω</v>
      </c>
      <c r="M19" s="81" t="str">
        <f t="shared" ref="M19:M21" si="12">_xlfn.CONCAT(I19,J19)</f>
        <v>ZRC = 5.25Ω</v>
      </c>
      <c r="O19" s="8" t="s">
        <v>880</v>
      </c>
      <c r="P19" s="81">
        <f>ATAN2(H7,-H15)</f>
        <v>-0.30788766916198945</v>
      </c>
      <c r="Q19" s="5" t="s">
        <v>203</v>
      </c>
      <c r="R19" s="81">
        <f>DEGREES(P19)</f>
        <v>-17.640664007102185</v>
      </c>
      <c r="S19" s="5" t="s">
        <v>202</v>
      </c>
      <c r="T19" s="81" t="str">
        <f>_xlfn.CONCAT(O19,ROUND(R19,1),S19)</f>
        <v>φ = -17.6°</v>
      </c>
    </row>
    <row r="20" spans="2:20" ht="16.5" x14ac:dyDescent="0.45">
      <c r="C20" s="8" t="s">
        <v>878</v>
      </c>
      <c r="D20" s="81">
        <f>ROUND(SQRT(H7^2 + H16^2)/10^G20,2)</f>
        <v>250.05</v>
      </c>
      <c r="E20" s="4" t="s">
        <v>708</v>
      </c>
      <c r="F20" s="5" t="str">
        <f>F16</f>
        <v>Ω</v>
      </c>
      <c r="G20" s="81">
        <f>VLOOKUP(E20, CHOOSE({1,2,3,4,5}, Einheitenvorsätze!A:A, Einheitenvorsätze!B:B, Einheitenvorsätze!C:C, Einheitenvorsätze!D:D, Einheitenvorsätze!E:E), 5, FALSE)</f>
        <v>0</v>
      </c>
      <c r="H20" s="81">
        <f>D20*VLOOKUP(E20, CHOOSE({1,2,3,4}, Einheitenvorsätze!A:A, Einheitenvorsätze!B:B, Einheitenvorsätze!C:C, Einheitenvorsätze!D:D), 3, FALSE)</f>
        <v>250.05</v>
      </c>
      <c r="I20" s="406" t="str">
        <f t="shared" si="10"/>
        <v xml:space="preserve">ZRL = </v>
      </c>
      <c r="J20" s="81" t="str">
        <f>IF(E20=Einheitenvorsätze!$A$19,_xlfn.CONCAT(D20,F20),_xlfn.CONCAT(D20," * ",VLOOKUP(E20, CHOOSE({1,2,3,4}, Einheitenvorsätze!A:A, Einheitenvorsätze!B:B, Einheitenvorsätze!C:C, Einheitenvorsätze!D:D), 4, FALSE),F20))</f>
        <v>250.05Ω</v>
      </c>
      <c r="K20" s="81" t="str">
        <f>IF(E20=Einheitenvorsätze!$A$19,_xlfn.CONCAT(D20,F20),_xlfn.CONCAT(D20,E20,F20))</f>
        <v>250.05Ω</v>
      </c>
      <c r="L20" s="81" t="str">
        <f t="shared" si="11"/>
        <v>ZRL = 250.05Ω</v>
      </c>
      <c r="M20" s="81" t="str">
        <f t="shared" si="12"/>
        <v>ZRL = 250.05Ω</v>
      </c>
    </row>
    <row r="21" spans="2:20" ht="16.5" x14ac:dyDescent="0.45">
      <c r="B21" s="59" t="str">
        <f>IF(D15=D16,"ohmsch",IF(D15&gt;D16,"kapazitiv","induktiv"))</f>
        <v>kapazitiv</v>
      </c>
      <c r="C21" s="8" t="s">
        <v>879</v>
      </c>
      <c r="D21" s="81">
        <f>ROUND(SQRT(H7^2 + (H15-H16)^2)/10^G21,2)</f>
        <v>0.25</v>
      </c>
      <c r="E21" s="4" t="s">
        <v>699</v>
      </c>
      <c r="F21" s="5" t="str">
        <f>F15</f>
        <v>Ω</v>
      </c>
      <c r="G21" s="81">
        <f>VLOOKUP(E21, CHOOSE({1,2,3,4,5}, Einheitenvorsätze!A:A, Einheitenvorsätze!B:B, Einheitenvorsätze!C:C, Einheitenvorsätze!D:D, Einheitenvorsätze!E:E), 5, FALSE)</f>
        <v>3</v>
      </c>
      <c r="H21" s="81">
        <f>D21*VLOOKUP(E21, CHOOSE({1,2,3,4}, Einheitenvorsätze!A:A, Einheitenvorsätze!B:B, Einheitenvorsätze!C:C, Einheitenvorsätze!D:D), 3, FALSE)</f>
        <v>250</v>
      </c>
      <c r="I21" s="406" t="str">
        <f t="shared" si="10"/>
        <v xml:space="preserve">ZRLC = </v>
      </c>
      <c r="J21" s="81" t="str">
        <f>IF(E21=Einheitenvorsätze!$A$19,_xlfn.CONCAT(D21,F21),_xlfn.CONCAT(D21," * ",VLOOKUP(E21, CHOOSE({1,2,3,4}, Einheitenvorsätze!A:A, Einheitenvorsätze!B:B, Einheitenvorsätze!C:C, Einheitenvorsätze!D:D), 4, FALSE),F21))</f>
        <v>0.25 * 10³Ω</v>
      </c>
      <c r="K21" s="81" t="str">
        <f>IF(E21=Einheitenvorsätze!$A$19,_xlfn.CONCAT(D21,F21),_xlfn.CONCAT(D21,E21,F21))</f>
        <v>0.25kΩ</v>
      </c>
      <c r="L21" s="81" t="str">
        <f t="shared" si="11"/>
        <v>ZRLC = 0.25kΩ</v>
      </c>
      <c r="M21" s="81" t="str">
        <f t="shared" si="12"/>
        <v>ZRLC = 0.25 * 10³Ω</v>
      </c>
    </row>
  </sheetData>
  <dataValidations count="1">
    <dataValidation type="list" allowBlank="1" showInputMessage="1" showErrorMessage="1" sqref="X2" xr:uid="{A9A26219-259F-45D1-BCF2-9011B2A42031}">
      <formula1>$R$2:$R$3</formula1>
    </dataValidation>
  </dataValidations>
  <pageMargins left="0.7" right="0.7" top="0.78740157499999996" bottom="0.78740157499999996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F04A9C9-114C-4B38-8494-9D45ED943E48}">
          <x14:formula1>
            <xm:f>Einheitenvorsätze!$A$7:$A$31</xm:f>
          </x14:formula1>
          <xm:sqref>E7:E10 E12 E15:E16 E19:E21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149F8-A047-42CA-B474-659FAD63CE22}">
  <dimension ref="C2:AD24"/>
  <sheetViews>
    <sheetView zoomScale="70" zoomScaleNormal="70" workbookViewId="0">
      <selection activeCell="A2" sqref="A2:XFD2"/>
    </sheetView>
  </sheetViews>
  <sheetFormatPr baseColWidth="10" defaultRowHeight="14.5" x14ac:dyDescent="0.35"/>
  <cols>
    <col min="9" max="9" width="16.54296875" customWidth="1"/>
    <col min="10" max="10" width="14.453125" customWidth="1"/>
    <col min="12" max="12" width="4.81640625" customWidth="1"/>
    <col min="14" max="14" width="18.1796875" customWidth="1"/>
    <col min="15" max="15" width="9.453125" customWidth="1"/>
  </cols>
  <sheetData>
    <row r="2" spans="3:30" ht="23.5" x14ac:dyDescent="0.55000000000000004">
      <c r="C2" s="11" t="s">
        <v>566</v>
      </c>
    </row>
    <row r="5" spans="3:30" ht="16.5" x14ac:dyDescent="0.45">
      <c r="J5" s="5" t="s">
        <v>598</v>
      </c>
      <c r="K5" s="5"/>
      <c r="L5" s="5"/>
      <c r="N5" s="5" t="s">
        <v>597</v>
      </c>
      <c r="O5" s="5"/>
    </row>
    <row r="6" spans="3:30" ht="16.5" x14ac:dyDescent="0.45">
      <c r="J6" s="8" t="s">
        <v>589</v>
      </c>
      <c r="K6" s="4">
        <v>1.55</v>
      </c>
      <c r="L6" s="5" t="s">
        <v>554</v>
      </c>
      <c r="N6" s="5" t="s">
        <v>595</v>
      </c>
      <c r="O6" s="216">
        <f>K6/(2*K7)</f>
        <v>1.1071428571428572</v>
      </c>
      <c r="Q6">
        <f>K7</f>
        <v>0.7</v>
      </c>
      <c r="R6">
        <f>Q6</f>
        <v>0.7</v>
      </c>
    </row>
    <row r="7" spans="3:30" ht="16.5" x14ac:dyDescent="0.45">
      <c r="J7" s="8" t="s">
        <v>588</v>
      </c>
      <c r="K7" s="4">
        <v>0.7</v>
      </c>
      <c r="L7" s="5" t="s">
        <v>567</v>
      </c>
      <c r="N7" s="5" t="s">
        <v>594</v>
      </c>
      <c r="O7" s="216">
        <f>K6/2</f>
        <v>0.77500000000000002</v>
      </c>
      <c r="Q7">
        <v>0</v>
      </c>
      <c r="R7" s="103">
        <f>MAX(O6:O8)</f>
        <v>1.1071428571428572</v>
      </c>
    </row>
    <row r="8" spans="3:30" ht="16.5" x14ac:dyDescent="0.45">
      <c r="J8" s="1"/>
      <c r="K8" s="1"/>
      <c r="N8" s="5" t="s">
        <v>596</v>
      </c>
      <c r="O8" s="216">
        <f>O6*O7</f>
        <v>0.85803571428571435</v>
      </c>
    </row>
    <row r="10" spans="3:30" x14ac:dyDescent="0.35">
      <c r="I10" s="8" t="s">
        <v>1</v>
      </c>
      <c r="J10" s="4">
        <v>0.1</v>
      </c>
    </row>
    <row r="11" spans="3:30" ht="16.5" x14ac:dyDescent="0.45">
      <c r="I11" s="8" t="s">
        <v>590</v>
      </c>
      <c r="J11" s="4">
        <v>0</v>
      </c>
      <c r="K11" s="81">
        <f>J11+$J$10</f>
        <v>0.1</v>
      </c>
      <c r="L11" s="81">
        <f t="shared" ref="L11:AC11" si="0">K11+$J$10</f>
        <v>0.2</v>
      </c>
      <c r="M11" s="81">
        <f t="shared" si="0"/>
        <v>0.30000000000000004</v>
      </c>
      <c r="N11" s="81">
        <f t="shared" si="0"/>
        <v>0.4</v>
      </c>
      <c r="O11" s="81">
        <f t="shared" si="0"/>
        <v>0.5</v>
      </c>
      <c r="P11" s="81">
        <f t="shared" si="0"/>
        <v>0.6</v>
      </c>
      <c r="Q11" s="81">
        <f t="shared" si="0"/>
        <v>0.7</v>
      </c>
      <c r="R11" s="81">
        <f t="shared" si="0"/>
        <v>0.79999999999999993</v>
      </c>
      <c r="S11" s="81">
        <f t="shared" si="0"/>
        <v>0.89999999999999991</v>
      </c>
      <c r="T11" s="81">
        <f t="shared" si="0"/>
        <v>0.99999999999999989</v>
      </c>
      <c r="U11" s="81">
        <f t="shared" si="0"/>
        <v>1.0999999999999999</v>
      </c>
      <c r="V11" s="81">
        <f t="shared" si="0"/>
        <v>1.2</v>
      </c>
      <c r="W11" s="81">
        <f t="shared" si="0"/>
        <v>1.3</v>
      </c>
      <c r="X11" s="81">
        <f t="shared" si="0"/>
        <v>1.4000000000000001</v>
      </c>
      <c r="Y11" s="81">
        <f t="shared" si="0"/>
        <v>1.5000000000000002</v>
      </c>
      <c r="Z11" s="81">
        <f t="shared" si="0"/>
        <v>1.6000000000000003</v>
      </c>
      <c r="AA11" s="81">
        <f t="shared" si="0"/>
        <v>1.7000000000000004</v>
      </c>
      <c r="AB11" s="81">
        <f t="shared" si="0"/>
        <v>1.8000000000000005</v>
      </c>
      <c r="AC11" s="81">
        <f t="shared" si="0"/>
        <v>1.9000000000000006</v>
      </c>
      <c r="AD11" s="81">
        <f>AC11+$J$10</f>
        <v>2.0000000000000004</v>
      </c>
    </row>
    <row r="12" spans="3:30" ht="16.5" x14ac:dyDescent="0.45">
      <c r="I12" s="296" t="s">
        <v>591</v>
      </c>
      <c r="J12" s="216">
        <f>$K$6/($K$7+J11)</f>
        <v>2.2142857142857144</v>
      </c>
      <c r="K12" s="216">
        <f t="shared" ref="K12:AD12" si="1">$K$6/($K$7+K11)</f>
        <v>1.9375000000000002</v>
      </c>
      <c r="L12" s="216">
        <f t="shared" si="1"/>
        <v>1.7222222222222225</v>
      </c>
      <c r="M12" s="216">
        <f t="shared" si="1"/>
        <v>1.55</v>
      </c>
      <c r="N12" s="216">
        <f t="shared" si="1"/>
        <v>1.4090909090909089</v>
      </c>
      <c r="O12" s="216">
        <f t="shared" si="1"/>
        <v>1.2916666666666667</v>
      </c>
      <c r="P12" s="216">
        <f t="shared" si="1"/>
        <v>1.1923076923076925</v>
      </c>
      <c r="Q12" s="216">
        <f t="shared" si="1"/>
        <v>1.1071428571428572</v>
      </c>
      <c r="R12" s="216">
        <f t="shared" si="1"/>
        <v>1.0333333333333334</v>
      </c>
      <c r="S12" s="216">
        <f t="shared" si="1"/>
        <v>0.96875000000000011</v>
      </c>
      <c r="T12" s="216">
        <f t="shared" si="1"/>
        <v>0.91176470588235314</v>
      </c>
      <c r="U12" s="216">
        <f t="shared" si="1"/>
        <v>0.86111111111111127</v>
      </c>
      <c r="V12" s="216">
        <f t="shared" si="1"/>
        <v>0.81578947368421062</v>
      </c>
      <c r="W12" s="216">
        <f t="shared" si="1"/>
        <v>0.77500000000000002</v>
      </c>
      <c r="X12" s="216">
        <f t="shared" si="1"/>
        <v>0.73809523809523814</v>
      </c>
      <c r="Y12" s="216">
        <f t="shared" si="1"/>
        <v>0.70454545454545447</v>
      </c>
      <c r="Z12" s="216">
        <f t="shared" si="1"/>
        <v>0.67391304347826086</v>
      </c>
      <c r="AA12" s="216">
        <f t="shared" si="1"/>
        <v>0.64583333333333326</v>
      </c>
      <c r="AB12" s="216">
        <f t="shared" si="1"/>
        <v>0.61999999999999988</v>
      </c>
      <c r="AC12" s="216">
        <f t="shared" si="1"/>
        <v>0.59615384615384603</v>
      </c>
      <c r="AD12" s="216">
        <f t="shared" si="1"/>
        <v>0.57407407407407407</v>
      </c>
    </row>
    <row r="13" spans="3:30" ht="16.5" x14ac:dyDescent="0.45">
      <c r="I13" s="297" t="s">
        <v>592</v>
      </c>
      <c r="J13" s="216">
        <f>J11*J12</f>
        <v>0</v>
      </c>
      <c r="K13" s="216">
        <f t="shared" ref="K13:AD13" si="2">K11*K12</f>
        <v>0.19375000000000003</v>
      </c>
      <c r="L13" s="216">
        <f t="shared" si="2"/>
        <v>0.34444444444444455</v>
      </c>
      <c r="M13" s="216">
        <f t="shared" si="2"/>
        <v>0.46500000000000008</v>
      </c>
      <c r="N13" s="216">
        <f t="shared" si="2"/>
        <v>0.5636363636363636</v>
      </c>
      <c r="O13" s="216">
        <f t="shared" si="2"/>
        <v>0.64583333333333337</v>
      </c>
      <c r="P13" s="216">
        <f t="shared" si="2"/>
        <v>0.71538461538461551</v>
      </c>
      <c r="Q13" s="216">
        <f t="shared" si="2"/>
        <v>0.77500000000000002</v>
      </c>
      <c r="R13" s="216">
        <f t="shared" si="2"/>
        <v>0.82666666666666666</v>
      </c>
      <c r="S13" s="216">
        <f t="shared" si="2"/>
        <v>0.87187500000000007</v>
      </c>
      <c r="T13" s="216">
        <f t="shared" si="2"/>
        <v>0.91176470588235303</v>
      </c>
      <c r="U13" s="216">
        <f t="shared" si="2"/>
        <v>0.9472222222222223</v>
      </c>
      <c r="V13" s="216">
        <f t="shared" si="2"/>
        <v>0.97894736842105268</v>
      </c>
      <c r="W13" s="216">
        <f t="shared" si="2"/>
        <v>1.0075000000000001</v>
      </c>
      <c r="X13" s="216">
        <f t="shared" si="2"/>
        <v>1.0333333333333334</v>
      </c>
      <c r="Y13" s="216">
        <f t="shared" si="2"/>
        <v>1.0568181818181819</v>
      </c>
      <c r="Z13" s="216">
        <f t="shared" si="2"/>
        <v>1.0782608695652176</v>
      </c>
      <c r="AA13" s="216">
        <f t="shared" si="2"/>
        <v>1.0979166666666669</v>
      </c>
      <c r="AB13" s="216">
        <f t="shared" si="2"/>
        <v>1.1160000000000001</v>
      </c>
      <c r="AC13" s="216">
        <f t="shared" si="2"/>
        <v>1.1326923076923079</v>
      </c>
      <c r="AD13" s="216">
        <f t="shared" si="2"/>
        <v>1.1481481481481484</v>
      </c>
    </row>
    <row r="14" spans="3:30" ht="16.5" x14ac:dyDescent="0.45">
      <c r="I14" s="298" t="s">
        <v>593</v>
      </c>
      <c r="J14" s="216">
        <f>J12*J13</f>
        <v>0</v>
      </c>
      <c r="K14" s="216">
        <f t="shared" ref="K14:AD14" si="3">K12*K13</f>
        <v>0.37539062500000009</v>
      </c>
      <c r="L14" s="216">
        <f t="shared" si="3"/>
        <v>0.59320987654321022</v>
      </c>
      <c r="M14" s="216">
        <f t="shared" si="3"/>
        <v>0.72075000000000011</v>
      </c>
      <c r="N14" s="216">
        <f t="shared" si="3"/>
        <v>0.79421487603305774</v>
      </c>
      <c r="O14" s="216">
        <f t="shared" si="3"/>
        <v>0.83420138888888895</v>
      </c>
      <c r="P14" s="216">
        <f t="shared" si="3"/>
        <v>0.85295857988165713</v>
      </c>
      <c r="Q14" s="216">
        <f t="shared" si="3"/>
        <v>0.85803571428571435</v>
      </c>
      <c r="R14" s="216">
        <f t="shared" si="3"/>
        <v>0.85422222222222233</v>
      </c>
      <c r="S14" s="216">
        <f t="shared" si="3"/>
        <v>0.8446289062500002</v>
      </c>
      <c r="T14" s="216">
        <f t="shared" si="3"/>
        <v>0.83131487889273381</v>
      </c>
      <c r="U14" s="216">
        <f t="shared" si="3"/>
        <v>0.81566358024691377</v>
      </c>
      <c r="V14" s="216">
        <f t="shared" si="3"/>
        <v>0.79861495844875363</v>
      </c>
      <c r="W14" s="216">
        <f t="shared" si="3"/>
        <v>0.78081250000000002</v>
      </c>
      <c r="X14" s="216">
        <f t="shared" si="3"/>
        <v>0.76269841269841276</v>
      </c>
      <c r="Y14" s="216">
        <f t="shared" si="3"/>
        <v>0.74457644628099173</v>
      </c>
      <c r="Z14" s="216">
        <f t="shared" si="3"/>
        <v>0.72665406427221191</v>
      </c>
      <c r="AA14" s="216">
        <f t="shared" si="3"/>
        <v>0.70907118055555562</v>
      </c>
      <c r="AB14" s="216">
        <f t="shared" si="3"/>
        <v>0.69191999999999998</v>
      </c>
      <c r="AC14" s="216">
        <f t="shared" si="3"/>
        <v>0.67525887573964494</v>
      </c>
      <c r="AD14" s="216">
        <f t="shared" si="3"/>
        <v>0.65912208504801106</v>
      </c>
    </row>
    <row r="17" spans="9:15" ht="16.5" x14ac:dyDescent="0.45">
      <c r="I17" s="99" t="s">
        <v>590</v>
      </c>
      <c r="J17" s="299" t="s">
        <v>591</v>
      </c>
      <c r="K17" s="300" t="s">
        <v>592</v>
      </c>
    </row>
    <row r="18" spans="9:15" x14ac:dyDescent="0.35">
      <c r="I18" s="99" t="s">
        <v>567</v>
      </c>
      <c r="J18" s="299" t="s">
        <v>599</v>
      </c>
      <c r="K18" s="300" t="s">
        <v>554</v>
      </c>
    </row>
    <row r="19" spans="9:15" x14ac:dyDescent="0.35">
      <c r="I19" s="99">
        <v>8</v>
      </c>
      <c r="J19" s="216">
        <f t="shared" ref="J19:J24" si="4">$K$6/($K$7+I19)*1000</f>
        <v>178.16091954022991</v>
      </c>
      <c r="K19" s="216">
        <f t="shared" ref="K19:K24" si="5">I19*J19/1000</f>
        <v>1.4252873563218393</v>
      </c>
      <c r="L19" s="103"/>
      <c r="M19" s="103"/>
      <c r="N19" s="103"/>
      <c r="O19" s="103"/>
    </row>
    <row r="20" spans="9:15" x14ac:dyDescent="0.35">
      <c r="I20" s="99">
        <v>4</v>
      </c>
      <c r="J20" s="216">
        <f t="shared" si="4"/>
        <v>329.78723404255317</v>
      </c>
      <c r="K20" s="216">
        <f t="shared" si="5"/>
        <v>1.3191489361702127</v>
      </c>
    </row>
    <row r="21" spans="9:15" x14ac:dyDescent="0.35">
      <c r="I21" s="99">
        <v>1.5</v>
      </c>
      <c r="J21" s="216">
        <f t="shared" si="4"/>
        <v>704.5454545454545</v>
      </c>
      <c r="K21" s="216">
        <f t="shared" si="5"/>
        <v>1.0568181818181817</v>
      </c>
    </row>
    <row r="22" spans="9:15" x14ac:dyDescent="0.35">
      <c r="I22" s="99">
        <v>0.75</v>
      </c>
      <c r="J22" s="216">
        <f t="shared" si="4"/>
        <v>1068.9655172413795</v>
      </c>
      <c r="K22" s="216">
        <f t="shared" si="5"/>
        <v>0.8017241379310347</v>
      </c>
    </row>
    <row r="23" spans="9:15" x14ac:dyDescent="0.35">
      <c r="I23" s="99">
        <v>0.3</v>
      </c>
      <c r="J23" s="216">
        <f t="shared" si="4"/>
        <v>1550</v>
      </c>
      <c r="K23" s="216">
        <f t="shared" si="5"/>
        <v>0.46500000000000002</v>
      </c>
    </row>
    <row r="24" spans="9:15" x14ac:dyDescent="0.35">
      <c r="I24" s="99">
        <v>0</v>
      </c>
      <c r="J24" s="216">
        <f t="shared" si="4"/>
        <v>2214.2857142857142</v>
      </c>
      <c r="K24" s="216">
        <f t="shared" si="5"/>
        <v>0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14390-BAED-44B4-AA9A-09C4333BEBF1}">
  <dimension ref="B2:AT17"/>
  <sheetViews>
    <sheetView showGridLines="0" zoomScale="70" zoomScaleNormal="70" workbookViewId="0"/>
  </sheetViews>
  <sheetFormatPr baseColWidth="10" defaultRowHeight="14.5" x14ac:dyDescent="0.35"/>
  <cols>
    <col min="2" max="2" width="7.81640625" customWidth="1"/>
    <col min="3" max="3" width="21" customWidth="1"/>
    <col min="4" max="4" width="31.54296875" customWidth="1"/>
    <col min="5" max="5" width="14.54296875" customWidth="1"/>
    <col min="6" max="6" width="16.1796875" bestFit="1" customWidth="1"/>
  </cols>
  <sheetData>
    <row r="2" spans="2:46" ht="23.5" x14ac:dyDescent="0.55000000000000004">
      <c r="C2" s="11" t="s">
        <v>853</v>
      </c>
      <c r="D2" s="94"/>
    </row>
    <row r="4" spans="2:46" ht="16.5" x14ac:dyDescent="0.45">
      <c r="E4" s="8" t="s">
        <v>550</v>
      </c>
      <c r="F4" s="4">
        <v>1</v>
      </c>
      <c r="G4" s="5" t="s">
        <v>321</v>
      </c>
      <c r="I4" s="276" t="s">
        <v>552</v>
      </c>
      <c r="J4" s="4">
        <v>120</v>
      </c>
      <c r="K4" s="5" t="s">
        <v>553</v>
      </c>
      <c r="L4" s="81">
        <f>RADIANS(J4)</f>
        <v>2.0943951023931953</v>
      </c>
      <c r="M4" s="5" t="s">
        <v>203</v>
      </c>
      <c r="T4" s="5" t="s">
        <v>475</v>
      </c>
      <c r="U4" s="81">
        <f>MIN(F8:AT8)</f>
        <v>0</v>
      </c>
      <c r="V4" s="81">
        <f>MAX(F8:AT8)</f>
        <v>400</v>
      </c>
      <c r="Y4" s="5" t="s">
        <v>476</v>
      </c>
      <c r="Z4" s="5">
        <v>0</v>
      </c>
      <c r="AA4" s="5">
        <v>0</v>
      </c>
      <c r="AC4" s="5" t="s">
        <v>65</v>
      </c>
    </row>
    <row r="5" spans="2:46" ht="16.5" x14ac:dyDescent="0.45">
      <c r="E5" s="8" t="s">
        <v>551</v>
      </c>
      <c r="F5" s="4">
        <v>2</v>
      </c>
      <c r="G5" s="5" t="s">
        <v>39</v>
      </c>
      <c r="I5" s="276" t="s">
        <v>556</v>
      </c>
      <c r="J5" s="4">
        <v>90</v>
      </c>
      <c r="K5" s="5" t="s">
        <v>553</v>
      </c>
      <c r="L5" s="81">
        <f>RADIANS(J5)</f>
        <v>1.5707963267948966</v>
      </c>
      <c r="M5" s="5" t="s">
        <v>203</v>
      </c>
      <c r="T5" s="5"/>
      <c r="U5" s="5">
        <v>0</v>
      </c>
      <c r="V5" s="5">
        <v>0</v>
      </c>
      <c r="Y5" s="78"/>
      <c r="Z5" s="216">
        <f>MIN(F10:AT13)</f>
        <v>-2</v>
      </c>
      <c r="AA5" s="216">
        <f>MAX(F10:AT13)</f>
        <v>2</v>
      </c>
      <c r="AC5" s="5" t="s">
        <v>66</v>
      </c>
    </row>
    <row r="6" spans="2:46" x14ac:dyDescent="0.35">
      <c r="E6" s="1"/>
      <c r="H6" s="275"/>
    </row>
    <row r="7" spans="2:46" x14ac:dyDescent="0.35">
      <c r="E7" s="8" t="s">
        <v>318</v>
      </c>
      <c r="F7" s="4">
        <v>10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</row>
    <row r="8" spans="2:46" x14ac:dyDescent="0.35">
      <c r="C8" s="99" t="s">
        <v>416</v>
      </c>
      <c r="D8" s="5"/>
      <c r="E8" s="99" t="s">
        <v>299</v>
      </c>
      <c r="F8" s="229">
        <v>0</v>
      </c>
      <c r="G8" s="81">
        <f>F8+$F$7</f>
        <v>10</v>
      </c>
      <c r="H8" s="81">
        <f t="shared" ref="H8:AT8" si="0">G8+$F$7</f>
        <v>20</v>
      </c>
      <c r="I8" s="81">
        <f t="shared" si="0"/>
        <v>30</v>
      </c>
      <c r="J8" s="81">
        <f t="shared" si="0"/>
        <v>40</v>
      </c>
      <c r="K8" s="81">
        <f t="shared" si="0"/>
        <v>50</v>
      </c>
      <c r="L8" s="81">
        <f t="shared" si="0"/>
        <v>60</v>
      </c>
      <c r="M8" s="81">
        <f t="shared" si="0"/>
        <v>70</v>
      </c>
      <c r="N8" s="81">
        <f t="shared" si="0"/>
        <v>80</v>
      </c>
      <c r="O8" s="81">
        <f t="shared" si="0"/>
        <v>90</v>
      </c>
      <c r="P8" s="81">
        <f t="shared" si="0"/>
        <v>100</v>
      </c>
      <c r="Q8" s="81">
        <f t="shared" si="0"/>
        <v>110</v>
      </c>
      <c r="R8" s="81">
        <f t="shared" si="0"/>
        <v>120</v>
      </c>
      <c r="S8" s="81">
        <f t="shared" si="0"/>
        <v>130</v>
      </c>
      <c r="T8" s="81">
        <f t="shared" si="0"/>
        <v>140</v>
      </c>
      <c r="U8" s="81">
        <f t="shared" si="0"/>
        <v>150</v>
      </c>
      <c r="V8" s="81">
        <f t="shared" si="0"/>
        <v>160</v>
      </c>
      <c r="W8" s="81">
        <f t="shared" si="0"/>
        <v>170</v>
      </c>
      <c r="X8" s="81">
        <f t="shared" si="0"/>
        <v>180</v>
      </c>
      <c r="Y8" s="81">
        <f t="shared" si="0"/>
        <v>190</v>
      </c>
      <c r="Z8" s="81">
        <f t="shared" si="0"/>
        <v>200</v>
      </c>
      <c r="AA8" s="81">
        <f t="shared" si="0"/>
        <v>210</v>
      </c>
      <c r="AB8" s="81">
        <f t="shared" si="0"/>
        <v>220</v>
      </c>
      <c r="AC8" s="81">
        <f t="shared" si="0"/>
        <v>230</v>
      </c>
      <c r="AD8" s="81">
        <f t="shared" si="0"/>
        <v>240</v>
      </c>
      <c r="AE8" s="81">
        <f t="shared" si="0"/>
        <v>250</v>
      </c>
      <c r="AF8" s="81">
        <f t="shared" si="0"/>
        <v>260</v>
      </c>
      <c r="AG8" s="81">
        <f t="shared" si="0"/>
        <v>270</v>
      </c>
      <c r="AH8" s="81">
        <f t="shared" si="0"/>
        <v>280</v>
      </c>
      <c r="AI8" s="81">
        <f t="shared" si="0"/>
        <v>290</v>
      </c>
      <c r="AJ8" s="81">
        <f t="shared" si="0"/>
        <v>300</v>
      </c>
      <c r="AK8" s="81">
        <f t="shared" si="0"/>
        <v>310</v>
      </c>
      <c r="AL8" s="81">
        <f t="shared" si="0"/>
        <v>320</v>
      </c>
      <c r="AM8" s="81">
        <f t="shared" si="0"/>
        <v>330</v>
      </c>
      <c r="AN8" s="81">
        <f t="shared" si="0"/>
        <v>340</v>
      </c>
      <c r="AO8" s="81">
        <f t="shared" si="0"/>
        <v>350</v>
      </c>
      <c r="AP8" s="81">
        <f t="shared" si="0"/>
        <v>360</v>
      </c>
      <c r="AQ8" s="81">
        <f t="shared" si="0"/>
        <v>370</v>
      </c>
      <c r="AR8" s="81">
        <f t="shared" si="0"/>
        <v>380</v>
      </c>
      <c r="AS8" s="81">
        <f t="shared" si="0"/>
        <v>390</v>
      </c>
      <c r="AT8" s="81">
        <f t="shared" si="0"/>
        <v>400</v>
      </c>
    </row>
    <row r="9" spans="2:46" x14ac:dyDescent="0.35">
      <c r="C9" s="99" t="s">
        <v>416</v>
      </c>
      <c r="D9" s="5"/>
      <c r="E9" s="99" t="s">
        <v>301</v>
      </c>
      <c r="F9" s="216">
        <f>F8*PI()/180</f>
        <v>0</v>
      </c>
      <c r="G9" s="216">
        <f t="shared" ref="G9:AT9" si="1">G8*PI()/180</f>
        <v>0.17453292519943295</v>
      </c>
      <c r="H9" s="216">
        <f t="shared" si="1"/>
        <v>0.3490658503988659</v>
      </c>
      <c r="I9" s="216">
        <f t="shared" si="1"/>
        <v>0.52359877559829882</v>
      </c>
      <c r="J9" s="216">
        <f t="shared" si="1"/>
        <v>0.69813170079773179</v>
      </c>
      <c r="K9" s="216">
        <f t="shared" si="1"/>
        <v>0.87266462599716477</v>
      </c>
      <c r="L9" s="216">
        <f t="shared" si="1"/>
        <v>1.0471975511965976</v>
      </c>
      <c r="M9" s="216">
        <f t="shared" si="1"/>
        <v>1.2217304763960306</v>
      </c>
      <c r="N9" s="216">
        <f t="shared" si="1"/>
        <v>1.3962634015954636</v>
      </c>
      <c r="O9" s="216">
        <f t="shared" si="1"/>
        <v>1.5707963267948966</v>
      </c>
      <c r="P9" s="216">
        <f t="shared" si="1"/>
        <v>1.7453292519943295</v>
      </c>
      <c r="Q9" s="216">
        <f t="shared" si="1"/>
        <v>1.9198621771937625</v>
      </c>
      <c r="R9" s="216">
        <f t="shared" si="1"/>
        <v>2.0943951023931953</v>
      </c>
      <c r="S9" s="216">
        <f t="shared" si="1"/>
        <v>2.2689280275926285</v>
      </c>
      <c r="T9" s="216">
        <f t="shared" si="1"/>
        <v>2.4434609527920612</v>
      </c>
      <c r="U9" s="216">
        <f t="shared" si="1"/>
        <v>2.6179938779914944</v>
      </c>
      <c r="V9" s="216">
        <f t="shared" si="1"/>
        <v>2.7925268031909272</v>
      </c>
      <c r="W9" s="216">
        <f t="shared" si="1"/>
        <v>2.9670597283903604</v>
      </c>
      <c r="X9" s="216">
        <f t="shared" si="1"/>
        <v>3.1415926535897931</v>
      </c>
      <c r="Y9" s="216">
        <f t="shared" si="1"/>
        <v>3.3161255787892263</v>
      </c>
      <c r="Z9" s="216">
        <f t="shared" si="1"/>
        <v>3.4906585039886591</v>
      </c>
      <c r="AA9" s="216">
        <f t="shared" si="1"/>
        <v>3.6651914291880923</v>
      </c>
      <c r="AB9" s="216">
        <f t="shared" si="1"/>
        <v>3.839724354387525</v>
      </c>
      <c r="AC9" s="216">
        <f t="shared" si="1"/>
        <v>4.0142572795869578</v>
      </c>
      <c r="AD9" s="216">
        <f t="shared" si="1"/>
        <v>4.1887902047863905</v>
      </c>
      <c r="AE9" s="216">
        <f t="shared" si="1"/>
        <v>4.3633231299858233</v>
      </c>
      <c r="AF9" s="216">
        <f t="shared" si="1"/>
        <v>4.5378560551852569</v>
      </c>
      <c r="AG9" s="216">
        <f t="shared" si="1"/>
        <v>4.7123889803846897</v>
      </c>
      <c r="AH9" s="216">
        <f t="shared" si="1"/>
        <v>4.8869219055841224</v>
      </c>
      <c r="AI9" s="216">
        <f t="shared" si="1"/>
        <v>5.0614548307835552</v>
      </c>
      <c r="AJ9" s="216">
        <f t="shared" si="1"/>
        <v>5.2359877559829888</v>
      </c>
      <c r="AK9" s="216">
        <f t="shared" si="1"/>
        <v>5.4105206811824216</v>
      </c>
      <c r="AL9" s="216">
        <f t="shared" si="1"/>
        <v>5.5850536063818543</v>
      </c>
      <c r="AM9" s="216">
        <f t="shared" si="1"/>
        <v>5.7595865315812871</v>
      </c>
      <c r="AN9" s="216">
        <f t="shared" si="1"/>
        <v>5.9341194567807207</v>
      </c>
      <c r="AO9" s="216">
        <f t="shared" si="1"/>
        <v>6.1086523819801526</v>
      </c>
      <c r="AP9" s="216">
        <f t="shared" si="1"/>
        <v>6.2831853071795862</v>
      </c>
      <c r="AQ9" s="216">
        <f t="shared" si="1"/>
        <v>6.457718232379019</v>
      </c>
      <c r="AR9" s="216">
        <f t="shared" si="1"/>
        <v>6.6322511575784526</v>
      </c>
      <c r="AS9" s="216">
        <f t="shared" si="1"/>
        <v>6.8067840827778845</v>
      </c>
      <c r="AT9" s="216">
        <f t="shared" si="1"/>
        <v>6.9813170079773181</v>
      </c>
    </row>
    <row r="10" spans="2:46" ht="24" x14ac:dyDescent="0.65">
      <c r="B10" s="108" t="s">
        <v>65</v>
      </c>
      <c r="C10" s="277" t="s">
        <v>558</v>
      </c>
      <c r="D10" s="281" t="s">
        <v>560</v>
      </c>
      <c r="E10" s="278" t="s">
        <v>554</v>
      </c>
      <c r="F10" s="216">
        <f>IF($B$10=$AC$4,$F$4*SIN(F9+$L$4),0)</f>
        <v>0.86602540378443871</v>
      </c>
      <c r="G10" s="216">
        <f t="shared" ref="G10:AT10" si="2">IF($B$10=$AC$4,$F$4*SIN(G9+$L$4),0)</f>
        <v>0.76604444311897835</v>
      </c>
      <c r="H10" s="216">
        <f t="shared" si="2"/>
        <v>0.64278760968653947</v>
      </c>
      <c r="I10" s="216">
        <f t="shared" si="2"/>
        <v>0.50000000000000033</v>
      </c>
      <c r="J10" s="216">
        <f t="shared" si="2"/>
        <v>0.34202014332566888</v>
      </c>
      <c r="K10" s="216">
        <f t="shared" si="2"/>
        <v>0.17364817766693069</v>
      </c>
      <c r="L10" s="216">
        <f t="shared" si="2"/>
        <v>1.22514845490862E-16</v>
      </c>
      <c r="M10" s="216">
        <f t="shared" si="2"/>
        <v>-0.17364817766693003</v>
      </c>
      <c r="N10" s="216">
        <f t="shared" si="2"/>
        <v>-0.34202014332566821</v>
      </c>
      <c r="O10" s="216">
        <f t="shared" si="2"/>
        <v>-0.49999999999999972</v>
      </c>
      <c r="P10" s="216">
        <f t="shared" si="2"/>
        <v>-0.64278760968653925</v>
      </c>
      <c r="Q10" s="216">
        <f t="shared" si="2"/>
        <v>-0.7660444431189779</v>
      </c>
      <c r="R10" s="216">
        <f t="shared" si="2"/>
        <v>-0.86602540378443837</v>
      </c>
      <c r="S10" s="216">
        <f t="shared" si="2"/>
        <v>-0.93969262078590843</v>
      </c>
      <c r="T10" s="216">
        <f t="shared" si="2"/>
        <v>-0.98480775301220802</v>
      </c>
      <c r="U10" s="216">
        <f t="shared" si="2"/>
        <v>-1</v>
      </c>
      <c r="V10" s="216">
        <f t="shared" si="2"/>
        <v>-0.98480775301220813</v>
      </c>
      <c r="W10" s="216">
        <f t="shared" si="2"/>
        <v>-0.93969262078590854</v>
      </c>
      <c r="X10" s="216">
        <f t="shared" si="2"/>
        <v>-0.86602540378443904</v>
      </c>
      <c r="Y10" s="216">
        <f t="shared" si="2"/>
        <v>-0.76604444311897812</v>
      </c>
      <c r="Z10" s="216">
        <f t="shared" si="2"/>
        <v>-0.64278760968653958</v>
      </c>
      <c r="AA10" s="216">
        <f t="shared" si="2"/>
        <v>-0.49999999999999967</v>
      </c>
      <c r="AB10" s="216">
        <f t="shared" si="2"/>
        <v>-0.3420201433256686</v>
      </c>
      <c r="AC10" s="216">
        <f t="shared" si="2"/>
        <v>-0.17364817766693039</v>
      </c>
      <c r="AD10" s="216">
        <f t="shared" si="2"/>
        <v>-2.45029690981724E-16</v>
      </c>
      <c r="AE10" s="216">
        <f t="shared" si="2"/>
        <v>0.17364817766692991</v>
      </c>
      <c r="AF10" s="216">
        <f t="shared" si="2"/>
        <v>0.3420201433256681</v>
      </c>
      <c r="AG10" s="216">
        <f t="shared" si="2"/>
        <v>0.49999999999999928</v>
      </c>
      <c r="AH10" s="216">
        <f t="shared" si="2"/>
        <v>0.64278760968653847</v>
      </c>
      <c r="AI10" s="216">
        <f t="shared" si="2"/>
        <v>0.76604444311897724</v>
      </c>
      <c r="AJ10" s="216">
        <f t="shared" si="2"/>
        <v>0.86602540378443882</v>
      </c>
      <c r="AK10" s="216">
        <f t="shared" si="2"/>
        <v>0.93969262078590843</v>
      </c>
      <c r="AL10" s="216">
        <f t="shared" si="2"/>
        <v>0.98480775301220802</v>
      </c>
      <c r="AM10" s="216">
        <f t="shared" si="2"/>
        <v>1</v>
      </c>
      <c r="AN10" s="216">
        <f t="shared" si="2"/>
        <v>0.98480775301220813</v>
      </c>
      <c r="AO10" s="216">
        <f t="shared" si="2"/>
        <v>0.93969262078590865</v>
      </c>
      <c r="AP10" s="216">
        <f t="shared" si="2"/>
        <v>0.86602540378443915</v>
      </c>
      <c r="AQ10" s="216">
        <f t="shared" si="2"/>
        <v>0.76604444311897879</v>
      </c>
      <c r="AR10" s="216">
        <f t="shared" si="2"/>
        <v>0.64278760968653903</v>
      </c>
      <c r="AS10" s="216">
        <f t="shared" si="2"/>
        <v>0.50000000000000133</v>
      </c>
      <c r="AT10" s="216">
        <f t="shared" si="2"/>
        <v>0.34202014332566871</v>
      </c>
    </row>
    <row r="11" spans="2:46" ht="24" x14ac:dyDescent="0.65">
      <c r="B11" s="108" t="s">
        <v>65</v>
      </c>
      <c r="C11" s="279" t="s">
        <v>559</v>
      </c>
      <c r="D11" s="282" t="s">
        <v>561</v>
      </c>
      <c r="E11" s="280" t="s">
        <v>555</v>
      </c>
      <c r="F11" s="216">
        <f>IF($B$11=$AC$4,$F$5*SIN(F9+$L$5),0)</f>
        <v>2</v>
      </c>
      <c r="G11" s="216">
        <f t="shared" ref="G11:AT11" si="3">IF($B$11=$AC$4,$F$5*SIN(G9+$L$5),0)</f>
        <v>1.969615506024416</v>
      </c>
      <c r="H11" s="216">
        <f t="shared" si="3"/>
        <v>1.8793852415718169</v>
      </c>
      <c r="I11" s="216">
        <f t="shared" si="3"/>
        <v>1.7320508075688774</v>
      </c>
      <c r="J11" s="216">
        <f t="shared" si="3"/>
        <v>1.532088886237956</v>
      </c>
      <c r="K11" s="216">
        <f t="shared" si="3"/>
        <v>1.2855752193730789</v>
      </c>
      <c r="L11" s="216">
        <f t="shared" si="3"/>
        <v>1.0000000000000007</v>
      </c>
      <c r="M11" s="216">
        <f t="shared" si="3"/>
        <v>0.68404028665133776</v>
      </c>
      <c r="N11" s="216">
        <f t="shared" si="3"/>
        <v>0.34729635533386055</v>
      </c>
      <c r="O11" s="216">
        <f t="shared" si="3"/>
        <v>2.45029690981724E-16</v>
      </c>
      <c r="P11" s="216">
        <f t="shared" si="3"/>
        <v>-0.34729635533386005</v>
      </c>
      <c r="Q11" s="216">
        <f t="shared" si="3"/>
        <v>-0.68404028665133731</v>
      </c>
      <c r="R11" s="216">
        <f t="shared" si="3"/>
        <v>-0.99999999999999944</v>
      </c>
      <c r="S11" s="216">
        <f t="shared" si="3"/>
        <v>-1.2855752193730785</v>
      </c>
      <c r="T11" s="216">
        <f t="shared" si="3"/>
        <v>-1.5320888862379558</v>
      </c>
      <c r="U11" s="216">
        <f t="shared" si="3"/>
        <v>-1.7320508075688776</v>
      </c>
      <c r="V11" s="216">
        <f t="shared" si="3"/>
        <v>-1.8793852415718169</v>
      </c>
      <c r="W11" s="216">
        <f t="shared" si="3"/>
        <v>-1.969615506024416</v>
      </c>
      <c r="X11" s="216">
        <f t="shared" si="3"/>
        <v>-2</v>
      </c>
      <c r="Y11" s="216">
        <f t="shared" si="3"/>
        <v>-1.9696155060244163</v>
      </c>
      <c r="Z11" s="216">
        <f t="shared" si="3"/>
        <v>-1.8793852415718171</v>
      </c>
      <c r="AA11" s="216">
        <f t="shared" si="3"/>
        <v>-1.7320508075688772</v>
      </c>
      <c r="AB11" s="216">
        <f t="shared" si="3"/>
        <v>-1.5320888862379562</v>
      </c>
      <c r="AC11" s="216">
        <f t="shared" si="3"/>
        <v>-1.2855752193730792</v>
      </c>
      <c r="AD11" s="216">
        <f t="shared" si="3"/>
        <v>-1.0000000000000009</v>
      </c>
      <c r="AE11" s="216">
        <f t="shared" si="3"/>
        <v>-0.68404028665133887</v>
      </c>
      <c r="AF11" s="216">
        <f t="shared" si="3"/>
        <v>-0.34729635533386077</v>
      </c>
      <c r="AG11" s="216">
        <f t="shared" si="3"/>
        <v>-4.90059381963448E-16</v>
      </c>
      <c r="AH11" s="216">
        <f t="shared" si="3"/>
        <v>0.34729635533385983</v>
      </c>
      <c r="AI11" s="216">
        <f t="shared" si="3"/>
        <v>0.6840402866513362</v>
      </c>
      <c r="AJ11" s="216">
        <f t="shared" si="3"/>
        <v>1</v>
      </c>
      <c r="AK11" s="216">
        <f t="shared" si="3"/>
        <v>1.2855752193730783</v>
      </c>
      <c r="AL11" s="216">
        <f t="shared" si="3"/>
        <v>1.5320888862379556</v>
      </c>
      <c r="AM11" s="216">
        <f t="shared" si="3"/>
        <v>1.7320508075688767</v>
      </c>
      <c r="AN11" s="216">
        <f t="shared" si="3"/>
        <v>1.8793852415718169</v>
      </c>
      <c r="AO11" s="216">
        <f t="shared" si="3"/>
        <v>1.9696155060244158</v>
      </c>
      <c r="AP11" s="216">
        <f t="shared" si="3"/>
        <v>2</v>
      </c>
      <c r="AQ11" s="216">
        <f t="shared" si="3"/>
        <v>1.9696155060244163</v>
      </c>
      <c r="AR11" s="216">
        <f t="shared" si="3"/>
        <v>1.879385241571816</v>
      </c>
      <c r="AS11" s="216">
        <f t="shared" si="3"/>
        <v>1.7320508075688783</v>
      </c>
      <c r="AT11" s="216">
        <f t="shared" si="3"/>
        <v>1.5320888862379551</v>
      </c>
    </row>
    <row r="12" spans="2:46" ht="21.5" x14ac:dyDescent="0.55000000000000004">
      <c r="B12" s="108" t="s">
        <v>66</v>
      </c>
      <c r="C12" s="283" t="s">
        <v>562</v>
      </c>
      <c r="D12" s="284" t="str">
        <f>IF($J$4=$J$5,"Umomentan^2 / R","Nicht gleichphasig")</f>
        <v>Nicht gleichphasig</v>
      </c>
      <c r="E12" s="285" t="s">
        <v>557</v>
      </c>
      <c r="F12" s="216">
        <f>IF($B$12=$AC$4,IF($J$4=$J$5,F10^2,0),0)</f>
        <v>0</v>
      </c>
      <c r="G12" s="216">
        <f t="shared" ref="G12:AT12" si="4">IF($B$12=$AC$4,IF($J$4=$J$5,G10^2,0),0)</f>
        <v>0</v>
      </c>
      <c r="H12" s="216">
        <f t="shared" si="4"/>
        <v>0</v>
      </c>
      <c r="I12" s="216">
        <f t="shared" si="4"/>
        <v>0</v>
      </c>
      <c r="J12" s="216">
        <f t="shared" si="4"/>
        <v>0</v>
      </c>
      <c r="K12" s="216">
        <f t="shared" si="4"/>
        <v>0</v>
      </c>
      <c r="L12" s="216">
        <f t="shared" si="4"/>
        <v>0</v>
      </c>
      <c r="M12" s="216">
        <f t="shared" si="4"/>
        <v>0</v>
      </c>
      <c r="N12" s="216">
        <f t="shared" si="4"/>
        <v>0</v>
      </c>
      <c r="O12" s="216">
        <f t="shared" si="4"/>
        <v>0</v>
      </c>
      <c r="P12" s="216">
        <f t="shared" si="4"/>
        <v>0</v>
      </c>
      <c r="Q12" s="216">
        <f t="shared" si="4"/>
        <v>0</v>
      </c>
      <c r="R12" s="216">
        <f t="shared" si="4"/>
        <v>0</v>
      </c>
      <c r="S12" s="216">
        <f t="shared" si="4"/>
        <v>0</v>
      </c>
      <c r="T12" s="216">
        <f t="shared" si="4"/>
        <v>0</v>
      </c>
      <c r="U12" s="216">
        <f t="shared" si="4"/>
        <v>0</v>
      </c>
      <c r="V12" s="216">
        <f t="shared" si="4"/>
        <v>0</v>
      </c>
      <c r="W12" s="216">
        <f t="shared" si="4"/>
        <v>0</v>
      </c>
      <c r="X12" s="216">
        <f t="shared" si="4"/>
        <v>0</v>
      </c>
      <c r="Y12" s="216">
        <f t="shared" si="4"/>
        <v>0</v>
      </c>
      <c r="Z12" s="216">
        <f t="shared" si="4"/>
        <v>0</v>
      </c>
      <c r="AA12" s="216">
        <f t="shared" si="4"/>
        <v>0</v>
      </c>
      <c r="AB12" s="216">
        <f t="shared" si="4"/>
        <v>0</v>
      </c>
      <c r="AC12" s="216">
        <f t="shared" si="4"/>
        <v>0</v>
      </c>
      <c r="AD12" s="216">
        <f t="shared" si="4"/>
        <v>0</v>
      </c>
      <c r="AE12" s="216">
        <f t="shared" si="4"/>
        <v>0</v>
      </c>
      <c r="AF12" s="216">
        <f t="shared" si="4"/>
        <v>0</v>
      </c>
      <c r="AG12" s="216">
        <f t="shared" si="4"/>
        <v>0</v>
      </c>
      <c r="AH12" s="216">
        <f t="shared" si="4"/>
        <v>0</v>
      </c>
      <c r="AI12" s="216">
        <f t="shared" si="4"/>
        <v>0</v>
      </c>
      <c r="AJ12" s="216">
        <f t="shared" si="4"/>
        <v>0</v>
      </c>
      <c r="AK12" s="216">
        <f t="shared" si="4"/>
        <v>0</v>
      </c>
      <c r="AL12" s="216">
        <f t="shared" si="4"/>
        <v>0</v>
      </c>
      <c r="AM12" s="216">
        <f t="shared" si="4"/>
        <v>0</v>
      </c>
      <c r="AN12" s="216">
        <f t="shared" si="4"/>
        <v>0</v>
      </c>
      <c r="AO12" s="216">
        <f t="shared" si="4"/>
        <v>0</v>
      </c>
      <c r="AP12" s="216">
        <f t="shared" si="4"/>
        <v>0</v>
      </c>
      <c r="AQ12" s="216">
        <f t="shared" si="4"/>
        <v>0</v>
      </c>
      <c r="AR12" s="216">
        <f t="shared" si="4"/>
        <v>0</v>
      </c>
      <c r="AS12" s="216">
        <f t="shared" si="4"/>
        <v>0</v>
      </c>
      <c r="AT12" s="216">
        <f t="shared" si="4"/>
        <v>0</v>
      </c>
    </row>
    <row r="13" spans="2:46" ht="21.5" x14ac:dyDescent="0.55000000000000004">
      <c r="B13" s="108" t="s">
        <v>65</v>
      </c>
      <c r="C13" s="283" t="s">
        <v>562</v>
      </c>
      <c r="D13" s="282" t="s">
        <v>563</v>
      </c>
      <c r="E13" s="285" t="s">
        <v>557</v>
      </c>
      <c r="F13" s="216">
        <f>IF($B$13=$AC$4,F10*F11,0)</f>
        <v>1.7320508075688774</v>
      </c>
      <c r="G13" s="216">
        <f t="shared" ref="G13:AT13" si="5">IF($B$13=$AC$4,G10*G11,0)</f>
        <v>1.5088130134709785</v>
      </c>
      <c r="H13" s="216">
        <f t="shared" si="5"/>
        <v>1.2080455471101077</v>
      </c>
      <c r="I13" s="216">
        <f t="shared" si="5"/>
        <v>0.86602540378443926</v>
      </c>
      <c r="J13" s="216">
        <f t="shared" si="5"/>
        <v>0.52400526045877016</v>
      </c>
      <c r="K13" s="216">
        <f t="shared" si="5"/>
        <v>0.22323779409789982</v>
      </c>
      <c r="L13" s="216">
        <f t="shared" si="5"/>
        <v>1.2251484549086207E-16</v>
      </c>
      <c r="M13" s="216">
        <f t="shared" si="5"/>
        <v>-0.11878234922776924</v>
      </c>
      <c r="N13" s="216">
        <f t="shared" si="5"/>
        <v>-0.11878234922776919</v>
      </c>
      <c r="O13" s="216">
        <f t="shared" si="5"/>
        <v>-1.2251484549086193E-16</v>
      </c>
      <c r="P13" s="216">
        <f t="shared" si="5"/>
        <v>0.22323779409789887</v>
      </c>
      <c r="Q13" s="216">
        <f t="shared" si="5"/>
        <v>0.52400526045876972</v>
      </c>
      <c r="R13" s="216">
        <f t="shared" si="5"/>
        <v>0.86602540378443793</v>
      </c>
      <c r="S13" s="216">
        <f t="shared" si="5"/>
        <v>1.2080455471101073</v>
      </c>
      <c r="T13" s="216">
        <f t="shared" si="5"/>
        <v>1.5088130134709776</v>
      </c>
      <c r="U13" s="216">
        <f t="shared" si="5"/>
        <v>1.7320508075688776</v>
      </c>
      <c r="V13" s="216">
        <f t="shared" si="5"/>
        <v>1.8508331567966469</v>
      </c>
      <c r="W13" s="216">
        <f t="shared" si="5"/>
        <v>1.8508331567966469</v>
      </c>
      <c r="X13" s="216">
        <f t="shared" si="5"/>
        <v>1.7320508075688781</v>
      </c>
      <c r="Y13" s="216">
        <f t="shared" si="5"/>
        <v>1.5088130134709783</v>
      </c>
      <c r="Z13" s="216">
        <f t="shared" si="5"/>
        <v>1.2080455471101081</v>
      </c>
      <c r="AA13" s="216">
        <f t="shared" si="5"/>
        <v>0.86602540378443804</v>
      </c>
      <c r="AB13" s="216">
        <f t="shared" si="5"/>
        <v>0.52400526045876983</v>
      </c>
      <c r="AC13" s="216">
        <f t="shared" si="5"/>
        <v>0.22323779409789946</v>
      </c>
      <c r="AD13" s="216">
        <f t="shared" si="5"/>
        <v>2.450296909817242E-16</v>
      </c>
      <c r="AE13" s="216">
        <f t="shared" si="5"/>
        <v>-0.11878234922776935</v>
      </c>
      <c r="AF13" s="216">
        <f t="shared" si="5"/>
        <v>-0.11878234922776922</v>
      </c>
      <c r="AG13" s="216">
        <f t="shared" si="5"/>
        <v>-2.4502969098172366E-16</v>
      </c>
      <c r="AH13" s="216">
        <f t="shared" si="5"/>
        <v>0.22323779409789846</v>
      </c>
      <c r="AI13" s="216">
        <f t="shared" si="5"/>
        <v>0.52400526045876838</v>
      </c>
      <c r="AJ13" s="216">
        <f t="shared" si="5"/>
        <v>0.86602540378443882</v>
      </c>
      <c r="AK13" s="216">
        <f t="shared" si="5"/>
        <v>1.208045547110107</v>
      </c>
      <c r="AL13" s="216">
        <f t="shared" si="5"/>
        <v>1.5088130134709774</v>
      </c>
      <c r="AM13" s="216">
        <f t="shared" si="5"/>
        <v>1.7320508075688767</v>
      </c>
      <c r="AN13" s="216">
        <f t="shared" si="5"/>
        <v>1.8508331567966469</v>
      </c>
      <c r="AO13" s="216">
        <f t="shared" si="5"/>
        <v>1.8508331567966469</v>
      </c>
      <c r="AP13" s="216">
        <f t="shared" si="5"/>
        <v>1.7320508075688783</v>
      </c>
      <c r="AQ13" s="216">
        <f t="shared" si="5"/>
        <v>1.5088130134709796</v>
      </c>
      <c r="AR13" s="216">
        <f t="shared" si="5"/>
        <v>1.2080455471101064</v>
      </c>
      <c r="AS13" s="216">
        <f t="shared" si="5"/>
        <v>0.86602540378444148</v>
      </c>
      <c r="AT13" s="216">
        <f t="shared" si="5"/>
        <v>0.52400526045876961</v>
      </c>
    </row>
    <row r="16" spans="2:46" ht="15" thickBot="1" x14ac:dyDescent="0.4"/>
    <row r="17" spans="6:10" ht="26.5" thickBot="1" x14ac:dyDescent="0.65">
      <c r="F17" s="286" t="str">
        <f>IF(AND($B$10=$AC$4,$B$11=$AC$4),IF(J4=J5,"Phasengleich (Ohmsche Last)",IF(J4&gt;J5,"Spannung voreilend (Induktive Last)",IF(J4&lt;J5,"Strom voreilend (Kapazitive Last)","ERROR"))),"")</f>
        <v>Spannung voreilend (Induktive Last)</v>
      </c>
      <c r="G17" s="287"/>
      <c r="H17" s="287"/>
      <c r="I17" s="287"/>
      <c r="J17" s="288"/>
    </row>
  </sheetData>
  <dataValidations count="1">
    <dataValidation type="list" allowBlank="1" showInputMessage="1" showErrorMessage="1" sqref="B10:B13" xr:uid="{20FCF022-FBF5-47BC-A2B3-BAFD880D50E7}">
      <formula1>$AC$4:$AC$5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9C101-0721-4B41-AB3B-88F5CF5B361C}">
  <dimension ref="C1:AK42"/>
  <sheetViews>
    <sheetView showGridLines="0" zoomScaleNormal="100" workbookViewId="0"/>
  </sheetViews>
  <sheetFormatPr baseColWidth="10" defaultRowHeight="14.5" x14ac:dyDescent="0.35"/>
  <cols>
    <col min="1" max="1" width="3.81640625" customWidth="1"/>
    <col min="2" max="2" width="11.81640625" customWidth="1"/>
    <col min="3" max="3" width="12" customWidth="1"/>
    <col min="4" max="4" width="35.1796875" customWidth="1"/>
    <col min="5" max="5" width="9.54296875" customWidth="1"/>
    <col min="6" max="6" width="12.453125" customWidth="1"/>
    <col min="7" max="8" width="9.81640625" customWidth="1"/>
    <col min="9" max="9" width="16" customWidth="1"/>
    <col min="10" max="10" width="11.453125" customWidth="1"/>
    <col min="11" max="11" width="33" customWidth="1"/>
    <col min="12" max="12" width="15.54296875" customWidth="1"/>
    <col min="13" max="13" width="15" customWidth="1"/>
    <col min="14" max="14" width="6.54296875" customWidth="1"/>
    <col min="15" max="15" width="24.54296875" customWidth="1"/>
    <col min="16" max="16" width="7.26953125" customWidth="1"/>
    <col min="21" max="21" width="16.453125" customWidth="1"/>
  </cols>
  <sheetData>
    <row r="1" spans="3:25" ht="40" customHeight="1" x14ac:dyDescent="0.35"/>
    <row r="2" spans="3:25" ht="26" x14ac:dyDescent="0.6">
      <c r="C2" s="33" t="s">
        <v>239</v>
      </c>
      <c r="D2" s="33"/>
      <c r="L2" s="109" t="s">
        <v>255</v>
      </c>
      <c r="M2" s="110" t="s">
        <v>258</v>
      </c>
      <c r="N2" s="95"/>
    </row>
    <row r="3" spans="3:25" x14ac:dyDescent="0.35">
      <c r="L3" s="99" t="s">
        <v>202</v>
      </c>
      <c r="M3" s="99" t="s">
        <v>260</v>
      </c>
      <c r="T3" s="70"/>
      <c r="X3" s="103"/>
      <c r="Y3" s="103"/>
    </row>
    <row r="4" spans="3:25" x14ac:dyDescent="0.35">
      <c r="L4" s="99" t="s">
        <v>203</v>
      </c>
      <c r="M4" s="99" t="s">
        <v>259</v>
      </c>
      <c r="T4" s="70"/>
    </row>
    <row r="5" spans="3:25" x14ac:dyDescent="0.35">
      <c r="L5" s="99"/>
      <c r="M5" s="99" t="s">
        <v>248</v>
      </c>
      <c r="T5" s="70"/>
    </row>
    <row r="6" spans="3:25" x14ac:dyDescent="0.35">
      <c r="L6" s="99"/>
      <c r="M6" s="99" t="s">
        <v>257</v>
      </c>
    </row>
    <row r="20" spans="4:35" x14ac:dyDescent="0.35">
      <c r="D20" s="5" t="s">
        <v>245</v>
      </c>
      <c r="E20" s="8" t="s">
        <v>246</v>
      </c>
      <c r="F20" s="79">
        <v>5</v>
      </c>
      <c r="G20" s="4" t="s">
        <v>259</v>
      </c>
      <c r="I20" s="103"/>
      <c r="K20" s="5" t="s">
        <v>263</v>
      </c>
      <c r="L20" s="5"/>
    </row>
    <row r="21" spans="4:35" x14ac:dyDescent="0.35">
      <c r="D21" s="5" t="s">
        <v>253</v>
      </c>
      <c r="E21" s="8" t="s">
        <v>254</v>
      </c>
      <c r="F21" s="79">
        <v>31</v>
      </c>
      <c r="G21" s="4" t="s">
        <v>202</v>
      </c>
      <c r="I21" s="103"/>
      <c r="K21" s="8" t="s">
        <v>266</v>
      </c>
      <c r="L21" s="117">
        <v>0.6</v>
      </c>
    </row>
    <row r="22" spans="4:35" x14ac:dyDescent="0.35">
      <c r="D22" s="111"/>
      <c r="E22" s="8" t="str">
        <f>E21</f>
        <v xml:space="preserve">α = </v>
      </c>
      <c r="F22" s="112">
        <f>IF(G21=G22,F21,F21*180/PI())</f>
        <v>31</v>
      </c>
      <c r="G22" s="111" t="str">
        <f>L3</f>
        <v>°</v>
      </c>
      <c r="I22" s="103"/>
      <c r="K22" s="8" t="s">
        <v>267</v>
      </c>
      <c r="L22" s="119">
        <v>0.2</v>
      </c>
    </row>
    <row r="23" spans="4:35" x14ac:dyDescent="0.35">
      <c r="D23" s="111"/>
      <c r="E23" s="8" t="str">
        <f>E21</f>
        <v xml:space="preserve">α = </v>
      </c>
      <c r="F23" s="112">
        <f>IF(G21=G23,F21,F21*PI()/180)</f>
        <v>0.54105206811824214</v>
      </c>
      <c r="G23" s="111" t="str">
        <f>L4</f>
        <v>rad</v>
      </c>
      <c r="I23" s="103"/>
      <c r="K23" s="5" t="s">
        <v>298</v>
      </c>
      <c r="L23" s="118">
        <f>DEGREES(ATAN(L21))</f>
        <v>30.963756532073521</v>
      </c>
      <c r="M23" s="5" t="s">
        <v>299</v>
      </c>
      <c r="O23" s="5">
        <f>L23*PI()/180</f>
        <v>0.54041950027058416</v>
      </c>
      <c r="P23" s="5" t="s">
        <v>301</v>
      </c>
    </row>
    <row r="24" spans="4:35" ht="16.5" x14ac:dyDescent="0.35">
      <c r="D24" s="5" t="s">
        <v>247</v>
      </c>
      <c r="E24" s="8" t="s">
        <v>303</v>
      </c>
      <c r="F24" s="78">
        <v>9.81</v>
      </c>
      <c r="G24" s="5" t="s">
        <v>249</v>
      </c>
      <c r="K24" s="5" t="s">
        <v>300</v>
      </c>
      <c r="L24" s="118">
        <f>DEGREES(ATAN(L22))</f>
        <v>11.309932474020215</v>
      </c>
      <c r="M24" s="5" t="s">
        <v>299</v>
      </c>
      <c r="O24" s="5">
        <f>L24*PI()/180</f>
        <v>0.1973955598498808</v>
      </c>
      <c r="P24" s="5" t="s">
        <v>301</v>
      </c>
    </row>
    <row r="26" spans="4:35" ht="16.5" x14ac:dyDescent="0.45">
      <c r="D26" s="5" t="s">
        <v>256</v>
      </c>
      <c r="E26" s="8" t="s">
        <v>240</v>
      </c>
      <c r="F26" s="5" t="s">
        <v>250</v>
      </c>
      <c r="G26" s="78">
        <f>$F$20*$F$24</f>
        <v>49.050000000000004</v>
      </c>
      <c r="H26" s="5" t="str">
        <f>IF($G$20=$M$5,"N",IF($G$20=$M$6,"kN",IF($G$20=$M$4,"mN",IF($G$20=$M$3,"Mikro N",""))))</f>
        <v>mN</v>
      </c>
    </row>
    <row r="27" spans="4:35" ht="16.5" x14ac:dyDescent="0.45">
      <c r="D27" s="5" t="s">
        <v>241</v>
      </c>
      <c r="E27" s="8" t="s">
        <v>243</v>
      </c>
      <c r="F27" s="5" t="s">
        <v>252</v>
      </c>
      <c r="G27" s="78">
        <f>$G$26*SIN($F$23)</f>
        <v>25.262617574338158</v>
      </c>
      <c r="H27" s="5" t="str">
        <f>H26</f>
        <v>mN</v>
      </c>
    </row>
    <row r="28" spans="4:35" ht="16.5" x14ac:dyDescent="0.45">
      <c r="D28" s="5" t="s">
        <v>242</v>
      </c>
      <c r="E28" s="8" t="s">
        <v>244</v>
      </c>
      <c r="F28" s="5" t="s">
        <v>251</v>
      </c>
      <c r="G28" s="78">
        <f>$G$26*COS($F$23)</f>
        <v>42.044056099438613</v>
      </c>
      <c r="H28" s="5" t="str">
        <f>H27</f>
        <v>mN</v>
      </c>
    </row>
    <row r="29" spans="4:35" x14ac:dyDescent="0.35">
      <c r="D29" s="5"/>
      <c r="E29" s="8"/>
      <c r="F29" s="5"/>
      <c r="G29" s="78"/>
      <c r="H29" s="5"/>
    </row>
    <row r="30" spans="4:35" ht="16.5" x14ac:dyDescent="0.45">
      <c r="D30" s="5" t="s">
        <v>283</v>
      </c>
      <c r="E30" s="8" t="s">
        <v>287</v>
      </c>
      <c r="F30" s="5" t="s">
        <v>282</v>
      </c>
      <c r="G30" s="78">
        <f>$G$28*$L$21</f>
        <v>25.226433659663169</v>
      </c>
      <c r="H30" s="5" t="str">
        <f>H28</f>
        <v>mN</v>
      </c>
    </row>
    <row r="31" spans="4:35" ht="16" customHeight="1" x14ac:dyDescent="0.45">
      <c r="D31" s="5" t="s">
        <v>284</v>
      </c>
      <c r="E31" s="8" t="s">
        <v>292</v>
      </c>
      <c r="F31" s="5" t="s">
        <v>288</v>
      </c>
      <c r="G31" s="78">
        <f>$G$27-G30</f>
        <v>3.6183914674989381E-2</v>
      </c>
      <c r="H31" s="5" t="str">
        <f>H30</f>
        <v>mN</v>
      </c>
      <c r="I31" t="str">
        <f>IF(G31&gt;0,"Gleiten","Haftet")</f>
        <v>Gleiten</v>
      </c>
      <c r="K31" s="116" t="s">
        <v>268</v>
      </c>
      <c r="L31" s="116" t="s">
        <v>264</v>
      </c>
      <c r="M31" s="116" t="s">
        <v>265</v>
      </c>
      <c r="O31" t="str">
        <f>D21</f>
        <v>Steigungswinkel:</v>
      </c>
      <c r="R31" s="1" t="s">
        <v>8</v>
      </c>
      <c r="S31" s="2">
        <v>5</v>
      </c>
    </row>
    <row r="32" spans="4:35" ht="16" customHeight="1" x14ac:dyDescent="0.45">
      <c r="D32" s="5" t="s">
        <v>286</v>
      </c>
      <c r="E32" s="8" t="s">
        <v>289</v>
      </c>
      <c r="F32" s="5" t="s">
        <v>285</v>
      </c>
      <c r="G32" s="78">
        <f>$G$28*$L$22</f>
        <v>8.4088112198877223</v>
      </c>
      <c r="H32" s="5" t="str">
        <f>H31</f>
        <v>mN</v>
      </c>
      <c r="K32" s="115" t="s">
        <v>269</v>
      </c>
      <c r="L32" s="115" t="s">
        <v>270</v>
      </c>
      <c r="M32" s="115" t="s">
        <v>271</v>
      </c>
      <c r="O32" s="120" t="s">
        <v>254</v>
      </c>
      <c r="P32" s="120" t="s">
        <v>295</v>
      </c>
      <c r="Q32" s="4">
        <v>0</v>
      </c>
      <c r="R32" s="5">
        <f>Q32+$S$31</f>
        <v>5</v>
      </c>
      <c r="S32" s="5">
        <f t="shared" ref="S32:AA32" si="0">R32+$S$31</f>
        <v>10</v>
      </c>
      <c r="T32" s="5">
        <f t="shared" si="0"/>
        <v>15</v>
      </c>
      <c r="U32" s="5">
        <f t="shared" si="0"/>
        <v>20</v>
      </c>
      <c r="V32" s="5">
        <f t="shared" si="0"/>
        <v>25</v>
      </c>
      <c r="W32" s="5">
        <f t="shared" si="0"/>
        <v>30</v>
      </c>
      <c r="X32" s="5">
        <f t="shared" si="0"/>
        <v>35</v>
      </c>
      <c r="Y32" s="5">
        <f t="shared" si="0"/>
        <v>40</v>
      </c>
      <c r="Z32" s="5">
        <f t="shared" si="0"/>
        <v>45</v>
      </c>
      <c r="AA32" s="5">
        <f t="shared" si="0"/>
        <v>50</v>
      </c>
      <c r="AB32" s="5">
        <f t="shared" ref="AB32:AI32" si="1">AA32+$S$31</f>
        <v>55</v>
      </c>
      <c r="AC32" s="5">
        <f t="shared" si="1"/>
        <v>60</v>
      </c>
      <c r="AD32" s="5">
        <f t="shared" si="1"/>
        <v>65</v>
      </c>
      <c r="AE32" s="5">
        <f t="shared" si="1"/>
        <v>70</v>
      </c>
      <c r="AF32" s="5">
        <f t="shared" si="1"/>
        <v>75</v>
      </c>
      <c r="AG32" s="5">
        <f t="shared" si="1"/>
        <v>80</v>
      </c>
      <c r="AH32" s="5">
        <f t="shared" si="1"/>
        <v>85</v>
      </c>
      <c r="AI32" s="5">
        <f t="shared" si="1"/>
        <v>90</v>
      </c>
    </row>
    <row r="33" spans="4:37" ht="16" customHeight="1" x14ac:dyDescent="0.45">
      <c r="D33" s="5" t="s">
        <v>290</v>
      </c>
      <c r="E33" s="8" t="s">
        <v>293</v>
      </c>
      <c r="F33" s="5" t="s">
        <v>291</v>
      </c>
      <c r="G33" s="78">
        <f>$G$27-G32</f>
        <v>16.853806354450434</v>
      </c>
      <c r="H33" s="5" t="str">
        <f>H32</f>
        <v>mN</v>
      </c>
      <c r="K33" s="115" t="s">
        <v>272</v>
      </c>
      <c r="L33" s="115" t="s">
        <v>273</v>
      </c>
      <c r="M33" s="115" t="s">
        <v>274</v>
      </c>
      <c r="O33" s="120" t="s">
        <v>254</v>
      </c>
      <c r="P33" s="120" t="s">
        <v>296</v>
      </c>
      <c r="Q33" s="5">
        <f>Q32*PI()/180</f>
        <v>0</v>
      </c>
      <c r="R33" s="5">
        <f>R32*PI()/180</f>
        <v>8.7266462599716474E-2</v>
      </c>
      <c r="S33" s="5">
        <f t="shared" ref="S33:AA33" si="2">S32*PI()/180</f>
        <v>0.17453292519943295</v>
      </c>
      <c r="T33" s="5">
        <f t="shared" si="2"/>
        <v>0.26179938779914941</v>
      </c>
      <c r="U33" s="5">
        <f t="shared" si="2"/>
        <v>0.3490658503988659</v>
      </c>
      <c r="V33" s="5">
        <f t="shared" si="2"/>
        <v>0.43633231299858238</v>
      </c>
      <c r="W33" s="5">
        <f t="shared" si="2"/>
        <v>0.52359877559829882</v>
      </c>
      <c r="X33" s="5">
        <f t="shared" si="2"/>
        <v>0.6108652381980153</v>
      </c>
      <c r="Y33" s="5">
        <f t="shared" si="2"/>
        <v>0.69813170079773179</v>
      </c>
      <c r="Z33" s="5">
        <f t="shared" si="2"/>
        <v>0.78539816339744828</v>
      </c>
      <c r="AA33" s="5">
        <f t="shared" si="2"/>
        <v>0.87266462599716477</v>
      </c>
      <c r="AB33" s="5">
        <f t="shared" ref="AB33:AI33" si="3">AB32*PI()/180</f>
        <v>0.95993108859688125</v>
      </c>
      <c r="AC33" s="5">
        <f t="shared" si="3"/>
        <v>1.0471975511965976</v>
      </c>
      <c r="AD33" s="5">
        <f t="shared" si="3"/>
        <v>1.1344640137963142</v>
      </c>
      <c r="AE33" s="5">
        <f t="shared" si="3"/>
        <v>1.2217304763960306</v>
      </c>
      <c r="AF33" s="5">
        <f t="shared" si="3"/>
        <v>1.3089969389957472</v>
      </c>
      <c r="AG33" s="5">
        <f t="shared" si="3"/>
        <v>1.3962634015954636</v>
      </c>
      <c r="AH33" s="5">
        <f t="shared" si="3"/>
        <v>1.4835298641951802</v>
      </c>
      <c r="AI33" s="5">
        <f t="shared" si="3"/>
        <v>1.5707963267948966</v>
      </c>
    </row>
    <row r="34" spans="4:37" ht="16" customHeight="1" x14ac:dyDescent="0.45">
      <c r="K34" s="115" t="s">
        <v>275</v>
      </c>
      <c r="L34" s="115" t="s">
        <v>274</v>
      </c>
      <c r="M34" s="115" t="s">
        <v>276</v>
      </c>
      <c r="O34" s="8" t="s">
        <v>243</v>
      </c>
      <c r="P34" s="8" t="str">
        <f>H26</f>
        <v>mN</v>
      </c>
      <c r="Q34" s="5">
        <f>$F$20*SIN(Q33)*$F$24</f>
        <v>0</v>
      </c>
      <c r="R34" s="5">
        <f t="shared" ref="R34:AI34" si="4">$F$20*SIN(R33)*$F$24</f>
        <v>4.2749891817726331</v>
      </c>
      <c r="S34" s="5">
        <f t="shared" si="4"/>
        <v>8.5174431145629335</v>
      </c>
      <c r="T34" s="5">
        <f t="shared" si="4"/>
        <v>12.695074162278642</v>
      </c>
      <c r="U34" s="5">
        <f t="shared" si="4"/>
        <v>16.77608803012405</v>
      </c>
      <c r="V34" s="5">
        <f t="shared" si="4"/>
        <v>20.729425738381309</v>
      </c>
      <c r="W34" s="5">
        <f t="shared" si="4"/>
        <v>24.524999999999999</v>
      </c>
      <c r="X34" s="5">
        <f t="shared" si="4"/>
        <v>28.133924203018811</v>
      </c>
      <c r="Y34" s="5">
        <f t="shared" si="4"/>
        <v>31.528732255124751</v>
      </c>
      <c r="Z34" s="5">
        <f t="shared" si="4"/>
        <v>34.683587617200153</v>
      </c>
      <c r="AA34" s="5">
        <f t="shared" si="4"/>
        <v>37.574479934985874</v>
      </c>
      <c r="AB34" s="5">
        <f t="shared" si="4"/>
        <v>40.179407772375043</v>
      </c>
      <c r="AC34" s="5">
        <f t="shared" si="4"/>
        <v>42.478546055626715</v>
      </c>
      <c r="AD34" s="5">
        <f t="shared" si="4"/>
        <v>44.454396954147676</v>
      </c>
      <c r="AE34" s="5">
        <f t="shared" si="4"/>
        <v>46.091923049548804</v>
      </c>
      <c r="AF34" s="5">
        <f t="shared" si="4"/>
        <v>47.378661779478804</v>
      </c>
      <c r="AG34" s="5">
        <f t="shared" si="4"/>
        <v>48.304820285248802</v>
      </c>
      <c r="AH34" s="5">
        <f t="shared" si="4"/>
        <v>48.863349941400116</v>
      </c>
      <c r="AI34" s="5">
        <f t="shared" si="4"/>
        <v>49.050000000000004</v>
      </c>
    </row>
    <row r="35" spans="4:37" ht="16" customHeight="1" x14ac:dyDescent="0.45">
      <c r="K35" s="115" t="s">
        <v>277</v>
      </c>
      <c r="L35" s="115" t="s">
        <v>278</v>
      </c>
      <c r="M35" s="115" t="s">
        <v>279</v>
      </c>
      <c r="O35" s="8" t="s">
        <v>287</v>
      </c>
      <c r="P35" s="8" t="str">
        <f>P34</f>
        <v>mN</v>
      </c>
      <c r="Q35" s="5">
        <f>$F$20*$F$24*COS(Q33)*$L$21</f>
        <v>29.43</v>
      </c>
      <c r="R35" s="5">
        <f t="shared" ref="R35:AI35" si="5">$F$20*$F$24*COS(R33)*$L$21</f>
        <v>29.318009964840073</v>
      </c>
      <c r="S35" s="5">
        <f t="shared" si="5"/>
        <v>28.982892171149285</v>
      </c>
      <c r="T35" s="5">
        <f t="shared" si="5"/>
        <v>28.427197067687281</v>
      </c>
      <c r="U35" s="5">
        <f t="shared" si="5"/>
        <v>27.655153829729286</v>
      </c>
      <c r="V35" s="5">
        <f t="shared" si="5"/>
        <v>26.672638172488607</v>
      </c>
      <c r="W35" s="5">
        <f t="shared" si="5"/>
        <v>25.487127633376033</v>
      </c>
      <c r="X35" s="5">
        <f t="shared" si="5"/>
        <v>24.107644663425031</v>
      </c>
      <c r="Y35" s="5">
        <f t="shared" si="5"/>
        <v>22.544687960991524</v>
      </c>
      <c r="Z35" s="5">
        <f t="shared" si="5"/>
        <v>20.810152570320096</v>
      </c>
      <c r="AA35" s="5">
        <f t="shared" si="5"/>
        <v>18.917239353074855</v>
      </c>
      <c r="AB35" s="5">
        <f t="shared" si="5"/>
        <v>16.880354521811292</v>
      </c>
      <c r="AC35" s="5">
        <f t="shared" si="5"/>
        <v>14.715000000000005</v>
      </c>
      <c r="AD35" s="5">
        <f t="shared" si="5"/>
        <v>12.437655443028785</v>
      </c>
      <c r="AE35" s="5">
        <f t="shared" si="5"/>
        <v>10.065652818074435</v>
      </c>
      <c r="AF35" s="5">
        <f t="shared" si="5"/>
        <v>7.6170444973671856</v>
      </c>
      <c r="AG35" s="5">
        <f t="shared" si="5"/>
        <v>5.1104658687377622</v>
      </c>
      <c r="AH35" s="5">
        <f t="shared" si="5"/>
        <v>2.5649935090635791</v>
      </c>
      <c r="AI35" s="5">
        <f t="shared" si="5"/>
        <v>1.8028059513980344E-15</v>
      </c>
    </row>
    <row r="36" spans="4:37" ht="16" customHeight="1" x14ac:dyDescent="0.45">
      <c r="K36" s="115" t="s">
        <v>280</v>
      </c>
      <c r="L36" s="115" t="s">
        <v>281</v>
      </c>
      <c r="M36" s="115" t="s">
        <v>281</v>
      </c>
      <c r="O36" s="8" t="s">
        <v>289</v>
      </c>
      <c r="P36" s="8" t="str">
        <f>P35</f>
        <v>mN</v>
      </c>
      <c r="Q36" s="5">
        <f>$F$20*$F$24*COS(Q33)*$L$22</f>
        <v>9.8100000000000023</v>
      </c>
      <c r="R36" s="5">
        <f t="shared" ref="R36:AI36" si="6">$F$20*$F$24*COS(R33)*$L$22</f>
        <v>9.7726699882800254</v>
      </c>
      <c r="S36" s="5">
        <f t="shared" si="6"/>
        <v>9.6609640570497621</v>
      </c>
      <c r="T36" s="5">
        <f t="shared" si="6"/>
        <v>9.4757323558957616</v>
      </c>
      <c r="U36" s="5">
        <f t="shared" si="6"/>
        <v>9.2183846099097622</v>
      </c>
      <c r="V36" s="5">
        <f t="shared" si="6"/>
        <v>8.8908793908295376</v>
      </c>
      <c r="W36" s="5">
        <f t="shared" si="6"/>
        <v>8.4957092111253445</v>
      </c>
      <c r="X36" s="5">
        <f t="shared" si="6"/>
        <v>8.0358815544750097</v>
      </c>
      <c r="Y36" s="5">
        <f t="shared" si="6"/>
        <v>7.5148959869971748</v>
      </c>
      <c r="Z36" s="5">
        <f t="shared" si="6"/>
        <v>6.9367175234400325</v>
      </c>
      <c r="AA36" s="5">
        <f t="shared" si="6"/>
        <v>6.3057464510249517</v>
      </c>
      <c r="AB36" s="5">
        <f t="shared" si="6"/>
        <v>5.6267848406037642</v>
      </c>
      <c r="AC36" s="5">
        <f t="shared" si="6"/>
        <v>4.905000000000002</v>
      </c>
      <c r="AD36" s="5">
        <f t="shared" si="6"/>
        <v>4.1458851476762622</v>
      </c>
      <c r="AE36" s="5">
        <f t="shared" si="6"/>
        <v>3.3552176060248118</v>
      </c>
      <c r="AF36" s="5">
        <f t="shared" si="6"/>
        <v>2.5390148324557291</v>
      </c>
      <c r="AG36" s="5">
        <f t="shared" si="6"/>
        <v>1.7034886229125874</v>
      </c>
      <c r="AH36" s="5">
        <f t="shared" si="6"/>
        <v>0.85499783635452653</v>
      </c>
      <c r="AI36" s="5">
        <f t="shared" si="6"/>
        <v>6.0093531713267827E-16</v>
      </c>
    </row>
    <row r="37" spans="4:37" ht="16.5" x14ac:dyDescent="0.45">
      <c r="O37" s="8" t="s">
        <v>292</v>
      </c>
      <c r="P37" s="8" t="str">
        <f>P36</f>
        <v>mN</v>
      </c>
      <c r="Q37" s="5">
        <f>Q34-Q35</f>
        <v>-29.43</v>
      </c>
      <c r="R37" s="5">
        <f t="shared" ref="R37:AI37" si="7">R34-R35</f>
        <v>-25.043020783067441</v>
      </c>
      <c r="S37" s="5">
        <f t="shared" si="7"/>
        <v>-20.465449056586351</v>
      </c>
      <c r="T37" s="5">
        <f t="shared" si="7"/>
        <v>-15.732122905408639</v>
      </c>
      <c r="U37" s="5">
        <f t="shared" si="7"/>
        <v>-10.879065799605236</v>
      </c>
      <c r="V37" s="5">
        <f t="shared" si="7"/>
        <v>-5.9432124341072985</v>
      </c>
      <c r="W37" s="5">
        <f t="shared" si="7"/>
        <v>-0.96212763337603491</v>
      </c>
      <c r="X37" s="5">
        <f t="shared" si="7"/>
        <v>4.02627953959378</v>
      </c>
      <c r="Y37" s="5">
        <f t="shared" si="7"/>
        <v>8.984044294133227</v>
      </c>
      <c r="Z37" s="5">
        <f t="shared" si="7"/>
        <v>13.873435046880058</v>
      </c>
      <c r="AA37" s="5">
        <f t="shared" si="7"/>
        <v>18.657240581911019</v>
      </c>
      <c r="AB37" s="5">
        <f t="shared" si="7"/>
        <v>23.299053250563752</v>
      </c>
      <c r="AC37" s="5">
        <f t="shared" si="7"/>
        <v>27.763546055626712</v>
      </c>
      <c r="AD37" s="5">
        <f t="shared" si="7"/>
        <v>32.016741511118894</v>
      </c>
      <c r="AE37" s="5">
        <f t="shared" si="7"/>
        <v>36.026270231474371</v>
      </c>
      <c r="AF37" s="5">
        <f t="shared" si="7"/>
        <v>39.761617282111615</v>
      </c>
      <c r="AG37" s="5">
        <f t="shared" si="7"/>
        <v>43.19435441651104</v>
      </c>
      <c r="AH37" s="5">
        <f t="shared" si="7"/>
        <v>46.29835643233654</v>
      </c>
      <c r="AI37" s="5">
        <f t="shared" si="7"/>
        <v>49.050000000000004</v>
      </c>
    </row>
    <row r="38" spans="4:37" ht="16.5" x14ac:dyDescent="0.45">
      <c r="O38" s="8" t="s">
        <v>293</v>
      </c>
      <c r="P38" s="8" t="str">
        <f>P37</f>
        <v>mN</v>
      </c>
      <c r="Q38" s="5">
        <f>Q34-Q36</f>
        <v>-9.8100000000000023</v>
      </c>
      <c r="R38" s="5">
        <f t="shared" ref="R38:AI38" si="8">R34-R36</f>
        <v>-5.4976808065073923</v>
      </c>
      <c r="S38" s="5">
        <f t="shared" si="8"/>
        <v>-1.1435209424868287</v>
      </c>
      <c r="T38" s="5">
        <f t="shared" si="8"/>
        <v>3.2193418063828805</v>
      </c>
      <c r="U38" s="5">
        <f t="shared" si="8"/>
        <v>7.5577034202142883</v>
      </c>
      <c r="V38" s="5">
        <f t="shared" si="8"/>
        <v>11.838546347551771</v>
      </c>
      <c r="W38" s="5">
        <f t="shared" si="8"/>
        <v>16.029290788874654</v>
      </c>
      <c r="X38" s="5">
        <f t="shared" si="8"/>
        <v>20.098042648543803</v>
      </c>
      <c r="Y38" s="5">
        <f t="shared" si="8"/>
        <v>24.013836268127577</v>
      </c>
      <c r="Z38" s="5">
        <f t="shared" si="8"/>
        <v>27.746870093760123</v>
      </c>
      <c r="AA38" s="5">
        <f t="shared" si="8"/>
        <v>31.268733483960922</v>
      </c>
      <c r="AB38" s="5">
        <f t="shared" si="8"/>
        <v>34.552622931771282</v>
      </c>
      <c r="AC38" s="5">
        <f t="shared" si="8"/>
        <v>37.573546055626714</v>
      </c>
      <c r="AD38" s="5">
        <f t="shared" si="8"/>
        <v>40.308511806471415</v>
      </c>
      <c r="AE38" s="5">
        <f t="shared" si="8"/>
        <v>42.736705443523995</v>
      </c>
      <c r="AF38" s="5">
        <f t="shared" si="8"/>
        <v>44.839646947023077</v>
      </c>
      <c r="AG38" s="5">
        <f t="shared" si="8"/>
        <v>46.601331662336214</v>
      </c>
      <c r="AH38" s="5">
        <f t="shared" si="8"/>
        <v>48.008352105045589</v>
      </c>
      <c r="AI38" s="5">
        <f t="shared" si="8"/>
        <v>49.050000000000004</v>
      </c>
    </row>
    <row r="39" spans="4:37" ht="16.5" x14ac:dyDescent="0.45">
      <c r="O39" s="8" t="s">
        <v>294</v>
      </c>
      <c r="P39" s="8"/>
      <c r="Q39" s="5">
        <f>IF(Q38&gt;0,Q38/$F$20,0)</f>
        <v>0</v>
      </c>
      <c r="R39" s="5">
        <f t="shared" ref="R39:AI39" si="9">IF(R38&gt;0,R38/$F$20,0)</f>
        <v>0</v>
      </c>
      <c r="S39" s="5">
        <f t="shared" si="9"/>
        <v>0</v>
      </c>
      <c r="T39" s="5">
        <f t="shared" si="9"/>
        <v>0.6438683612765761</v>
      </c>
      <c r="U39" s="5">
        <f t="shared" si="9"/>
        <v>1.5115406840428576</v>
      </c>
      <c r="V39" s="5">
        <f t="shared" si="9"/>
        <v>2.3677092695103541</v>
      </c>
      <c r="W39" s="5">
        <f t="shared" si="9"/>
        <v>3.205858157774931</v>
      </c>
      <c r="X39" s="5">
        <f t="shared" si="9"/>
        <v>4.0196085297087603</v>
      </c>
      <c r="Y39" s="5">
        <f t="shared" si="9"/>
        <v>4.8027672536255155</v>
      </c>
      <c r="Z39" s="5">
        <f t="shared" si="9"/>
        <v>5.5493740187520242</v>
      </c>
      <c r="AA39" s="5">
        <f t="shared" si="9"/>
        <v>6.2537466967921844</v>
      </c>
      <c r="AB39" s="5">
        <f t="shared" si="9"/>
        <v>6.9105245863542564</v>
      </c>
      <c r="AC39" s="5">
        <f t="shared" si="9"/>
        <v>7.5147092111253428</v>
      </c>
      <c r="AD39" s="5">
        <f t="shared" si="9"/>
        <v>8.0617023612942837</v>
      </c>
      <c r="AE39" s="5">
        <f t="shared" si="9"/>
        <v>8.5473410887047994</v>
      </c>
      <c r="AF39" s="5">
        <f t="shared" si="9"/>
        <v>8.967929389404615</v>
      </c>
      <c r="AG39" s="5">
        <f t="shared" si="9"/>
        <v>9.3202663324672432</v>
      </c>
      <c r="AH39" s="5">
        <f t="shared" si="9"/>
        <v>9.6016704210091177</v>
      </c>
      <c r="AI39" s="5">
        <f t="shared" si="9"/>
        <v>9.81</v>
      </c>
    </row>
    <row r="40" spans="4:37" x14ac:dyDescent="0.35">
      <c r="O40" s="8" t="s">
        <v>297</v>
      </c>
      <c r="P40" s="5"/>
      <c r="Q40" s="5">
        <f>IF(Q38&gt;0,$F$24*(SIN(Q33)-$L$22*COS(Q33)),0)</f>
        <v>0</v>
      </c>
      <c r="R40" s="5">
        <f t="shared" ref="R40:AI40" si="10">IF(R38&gt;0,$F$24*(SIN(R33)-$L$22*COS(R33)),0)</f>
        <v>0</v>
      </c>
      <c r="S40" s="5">
        <f t="shared" si="10"/>
        <v>0</v>
      </c>
      <c r="T40" s="5">
        <f t="shared" si="10"/>
        <v>0.64386836127657632</v>
      </c>
      <c r="U40" s="5">
        <f>IF(U38&gt;0,$F$24*(SIN(U33)-$L$22*COS(U33)),0)</f>
        <v>1.5115406840428576</v>
      </c>
      <c r="V40" s="5">
        <f t="shared" si="10"/>
        <v>2.3677092695103545</v>
      </c>
      <c r="W40" s="5">
        <f t="shared" si="10"/>
        <v>3.205858157774931</v>
      </c>
      <c r="X40" s="5">
        <f t="shared" si="10"/>
        <v>4.0196085297087603</v>
      </c>
      <c r="Y40" s="5">
        <f t="shared" si="10"/>
        <v>4.8027672536255155</v>
      </c>
      <c r="Z40" s="5">
        <f t="shared" si="10"/>
        <v>5.5493740187520242</v>
      </c>
      <c r="AA40" s="5">
        <f t="shared" si="10"/>
        <v>6.2537466967921844</v>
      </c>
      <c r="AB40" s="5">
        <f t="shared" si="10"/>
        <v>6.9105245863542581</v>
      </c>
      <c r="AC40" s="5">
        <f t="shared" si="10"/>
        <v>7.514709211125342</v>
      </c>
      <c r="AD40" s="5">
        <f t="shared" si="10"/>
        <v>8.0617023612942837</v>
      </c>
      <c r="AE40" s="5">
        <f t="shared" si="10"/>
        <v>8.5473410887047994</v>
      </c>
      <c r="AF40" s="5">
        <f t="shared" si="10"/>
        <v>8.967929389404615</v>
      </c>
      <c r="AG40" s="5">
        <f t="shared" si="10"/>
        <v>9.3202663324672432</v>
      </c>
      <c r="AH40" s="121">
        <f t="shared" si="10"/>
        <v>9.6016704210091195</v>
      </c>
      <c r="AI40" s="121">
        <f t="shared" si="10"/>
        <v>9.81</v>
      </c>
    </row>
    <row r="41" spans="4:37" x14ac:dyDescent="0.35">
      <c r="AH41" s="5" t="s">
        <v>302</v>
      </c>
      <c r="AI41" s="78">
        <v>0</v>
      </c>
      <c r="AJ41" s="78">
        <f>$L$23</f>
        <v>30.963756532073521</v>
      </c>
      <c r="AK41" s="78">
        <f>$L$23</f>
        <v>30.963756532073521</v>
      </c>
    </row>
    <row r="42" spans="4:37" x14ac:dyDescent="0.35">
      <c r="AH42" s="5"/>
      <c r="AI42" s="5">
        <v>0</v>
      </c>
      <c r="AJ42" s="5">
        <v>0</v>
      </c>
      <c r="AK42" s="5">
        <f>$F$24*(SIN(O23)-$L$22*COS(O23))</f>
        <v>3.3648022404960245</v>
      </c>
    </row>
  </sheetData>
  <conditionalFormatting sqref="Q37:AI37">
    <cfRule type="expression" dxfId="2" priority="2">
      <formula>Q37&gt;0</formula>
    </cfRule>
  </conditionalFormatting>
  <conditionalFormatting sqref="Q38:AI38">
    <cfRule type="expression" dxfId="1" priority="1">
      <formula>Q38&lt;0</formula>
    </cfRule>
  </conditionalFormatting>
  <dataValidations count="2">
    <dataValidation type="list" allowBlank="1" showInputMessage="1" showErrorMessage="1" sqref="G21 O2" xr:uid="{914C84CC-881B-4AD5-BC66-6A288299472A}">
      <formula1>$L$3:$L$4</formula1>
    </dataValidation>
    <dataValidation type="list" allowBlank="1" showInputMessage="1" showErrorMessage="1" sqref="G20 P3" xr:uid="{BB7C4B13-58A2-49D4-9141-FDBC564F0ECC}">
      <formula1>$M$3:$M$6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90B10-2D6E-4B4D-AE6E-D70E7F961A46}">
  <dimension ref="E12:H21"/>
  <sheetViews>
    <sheetView zoomScale="115" zoomScaleNormal="115" workbookViewId="0">
      <selection activeCell="L21" sqref="L21"/>
    </sheetView>
  </sheetViews>
  <sheetFormatPr baseColWidth="10" defaultRowHeight="14.5" x14ac:dyDescent="0.35"/>
  <cols>
    <col min="6" max="6" width="12.7265625" customWidth="1"/>
    <col min="7" max="7" width="12" bestFit="1" customWidth="1"/>
  </cols>
  <sheetData>
    <row r="12" spans="5:8" ht="16.5" x14ac:dyDescent="0.35">
      <c r="E12" s="1" t="s">
        <v>303</v>
      </c>
      <c r="F12" s="2">
        <v>9.81</v>
      </c>
      <c r="G12" t="s">
        <v>249</v>
      </c>
    </row>
    <row r="13" spans="5:8" x14ac:dyDescent="0.35">
      <c r="E13" s="1" t="s">
        <v>246</v>
      </c>
      <c r="F13" s="2">
        <v>5</v>
      </c>
      <c r="G13" t="s">
        <v>248</v>
      </c>
    </row>
    <row r="15" spans="5:8" ht="16.5" x14ac:dyDescent="0.45">
      <c r="E15" s="1" t="s">
        <v>240</v>
      </c>
      <c r="F15" t="s">
        <v>304</v>
      </c>
      <c r="G15">
        <f>F13*F12</f>
        <v>49.050000000000004</v>
      </c>
      <c r="H15" t="s">
        <v>305</v>
      </c>
    </row>
    <row r="17" spans="5:8" x14ac:dyDescent="0.35">
      <c r="E17" s="1" t="s">
        <v>254</v>
      </c>
      <c r="F17" s="2">
        <v>30</v>
      </c>
      <c r="G17" t="s">
        <v>202</v>
      </c>
    </row>
    <row r="18" spans="5:8" x14ac:dyDescent="0.35">
      <c r="E18" s="1" t="s">
        <v>254</v>
      </c>
      <c r="F18">
        <f>F17*PI()/180</f>
        <v>0.52359877559829882</v>
      </c>
      <c r="G18" t="s">
        <v>203</v>
      </c>
    </row>
    <row r="19" spans="5:8" x14ac:dyDescent="0.35">
      <c r="E19" s="1"/>
    </row>
    <row r="20" spans="5:8" ht="16.5" x14ac:dyDescent="0.45">
      <c r="E20" s="1" t="s">
        <v>244</v>
      </c>
      <c r="F20" t="s">
        <v>306</v>
      </c>
      <c r="G20" s="103">
        <f>$G$15*COS($F$18)</f>
        <v>42.478546055626722</v>
      </c>
      <c r="H20" t="s">
        <v>305</v>
      </c>
    </row>
    <row r="21" spans="5:8" ht="16.5" x14ac:dyDescent="0.45">
      <c r="E21" s="1" t="s">
        <v>243</v>
      </c>
      <c r="F21" t="s">
        <v>307</v>
      </c>
      <c r="G21" s="103">
        <f>$G$15*SIN($F$18)</f>
        <v>24.524999999999999</v>
      </c>
      <c r="H21" t="s">
        <v>305</v>
      </c>
    </row>
  </sheetData>
  <pageMargins left="0.7" right="0.7" top="0.78740157499999996" bottom="0.78740157499999996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1D6AE-9875-4C47-A8F2-B20D10B6BD57}">
  <dimension ref="C1:BR132"/>
  <sheetViews>
    <sheetView showGridLines="0" zoomScaleNormal="100" workbookViewId="0">
      <selection activeCell="H112" sqref="H112"/>
    </sheetView>
  </sheetViews>
  <sheetFormatPr baseColWidth="10" defaultRowHeight="14.5" x14ac:dyDescent="0.35"/>
  <cols>
    <col min="1" max="1" width="2.453125" customWidth="1"/>
    <col min="2" max="4" width="16.1796875" customWidth="1"/>
    <col min="5" max="5" width="13.54296875" customWidth="1"/>
    <col min="6" max="6" width="18.54296875" customWidth="1"/>
    <col min="7" max="7" width="9.453125" customWidth="1"/>
    <col min="8" max="10" width="9.54296875" customWidth="1"/>
    <col min="11" max="11" width="11.7265625" customWidth="1"/>
    <col min="12" max="12" width="7.453125" customWidth="1"/>
    <col min="13" max="45" width="2.1796875" customWidth="1"/>
    <col min="46" max="48" width="4.7265625" customWidth="1"/>
    <col min="49" max="49" width="9.1796875" customWidth="1"/>
    <col min="55" max="55" width="14.81640625" customWidth="1"/>
    <col min="56" max="56" width="14.54296875" customWidth="1"/>
    <col min="57" max="57" width="15.1796875" customWidth="1"/>
  </cols>
  <sheetData>
    <row r="1" spans="3:70" ht="38.15" customHeight="1" x14ac:dyDescent="0.35"/>
    <row r="2" spans="3:70" ht="26" x14ac:dyDescent="0.6">
      <c r="E2" s="33" t="s">
        <v>316</v>
      </c>
      <c r="BB2" s="314" t="s">
        <v>617</v>
      </c>
      <c r="BC2" s="314"/>
    </row>
    <row r="3" spans="3:70" x14ac:dyDescent="0.35">
      <c r="K3" s="5" t="s">
        <v>65</v>
      </c>
      <c r="L3" s="5" t="s">
        <v>299</v>
      </c>
      <c r="BB3" s="81">
        <f>AY10</f>
        <v>50</v>
      </c>
      <c r="BC3" s="81">
        <f>BB3</f>
        <v>50</v>
      </c>
    </row>
    <row r="4" spans="3:70" x14ac:dyDescent="0.35">
      <c r="K4" s="5" t="s">
        <v>66</v>
      </c>
      <c r="L4" s="5" t="s">
        <v>301</v>
      </c>
      <c r="BB4" s="216">
        <f>IF(MIN(AY12:AY17)&gt;0,0,MIN(AY12:AY17))</f>
        <v>-1.9283628290596182</v>
      </c>
      <c r="BC4" s="216">
        <f>IF(MAX(AY12:AY17) &lt; 0,0,MAX(AY12:AY17))</f>
        <v>0.76604444311897801</v>
      </c>
    </row>
    <row r="5" spans="3:70" x14ac:dyDescent="0.35">
      <c r="BB5" s="103"/>
      <c r="BC5" s="103"/>
    </row>
    <row r="6" spans="3:70" x14ac:dyDescent="0.35">
      <c r="BB6" s="103"/>
      <c r="BC6" s="103"/>
    </row>
    <row r="7" spans="3:70" x14ac:dyDescent="0.35">
      <c r="BB7" s="103"/>
      <c r="BC7" s="103"/>
    </row>
    <row r="9" spans="3:70" x14ac:dyDescent="0.35">
      <c r="C9" s="5"/>
      <c r="D9" s="5"/>
      <c r="E9" s="5"/>
      <c r="F9" s="8" t="s">
        <v>318</v>
      </c>
      <c r="G9" s="4">
        <v>10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Y9" s="5" t="s">
        <v>616</v>
      </c>
      <c r="AZ9" s="5"/>
      <c r="BB9" s="5" t="s">
        <v>196</v>
      </c>
      <c r="BC9" s="5"/>
      <c r="BD9" s="5"/>
      <c r="BE9" s="5"/>
      <c r="BF9" s="5" t="s">
        <v>622</v>
      </c>
      <c r="BG9" s="5"/>
      <c r="BH9" s="5"/>
      <c r="BI9" s="5"/>
      <c r="BJ9" s="5" t="s">
        <v>231</v>
      </c>
      <c r="BK9" s="5"/>
      <c r="BL9" s="5"/>
      <c r="BM9" s="5"/>
      <c r="BN9" s="5"/>
      <c r="BO9" s="5"/>
      <c r="BP9" s="5"/>
      <c r="BQ9" s="5"/>
      <c r="BR9" s="5"/>
    </row>
    <row r="10" spans="3:70" ht="16.5" x14ac:dyDescent="0.45">
      <c r="C10" s="5" t="s">
        <v>618</v>
      </c>
      <c r="D10" s="5"/>
      <c r="E10" s="8" t="s">
        <v>416</v>
      </c>
      <c r="F10" s="229" t="s">
        <v>299</v>
      </c>
      <c r="G10" s="229">
        <v>0</v>
      </c>
      <c r="H10" s="81">
        <f>G10+$G$9</f>
        <v>10</v>
      </c>
      <c r="I10" s="81">
        <f t="shared" ref="I10:AU10" si="0">H10+$G$9</f>
        <v>20</v>
      </c>
      <c r="J10" s="81">
        <f t="shared" si="0"/>
        <v>30</v>
      </c>
      <c r="K10" s="81">
        <f t="shared" si="0"/>
        <v>40</v>
      </c>
      <c r="L10" s="81">
        <f t="shared" si="0"/>
        <v>50</v>
      </c>
      <c r="M10" s="81">
        <f t="shared" si="0"/>
        <v>60</v>
      </c>
      <c r="N10" s="81">
        <f t="shared" si="0"/>
        <v>70</v>
      </c>
      <c r="O10" s="81">
        <f t="shared" si="0"/>
        <v>80</v>
      </c>
      <c r="P10" s="81">
        <f t="shared" si="0"/>
        <v>90</v>
      </c>
      <c r="Q10" s="81">
        <f t="shared" si="0"/>
        <v>100</v>
      </c>
      <c r="R10" s="81">
        <f t="shared" si="0"/>
        <v>110</v>
      </c>
      <c r="S10" s="81">
        <f t="shared" si="0"/>
        <v>120</v>
      </c>
      <c r="T10" s="81">
        <f t="shared" si="0"/>
        <v>130</v>
      </c>
      <c r="U10" s="81">
        <f t="shared" si="0"/>
        <v>140</v>
      </c>
      <c r="V10" s="81">
        <f t="shared" si="0"/>
        <v>150</v>
      </c>
      <c r="W10" s="81">
        <f t="shared" si="0"/>
        <v>160</v>
      </c>
      <c r="X10" s="81">
        <f t="shared" si="0"/>
        <v>170</v>
      </c>
      <c r="Y10" s="81">
        <f t="shared" si="0"/>
        <v>180</v>
      </c>
      <c r="Z10" s="81">
        <f t="shared" si="0"/>
        <v>190</v>
      </c>
      <c r="AA10" s="81">
        <f t="shared" si="0"/>
        <v>200</v>
      </c>
      <c r="AB10" s="81">
        <f t="shared" si="0"/>
        <v>210</v>
      </c>
      <c r="AC10" s="81">
        <f t="shared" si="0"/>
        <v>220</v>
      </c>
      <c r="AD10" s="81">
        <f t="shared" si="0"/>
        <v>230</v>
      </c>
      <c r="AE10" s="81">
        <f t="shared" si="0"/>
        <v>240</v>
      </c>
      <c r="AF10" s="81">
        <f t="shared" si="0"/>
        <v>250</v>
      </c>
      <c r="AG10" s="81">
        <f t="shared" si="0"/>
        <v>260</v>
      </c>
      <c r="AH10" s="81">
        <f t="shared" si="0"/>
        <v>270</v>
      </c>
      <c r="AI10" s="81">
        <f t="shared" si="0"/>
        <v>280</v>
      </c>
      <c r="AJ10" s="81">
        <f t="shared" si="0"/>
        <v>290</v>
      </c>
      <c r="AK10" s="81">
        <f t="shared" si="0"/>
        <v>300</v>
      </c>
      <c r="AL10" s="81">
        <f t="shared" si="0"/>
        <v>310</v>
      </c>
      <c r="AM10" s="81">
        <f t="shared" si="0"/>
        <v>320</v>
      </c>
      <c r="AN10" s="81">
        <f t="shared" si="0"/>
        <v>330</v>
      </c>
      <c r="AO10" s="81">
        <f t="shared" si="0"/>
        <v>340</v>
      </c>
      <c r="AP10" s="81">
        <f t="shared" si="0"/>
        <v>350</v>
      </c>
      <c r="AQ10" s="81">
        <f t="shared" si="0"/>
        <v>360</v>
      </c>
      <c r="AR10" s="81">
        <f t="shared" si="0"/>
        <v>370</v>
      </c>
      <c r="AS10" s="81">
        <f t="shared" si="0"/>
        <v>380</v>
      </c>
      <c r="AT10" s="81">
        <f t="shared" si="0"/>
        <v>390</v>
      </c>
      <c r="AU10" s="81">
        <f t="shared" si="0"/>
        <v>400</v>
      </c>
      <c r="AY10" s="4">
        <v>50</v>
      </c>
      <c r="AZ10" s="117" t="s">
        <v>299</v>
      </c>
      <c r="BB10" s="5" t="s">
        <v>207</v>
      </c>
      <c r="BC10" s="5" t="s">
        <v>208</v>
      </c>
      <c r="BD10" s="8" t="s">
        <v>416</v>
      </c>
      <c r="BE10" s="8" t="s">
        <v>417</v>
      </c>
      <c r="BF10" s="99" t="s">
        <v>620</v>
      </c>
      <c r="BG10" s="99" t="s">
        <v>621</v>
      </c>
      <c r="BH10" s="99" t="s">
        <v>623</v>
      </c>
      <c r="BI10" s="99" t="s">
        <v>228</v>
      </c>
      <c r="BJ10" s="99" t="s">
        <v>624</v>
      </c>
      <c r="BK10" s="99" t="s">
        <v>620</v>
      </c>
      <c r="BL10" s="99" t="s">
        <v>621</v>
      </c>
      <c r="BM10" s="99" t="s">
        <v>625</v>
      </c>
      <c r="BN10" s="99" t="s">
        <v>626</v>
      </c>
      <c r="BO10" s="99" t="s">
        <v>623</v>
      </c>
      <c r="BP10" s="99" t="s">
        <v>627</v>
      </c>
      <c r="BQ10" s="99" t="s">
        <v>628</v>
      </c>
      <c r="BR10" s="99" t="s">
        <v>629</v>
      </c>
    </row>
    <row r="11" spans="3:70" x14ac:dyDescent="0.35">
      <c r="C11" s="5" t="s">
        <v>619</v>
      </c>
      <c r="D11" s="5" t="s">
        <v>630</v>
      </c>
      <c r="E11" s="8" t="s">
        <v>416</v>
      </c>
      <c r="F11" s="8" t="s">
        <v>301</v>
      </c>
      <c r="G11" s="216">
        <f>IF($F$10=$L$3,G10*PI()/180,G10)</f>
        <v>0</v>
      </c>
      <c r="H11" s="216">
        <f t="shared" ref="H11:P11" si="1">IF($F$10=$L$3,H10*PI()/180,H10)</f>
        <v>0.17453292519943295</v>
      </c>
      <c r="I11" s="216">
        <f t="shared" si="1"/>
        <v>0.3490658503988659</v>
      </c>
      <c r="J11" s="216">
        <f t="shared" si="1"/>
        <v>0.52359877559829882</v>
      </c>
      <c r="K11" s="216">
        <f t="shared" si="1"/>
        <v>0.69813170079773179</v>
      </c>
      <c r="L11" s="216">
        <f t="shared" si="1"/>
        <v>0.87266462599716477</v>
      </c>
      <c r="M11" s="216">
        <f t="shared" si="1"/>
        <v>1.0471975511965976</v>
      </c>
      <c r="N11" s="216">
        <f t="shared" si="1"/>
        <v>1.2217304763960306</v>
      </c>
      <c r="O11" s="216">
        <f t="shared" si="1"/>
        <v>1.3962634015954636</v>
      </c>
      <c r="P11" s="216">
        <f t="shared" si="1"/>
        <v>1.5707963267948966</v>
      </c>
      <c r="Q11" s="216">
        <f t="shared" ref="Q11:AU11" si="2">IF($F$10=$L$3,Q10*PI()/180,Q10)</f>
        <v>1.7453292519943295</v>
      </c>
      <c r="R11" s="216">
        <f t="shared" si="2"/>
        <v>1.9198621771937625</v>
      </c>
      <c r="S11" s="216">
        <f t="shared" si="2"/>
        <v>2.0943951023931953</v>
      </c>
      <c r="T11" s="216">
        <f t="shared" si="2"/>
        <v>2.2689280275926285</v>
      </c>
      <c r="U11" s="216">
        <f t="shared" si="2"/>
        <v>2.4434609527920612</v>
      </c>
      <c r="V11" s="216">
        <f t="shared" si="2"/>
        <v>2.6179938779914944</v>
      </c>
      <c r="W11" s="216">
        <f t="shared" si="2"/>
        <v>2.7925268031909272</v>
      </c>
      <c r="X11" s="216">
        <f t="shared" si="2"/>
        <v>2.9670597283903604</v>
      </c>
      <c r="Y11" s="216">
        <f t="shared" si="2"/>
        <v>3.1415926535897931</v>
      </c>
      <c r="Z11" s="216">
        <f t="shared" si="2"/>
        <v>3.3161255787892263</v>
      </c>
      <c r="AA11" s="216">
        <f t="shared" si="2"/>
        <v>3.4906585039886591</v>
      </c>
      <c r="AB11" s="216">
        <f t="shared" si="2"/>
        <v>3.6651914291880923</v>
      </c>
      <c r="AC11" s="216">
        <f t="shared" si="2"/>
        <v>3.839724354387525</v>
      </c>
      <c r="AD11" s="216">
        <f t="shared" si="2"/>
        <v>4.0142572795869578</v>
      </c>
      <c r="AE11" s="216">
        <f t="shared" si="2"/>
        <v>4.1887902047863905</v>
      </c>
      <c r="AF11" s="216">
        <f t="shared" si="2"/>
        <v>4.3633231299858233</v>
      </c>
      <c r="AG11" s="216">
        <f t="shared" si="2"/>
        <v>4.5378560551852569</v>
      </c>
      <c r="AH11" s="216">
        <f t="shared" si="2"/>
        <v>4.7123889803846897</v>
      </c>
      <c r="AI11" s="216">
        <f t="shared" si="2"/>
        <v>4.8869219055841224</v>
      </c>
      <c r="AJ11" s="216">
        <f t="shared" si="2"/>
        <v>5.0614548307835552</v>
      </c>
      <c r="AK11" s="216">
        <f t="shared" si="2"/>
        <v>5.2359877559829888</v>
      </c>
      <c r="AL11" s="216">
        <f t="shared" si="2"/>
        <v>5.4105206811824216</v>
      </c>
      <c r="AM11" s="216">
        <f t="shared" si="2"/>
        <v>5.5850536063818543</v>
      </c>
      <c r="AN11" s="216">
        <f t="shared" si="2"/>
        <v>5.7595865315812871</v>
      </c>
      <c r="AO11" s="216">
        <f t="shared" si="2"/>
        <v>5.9341194567807207</v>
      </c>
      <c r="AP11" s="216">
        <f t="shared" si="2"/>
        <v>6.1086523819801526</v>
      </c>
      <c r="AQ11" s="216">
        <f t="shared" si="2"/>
        <v>6.2831853071795862</v>
      </c>
      <c r="AR11" s="216">
        <f t="shared" si="2"/>
        <v>6.457718232379019</v>
      </c>
      <c r="AS11" s="216">
        <f t="shared" si="2"/>
        <v>6.6322511575784526</v>
      </c>
      <c r="AT11" s="216">
        <f t="shared" si="2"/>
        <v>6.8067840827778845</v>
      </c>
      <c r="AU11" s="216">
        <f t="shared" si="2"/>
        <v>6.9813170079773181</v>
      </c>
      <c r="AV11" s="103"/>
      <c r="AW11" s="1" t="s">
        <v>633</v>
      </c>
      <c r="AY11" s="313">
        <f>IF($AZ$10=$L$3,AY10*PI()/180,G10)</f>
        <v>0.87266462599716477</v>
      </c>
      <c r="AZ11" s="5" t="str">
        <f>L4</f>
        <v>[rad]</v>
      </c>
      <c r="BB11" s="5"/>
      <c r="BC11" s="5"/>
      <c r="BD11" s="5"/>
      <c r="BE11" s="5"/>
      <c r="BF11" s="5"/>
      <c r="BG11" s="5"/>
      <c r="BH11" s="5"/>
      <c r="BI11" s="5"/>
      <c r="BJ11" s="81" cm="1">
        <f t="array" ref="BJ11">MAX(ABS(BB12:BB16))</f>
        <v>3.1622776601683795</v>
      </c>
      <c r="BK11" s="81">
        <v>0</v>
      </c>
      <c r="BL11" s="81">
        <f>BJ11</f>
        <v>3.1622776601683795</v>
      </c>
      <c r="BM11" s="81">
        <v>0</v>
      </c>
      <c r="BN11" s="81">
        <f>-BJ11</f>
        <v>-3.1622776601683795</v>
      </c>
      <c r="BO11" s="81">
        <f>BL11</f>
        <v>3.1622776601683795</v>
      </c>
      <c r="BP11" s="81">
        <v>0</v>
      </c>
      <c r="BQ11" s="81">
        <f>BN11</f>
        <v>-3.1622776601683795</v>
      </c>
      <c r="BR11" s="81">
        <v>0</v>
      </c>
    </row>
    <row r="12" spans="3:70" ht="18.5" x14ac:dyDescent="0.45">
      <c r="C12" s="4">
        <v>1</v>
      </c>
      <c r="D12" s="4">
        <v>0</v>
      </c>
      <c r="E12" s="283" t="s">
        <v>317</v>
      </c>
      <c r="F12" s="283" t="str">
        <f>_xlfn.CONCAT(C12, IF(D12=0," * sin(x) =",IF(D12&lt;0,_xlfn.CONCAT(" * sin(x - ",ABS(D12),") ="),_xlfn.CONCAT(" * sin(x + ",D12,") ="))))</f>
        <v>1 * sin(x) =</v>
      </c>
      <c r="G12" s="216">
        <f>IF($AW$12=$K$3,$C$12*SIN(G11+RADIANS($D$12)),0)</f>
        <v>0</v>
      </c>
      <c r="H12" s="216">
        <f t="shared" ref="H12:AU12" si="3">IF($AW$12=$K$3,$C$12*SIN(H11+RADIANS($D$12)),0)</f>
        <v>0.17364817766693033</v>
      </c>
      <c r="I12" s="216">
        <f t="shared" si="3"/>
        <v>0.34202014332566871</v>
      </c>
      <c r="J12" s="216">
        <f t="shared" si="3"/>
        <v>0.49999999999999994</v>
      </c>
      <c r="K12" s="216">
        <f t="shared" si="3"/>
        <v>0.64278760968653925</v>
      </c>
      <c r="L12" s="216">
        <f t="shared" si="3"/>
        <v>0.76604444311897801</v>
      </c>
      <c r="M12" s="216">
        <f t="shared" si="3"/>
        <v>0.8660254037844386</v>
      </c>
      <c r="N12" s="216">
        <f t="shared" si="3"/>
        <v>0.93969262078590832</v>
      </c>
      <c r="O12" s="216">
        <f t="shared" si="3"/>
        <v>0.98480775301220802</v>
      </c>
      <c r="P12" s="216">
        <f t="shared" si="3"/>
        <v>1</v>
      </c>
      <c r="Q12" s="216">
        <f t="shared" si="3"/>
        <v>0.98480775301220802</v>
      </c>
      <c r="R12" s="216">
        <f t="shared" si="3"/>
        <v>0.93969262078590843</v>
      </c>
      <c r="S12" s="216">
        <f t="shared" si="3"/>
        <v>0.86602540378443871</v>
      </c>
      <c r="T12" s="216">
        <f t="shared" si="3"/>
        <v>0.76604444311897801</v>
      </c>
      <c r="U12" s="216">
        <f t="shared" si="3"/>
        <v>0.64278760968653947</v>
      </c>
      <c r="V12" s="216">
        <f t="shared" si="3"/>
        <v>0.49999999999999994</v>
      </c>
      <c r="W12" s="216">
        <f t="shared" si="3"/>
        <v>0.34202014332566888</v>
      </c>
      <c r="X12" s="216">
        <f t="shared" si="3"/>
        <v>0.17364817766693028</v>
      </c>
      <c r="Y12" s="216">
        <f t="shared" si="3"/>
        <v>1.22514845490862E-16</v>
      </c>
      <c r="Z12" s="216">
        <f t="shared" si="3"/>
        <v>-0.17364817766693047</v>
      </c>
      <c r="AA12" s="216">
        <f t="shared" si="3"/>
        <v>-0.34202014332566866</v>
      </c>
      <c r="AB12" s="216">
        <f t="shared" si="3"/>
        <v>-0.50000000000000011</v>
      </c>
      <c r="AC12" s="216">
        <f t="shared" si="3"/>
        <v>-0.64278760968653925</v>
      </c>
      <c r="AD12" s="216">
        <f t="shared" si="3"/>
        <v>-0.7660444431189779</v>
      </c>
      <c r="AE12" s="216">
        <f t="shared" si="3"/>
        <v>-0.86602540378443837</v>
      </c>
      <c r="AF12" s="216">
        <f t="shared" si="3"/>
        <v>-0.93969262078590821</v>
      </c>
      <c r="AG12" s="216">
        <f t="shared" si="3"/>
        <v>-0.98480775301220802</v>
      </c>
      <c r="AH12" s="216">
        <f t="shared" si="3"/>
        <v>-1</v>
      </c>
      <c r="AI12" s="216">
        <f t="shared" si="3"/>
        <v>-0.98480775301220813</v>
      </c>
      <c r="AJ12" s="216">
        <f t="shared" si="3"/>
        <v>-0.93969262078590854</v>
      </c>
      <c r="AK12" s="216">
        <f t="shared" si="3"/>
        <v>-0.8660254037844386</v>
      </c>
      <c r="AL12" s="216">
        <f t="shared" si="3"/>
        <v>-0.76604444311897812</v>
      </c>
      <c r="AM12" s="216">
        <f t="shared" si="3"/>
        <v>-0.64278760968653958</v>
      </c>
      <c r="AN12" s="216">
        <f t="shared" si="3"/>
        <v>-0.50000000000000044</v>
      </c>
      <c r="AO12" s="216">
        <f t="shared" si="3"/>
        <v>-0.3420201433256686</v>
      </c>
      <c r="AP12" s="216">
        <f t="shared" si="3"/>
        <v>-0.17364817766693127</v>
      </c>
      <c r="AQ12" s="216">
        <f t="shared" si="3"/>
        <v>-2.45029690981724E-16</v>
      </c>
      <c r="AR12" s="216">
        <f t="shared" si="3"/>
        <v>0.17364817766692991</v>
      </c>
      <c r="AS12" s="216">
        <f t="shared" si="3"/>
        <v>0.34202014332566893</v>
      </c>
      <c r="AT12" s="216">
        <f t="shared" si="3"/>
        <v>0.49999999999999928</v>
      </c>
      <c r="AU12" s="216">
        <f t="shared" si="3"/>
        <v>0.64278760968653914</v>
      </c>
      <c r="AV12" s="103"/>
      <c r="AW12" s="322" t="s">
        <v>65</v>
      </c>
      <c r="AY12" s="216">
        <f>IF($AW$12=$K$3,$C$12 * SIN(AY11 + RADIANS($D$12)),0)</f>
        <v>0.76604444311897801</v>
      </c>
      <c r="AZ12" s="5"/>
      <c r="BB12" s="81">
        <f>IF($AW$12=$K$3,$C12,0)</f>
        <v>1</v>
      </c>
      <c r="BC12" s="81">
        <f>$AY$10+$D$12</f>
        <v>50</v>
      </c>
      <c r="BD12" s="315">
        <f>BB12*COS(RADIANS(BC12))</f>
        <v>0.64278760968653936</v>
      </c>
      <c r="BE12" s="315">
        <f>BB12*SIN(RADIANS(BC12))</f>
        <v>0.76604444311897801</v>
      </c>
      <c r="BF12" s="315">
        <v>0</v>
      </c>
      <c r="BG12" s="315">
        <f>BD12</f>
        <v>0.64278760968653936</v>
      </c>
      <c r="BH12" s="315">
        <v>0</v>
      </c>
      <c r="BI12" s="315">
        <f>BE12</f>
        <v>0.76604444311897801</v>
      </c>
    </row>
    <row r="13" spans="3:70" ht="18.5" x14ac:dyDescent="0.45">
      <c r="C13" s="4">
        <v>3</v>
      </c>
      <c r="D13" s="4">
        <v>-180</v>
      </c>
      <c r="E13" s="321" t="s">
        <v>320</v>
      </c>
      <c r="F13" s="321" t="str">
        <f>_xlfn.CONCAT(C13, IF(D13=0," * cos(x) =",IF(D13&lt;0,_xlfn.CONCAT(" * cos(x - ",ABS(D13),") ="),_xlfn.CONCAT(" * cos(x + ",D13,") ="))))</f>
        <v>3 * cos(x - 180) =</v>
      </c>
      <c r="G13" s="216">
        <f>IF($AW$13=$K$3,$C$13*COS(G11+RADIANS($D$13)),0)</f>
        <v>-3</v>
      </c>
      <c r="H13" s="216">
        <f t="shared" ref="H13:AU13" si="4">IF($AW$13=$K$3,$C$13*COS(H11+RADIANS($D$13)),0)</f>
        <v>-2.9544232590366239</v>
      </c>
      <c r="I13" s="216">
        <f t="shared" si="4"/>
        <v>-2.8190778623577248</v>
      </c>
      <c r="J13" s="216">
        <f t="shared" si="4"/>
        <v>-2.598076211353316</v>
      </c>
      <c r="K13" s="216">
        <f t="shared" si="4"/>
        <v>-2.2981333293569337</v>
      </c>
      <c r="L13" s="216">
        <f t="shared" si="4"/>
        <v>-1.9283628290596182</v>
      </c>
      <c r="M13" s="216">
        <f t="shared" si="4"/>
        <v>-1.5000000000000007</v>
      </c>
      <c r="N13" s="216">
        <f t="shared" si="4"/>
        <v>-1.0260604299770062</v>
      </c>
      <c r="O13" s="216">
        <f t="shared" si="4"/>
        <v>-0.52094453300079091</v>
      </c>
      <c r="P13" s="216">
        <f t="shared" si="4"/>
        <v>1.83772268236293E-16</v>
      </c>
      <c r="Q13" s="216">
        <f t="shared" si="4"/>
        <v>0.52094453300079124</v>
      </c>
      <c r="R13" s="216">
        <f t="shared" si="4"/>
        <v>1.0260604299770064</v>
      </c>
      <c r="S13" s="216">
        <f t="shared" si="4"/>
        <v>1.4999999999999996</v>
      </c>
      <c r="T13" s="216">
        <f t="shared" si="4"/>
        <v>1.9283628290596184</v>
      </c>
      <c r="U13" s="216">
        <f t="shared" si="4"/>
        <v>2.2981333293569342</v>
      </c>
      <c r="V13" s="216">
        <f t="shared" si="4"/>
        <v>2.598076211353316</v>
      </c>
      <c r="W13" s="216">
        <f t="shared" si="4"/>
        <v>2.8190778623577248</v>
      </c>
      <c r="X13" s="216">
        <f t="shared" si="4"/>
        <v>2.9544232590366244</v>
      </c>
      <c r="Y13" s="216">
        <f t="shared" si="4"/>
        <v>3</v>
      </c>
      <c r="Z13" s="216">
        <f t="shared" si="4"/>
        <v>2.9544232590366239</v>
      </c>
      <c r="AA13" s="216">
        <f t="shared" si="4"/>
        <v>2.8190778623577248</v>
      </c>
      <c r="AB13" s="216">
        <f t="shared" si="4"/>
        <v>2.5980762113533156</v>
      </c>
      <c r="AC13" s="216">
        <f t="shared" si="4"/>
        <v>2.2981333293569342</v>
      </c>
      <c r="AD13" s="216">
        <f t="shared" si="4"/>
        <v>1.9283628290596184</v>
      </c>
      <c r="AE13" s="216">
        <f t="shared" si="4"/>
        <v>1.5000000000000009</v>
      </c>
      <c r="AF13" s="216">
        <f t="shared" si="4"/>
        <v>1.0260604299770077</v>
      </c>
      <c r="AG13" s="216">
        <f t="shared" si="4"/>
        <v>0.52094453300079069</v>
      </c>
      <c r="AH13" s="216">
        <f t="shared" si="4"/>
        <v>1.83772268236293E-16</v>
      </c>
      <c r="AI13" s="216">
        <f t="shared" si="4"/>
        <v>-0.52094453300079024</v>
      </c>
      <c r="AJ13" s="216">
        <f t="shared" si="4"/>
        <v>-1.0260604299770049</v>
      </c>
      <c r="AK13" s="216">
        <f t="shared" si="4"/>
        <v>-1.5000000000000007</v>
      </c>
      <c r="AL13" s="216">
        <f t="shared" si="4"/>
        <v>-1.9283628290596182</v>
      </c>
      <c r="AM13" s="216">
        <f t="shared" si="4"/>
        <v>-2.2981333293569337</v>
      </c>
      <c r="AN13" s="216">
        <f t="shared" si="4"/>
        <v>-2.5980762113533156</v>
      </c>
      <c r="AO13" s="216">
        <f t="shared" si="4"/>
        <v>-2.8190778623577253</v>
      </c>
      <c r="AP13" s="216">
        <f t="shared" si="4"/>
        <v>-2.9544232590366235</v>
      </c>
      <c r="AQ13" s="216">
        <f t="shared" si="4"/>
        <v>-3</v>
      </c>
      <c r="AR13" s="216">
        <f t="shared" si="4"/>
        <v>-2.9544232590366244</v>
      </c>
      <c r="AS13" s="216">
        <f t="shared" si="4"/>
        <v>-2.8190778623577248</v>
      </c>
      <c r="AT13" s="216">
        <f t="shared" si="4"/>
        <v>-2.5980762113533169</v>
      </c>
      <c r="AU13" s="216">
        <f t="shared" si="4"/>
        <v>-2.2981333293569342</v>
      </c>
      <c r="AV13" s="103"/>
      <c r="AW13" s="322" t="s">
        <v>65</v>
      </c>
      <c r="AY13" s="216">
        <f>IF($AW$13=$K$3,$C$13 * COS(AY11+RADIANS(D13)),0)</f>
        <v>-1.9283628290596182</v>
      </c>
      <c r="AZ13" s="5"/>
      <c r="BB13" s="81">
        <f>IF($AW$13=$K$3,$C13,0)</f>
        <v>3</v>
      </c>
      <c r="BC13" s="81">
        <f>$AY$10+90+$D$13</f>
        <v>-40</v>
      </c>
      <c r="BD13" s="315">
        <f>BB13*COS(RADIANS(BC13))</f>
        <v>2.2981333293569342</v>
      </c>
      <c r="BE13" s="315">
        <f>BB13*SIN(RADIANS(BC13))</f>
        <v>-1.9283628290596178</v>
      </c>
      <c r="BF13" s="315">
        <v>0</v>
      </c>
      <c r="BG13" s="315">
        <f>BD13</f>
        <v>2.2981333293569342</v>
      </c>
      <c r="BH13" s="315">
        <v>0</v>
      </c>
      <c r="BI13" s="315">
        <f>BE13</f>
        <v>-1.9283628290596178</v>
      </c>
    </row>
    <row r="14" spans="3:70" ht="18.5" x14ac:dyDescent="0.45">
      <c r="E14" s="320"/>
      <c r="F14" s="320"/>
      <c r="G14" s="103"/>
      <c r="H14" s="103"/>
      <c r="I14" s="103"/>
      <c r="J14" s="103"/>
      <c r="K14" s="103"/>
      <c r="L14" s="103"/>
      <c r="M14" s="103"/>
      <c r="N14" s="103"/>
      <c r="O14" s="103"/>
      <c r="P14" s="103"/>
      <c r="Q14" s="103"/>
      <c r="R14" s="103"/>
      <c r="S14" s="103"/>
      <c r="T14" s="103"/>
      <c r="U14" s="103"/>
      <c r="V14" s="103"/>
      <c r="W14" s="103"/>
      <c r="X14" s="103"/>
      <c r="Y14" s="103"/>
      <c r="Z14" s="103"/>
      <c r="AA14" s="103"/>
      <c r="AB14" s="103"/>
      <c r="AC14" s="103"/>
      <c r="AD14" s="103"/>
      <c r="AE14" s="103"/>
      <c r="AF14" s="103"/>
      <c r="AG14" s="103"/>
      <c r="AH14" s="103"/>
      <c r="AI14" s="103"/>
      <c r="AJ14" s="103"/>
      <c r="AK14" s="103"/>
      <c r="AL14" s="103"/>
      <c r="AM14" s="103"/>
      <c r="AN14" s="103"/>
      <c r="AO14" s="103"/>
      <c r="AP14" s="103"/>
      <c r="AQ14" s="103"/>
      <c r="AR14" s="103"/>
      <c r="AS14" s="103"/>
      <c r="AT14" s="103"/>
      <c r="AU14" s="103"/>
      <c r="AV14" s="103"/>
      <c r="AW14" s="103"/>
      <c r="AY14" s="103"/>
      <c r="BD14" s="317"/>
      <c r="BE14" s="317"/>
      <c r="BF14" s="317"/>
      <c r="BG14" s="317"/>
      <c r="BH14" s="317"/>
      <c r="BI14" s="317"/>
    </row>
    <row r="15" spans="3:70" ht="18.5" x14ac:dyDescent="0.45">
      <c r="D15" s="1"/>
      <c r="E15" s="320"/>
      <c r="F15" s="320"/>
      <c r="G15" s="103"/>
      <c r="H15" s="103"/>
      <c r="I15" s="103"/>
      <c r="J15" s="103"/>
      <c r="K15" s="103"/>
      <c r="L15" s="103"/>
      <c r="M15" s="103"/>
      <c r="N15" s="103"/>
      <c r="O15" s="103"/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  <c r="AU15" s="103"/>
      <c r="AV15" s="103"/>
      <c r="AW15" s="103"/>
      <c r="AY15" s="103"/>
      <c r="BD15" s="317"/>
      <c r="BE15" s="317"/>
      <c r="BF15" s="317"/>
      <c r="BG15" s="317"/>
      <c r="BH15" s="317"/>
      <c r="BI15" s="317"/>
      <c r="BJ15" s="5" t="s">
        <v>638</v>
      </c>
      <c r="BK15" s="5"/>
      <c r="BL15" s="5"/>
      <c r="BM15" s="5"/>
      <c r="BN15" s="5" t="s">
        <v>639</v>
      </c>
      <c r="BO15" s="5"/>
      <c r="BP15" s="5"/>
      <c r="BQ15" s="5"/>
    </row>
    <row r="16" spans="3:70" ht="18.5" x14ac:dyDescent="0.45">
      <c r="D16" s="325"/>
      <c r="E16" s="323" t="s">
        <v>636</v>
      </c>
      <c r="F16" s="323" t="s">
        <v>632</v>
      </c>
      <c r="G16" s="216">
        <f>IF($AW$16=$K$3,G12+G13,0)</f>
        <v>-3</v>
      </c>
      <c r="H16" s="216">
        <f t="shared" ref="H16:AU16" si="5">IF($AW$16=$K$3,H12+H13,0)</f>
        <v>-2.7807750813696934</v>
      </c>
      <c r="I16" s="216">
        <f t="shared" si="5"/>
        <v>-2.477057719032056</v>
      </c>
      <c r="J16" s="216">
        <f t="shared" si="5"/>
        <v>-2.098076211353316</v>
      </c>
      <c r="K16" s="216">
        <f t="shared" si="5"/>
        <v>-1.6553457196703945</v>
      </c>
      <c r="L16" s="216">
        <f t="shared" si="5"/>
        <v>-1.1623183859406403</v>
      </c>
      <c r="M16" s="216">
        <f t="shared" si="5"/>
        <v>-0.63397459621556207</v>
      </c>
      <c r="N16" s="216">
        <f t="shared" si="5"/>
        <v>-8.6367809191097877E-2</v>
      </c>
      <c r="O16" s="216">
        <f t="shared" si="5"/>
        <v>0.46386322001141711</v>
      </c>
      <c r="P16" s="216">
        <f t="shared" si="5"/>
        <v>1.0000000000000002</v>
      </c>
      <c r="Q16" s="216">
        <f t="shared" si="5"/>
        <v>1.5057522860129993</v>
      </c>
      <c r="R16" s="216">
        <f t="shared" si="5"/>
        <v>1.9657530507629148</v>
      </c>
      <c r="S16" s="216">
        <f t="shared" si="5"/>
        <v>2.3660254037844384</v>
      </c>
      <c r="T16" s="216">
        <f t="shared" si="5"/>
        <v>2.6944072721785965</v>
      </c>
      <c r="U16" s="216">
        <f t="shared" si="5"/>
        <v>2.9409209390434734</v>
      </c>
      <c r="V16" s="216">
        <f t="shared" si="5"/>
        <v>3.098076211353316</v>
      </c>
      <c r="W16" s="216">
        <f t="shared" si="5"/>
        <v>3.1610980056833937</v>
      </c>
      <c r="X16" s="216">
        <f t="shared" si="5"/>
        <v>3.1280714367035545</v>
      </c>
      <c r="Y16" s="216">
        <f t="shared" si="5"/>
        <v>3</v>
      </c>
      <c r="Z16" s="216">
        <f t="shared" si="5"/>
        <v>2.7807750813696934</v>
      </c>
      <c r="AA16" s="216">
        <f t="shared" si="5"/>
        <v>2.4770577190320564</v>
      </c>
      <c r="AB16" s="216">
        <f t="shared" si="5"/>
        <v>2.0980762113533156</v>
      </c>
      <c r="AC16" s="216">
        <f t="shared" si="5"/>
        <v>1.6553457196703949</v>
      </c>
      <c r="AD16" s="216">
        <f t="shared" si="5"/>
        <v>1.1623183859406405</v>
      </c>
      <c r="AE16" s="216">
        <f t="shared" si="5"/>
        <v>0.63397459621556251</v>
      </c>
      <c r="AF16" s="216">
        <f t="shared" si="5"/>
        <v>8.6367809191099543E-2</v>
      </c>
      <c r="AG16" s="216">
        <f t="shared" si="5"/>
        <v>-0.46386322001141733</v>
      </c>
      <c r="AH16" s="216">
        <f t="shared" si="5"/>
        <v>-0.99999999999999978</v>
      </c>
      <c r="AI16" s="216">
        <f t="shared" si="5"/>
        <v>-1.5057522860129984</v>
      </c>
      <c r="AJ16" s="216">
        <f t="shared" si="5"/>
        <v>-1.9657530507629133</v>
      </c>
      <c r="AK16" s="216">
        <f t="shared" si="5"/>
        <v>-2.3660254037844393</v>
      </c>
      <c r="AL16" s="216">
        <f t="shared" si="5"/>
        <v>-2.6944072721785961</v>
      </c>
      <c r="AM16" s="216">
        <f t="shared" si="5"/>
        <v>-2.9409209390434734</v>
      </c>
      <c r="AN16" s="216">
        <f t="shared" si="5"/>
        <v>-3.098076211353316</v>
      </c>
      <c r="AO16" s="216">
        <f t="shared" si="5"/>
        <v>-3.1610980056833937</v>
      </c>
      <c r="AP16" s="216">
        <f t="shared" si="5"/>
        <v>-3.1280714367035549</v>
      </c>
      <c r="AQ16" s="216">
        <f t="shared" si="5"/>
        <v>-3.0000000000000004</v>
      </c>
      <c r="AR16" s="216">
        <f t="shared" si="5"/>
        <v>-2.7807750813696943</v>
      </c>
      <c r="AS16" s="216">
        <f t="shared" si="5"/>
        <v>-2.477057719032056</v>
      </c>
      <c r="AT16" s="216">
        <f t="shared" si="5"/>
        <v>-2.0980762113533178</v>
      </c>
      <c r="AU16" s="216">
        <f t="shared" si="5"/>
        <v>-1.6553457196703949</v>
      </c>
      <c r="AV16" s="103"/>
      <c r="AW16" s="322" t="s">
        <v>65</v>
      </c>
      <c r="AY16" s="216">
        <f>IF($AW$16=$K$3,AY12+AY13,0)</f>
        <v>-1.1623183859406403</v>
      </c>
      <c r="BB16" s="315">
        <f>SQRT(BD16^2+BE16^2)</f>
        <v>3.1622776601683795</v>
      </c>
      <c r="BC16" s="315">
        <f>IF($AW$16=$K$3,DEGREES(ATAN2(BD16,BE16)),0)</f>
        <v>-21.56505117707799</v>
      </c>
      <c r="BD16" s="315">
        <f>IF($AW$16=$K$3,BD12+BD13,0)</f>
        <v>2.9409209390434734</v>
      </c>
      <c r="BE16" s="315">
        <f>IF($AW$16=$K$3,BE12+BE13,0)</f>
        <v>-1.1623183859406399</v>
      </c>
      <c r="BF16" s="315">
        <v>0</v>
      </c>
      <c r="BG16" s="315">
        <f>BD16</f>
        <v>2.9409209390434734</v>
      </c>
      <c r="BH16" s="315">
        <v>0</v>
      </c>
      <c r="BI16" s="326">
        <f>BE16</f>
        <v>-1.1623183859406399</v>
      </c>
      <c r="BJ16" s="315">
        <f>IF($AW$16=$K$3,BD13,0)</f>
        <v>2.2981333293569342</v>
      </c>
      <c r="BK16" s="315">
        <f>BD16</f>
        <v>2.9409209390434734</v>
      </c>
      <c r="BL16" s="315">
        <f>IF($AW$16=$K$3,BE13,0)</f>
        <v>-1.9283628290596178</v>
      </c>
      <c r="BM16" s="315">
        <f>BE16</f>
        <v>-1.1623183859406399</v>
      </c>
      <c r="BN16" s="315">
        <f>BD12</f>
        <v>0.64278760968653936</v>
      </c>
      <c r="BO16" s="315">
        <f>BK16</f>
        <v>2.9409209390434734</v>
      </c>
      <c r="BP16" s="315">
        <f>IF($AW$16=$K$3,BE12,0)</f>
        <v>0.76604444311897801</v>
      </c>
      <c r="BQ16" s="315">
        <f>BM16</f>
        <v>-1.1623183859406399</v>
      </c>
    </row>
    <row r="17" spans="4:61" ht="18.5" x14ac:dyDescent="0.45">
      <c r="D17" s="325"/>
      <c r="E17" s="324" t="s">
        <v>636</v>
      </c>
      <c r="F17" s="324" t="s">
        <v>637</v>
      </c>
      <c r="G17" s="216">
        <f>IF($AW$17=$K$3,G12*G13,0)</f>
        <v>0</v>
      </c>
      <c r="H17" s="216">
        <f t="shared" ref="H17:AU17" si="6">IF($AW$17=$K$3,H12*H13,0)</f>
        <v>0</v>
      </c>
      <c r="I17" s="216">
        <f t="shared" si="6"/>
        <v>0</v>
      </c>
      <c r="J17" s="216">
        <f t="shared" si="6"/>
        <v>0</v>
      </c>
      <c r="K17" s="216">
        <f t="shared" si="6"/>
        <v>0</v>
      </c>
      <c r="L17" s="216">
        <f t="shared" si="6"/>
        <v>0</v>
      </c>
      <c r="M17" s="216">
        <f t="shared" si="6"/>
        <v>0</v>
      </c>
      <c r="N17" s="216">
        <f t="shared" si="6"/>
        <v>0</v>
      </c>
      <c r="O17" s="216">
        <f t="shared" si="6"/>
        <v>0</v>
      </c>
      <c r="P17" s="216">
        <f t="shared" si="6"/>
        <v>0</v>
      </c>
      <c r="Q17" s="216">
        <f t="shared" si="6"/>
        <v>0</v>
      </c>
      <c r="R17" s="216">
        <f t="shared" si="6"/>
        <v>0</v>
      </c>
      <c r="S17" s="216">
        <f t="shared" si="6"/>
        <v>0</v>
      </c>
      <c r="T17" s="216">
        <f t="shared" si="6"/>
        <v>0</v>
      </c>
      <c r="U17" s="216">
        <f t="shared" si="6"/>
        <v>0</v>
      </c>
      <c r="V17" s="216">
        <f t="shared" si="6"/>
        <v>0</v>
      </c>
      <c r="W17" s="216">
        <f t="shared" si="6"/>
        <v>0</v>
      </c>
      <c r="X17" s="216">
        <f t="shared" si="6"/>
        <v>0</v>
      </c>
      <c r="Y17" s="216">
        <f t="shared" si="6"/>
        <v>0</v>
      </c>
      <c r="Z17" s="216">
        <f t="shared" si="6"/>
        <v>0</v>
      </c>
      <c r="AA17" s="216">
        <f t="shared" si="6"/>
        <v>0</v>
      </c>
      <c r="AB17" s="216">
        <f t="shared" si="6"/>
        <v>0</v>
      </c>
      <c r="AC17" s="216">
        <f t="shared" si="6"/>
        <v>0</v>
      </c>
      <c r="AD17" s="216">
        <f t="shared" si="6"/>
        <v>0</v>
      </c>
      <c r="AE17" s="216">
        <f t="shared" si="6"/>
        <v>0</v>
      </c>
      <c r="AF17" s="216">
        <f t="shared" si="6"/>
        <v>0</v>
      </c>
      <c r="AG17" s="216">
        <f t="shared" si="6"/>
        <v>0</v>
      </c>
      <c r="AH17" s="216">
        <f t="shared" si="6"/>
        <v>0</v>
      </c>
      <c r="AI17" s="216">
        <f t="shared" si="6"/>
        <v>0</v>
      </c>
      <c r="AJ17" s="216">
        <f t="shared" si="6"/>
        <v>0</v>
      </c>
      <c r="AK17" s="216">
        <f t="shared" si="6"/>
        <v>0</v>
      </c>
      <c r="AL17" s="216">
        <f t="shared" si="6"/>
        <v>0</v>
      </c>
      <c r="AM17" s="216">
        <f t="shared" si="6"/>
        <v>0</v>
      </c>
      <c r="AN17" s="216">
        <f t="shared" si="6"/>
        <v>0</v>
      </c>
      <c r="AO17" s="216">
        <f t="shared" si="6"/>
        <v>0</v>
      </c>
      <c r="AP17" s="216">
        <f t="shared" si="6"/>
        <v>0</v>
      </c>
      <c r="AQ17" s="216">
        <f t="shared" si="6"/>
        <v>0</v>
      </c>
      <c r="AR17" s="216">
        <f t="shared" si="6"/>
        <v>0</v>
      </c>
      <c r="AS17" s="216">
        <f t="shared" si="6"/>
        <v>0</v>
      </c>
      <c r="AT17" s="216">
        <f t="shared" si="6"/>
        <v>0</v>
      </c>
      <c r="AU17" s="216">
        <f t="shared" si="6"/>
        <v>0</v>
      </c>
      <c r="AV17" s="103"/>
      <c r="AW17" s="322" t="s">
        <v>66</v>
      </c>
      <c r="AY17" s="216">
        <f>IF($AW$17=$K$3,AY12*AY13,0)</f>
        <v>0</v>
      </c>
      <c r="BD17" s="317"/>
      <c r="BE17" s="317"/>
      <c r="BF17" s="317"/>
      <c r="BG17" s="317"/>
      <c r="BH17" s="317"/>
      <c r="BI17" s="317"/>
    </row>
    <row r="18" spans="4:61" x14ac:dyDescent="0.35">
      <c r="E18" s="318"/>
      <c r="F18" s="319"/>
      <c r="G18" s="103"/>
      <c r="H18" s="103"/>
      <c r="I18" s="103"/>
      <c r="J18" s="103"/>
      <c r="K18" s="103"/>
      <c r="L18" s="103"/>
      <c r="M18" s="103"/>
      <c r="N18" s="103"/>
      <c r="O18" s="103"/>
      <c r="P18" s="103"/>
      <c r="Q18" s="103"/>
      <c r="R18" s="103"/>
      <c r="S18" s="103"/>
      <c r="T18" s="103"/>
      <c r="U18" s="103"/>
      <c r="V18" s="103"/>
      <c r="W18" s="103"/>
      <c r="X18" s="103"/>
      <c r="Y18" s="103"/>
      <c r="Z18" s="103"/>
      <c r="AA18" s="103"/>
      <c r="AB18" s="103"/>
      <c r="AC18" s="103"/>
      <c r="AD18" s="103"/>
      <c r="AE18" s="103"/>
      <c r="AF18" s="103"/>
      <c r="AG18" s="103"/>
      <c r="AH18" s="103"/>
      <c r="AI18" s="103"/>
      <c r="AJ18" s="103"/>
      <c r="AK18" s="103"/>
      <c r="AL18" s="103"/>
      <c r="AM18" s="103"/>
      <c r="AN18" s="103"/>
      <c r="AO18" s="103"/>
      <c r="AP18" s="103"/>
      <c r="AQ18" s="103"/>
      <c r="AR18" s="103"/>
      <c r="AS18" s="103"/>
      <c r="AT18" s="103"/>
      <c r="AU18" s="103"/>
      <c r="AV18" s="103"/>
      <c r="AW18" s="103"/>
      <c r="AY18" s="103"/>
      <c r="BD18" s="317"/>
      <c r="BE18" s="317"/>
      <c r="BF18" s="317"/>
      <c r="BG18" s="317"/>
      <c r="BH18" s="317"/>
      <c r="BI18" s="317"/>
    </row>
    <row r="61" spans="5:49" ht="18.5" x14ac:dyDescent="0.45">
      <c r="E61" s="277" t="s">
        <v>634</v>
      </c>
      <c r="F61" s="277" t="s">
        <v>319</v>
      </c>
      <c r="G61" s="216">
        <f t="shared" ref="G61:AU61" si="7">IF(ABS(TAN(G11))&gt;10,0,TAN(G11))</f>
        <v>0</v>
      </c>
      <c r="H61" s="216">
        <f t="shared" si="7"/>
        <v>0.17632698070846498</v>
      </c>
      <c r="I61" s="216">
        <f t="shared" si="7"/>
        <v>0.36397023426620234</v>
      </c>
      <c r="J61" s="216">
        <f t="shared" si="7"/>
        <v>0.57735026918962573</v>
      </c>
      <c r="K61" s="216">
        <f t="shared" si="7"/>
        <v>0.83909963117727993</v>
      </c>
      <c r="L61" s="216">
        <f t="shared" si="7"/>
        <v>1.19175359259421</v>
      </c>
      <c r="M61" s="216">
        <f t="shared" si="7"/>
        <v>1.7320508075688767</v>
      </c>
      <c r="N61" s="216">
        <f t="shared" si="7"/>
        <v>2.7474774194546216</v>
      </c>
      <c r="O61" s="216">
        <f t="shared" si="7"/>
        <v>5.6712818196177066</v>
      </c>
      <c r="P61" s="216">
        <f t="shared" si="7"/>
        <v>0</v>
      </c>
      <c r="Q61" s="216">
        <f t="shared" si="7"/>
        <v>-5.6712818196177111</v>
      </c>
      <c r="R61" s="216">
        <f t="shared" si="7"/>
        <v>-2.7474774194546225</v>
      </c>
      <c r="S61" s="216">
        <f t="shared" si="7"/>
        <v>-1.7320508075688783</v>
      </c>
      <c r="T61" s="216">
        <f t="shared" si="7"/>
        <v>-1.19175359259421</v>
      </c>
      <c r="U61" s="216">
        <f t="shared" si="7"/>
        <v>-0.83909963117728037</v>
      </c>
      <c r="V61" s="216">
        <f t="shared" si="7"/>
        <v>-0.57735026918962573</v>
      </c>
      <c r="W61" s="216">
        <f t="shared" si="7"/>
        <v>-0.36397023426620256</v>
      </c>
      <c r="X61" s="216">
        <f t="shared" si="7"/>
        <v>-0.17632698070846489</v>
      </c>
      <c r="Y61" s="216">
        <f t="shared" si="7"/>
        <v>-1.22514845490862E-16</v>
      </c>
      <c r="Z61" s="216">
        <f t="shared" si="7"/>
        <v>0.17632698070846509</v>
      </c>
      <c r="AA61" s="216">
        <f t="shared" si="7"/>
        <v>0.36397023426620229</v>
      </c>
      <c r="AB61" s="216">
        <f t="shared" si="7"/>
        <v>0.57735026918962595</v>
      </c>
      <c r="AC61" s="216">
        <f t="shared" si="7"/>
        <v>0.83909963117727993</v>
      </c>
      <c r="AD61" s="216">
        <f t="shared" si="7"/>
        <v>1.1917535925942093</v>
      </c>
      <c r="AE61" s="216">
        <f t="shared" si="7"/>
        <v>1.7320508075688754</v>
      </c>
      <c r="AF61" s="216">
        <f t="shared" si="7"/>
        <v>2.7474774194546168</v>
      </c>
      <c r="AG61" s="216">
        <f t="shared" si="7"/>
        <v>5.6712818196177102</v>
      </c>
      <c r="AH61" s="216">
        <f t="shared" si="7"/>
        <v>0</v>
      </c>
      <c r="AI61" s="216">
        <f t="shared" si="7"/>
        <v>-5.6712818196177226</v>
      </c>
      <c r="AJ61" s="216">
        <f t="shared" si="7"/>
        <v>-2.7474774194546274</v>
      </c>
      <c r="AK61" s="216">
        <f t="shared" si="7"/>
        <v>-1.732050807568877</v>
      </c>
      <c r="AL61" s="216">
        <f t="shared" si="7"/>
        <v>-1.1917535925942102</v>
      </c>
      <c r="AM61" s="216">
        <f t="shared" si="7"/>
        <v>-0.83909963117728059</v>
      </c>
      <c r="AN61" s="216">
        <f t="shared" si="7"/>
        <v>-0.57735026918962651</v>
      </c>
      <c r="AO61" s="216">
        <f t="shared" si="7"/>
        <v>-0.36397023426620218</v>
      </c>
      <c r="AP61" s="216">
        <f t="shared" si="7"/>
        <v>-0.17632698070846592</v>
      </c>
      <c r="AQ61" s="216">
        <f t="shared" si="7"/>
        <v>-2.45029690981724E-16</v>
      </c>
      <c r="AR61" s="216">
        <f t="shared" si="7"/>
        <v>0.1763269807084645</v>
      </c>
      <c r="AS61" s="216">
        <f t="shared" si="7"/>
        <v>0.36397023426620262</v>
      </c>
      <c r="AT61" s="216">
        <f t="shared" si="7"/>
        <v>0.57735026918962462</v>
      </c>
      <c r="AU61" s="216">
        <f t="shared" si="7"/>
        <v>0.8390996311772797</v>
      </c>
      <c r="AV61" s="316"/>
      <c r="AW61" s="316"/>
    </row>
    <row r="62" spans="5:49" ht="18.5" x14ac:dyDescent="0.45">
      <c r="E62" s="283" t="s">
        <v>635</v>
      </c>
      <c r="F62" s="283" t="s">
        <v>631</v>
      </c>
      <c r="G62" s="216">
        <f t="shared" ref="G62:AU62" si="8">SIN(G11)</f>
        <v>0</v>
      </c>
      <c r="H62" s="216">
        <f t="shared" si="8"/>
        <v>0.17364817766693033</v>
      </c>
      <c r="I62" s="216">
        <f t="shared" si="8"/>
        <v>0.34202014332566871</v>
      </c>
      <c r="J62" s="216">
        <f t="shared" si="8"/>
        <v>0.49999999999999994</v>
      </c>
      <c r="K62" s="216">
        <f t="shared" si="8"/>
        <v>0.64278760968653925</v>
      </c>
      <c r="L62" s="216">
        <f t="shared" si="8"/>
        <v>0.76604444311897801</v>
      </c>
      <c r="M62" s="216">
        <f t="shared" si="8"/>
        <v>0.8660254037844386</v>
      </c>
      <c r="N62" s="216">
        <f t="shared" si="8"/>
        <v>0.93969262078590832</v>
      </c>
      <c r="O62" s="216">
        <f t="shared" si="8"/>
        <v>0.98480775301220802</v>
      </c>
      <c r="P62" s="216">
        <f t="shared" si="8"/>
        <v>1</v>
      </c>
      <c r="Q62" s="216">
        <f t="shared" si="8"/>
        <v>0.98480775301220802</v>
      </c>
      <c r="R62" s="216">
        <f t="shared" si="8"/>
        <v>0.93969262078590843</v>
      </c>
      <c r="S62" s="216">
        <f t="shared" si="8"/>
        <v>0.86602540378443871</v>
      </c>
      <c r="T62" s="216">
        <f t="shared" si="8"/>
        <v>0.76604444311897801</v>
      </c>
      <c r="U62" s="216">
        <f t="shared" si="8"/>
        <v>0.64278760968653947</v>
      </c>
      <c r="V62" s="216">
        <f t="shared" si="8"/>
        <v>0.49999999999999994</v>
      </c>
      <c r="W62" s="216">
        <f t="shared" si="8"/>
        <v>0.34202014332566888</v>
      </c>
      <c r="X62" s="216">
        <f t="shared" si="8"/>
        <v>0.17364817766693028</v>
      </c>
      <c r="Y62" s="216">
        <f t="shared" si="8"/>
        <v>1.22514845490862E-16</v>
      </c>
      <c r="Z62" s="216">
        <f t="shared" si="8"/>
        <v>-0.17364817766693047</v>
      </c>
      <c r="AA62" s="216">
        <f t="shared" si="8"/>
        <v>-0.34202014332566866</v>
      </c>
      <c r="AB62" s="216">
        <f t="shared" si="8"/>
        <v>-0.50000000000000011</v>
      </c>
      <c r="AC62" s="216">
        <f t="shared" si="8"/>
        <v>-0.64278760968653925</v>
      </c>
      <c r="AD62" s="216">
        <f t="shared" si="8"/>
        <v>-0.7660444431189779</v>
      </c>
      <c r="AE62" s="216">
        <f t="shared" si="8"/>
        <v>-0.86602540378443837</v>
      </c>
      <c r="AF62" s="216">
        <f t="shared" si="8"/>
        <v>-0.93969262078590821</v>
      </c>
      <c r="AG62" s="216">
        <f t="shared" si="8"/>
        <v>-0.98480775301220802</v>
      </c>
      <c r="AH62" s="216">
        <f t="shared" si="8"/>
        <v>-1</v>
      </c>
      <c r="AI62" s="216">
        <f t="shared" si="8"/>
        <v>-0.98480775301220813</v>
      </c>
      <c r="AJ62" s="216">
        <f t="shared" si="8"/>
        <v>-0.93969262078590854</v>
      </c>
      <c r="AK62" s="216">
        <f t="shared" si="8"/>
        <v>-0.8660254037844386</v>
      </c>
      <c r="AL62" s="216">
        <f t="shared" si="8"/>
        <v>-0.76604444311897812</v>
      </c>
      <c r="AM62" s="216">
        <f t="shared" si="8"/>
        <v>-0.64278760968653958</v>
      </c>
      <c r="AN62" s="216">
        <f t="shared" si="8"/>
        <v>-0.50000000000000044</v>
      </c>
      <c r="AO62" s="216">
        <f t="shared" si="8"/>
        <v>-0.3420201433256686</v>
      </c>
      <c r="AP62" s="216">
        <f t="shared" si="8"/>
        <v>-0.17364817766693127</v>
      </c>
      <c r="AQ62" s="216">
        <f t="shared" si="8"/>
        <v>-2.45029690981724E-16</v>
      </c>
      <c r="AR62" s="216">
        <f t="shared" si="8"/>
        <v>0.17364817766692991</v>
      </c>
      <c r="AS62" s="216">
        <f t="shared" si="8"/>
        <v>0.34202014332566893</v>
      </c>
      <c r="AT62" s="216">
        <f t="shared" si="8"/>
        <v>0.49999999999999928</v>
      </c>
      <c r="AU62" s="216">
        <f t="shared" si="8"/>
        <v>0.64278760968653914</v>
      </c>
      <c r="AV62" s="316"/>
      <c r="AW62" s="316"/>
    </row>
    <row r="91" spans="5:18" ht="15" thickBot="1" x14ac:dyDescent="0.4"/>
    <row r="92" spans="5:18" ht="27" customHeight="1" thickBot="1" x14ac:dyDescent="0.4">
      <c r="E92" s="391" t="s">
        <v>654</v>
      </c>
      <c r="F92" s="355" t="s">
        <v>653</v>
      </c>
      <c r="G92" s="355" t="s">
        <v>659</v>
      </c>
      <c r="H92" s="355" t="s">
        <v>655</v>
      </c>
      <c r="I92" s="355" t="s">
        <v>656</v>
      </c>
      <c r="J92" s="355" t="s">
        <v>657</v>
      </c>
      <c r="K92" s="355" t="s">
        <v>664</v>
      </c>
      <c r="L92" s="418" t="s">
        <v>660</v>
      </c>
      <c r="M92" s="418"/>
      <c r="N92" s="418"/>
      <c r="O92" s="419"/>
      <c r="P92" s="420" t="s">
        <v>66</v>
      </c>
      <c r="Q92" s="421"/>
      <c r="R92" s="422"/>
    </row>
    <row r="93" spans="5:18" s="65" customFormat="1" ht="34" customHeight="1" x14ac:dyDescent="0.35">
      <c r="E93" s="352">
        <v>45</v>
      </c>
      <c r="F93" s="392" t="s">
        <v>299</v>
      </c>
      <c r="G93" s="393" t="str">
        <f>IF($P$92=$K$3,IF(F93=$L$3,RADIANS(E93),E93),"")</f>
        <v/>
      </c>
      <c r="H93" s="353" t="str">
        <f>IF($P$92=$K$3,SIN(G93),"")</f>
        <v/>
      </c>
      <c r="I93" s="353" t="str">
        <f>IF($P$92=$K$3,COS(G93),"")</f>
        <v/>
      </c>
      <c r="J93" s="353" t="str">
        <f>IF($P$92=$K$3,TAN(G93),"")</f>
        <v/>
      </c>
      <c r="K93" s="394" t="str">
        <f>IF($P$92=$K$3,IF(F93=$L$4,DEGREES(E93),E93),"")</f>
        <v/>
      </c>
    </row>
    <row r="94" spans="5:18" s="65" customFormat="1" ht="34" customHeight="1" x14ac:dyDescent="0.35">
      <c r="E94" s="352" t="s">
        <v>658</v>
      </c>
      <c r="F94" s="392" t="s">
        <v>301</v>
      </c>
      <c r="G94" s="393" t="str">
        <f>IF($P$92=$K$3,2*PI(),"")</f>
        <v/>
      </c>
      <c r="H94" s="353" t="str">
        <f t="shared" ref="H94:H96" si="9">IF($P$92=$K$3,SIN(G94),"")</f>
        <v/>
      </c>
      <c r="I94" s="353" t="str">
        <f t="shared" ref="I94:I96" si="10">IF($P$92=$K$3,COS(G94),"")</f>
        <v/>
      </c>
      <c r="J94" s="353" t="str">
        <f t="shared" ref="J94:J96" si="11">IF($P$92=$K$3,TAN(G94),"")</f>
        <v/>
      </c>
      <c r="K94" s="394" t="str">
        <f>IF($P$92=$K$3,IF(F94=$L$4,DEGREES(2*PI()),2*PI()),"")</f>
        <v/>
      </c>
    </row>
    <row r="95" spans="5:18" s="65" customFormat="1" ht="34" customHeight="1" x14ac:dyDescent="0.35">
      <c r="E95" s="352">
        <v>-3.14</v>
      </c>
      <c r="F95" s="392" t="s">
        <v>301</v>
      </c>
      <c r="G95" s="393" t="str">
        <f>IF($P$92=$K$3,IF(F95=$L$3,RADIANS(E95),E95),"")</f>
        <v/>
      </c>
      <c r="H95" s="353" t="str">
        <f t="shared" si="9"/>
        <v/>
      </c>
      <c r="I95" s="353" t="str">
        <f t="shared" si="10"/>
        <v/>
      </c>
      <c r="J95" s="353" t="str">
        <f t="shared" si="11"/>
        <v/>
      </c>
      <c r="K95" s="394" t="str">
        <f t="shared" ref="K95:K96" si="12">IF($P$92=$K$3,IF(F95=$L$4,DEGREES(E95),E95),"")</f>
        <v/>
      </c>
    </row>
    <row r="96" spans="5:18" s="65" customFormat="1" ht="34" customHeight="1" x14ac:dyDescent="0.35">
      <c r="E96" s="352">
        <v>-30</v>
      </c>
      <c r="F96" s="392" t="s">
        <v>299</v>
      </c>
      <c r="G96" s="393" t="str">
        <f>IF($P$92=$K$3,IF(F96=$L$3,RADIANS(E96),E96),"")</f>
        <v/>
      </c>
      <c r="H96" s="353" t="str">
        <f t="shared" si="9"/>
        <v/>
      </c>
      <c r="I96" s="353" t="str">
        <f t="shared" si="10"/>
        <v/>
      </c>
      <c r="J96" s="353" t="str">
        <f t="shared" si="11"/>
        <v/>
      </c>
      <c r="K96" s="394" t="str">
        <f t="shared" si="12"/>
        <v/>
      </c>
    </row>
    <row r="100" spans="5:11" ht="30" customHeight="1" x14ac:dyDescent="0.35">
      <c r="E100" s="96"/>
      <c r="F100" s="96"/>
      <c r="G100" s="354" t="s">
        <v>664</v>
      </c>
      <c r="H100" s="354" t="s">
        <v>659</v>
      </c>
    </row>
    <row r="101" spans="5:11" ht="32.5" customHeight="1" x14ac:dyDescent="0.35">
      <c r="E101" s="355" t="s">
        <v>661</v>
      </c>
      <c r="F101" s="352">
        <v>0.25</v>
      </c>
      <c r="G101" s="357" t="str">
        <f>IF($P$92=$K$3,DEGREES(ASIN(F101)),"")</f>
        <v/>
      </c>
      <c r="H101" s="356" t="str">
        <f>IF($P$92=$K$3,ASIN(F101),"")</f>
        <v/>
      </c>
    </row>
    <row r="102" spans="5:11" ht="32.5" customHeight="1" x14ac:dyDescent="0.35">
      <c r="E102" s="355" t="s">
        <v>661</v>
      </c>
      <c r="F102" s="352">
        <v>-0.5</v>
      </c>
      <c r="G102" s="357" t="str">
        <f>IF($P$92=$K$3,DEGREES(ASIN(F102)),"")</f>
        <v/>
      </c>
      <c r="H102" s="356" t="str">
        <f>IF($P$92=$K$3,ASIN(F102),"")</f>
        <v/>
      </c>
    </row>
    <row r="103" spans="5:11" ht="32.5" customHeight="1" x14ac:dyDescent="0.35">
      <c r="E103" s="355" t="s">
        <v>662</v>
      </c>
      <c r="F103" s="352">
        <v>-0.5</v>
      </c>
      <c r="G103" s="357" t="str">
        <f>IF($P$92=$K$3,DEGREES(ACOS(F103)),"")</f>
        <v/>
      </c>
      <c r="H103" s="356" t="str">
        <f>IF($P$92=$K$3,ACOS(F103),"")</f>
        <v/>
      </c>
    </row>
    <row r="104" spans="5:11" ht="32.5" customHeight="1" x14ac:dyDescent="0.35">
      <c r="E104" s="355" t="s">
        <v>662</v>
      </c>
      <c r="F104" s="352">
        <f>1/SQRT(2)</f>
        <v>0.70710678118654746</v>
      </c>
      <c r="G104" s="357" t="str">
        <f>IF($P$92=$K$3,DEGREES(ACOS(F104)),"")</f>
        <v/>
      </c>
      <c r="H104" s="356" t="str">
        <f>IF($P$92=$K$3,ACOS(F104),"")</f>
        <v/>
      </c>
    </row>
    <row r="105" spans="5:11" ht="32.5" customHeight="1" x14ac:dyDescent="0.35">
      <c r="E105" s="355" t="s">
        <v>663</v>
      </c>
      <c r="F105" s="352">
        <v>50</v>
      </c>
      <c r="G105" s="357" t="str">
        <f>IF($P$92=$K$3,DEGREES(ATAN(F105)),"")</f>
        <v/>
      </c>
      <c r="H105" s="356" t="str">
        <f>IF($P$92=$K$3,ATAN(F105),"")</f>
        <v/>
      </c>
    </row>
    <row r="106" spans="5:11" ht="32.5" customHeight="1" x14ac:dyDescent="0.35">
      <c r="E106" s="355" t="s">
        <v>663</v>
      </c>
      <c r="F106" s="352">
        <v>0.25</v>
      </c>
      <c r="G106" s="357" t="str">
        <f>IF($P$92=$K$3,DEGREES(ATAN(F106)),"")</f>
        <v/>
      </c>
      <c r="H106" s="356" t="str">
        <f>IF($P$92=$K$3,ATAN(F106),"")</f>
        <v/>
      </c>
    </row>
    <row r="110" spans="5:11" ht="26.5" thickBot="1" x14ac:dyDescent="0.65">
      <c r="E110" s="358" t="s">
        <v>665</v>
      </c>
      <c r="F110" s="358"/>
      <c r="H110" s="359" t="s">
        <v>822</v>
      </c>
    </row>
    <row r="111" spans="5:11" x14ac:dyDescent="0.35">
      <c r="E111" s="371" t="s">
        <v>666</v>
      </c>
      <c r="F111" s="12">
        <v>5</v>
      </c>
      <c r="G111" s="12" t="s">
        <v>714</v>
      </c>
      <c r="H111" s="12" t="s">
        <v>717</v>
      </c>
      <c r="I111" s="372">
        <f>F111*VLOOKUP(G111, CHOOSE({1,2,3,4}, Einheitenvorsätze!A:A, Einheitenvorsätze!B:B, Einheitenvorsätze!C:C, Einheitenvorsätze!D:D), 3, FALSE)</f>
        <v>0.05</v>
      </c>
      <c r="J111" s="372" t="str">
        <f>H111</f>
        <v>m</v>
      </c>
      <c r="K111" s="373" t="str">
        <f>_xlfn.CONCAT(F111," * ",VLOOKUP(G111, CHOOSE({1,2,3,4}, Einheitenvorsätze!A:A, Einheitenvorsätze!B:B, Einheitenvorsätze!C:C, Einheitenvorsätze!D:D), 4, FALSE),H111)</f>
        <v>5 * 10⁻²m</v>
      </c>
    </row>
    <row r="112" spans="5:11" x14ac:dyDescent="0.35">
      <c r="E112" s="268" t="s">
        <v>667</v>
      </c>
      <c r="F112" s="4">
        <v>0.6</v>
      </c>
      <c r="G112" s="4" t="s">
        <v>708</v>
      </c>
      <c r="H112" s="4" t="s">
        <v>749</v>
      </c>
      <c r="I112" s="81">
        <f>F112*VLOOKUP(G112, CHOOSE({1,2,3,4}, Einheitenvorsätze!A:A, Einheitenvorsätze!B:B, Einheitenvorsätze!C:C, Einheitenvorsätze!D:D), 3, FALSE)</f>
        <v>0.6</v>
      </c>
      <c r="J112" s="81" t="str">
        <f t="shared" ref="J112:J113" si="13">H112</f>
        <v>Hz</v>
      </c>
      <c r="K112" s="272" t="str">
        <f>_xlfn.CONCAT(F112," * ",VLOOKUP(G112, CHOOSE({1,2,3,4}, Einheitenvorsätze!A:A, Einheitenvorsätze!B:B, Einheitenvorsätze!C:C, Einheitenvorsätze!D:D), 4, FALSE),H112)</f>
        <v>0.6 * 10⁰Hz</v>
      </c>
    </row>
    <row r="113" spans="4:11" ht="15" thickBot="1" x14ac:dyDescent="0.4">
      <c r="E113" s="374" t="s">
        <v>668</v>
      </c>
      <c r="F113" s="14">
        <v>6.2</v>
      </c>
      <c r="G113" s="14" t="s">
        <v>708</v>
      </c>
      <c r="H113" s="14" t="s">
        <v>746</v>
      </c>
      <c r="I113" s="375">
        <f>F113*VLOOKUP(G113, CHOOSE({1,2,3,4}, Einheitenvorsätze!A:A, Einheitenvorsätze!B:B, Einheitenvorsätze!C:C, Einheitenvorsätze!D:D), 3, FALSE)</f>
        <v>6.2</v>
      </c>
      <c r="J113" s="375" t="str">
        <f t="shared" si="13"/>
        <v>s</v>
      </c>
      <c r="K113" s="376" t="str">
        <f>_xlfn.CONCAT(F113," * ",VLOOKUP(G113, CHOOSE({1,2,3,4}, Einheitenvorsätze!A:A, Einheitenvorsätze!B:B, Einheitenvorsätze!C:C, Einheitenvorsätze!D:D), 4, FALSE),H113)</f>
        <v>6.2 * 10⁰s</v>
      </c>
    </row>
    <row r="116" spans="4:11" ht="18.5" x14ac:dyDescent="0.45">
      <c r="D116" s="172"/>
      <c r="E116" s="378" t="str">
        <f>_xlfn.CONCAT("y(",$K$113,") = ")</f>
        <v xml:space="preserve">y(6.2 * 10⁰s) = </v>
      </c>
      <c r="F116" s="379" t="str">
        <f>_xlfn.CONCAT(K111, " * sin(2",Einheitenvorsätze!$C$53," * ",K112," * ",K113,")")</f>
        <v>5 * 10⁻²m * sin(2π * 0.6 * 10⁰Hz * 6.2 * 10⁰s)</v>
      </c>
      <c r="G116" s="379"/>
      <c r="H116" s="172"/>
      <c r="I116" s="172"/>
    </row>
    <row r="117" spans="4:11" ht="18.5" x14ac:dyDescent="0.45">
      <c r="D117" s="172"/>
      <c r="E117" s="378" t="str">
        <f t="shared" ref="E117:E118" si="14">_xlfn.CONCAT("y(",$K$113,") = ")</f>
        <v xml:space="preserve">y(6.2 * 10⁰s) = </v>
      </c>
      <c r="F117" s="379" t="str">
        <f>_xlfn.CONCAT(I111, " * sin(2",Einheitenvorsätze!$C$53," * ",I112," * ",I113,")",H111)</f>
        <v>0.05 * sin(2π * 0.6 * 6.2)m</v>
      </c>
      <c r="G117" s="172"/>
      <c r="H117" s="172"/>
      <c r="I117" s="172"/>
    </row>
    <row r="118" spans="4:11" ht="23.5" x14ac:dyDescent="0.55000000000000004">
      <c r="D118" s="380"/>
      <c r="E118" s="381" t="str">
        <f t="shared" si="14"/>
        <v xml:space="preserve">y(6.2 * 10⁰s) = </v>
      </c>
      <c r="F118" s="382">
        <f>I111*SIN(MOD(2*PI()*I112*I113,2*PI()))</f>
        <v>-4.9114362536434426E-2</v>
      </c>
      <c r="G118" s="380" t="str">
        <f>H111</f>
        <v>m</v>
      </c>
      <c r="H118" s="380"/>
      <c r="I118" s="172"/>
      <c r="J118" s="70"/>
    </row>
    <row r="123" spans="4:11" ht="15" thickBot="1" x14ac:dyDescent="0.4"/>
    <row r="124" spans="4:11" x14ac:dyDescent="0.35">
      <c r="D124" s="265"/>
      <c r="E124" s="266" t="s">
        <v>829</v>
      </c>
      <c r="F124" s="387">
        <v>230</v>
      </c>
      <c r="G124" s="388" t="s">
        <v>321</v>
      </c>
    </row>
    <row r="125" spans="4:11" x14ac:dyDescent="0.35">
      <c r="D125" s="383"/>
      <c r="E125" s="8" t="s">
        <v>830</v>
      </c>
      <c r="F125" s="79">
        <v>50</v>
      </c>
      <c r="G125" s="389" t="s">
        <v>749</v>
      </c>
    </row>
    <row r="126" spans="4:11" x14ac:dyDescent="0.35">
      <c r="D126" s="383"/>
      <c r="E126" s="8" t="s">
        <v>831</v>
      </c>
      <c r="F126" s="216">
        <f>F124*SQRT(2)</f>
        <v>325.26911934581187</v>
      </c>
      <c r="G126" s="272" t="str">
        <f>G124</f>
        <v>V</v>
      </c>
    </row>
    <row r="127" spans="4:11" x14ac:dyDescent="0.35">
      <c r="D127" s="383"/>
      <c r="E127" s="8" t="s">
        <v>832</v>
      </c>
      <c r="F127" s="216">
        <f>F124</f>
        <v>230</v>
      </c>
      <c r="G127" s="272" t="str">
        <f>G124</f>
        <v>V</v>
      </c>
    </row>
    <row r="128" spans="4:11" x14ac:dyDescent="0.35">
      <c r="D128" s="383"/>
      <c r="E128" s="8" t="s">
        <v>833</v>
      </c>
      <c r="F128" s="216">
        <f>F125</f>
        <v>50</v>
      </c>
      <c r="G128" s="389" t="str">
        <f>G125</f>
        <v>Hz</v>
      </c>
    </row>
    <row r="129" spans="4:19" x14ac:dyDescent="0.35">
      <c r="D129" s="383"/>
      <c r="E129" s="8" t="s">
        <v>825</v>
      </c>
      <c r="F129" s="216">
        <f>1/F128</f>
        <v>0.02</v>
      </c>
      <c r="G129" s="389" t="s">
        <v>746</v>
      </c>
    </row>
    <row r="130" spans="4:19" x14ac:dyDescent="0.35">
      <c r="D130" s="383"/>
      <c r="E130" s="8" t="s">
        <v>826</v>
      </c>
      <c r="F130" s="216">
        <f>2*PI()*F125</f>
        <v>314.15926535897933</v>
      </c>
      <c r="G130" s="389" t="s">
        <v>834</v>
      </c>
    </row>
    <row r="131" spans="4:19" x14ac:dyDescent="0.35">
      <c r="D131" s="383"/>
      <c r="E131" s="8" t="s">
        <v>827</v>
      </c>
      <c r="F131" s="216">
        <f>I131*F129</f>
        <v>6000000</v>
      </c>
      <c r="G131" s="389" t="s">
        <v>717</v>
      </c>
      <c r="I131" s="423">
        <f>3*10^8</f>
        <v>300000000</v>
      </c>
      <c r="J131" s="424"/>
      <c r="K131" s="386" t="s">
        <v>835</v>
      </c>
      <c r="L131" s="5"/>
      <c r="M131" s="5"/>
      <c r="N131" s="5"/>
      <c r="O131" s="5"/>
      <c r="P131" s="5"/>
      <c r="Q131" s="5"/>
      <c r="R131" s="5"/>
      <c r="S131" s="5"/>
    </row>
    <row r="132" spans="4:19" ht="15" thickBot="1" x14ac:dyDescent="0.4">
      <c r="D132" s="384"/>
      <c r="E132" s="385" t="s">
        <v>828</v>
      </c>
      <c r="F132" s="390">
        <f>F126*SIN(2*PI()*F125*I132)</f>
        <v>-7.9700591799201791E-14</v>
      </c>
      <c r="G132" s="376" t="str">
        <f>G124</f>
        <v>V</v>
      </c>
      <c r="I132" s="423">
        <v>0.02</v>
      </c>
      <c r="J132" s="424"/>
      <c r="K132" s="386" t="s">
        <v>836</v>
      </c>
      <c r="L132" s="5"/>
      <c r="M132" s="5"/>
      <c r="N132" s="5"/>
      <c r="O132" s="5"/>
      <c r="P132" s="5"/>
      <c r="Q132" s="5"/>
      <c r="R132" s="5"/>
      <c r="S132" s="5"/>
    </row>
  </sheetData>
  <mergeCells count="4">
    <mergeCell ref="L92:O92"/>
    <mergeCell ref="P92:R92"/>
    <mergeCell ref="I131:J131"/>
    <mergeCell ref="I132:J132"/>
  </mergeCells>
  <dataValidations count="3">
    <dataValidation type="list" allowBlank="1" showInputMessage="1" showErrorMessage="1" sqref="F10 AZ10 F93:F96" xr:uid="{0301A70D-6277-4BB2-81B6-2BB5B814650B}">
      <formula1>$L$3:$L$4</formula1>
    </dataValidation>
    <dataValidation type="list" allowBlank="1" showInputMessage="1" showErrorMessage="1" sqref="AY10" xr:uid="{0C1E6814-736D-4D2F-9025-618FBD23A267}">
      <formula1>$G$10:$AU$10</formula1>
    </dataValidation>
    <dataValidation type="list" allowBlank="1" showInputMessage="1" showErrorMessage="1" sqref="D16:D17 AW12:AW13 AW16:AW17 P92:R92" xr:uid="{8FB8006F-A5AB-41B5-B544-F9B479F8D761}">
      <formula1>$K$3:$K$4</formula1>
    </dataValidation>
  </dataValidations>
  <pageMargins left="0.7" right="0.7" top="0.78740157499999996" bottom="0.78740157499999996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62098-7221-491F-804F-527C532EF40B}">
          <x14:formula1>
            <xm:f>Einheitenvorsätze!$A$7:$A$31</xm:f>
          </x14:formula1>
          <xm:sqref>G111:G113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983CD-95BD-4046-A0B0-33D8FE19B550}">
  <dimension ref="C1:AC20"/>
  <sheetViews>
    <sheetView showGridLines="0" zoomScale="70" zoomScaleNormal="70" workbookViewId="0">
      <selection activeCell="H16" sqref="H16"/>
    </sheetView>
  </sheetViews>
  <sheetFormatPr baseColWidth="10" defaultRowHeight="14.5" x14ac:dyDescent="0.35"/>
  <cols>
    <col min="1" max="1" width="3.81640625" customWidth="1"/>
    <col min="2" max="2" width="11.81640625" customWidth="1"/>
    <col min="3" max="3" width="19.81640625" customWidth="1"/>
    <col min="4" max="4" width="12.453125" customWidth="1"/>
    <col min="5" max="5" width="9.81640625" customWidth="1"/>
    <col min="6" max="6" width="12.453125" customWidth="1"/>
    <col min="7" max="7" width="9.81640625" customWidth="1"/>
    <col min="8" max="8" width="11.453125" customWidth="1"/>
    <col min="9" max="10" width="16" customWidth="1"/>
    <col min="11" max="11" width="15.54296875" customWidth="1"/>
    <col min="12" max="12" width="15" customWidth="1"/>
    <col min="13" max="13" width="17.81640625" customWidth="1"/>
    <col min="14" max="14" width="13" customWidth="1"/>
    <col min="19" max="19" width="16.453125" customWidth="1"/>
    <col min="20" max="20" width="16.81640625" customWidth="1"/>
  </cols>
  <sheetData>
    <row r="1" spans="3:29" ht="40" customHeight="1" x14ac:dyDescent="0.35"/>
    <row r="2" spans="3:29" ht="26" x14ac:dyDescent="0.6">
      <c r="C2" s="33" t="s">
        <v>332</v>
      </c>
      <c r="D2" s="33"/>
      <c r="L2" s="30"/>
      <c r="M2" s="95"/>
      <c r="R2" s="77" t="s">
        <v>235</v>
      </c>
      <c r="S2" s="77" t="s">
        <v>204</v>
      </c>
      <c r="T2" s="77" t="s">
        <v>212</v>
      </c>
      <c r="V2" s="77" t="s">
        <v>232</v>
      </c>
      <c r="W2" s="77"/>
      <c r="Y2" s="77" t="s">
        <v>231</v>
      </c>
      <c r="Z2" s="77"/>
      <c r="AA2" s="77"/>
      <c r="AB2" s="77"/>
      <c r="AC2" s="77"/>
    </row>
    <row r="3" spans="3:29" x14ac:dyDescent="0.35">
      <c r="R3" s="113" t="s">
        <v>236</v>
      </c>
      <c r="S3" s="5" t="s">
        <v>202</v>
      </c>
      <c r="T3" s="5" t="s">
        <v>213</v>
      </c>
      <c r="V3" s="78">
        <f>MIN(K14:L20)</f>
        <v>-20</v>
      </c>
      <c r="W3" s="78">
        <f>MAX(K14:L20)</f>
        <v>19.696155060244159</v>
      </c>
      <c r="Y3" s="5" t="s">
        <v>233</v>
      </c>
      <c r="Z3" s="5">
        <v>0</v>
      </c>
      <c r="AA3" s="5">
        <f>W5</f>
        <v>22</v>
      </c>
      <c r="AB3" s="5">
        <v>0</v>
      </c>
      <c r="AC3" s="5">
        <v>0</v>
      </c>
    </row>
    <row r="4" spans="3:29" x14ac:dyDescent="0.35">
      <c r="R4" s="113" t="s">
        <v>237</v>
      </c>
      <c r="S4" s="5" t="s">
        <v>203</v>
      </c>
      <c r="T4" s="5" t="s">
        <v>214</v>
      </c>
      <c r="V4" s="5">
        <f>ABS(V3)</f>
        <v>20</v>
      </c>
      <c r="W4" s="5">
        <f>ABS(W3)</f>
        <v>19.696155060244159</v>
      </c>
      <c r="Y4" s="5" t="s">
        <v>234</v>
      </c>
      <c r="Z4" s="5">
        <v>0</v>
      </c>
      <c r="AA4" s="5">
        <v>0</v>
      </c>
      <c r="AB4" s="5">
        <v>0</v>
      </c>
      <c r="AC4" s="5">
        <f>AA3</f>
        <v>22</v>
      </c>
    </row>
    <row r="5" spans="3:29" x14ac:dyDescent="0.35">
      <c r="R5" s="113" t="s">
        <v>238</v>
      </c>
      <c r="S5" s="5" t="s">
        <v>206</v>
      </c>
      <c r="T5" s="5" t="s">
        <v>215</v>
      </c>
      <c r="V5" s="5">
        <f>MAX(V4:W4)</f>
        <v>20</v>
      </c>
      <c r="W5" s="5">
        <f>V5*1.1</f>
        <v>22</v>
      </c>
    </row>
    <row r="6" spans="3:29" x14ac:dyDescent="0.35">
      <c r="R6" s="5" t="s">
        <v>261</v>
      </c>
      <c r="S6" s="5"/>
      <c r="T6" s="5" t="s">
        <v>216</v>
      </c>
    </row>
    <row r="7" spans="3:29" x14ac:dyDescent="0.35">
      <c r="R7" s="5" t="s">
        <v>64</v>
      </c>
      <c r="S7" s="5"/>
      <c r="T7" s="5"/>
    </row>
    <row r="8" spans="3:29" x14ac:dyDescent="0.35">
      <c r="R8" s="5"/>
      <c r="S8" s="5"/>
      <c r="T8" s="5"/>
    </row>
    <row r="12" spans="3:29" x14ac:dyDescent="0.35">
      <c r="C12" s="426" t="s">
        <v>217</v>
      </c>
      <c r="D12" s="426"/>
      <c r="E12" s="426"/>
      <c r="F12" s="426"/>
      <c r="G12" s="426"/>
      <c r="H12" s="60"/>
      <c r="I12" s="426" t="s">
        <v>218</v>
      </c>
      <c r="J12" s="426"/>
      <c r="K12" s="426" t="s">
        <v>213</v>
      </c>
      <c r="L12" s="426"/>
      <c r="M12" s="426" t="s">
        <v>219</v>
      </c>
      <c r="N12" s="426"/>
      <c r="O12" s="426"/>
      <c r="P12" s="425" t="s">
        <v>230</v>
      </c>
      <c r="Q12" s="425"/>
      <c r="R12" s="425"/>
      <c r="S12" s="425"/>
      <c r="T12" s="425" t="s">
        <v>262</v>
      </c>
      <c r="U12" s="425"/>
      <c r="V12" s="425"/>
      <c r="W12" s="425"/>
    </row>
    <row r="13" spans="3:29" x14ac:dyDescent="0.35">
      <c r="C13" s="104" t="s">
        <v>197</v>
      </c>
      <c r="D13" s="104" t="s">
        <v>199</v>
      </c>
      <c r="E13" s="104" t="s">
        <v>198</v>
      </c>
      <c r="F13" s="104" t="s">
        <v>200</v>
      </c>
      <c r="G13" s="104" t="s">
        <v>201</v>
      </c>
      <c r="H13" s="104" t="s">
        <v>235</v>
      </c>
      <c r="I13" s="104" t="s">
        <v>212</v>
      </c>
      <c r="J13" s="104" t="s">
        <v>209</v>
      </c>
      <c r="K13" s="104" t="s">
        <v>210</v>
      </c>
      <c r="L13" s="104" t="s">
        <v>211</v>
      </c>
      <c r="M13" s="104" t="s">
        <v>207</v>
      </c>
      <c r="N13" s="104" t="s">
        <v>208</v>
      </c>
      <c r="O13" s="104" t="s">
        <v>209</v>
      </c>
      <c r="P13" s="104" t="s">
        <v>226</v>
      </c>
      <c r="Q13" s="104" t="s">
        <v>227</v>
      </c>
      <c r="R13" s="104" t="s">
        <v>228</v>
      </c>
      <c r="S13" s="104" t="s">
        <v>229</v>
      </c>
      <c r="T13" s="104" t="s">
        <v>226</v>
      </c>
      <c r="U13" s="104" t="s">
        <v>227</v>
      </c>
      <c r="V13" s="104" t="s">
        <v>228</v>
      </c>
      <c r="W13" s="104" t="s">
        <v>229</v>
      </c>
    </row>
    <row r="14" spans="3:29" x14ac:dyDescent="0.35">
      <c r="C14" s="4" t="s">
        <v>205</v>
      </c>
      <c r="D14" s="4">
        <v>10</v>
      </c>
      <c r="E14" s="96" t="s">
        <v>206</v>
      </c>
      <c r="F14" s="4">
        <v>5</v>
      </c>
      <c r="G14" s="4" t="s">
        <v>206</v>
      </c>
      <c r="H14" s="107"/>
      <c r="I14" s="5" t="str">
        <f>IF(AND(E14=$S$5,G14=$S$5),$T$3,IF(AND(E14=$S$5,G14=$S$4),$T$4,IF(AND(E14=$S$5,G14=$S$3),$T$5,$T$6)))</f>
        <v>Kartesisch</v>
      </c>
      <c r="J14" s="78" t="str">
        <f>IF(I14=$T$5,F14*PI()/180,IF(I14=$T$4,F14,""))</f>
        <v/>
      </c>
      <c r="K14" s="105">
        <f>IF(I14=$T$3,D14,D14*COS(J14))</f>
        <v>10</v>
      </c>
      <c r="L14" s="105">
        <f>IF(I14=$T$3,F14,D14*SIN(J14))</f>
        <v>5</v>
      </c>
      <c r="M14" s="106">
        <f>SQRT(K14^2 + L14^2)</f>
        <v>11.180339887498949</v>
      </c>
      <c r="N14" s="106">
        <f>DEGREES(ATAN2(K14,L14))</f>
        <v>26.56505117707799</v>
      </c>
      <c r="O14" s="106">
        <f>ATAN2(K14,L14)</f>
        <v>0.46364760900080609</v>
      </c>
      <c r="P14" s="78">
        <v>0</v>
      </c>
      <c r="Q14" s="78">
        <f>K14</f>
        <v>10</v>
      </c>
      <c r="R14" s="78">
        <v>0</v>
      </c>
      <c r="S14" s="78">
        <f>L14</f>
        <v>5</v>
      </c>
      <c r="T14" s="114"/>
      <c r="U14" s="114"/>
      <c r="V14" s="114"/>
      <c r="W14" s="114"/>
    </row>
    <row r="15" spans="3:29" x14ac:dyDescent="0.35">
      <c r="C15" s="4" t="s">
        <v>220</v>
      </c>
      <c r="D15" s="4">
        <v>10</v>
      </c>
      <c r="E15" s="96" t="s">
        <v>206</v>
      </c>
      <c r="F15" s="4">
        <v>-12</v>
      </c>
      <c r="G15" s="4" t="s">
        <v>206</v>
      </c>
      <c r="H15" s="108" t="s">
        <v>236</v>
      </c>
      <c r="I15" s="5" t="str">
        <f t="shared" ref="I15:I20" si="0">IF(AND(E15=$S$5,G15=$S$5),$T$3,IF(AND(E15=$S$5,G15=$S$4),$T$4,IF(AND(E15=$S$5,G15=$S$3),$T$5,$T$6)))</f>
        <v>Kartesisch</v>
      </c>
      <c r="J15" s="78" t="str">
        <f t="shared" ref="J15:J20" si="1">IF(I15=$T$5,F15*PI()/180,IF(I15=$T$4,F15,""))</f>
        <v/>
      </c>
      <c r="K15" s="105">
        <f t="shared" ref="K15:K20" si="2">IF(I15=$T$3,D15,D15*COS(J15))</f>
        <v>10</v>
      </c>
      <c r="L15" s="105">
        <f t="shared" ref="L15:L20" si="3">IF(I15=$T$3,F15,D15*SIN(J15))</f>
        <v>-12</v>
      </c>
      <c r="M15" s="106">
        <f t="shared" ref="M15:M20" si="4">SQRT(K15^2 + L15^2)</f>
        <v>15.620499351813308</v>
      </c>
      <c r="N15" s="106">
        <f t="shared" ref="N15:N20" si="5">DEGREES(ATAN2(K15,L15))</f>
        <v>-50.19442890773481</v>
      </c>
      <c r="O15" s="106">
        <f t="shared" ref="O15:O20" si="6">ATAN2(K15,L15)</f>
        <v>-0.87605805059819342</v>
      </c>
      <c r="P15" s="78">
        <f t="shared" ref="P15:P20" si="7">IF(H15=$R$6,0,IF(H15=$R$3,Q14,0))</f>
        <v>10</v>
      </c>
      <c r="Q15" s="78">
        <f t="shared" ref="Q15:Q20" si="8">IF(H15=$R$6,0,IF(H15=$R$3,K15+Q14,K15))</f>
        <v>20</v>
      </c>
      <c r="R15" s="78">
        <f t="shared" ref="R15:R20" si="9">IF(H15=$R$6,0,IF(H15=$R$3,S14,0))</f>
        <v>5</v>
      </c>
      <c r="S15" s="78">
        <f t="shared" ref="S15:S20" si="10">IF(H15=$R$6,0,IF(H15=$R$3,S14+L15,L15))</f>
        <v>-7</v>
      </c>
      <c r="T15" s="78">
        <v>0</v>
      </c>
      <c r="U15" s="78">
        <v>0</v>
      </c>
      <c r="V15" s="78">
        <f t="shared" ref="V15:V20" si="11">IF(P15&lt;&gt;0,Q15,0)</f>
        <v>20</v>
      </c>
      <c r="W15" s="78">
        <f t="shared" ref="W15:W20" si="12">IF(R15&lt;&gt;0,S15,0)</f>
        <v>-7</v>
      </c>
    </row>
    <row r="16" spans="3:29" x14ac:dyDescent="0.35">
      <c r="C16" s="4" t="s">
        <v>221</v>
      </c>
      <c r="D16" s="4">
        <v>-8</v>
      </c>
      <c r="E16" s="96" t="s">
        <v>206</v>
      </c>
      <c r="F16" s="4">
        <v>15</v>
      </c>
      <c r="G16" s="4" t="s">
        <v>206</v>
      </c>
      <c r="H16" s="108" t="s">
        <v>236</v>
      </c>
      <c r="I16" s="5" t="str">
        <f t="shared" si="0"/>
        <v>Kartesisch</v>
      </c>
      <c r="J16" s="78" t="str">
        <f t="shared" si="1"/>
        <v/>
      </c>
      <c r="K16" s="105">
        <f t="shared" si="2"/>
        <v>-8</v>
      </c>
      <c r="L16" s="105">
        <f t="shared" si="3"/>
        <v>15</v>
      </c>
      <c r="M16" s="106">
        <f t="shared" si="4"/>
        <v>17</v>
      </c>
      <c r="N16" s="106">
        <f t="shared" si="5"/>
        <v>118.07248693585296</v>
      </c>
      <c r="O16" s="106">
        <f t="shared" si="6"/>
        <v>2.060753653048625</v>
      </c>
      <c r="P16" s="78">
        <f t="shared" si="7"/>
        <v>20</v>
      </c>
      <c r="Q16" s="78">
        <f t="shared" si="8"/>
        <v>12</v>
      </c>
      <c r="R16" s="78">
        <f t="shared" si="9"/>
        <v>-7</v>
      </c>
      <c r="S16" s="78">
        <f t="shared" si="10"/>
        <v>8</v>
      </c>
      <c r="T16" s="78">
        <v>0</v>
      </c>
      <c r="U16" s="78">
        <v>0</v>
      </c>
      <c r="V16" s="78">
        <f t="shared" si="11"/>
        <v>12</v>
      </c>
      <c r="W16" s="78">
        <f t="shared" si="12"/>
        <v>8</v>
      </c>
    </row>
    <row r="17" spans="3:23" x14ac:dyDescent="0.35">
      <c r="C17" s="4" t="s">
        <v>222</v>
      </c>
      <c r="D17" s="4">
        <v>-10</v>
      </c>
      <c r="E17" s="96" t="s">
        <v>206</v>
      </c>
      <c r="F17" s="4">
        <v>-20</v>
      </c>
      <c r="G17" s="4" t="s">
        <v>206</v>
      </c>
      <c r="H17" s="108" t="s">
        <v>261</v>
      </c>
      <c r="I17" s="5" t="str">
        <f t="shared" si="0"/>
        <v>Kartesisch</v>
      </c>
      <c r="J17" s="78" t="str">
        <f t="shared" si="1"/>
        <v/>
      </c>
      <c r="K17" s="105">
        <f t="shared" si="2"/>
        <v>-10</v>
      </c>
      <c r="L17" s="105">
        <f t="shared" si="3"/>
        <v>-20</v>
      </c>
      <c r="M17" s="106">
        <f t="shared" si="4"/>
        <v>22.360679774997898</v>
      </c>
      <c r="N17" s="106">
        <f t="shared" si="5"/>
        <v>-116.56505117707799</v>
      </c>
      <c r="O17" s="106">
        <f t="shared" si="6"/>
        <v>-2.0344439357957027</v>
      </c>
      <c r="P17" s="78">
        <f t="shared" si="7"/>
        <v>0</v>
      </c>
      <c r="Q17" s="78">
        <f t="shared" si="8"/>
        <v>0</v>
      </c>
      <c r="R17" s="78">
        <f t="shared" si="9"/>
        <v>0</v>
      </c>
      <c r="S17" s="78">
        <f t="shared" si="10"/>
        <v>0</v>
      </c>
      <c r="T17" s="78">
        <v>0</v>
      </c>
      <c r="U17" s="78">
        <v>0</v>
      </c>
      <c r="V17" s="78">
        <f t="shared" si="11"/>
        <v>0</v>
      </c>
      <c r="W17" s="78">
        <f t="shared" si="12"/>
        <v>0</v>
      </c>
    </row>
    <row r="18" spans="3:23" x14ac:dyDescent="0.35">
      <c r="C18" s="4" t="s">
        <v>223</v>
      </c>
      <c r="D18" s="4">
        <v>20</v>
      </c>
      <c r="E18" s="96" t="s">
        <v>206</v>
      </c>
      <c r="F18" s="4">
        <v>100</v>
      </c>
      <c r="G18" s="4" t="s">
        <v>202</v>
      </c>
      <c r="H18" s="108" t="s">
        <v>261</v>
      </c>
      <c r="I18" s="5" t="str">
        <f t="shared" si="0"/>
        <v>Polar [°]</v>
      </c>
      <c r="J18" s="78">
        <f t="shared" si="1"/>
        <v>1.7453292519943295</v>
      </c>
      <c r="K18" s="105">
        <f t="shared" si="2"/>
        <v>-3.4729635533386061</v>
      </c>
      <c r="L18" s="105">
        <f t="shared" si="3"/>
        <v>19.696155060244159</v>
      </c>
      <c r="M18" s="106">
        <f t="shared" si="4"/>
        <v>19.999999999999996</v>
      </c>
      <c r="N18" s="106">
        <f t="shared" si="5"/>
        <v>100</v>
      </c>
      <c r="O18" s="106">
        <f t="shared" si="6"/>
        <v>1.7453292519943295</v>
      </c>
      <c r="P18" s="78">
        <f t="shared" si="7"/>
        <v>0</v>
      </c>
      <c r="Q18" s="78">
        <f t="shared" si="8"/>
        <v>0</v>
      </c>
      <c r="R18" s="78">
        <f t="shared" si="9"/>
        <v>0</v>
      </c>
      <c r="S18" s="78">
        <f t="shared" si="10"/>
        <v>0</v>
      </c>
      <c r="T18" s="78">
        <v>0</v>
      </c>
      <c r="U18" s="78">
        <v>0</v>
      </c>
      <c r="V18" s="78">
        <f t="shared" si="11"/>
        <v>0</v>
      </c>
      <c r="W18" s="78">
        <f t="shared" si="12"/>
        <v>0</v>
      </c>
    </row>
    <row r="19" spans="3:23" x14ac:dyDescent="0.35">
      <c r="C19" s="4" t="s">
        <v>224</v>
      </c>
      <c r="D19" s="4">
        <v>20</v>
      </c>
      <c r="E19" s="96" t="s">
        <v>206</v>
      </c>
      <c r="F19" s="4">
        <v>180</v>
      </c>
      <c r="G19" s="4" t="s">
        <v>202</v>
      </c>
      <c r="H19" s="108" t="s">
        <v>261</v>
      </c>
      <c r="I19" s="5" t="str">
        <f t="shared" si="0"/>
        <v>Polar [°]</v>
      </c>
      <c r="J19" s="78">
        <f t="shared" si="1"/>
        <v>3.1415926535897931</v>
      </c>
      <c r="K19" s="105">
        <f t="shared" si="2"/>
        <v>-20</v>
      </c>
      <c r="L19" s="105">
        <f t="shared" si="3"/>
        <v>2.45029690981724E-15</v>
      </c>
      <c r="M19" s="106">
        <f t="shared" si="4"/>
        <v>20</v>
      </c>
      <c r="N19" s="106">
        <f t="shared" si="5"/>
        <v>180</v>
      </c>
      <c r="O19" s="106">
        <f t="shared" si="6"/>
        <v>3.1415926535897931</v>
      </c>
      <c r="P19" s="78">
        <f t="shared" si="7"/>
        <v>0</v>
      </c>
      <c r="Q19" s="78">
        <f t="shared" si="8"/>
        <v>0</v>
      </c>
      <c r="R19" s="78">
        <f t="shared" si="9"/>
        <v>0</v>
      </c>
      <c r="S19" s="78">
        <f t="shared" si="10"/>
        <v>0</v>
      </c>
      <c r="T19" s="78">
        <v>0</v>
      </c>
      <c r="U19" s="78">
        <v>0</v>
      </c>
      <c r="V19" s="78">
        <f t="shared" si="11"/>
        <v>0</v>
      </c>
      <c r="W19" s="78">
        <f t="shared" si="12"/>
        <v>0</v>
      </c>
    </row>
    <row r="20" spans="3:23" x14ac:dyDescent="0.35">
      <c r="C20" s="4" t="s">
        <v>225</v>
      </c>
      <c r="D20" s="4">
        <v>20</v>
      </c>
      <c r="E20" s="96" t="s">
        <v>206</v>
      </c>
      <c r="F20" s="4">
        <v>6.5</v>
      </c>
      <c r="G20" s="4" t="s">
        <v>203</v>
      </c>
      <c r="H20" s="108" t="s">
        <v>261</v>
      </c>
      <c r="I20" s="5" t="str">
        <f t="shared" si="0"/>
        <v>Polar [rad]</v>
      </c>
      <c r="J20" s="78">
        <f t="shared" si="1"/>
        <v>6.5</v>
      </c>
      <c r="K20" s="105">
        <f t="shared" si="2"/>
        <v>19.53175251456047</v>
      </c>
      <c r="L20" s="105">
        <f t="shared" si="3"/>
        <v>4.3023997617563108</v>
      </c>
      <c r="M20" s="106">
        <f t="shared" si="4"/>
        <v>20</v>
      </c>
      <c r="N20" s="106">
        <f t="shared" si="5"/>
        <v>12.422566835035086</v>
      </c>
      <c r="O20" s="106">
        <f t="shared" si="6"/>
        <v>0.21681469282041352</v>
      </c>
      <c r="P20" s="78">
        <f t="shared" si="7"/>
        <v>0</v>
      </c>
      <c r="Q20" s="78">
        <f t="shared" si="8"/>
        <v>0</v>
      </c>
      <c r="R20" s="78">
        <f t="shared" si="9"/>
        <v>0</v>
      </c>
      <c r="S20" s="78">
        <f t="shared" si="10"/>
        <v>0</v>
      </c>
      <c r="T20" s="78">
        <v>0</v>
      </c>
      <c r="U20" s="78">
        <v>0</v>
      </c>
      <c r="V20" s="78">
        <f t="shared" si="11"/>
        <v>0</v>
      </c>
      <c r="W20" s="78">
        <f t="shared" si="12"/>
        <v>0</v>
      </c>
    </row>
  </sheetData>
  <mergeCells count="6">
    <mergeCell ref="T12:W12"/>
    <mergeCell ref="C12:G12"/>
    <mergeCell ref="K12:L12"/>
    <mergeCell ref="I12:J12"/>
    <mergeCell ref="M12:O12"/>
    <mergeCell ref="P12:S12"/>
  </mergeCells>
  <phoneticPr fontId="37" type="noConversion"/>
  <dataValidations count="2">
    <dataValidation type="list" allowBlank="1" showInputMessage="1" showErrorMessage="1" sqref="G14:G20" xr:uid="{9C4F05FB-CC72-4E7F-A544-E90FF225C3DB}">
      <formula1>$S$3:$S$5</formula1>
    </dataValidation>
    <dataValidation type="list" allowBlank="1" showInputMessage="1" showErrorMessage="1" sqref="H15:H20" xr:uid="{40622481-077B-49B4-B56E-6E260D8C4BBC}">
      <formula1>$R$3:$R$7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28866-E643-498C-AE8F-3008A8B56B76}">
  <dimension ref="B1:BB46"/>
  <sheetViews>
    <sheetView showGridLines="0" zoomScaleNormal="100" workbookViewId="0">
      <selection activeCell="C2" sqref="C2"/>
    </sheetView>
  </sheetViews>
  <sheetFormatPr baseColWidth="10" defaultRowHeight="14.5" x14ac:dyDescent="0.35"/>
  <cols>
    <col min="1" max="1" width="3.26953125" customWidth="1"/>
    <col min="2" max="2" width="9.81640625" customWidth="1"/>
    <col min="10" max="11" width="4.453125" customWidth="1"/>
    <col min="12" max="15" width="8.81640625" style="222" customWidth="1"/>
    <col min="16" max="16" width="3.54296875" style="222" customWidth="1"/>
    <col min="17" max="21" width="5.54296875" style="222" customWidth="1"/>
  </cols>
  <sheetData>
    <row r="1" spans="2:21" ht="40" customHeight="1" x14ac:dyDescent="0.35"/>
    <row r="2" spans="2:21" ht="23.5" x14ac:dyDescent="0.55000000000000004">
      <c r="C2" s="11" t="s">
        <v>852</v>
      </c>
      <c r="M2" s="221"/>
    </row>
    <row r="3" spans="2:21" ht="12" customHeight="1" x14ac:dyDescent="0.55000000000000004">
      <c r="B3" s="11"/>
      <c r="M3" s="221"/>
    </row>
    <row r="4" spans="2:21" ht="12" customHeight="1" x14ac:dyDescent="0.55000000000000004">
      <c r="B4" s="11"/>
      <c r="M4" s="221"/>
    </row>
    <row r="5" spans="2:21" x14ac:dyDescent="0.35">
      <c r="C5" s="214" t="s">
        <v>414</v>
      </c>
      <c r="D5" s="213"/>
      <c r="E5" s="213"/>
      <c r="F5" s="213"/>
      <c r="G5" s="213"/>
      <c r="M5" s="213" t="s">
        <v>255</v>
      </c>
    </row>
    <row r="6" spans="2:21" x14ac:dyDescent="0.35">
      <c r="C6" s="210">
        <v>180</v>
      </c>
      <c r="D6" s="5" t="str">
        <f>M6</f>
        <v>°</v>
      </c>
      <c r="E6" s="211" t="s">
        <v>331</v>
      </c>
      <c r="F6" s="216">
        <f>PI()*C6/180</f>
        <v>3.1415926535897931</v>
      </c>
      <c r="G6" s="5" t="str">
        <f>M7</f>
        <v>rad</v>
      </c>
      <c r="M6" s="212" t="s">
        <v>202</v>
      </c>
    </row>
    <row r="7" spans="2:21" x14ac:dyDescent="0.35">
      <c r="C7" s="79">
        <v>3.1415000000000002</v>
      </c>
      <c r="D7" s="5" t="str">
        <f>M7</f>
        <v>rad</v>
      </c>
      <c r="E7" s="211" t="s">
        <v>331</v>
      </c>
      <c r="F7" s="216">
        <f>180*C7/PI()</f>
        <v>179.99469134034814</v>
      </c>
      <c r="G7" s="5" t="str">
        <f>M6</f>
        <v>°</v>
      </c>
      <c r="M7" s="212" t="s">
        <v>203</v>
      </c>
    </row>
    <row r="8" spans="2:21" x14ac:dyDescent="0.35">
      <c r="C8" s="79">
        <v>180</v>
      </c>
      <c r="D8" s="4" t="s">
        <v>202</v>
      </c>
      <c r="E8" s="211" t="s">
        <v>331</v>
      </c>
      <c r="F8" s="216">
        <f>IF(D8=M7,C8,IF(D8=M6,C8*PI()/180,"Unknown"))</f>
        <v>3.1415926535897931</v>
      </c>
      <c r="G8" s="5" t="str">
        <f>M7</f>
        <v>rad</v>
      </c>
    </row>
    <row r="9" spans="2:21" ht="4.5" customHeight="1" x14ac:dyDescent="0.35"/>
    <row r="10" spans="2:21" ht="4.5" customHeight="1" x14ac:dyDescent="0.35"/>
    <row r="11" spans="2:21" ht="4.5" customHeight="1" x14ac:dyDescent="0.35"/>
    <row r="12" spans="2:21" ht="4.5" customHeight="1" x14ac:dyDescent="0.35"/>
    <row r="13" spans="2:21" x14ac:dyDescent="0.35">
      <c r="B13" s="427" t="s">
        <v>418</v>
      </c>
      <c r="C13" s="424"/>
      <c r="D13" s="424"/>
      <c r="E13" s="424"/>
      <c r="F13" s="424"/>
      <c r="G13" s="424"/>
      <c r="H13" s="424"/>
      <c r="I13" s="424"/>
      <c r="L13" s="427" t="s">
        <v>419</v>
      </c>
      <c r="M13" s="428"/>
      <c r="N13" s="428"/>
      <c r="O13" s="428"/>
      <c r="Q13" s="427" t="s">
        <v>231</v>
      </c>
      <c r="R13" s="428"/>
      <c r="S13" s="428"/>
      <c r="T13" s="428"/>
      <c r="U13" s="428"/>
    </row>
    <row r="14" spans="2:21" x14ac:dyDescent="0.35">
      <c r="B14" s="218" t="s">
        <v>197</v>
      </c>
      <c r="C14" s="217" t="s">
        <v>207</v>
      </c>
      <c r="D14" s="217" t="s">
        <v>92</v>
      </c>
      <c r="E14" s="217" t="s">
        <v>415</v>
      </c>
      <c r="F14" s="217" t="s">
        <v>92</v>
      </c>
      <c r="G14" s="217" t="s">
        <v>415</v>
      </c>
      <c r="H14" s="217" t="s">
        <v>416</v>
      </c>
      <c r="I14" s="217" t="s">
        <v>417</v>
      </c>
      <c r="L14" s="223" t="s">
        <v>423</v>
      </c>
      <c r="M14" s="223" t="s">
        <v>424</v>
      </c>
      <c r="N14" s="223" t="s">
        <v>425</v>
      </c>
      <c r="O14" s="223" t="s">
        <v>426</v>
      </c>
      <c r="P14" s="221"/>
      <c r="Q14" s="227" t="s">
        <v>420</v>
      </c>
      <c r="R14" s="223"/>
      <c r="S14" s="223"/>
      <c r="T14" s="223"/>
      <c r="U14" s="223"/>
    </row>
    <row r="15" spans="2:21" x14ac:dyDescent="0.35">
      <c r="B15" s="219" t="s">
        <v>421</v>
      </c>
      <c r="C15" s="215">
        <v>10</v>
      </c>
      <c r="D15" s="79">
        <v>180</v>
      </c>
      <c r="E15" s="79" t="s">
        <v>202</v>
      </c>
      <c r="F15" s="216">
        <f>IF(E15=M7,D15,IF(D8=M6,D15*PI()/180,"Unknown"))</f>
        <v>3.1415926535897931</v>
      </c>
      <c r="G15" s="78" t="str">
        <f>M7</f>
        <v>rad</v>
      </c>
      <c r="H15" s="216">
        <f>C15*COS(F15)</f>
        <v>-10</v>
      </c>
      <c r="I15" s="216">
        <f>C15*SIN(F15)</f>
        <v>1.22514845490862E-15</v>
      </c>
      <c r="L15" s="224">
        <v>0</v>
      </c>
      <c r="M15" s="224">
        <f>H15</f>
        <v>-10</v>
      </c>
      <c r="N15" s="224">
        <v>0</v>
      </c>
      <c r="O15" s="224">
        <f>I15</f>
        <v>1.22514845490862E-15</v>
      </c>
      <c r="P15" s="225"/>
      <c r="Q15" s="226">
        <f>MAX(ABS(O15),ABS(M16),ABS(O16),ABS(M15),ABS(M17),ABS(O17))</f>
        <v>14</v>
      </c>
      <c r="R15" s="224">
        <f>Q16</f>
        <v>15.400000000000002</v>
      </c>
      <c r="S15" s="224">
        <v>0</v>
      </c>
      <c r="T15" s="224">
        <f>-R15</f>
        <v>-15.400000000000002</v>
      </c>
      <c r="U15" s="224">
        <v>0</v>
      </c>
    </row>
    <row r="16" spans="2:21" x14ac:dyDescent="0.35">
      <c r="B16" s="220" t="s">
        <v>422</v>
      </c>
      <c r="C16" s="216">
        <f>SQRT(H16^2+I16^2)</f>
        <v>6.4031242374328485</v>
      </c>
      <c r="D16" s="216">
        <f>F16*180/PI()</f>
        <v>128.65980825409008</v>
      </c>
      <c r="E16" s="78" t="str">
        <f>M6</f>
        <v>°</v>
      </c>
      <c r="F16" s="216">
        <f>ATAN2(H16,I16)</f>
        <v>2.245537269018449</v>
      </c>
      <c r="G16" s="78" t="str">
        <f>M7</f>
        <v>rad</v>
      </c>
      <c r="H16" s="79">
        <v>-4</v>
      </c>
      <c r="I16" s="79">
        <v>5</v>
      </c>
      <c r="L16" s="224">
        <v>0</v>
      </c>
      <c r="M16" s="224">
        <f>H16</f>
        <v>-4</v>
      </c>
      <c r="N16" s="224">
        <v>0</v>
      </c>
      <c r="O16" s="224">
        <f>I16</f>
        <v>5</v>
      </c>
      <c r="P16" s="225"/>
      <c r="Q16" s="226">
        <f>Q15*1.1</f>
        <v>15.400000000000002</v>
      </c>
      <c r="R16" s="224">
        <v>0</v>
      </c>
      <c r="S16" s="224">
        <f>R15</f>
        <v>15.400000000000002</v>
      </c>
      <c r="T16" s="224">
        <v>0</v>
      </c>
      <c r="U16" s="224">
        <f>T15</f>
        <v>-15.400000000000002</v>
      </c>
    </row>
    <row r="17" spans="2:54" ht="16.5" x14ac:dyDescent="0.45">
      <c r="B17" s="228" t="s">
        <v>433</v>
      </c>
      <c r="C17" s="216">
        <f>SQRT(H17^2+I17^2)</f>
        <v>14.866068747318506</v>
      </c>
      <c r="D17" s="216">
        <f>F17*180/PI()</f>
        <v>160.34617594194668</v>
      </c>
      <c r="E17" s="78" t="str">
        <f>E16</f>
        <v>°</v>
      </c>
      <c r="F17" s="216">
        <f>ATAN2(H17,I17)</f>
        <v>2.7985687131690895</v>
      </c>
      <c r="G17" s="78" t="str">
        <f>G16</f>
        <v>rad</v>
      </c>
      <c r="H17" s="216">
        <f>H16+H15</f>
        <v>-14</v>
      </c>
      <c r="I17" s="216">
        <f>I16+I15</f>
        <v>5.0000000000000009</v>
      </c>
      <c r="L17" s="224">
        <v>0</v>
      </c>
      <c r="M17" s="224">
        <f>H17</f>
        <v>-14</v>
      </c>
      <c r="N17" s="224">
        <v>0</v>
      </c>
      <c r="O17" s="224">
        <f>I17</f>
        <v>5.0000000000000009</v>
      </c>
    </row>
    <row r="18" spans="2:54" ht="16.5" x14ac:dyDescent="0.45">
      <c r="B18" s="8" t="s">
        <v>434</v>
      </c>
      <c r="C18" s="81">
        <f>C16*C15</f>
        <v>64.031242374328485</v>
      </c>
      <c r="D18" s="216">
        <f>D16+D15</f>
        <v>308.65980825409008</v>
      </c>
      <c r="E18" s="78" t="str">
        <f>E17</f>
        <v>°</v>
      </c>
      <c r="F18" s="216">
        <f>F15+F16</f>
        <v>5.3871299226082421</v>
      </c>
      <c r="G18" s="78" t="str">
        <f>G17</f>
        <v>rad</v>
      </c>
      <c r="H18" s="216">
        <f>C18*COS(F18)</f>
        <v>39.999999999999979</v>
      </c>
      <c r="I18" s="216">
        <f>C18*SIN(F18)</f>
        <v>-50.000000000000014</v>
      </c>
    </row>
    <row r="21" spans="2:54" x14ac:dyDescent="0.35">
      <c r="L21" s="222" t="s">
        <v>208</v>
      </c>
      <c r="M21" s="222">
        <v>0</v>
      </c>
      <c r="N21" s="222">
        <f>M21+10</f>
        <v>10</v>
      </c>
      <c r="O21" s="222">
        <f t="shared" ref="O21:AW21" si="0">N21+10</f>
        <v>20</v>
      </c>
      <c r="P21" s="222">
        <f t="shared" si="0"/>
        <v>30</v>
      </c>
      <c r="Q21" s="222">
        <f t="shared" si="0"/>
        <v>40</v>
      </c>
      <c r="R21" s="222">
        <f t="shared" si="0"/>
        <v>50</v>
      </c>
      <c r="S21" s="222">
        <f t="shared" si="0"/>
        <v>60</v>
      </c>
      <c r="T21" s="222">
        <f t="shared" si="0"/>
        <v>70</v>
      </c>
      <c r="U21" s="222">
        <f t="shared" si="0"/>
        <v>80</v>
      </c>
      <c r="V21" s="222">
        <f t="shared" si="0"/>
        <v>90</v>
      </c>
      <c r="W21" s="222">
        <f t="shared" si="0"/>
        <v>100</v>
      </c>
      <c r="X21" s="222">
        <f t="shared" si="0"/>
        <v>110</v>
      </c>
      <c r="Y21" s="222">
        <f t="shared" si="0"/>
        <v>120</v>
      </c>
      <c r="Z21" s="222">
        <f t="shared" si="0"/>
        <v>130</v>
      </c>
      <c r="AA21" s="222">
        <f t="shared" si="0"/>
        <v>140</v>
      </c>
      <c r="AB21" s="222">
        <f t="shared" si="0"/>
        <v>150</v>
      </c>
      <c r="AC21" s="222">
        <f t="shared" si="0"/>
        <v>160</v>
      </c>
      <c r="AD21" s="222">
        <f t="shared" si="0"/>
        <v>170</v>
      </c>
      <c r="AE21" s="222">
        <f t="shared" si="0"/>
        <v>180</v>
      </c>
      <c r="AF21" s="222">
        <f t="shared" si="0"/>
        <v>190</v>
      </c>
      <c r="AG21" s="222">
        <f t="shared" si="0"/>
        <v>200</v>
      </c>
      <c r="AH21" s="222">
        <f t="shared" si="0"/>
        <v>210</v>
      </c>
      <c r="AI21" s="222">
        <f t="shared" si="0"/>
        <v>220</v>
      </c>
      <c r="AJ21" s="222">
        <f t="shared" si="0"/>
        <v>230</v>
      </c>
      <c r="AK21" s="222">
        <f t="shared" si="0"/>
        <v>240</v>
      </c>
      <c r="AL21" s="222">
        <f t="shared" si="0"/>
        <v>250</v>
      </c>
      <c r="AM21" s="222">
        <f t="shared" si="0"/>
        <v>260</v>
      </c>
      <c r="AN21" s="222">
        <f t="shared" si="0"/>
        <v>270</v>
      </c>
      <c r="AO21" s="222">
        <f t="shared" si="0"/>
        <v>280</v>
      </c>
      <c r="AP21" s="222">
        <f t="shared" si="0"/>
        <v>290</v>
      </c>
      <c r="AQ21" s="222">
        <f t="shared" si="0"/>
        <v>300</v>
      </c>
      <c r="AR21" s="222">
        <f t="shared" si="0"/>
        <v>310</v>
      </c>
      <c r="AS21" s="222">
        <f t="shared" si="0"/>
        <v>320</v>
      </c>
      <c r="AT21" s="222">
        <f t="shared" si="0"/>
        <v>330</v>
      </c>
      <c r="AU21" s="222">
        <f t="shared" si="0"/>
        <v>340</v>
      </c>
      <c r="AV21" s="222">
        <f t="shared" si="0"/>
        <v>350</v>
      </c>
      <c r="AW21" s="222">
        <f t="shared" si="0"/>
        <v>360</v>
      </c>
      <c r="AX21" s="222"/>
      <c r="AY21" s="222"/>
      <c r="AZ21" s="222"/>
      <c r="BA21" s="222"/>
      <c r="BB21" s="222"/>
    </row>
    <row r="22" spans="2:54" x14ac:dyDescent="0.35">
      <c r="L22" s="222" t="s">
        <v>209</v>
      </c>
      <c r="M22" s="222">
        <f>M21*PI()/180</f>
        <v>0</v>
      </c>
      <c r="N22" s="222">
        <f t="shared" ref="N22:AW22" si="1">N21*PI()/180</f>
        <v>0.17453292519943295</v>
      </c>
      <c r="O22" s="222">
        <f t="shared" si="1"/>
        <v>0.3490658503988659</v>
      </c>
      <c r="P22" s="222">
        <f t="shared" si="1"/>
        <v>0.52359877559829882</v>
      </c>
      <c r="Q22" s="222">
        <f t="shared" si="1"/>
        <v>0.69813170079773179</v>
      </c>
      <c r="R22" s="222">
        <f t="shared" si="1"/>
        <v>0.87266462599716477</v>
      </c>
      <c r="S22" s="222">
        <f t="shared" si="1"/>
        <v>1.0471975511965976</v>
      </c>
      <c r="T22" s="222">
        <f t="shared" si="1"/>
        <v>1.2217304763960306</v>
      </c>
      <c r="U22" s="222">
        <f t="shared" si="1"/>
        <v>1.3962634015954636</v>
      </c>
      <c r="V22" s="222">
        <f t="shared" si="1"/>
        <v>1.5707963267948966</v>
      </c>
      <c r="W22" s="222">
        <f t="shared" si="1"/>
        <v>1.7453292519943295</v>
      </c>
      <c r="X22" s="222">
        <f t="shared" si="1"/>
        <v>1.9198621771937625</v>
      </c>
      <c r="Y22" s="222">
        <f t="shared" si="1"/>
        <v>2.0943951023931953</v>
      </c>
      <c r="Z22" s="222">
        <f t="shared" si="1"/>
        <v>2.2689280275926285</v>
      </c>
      <c r="AA22" s="222">
        <f t="shared" si="1"/>
        <v>2.4434609527920612</v>
      </c>
      <c r="AB22" s="222">
        <f t="shared" si="1"/>
        <v>2.6179938779914944</v>
      </c>
      <c r="AC22" s="222">
        <f t="shared" si="1"/>
        <v>2.7925268031909272</v>
      </c>
      <c r="AD22" s="222">
        <f t="shared" si="1"/>
        <v>2.9670597283903604</v>
      </c>
      <c r="AE22" s="222">
        <f t="shared" si="1"/>
        <v>3.1415926535897931</v>
      </c>
      <c r="AF22" s="222">
        <f t="shared" si="1"/>
        <v>3.3161255787892263</v>
      </c>
      <c r="AG22" s="222">
        <f t="shared" si="1"/>
        <v>3.4906585039886591</v>
      </c>
      <c r="AH22" s="222">
        <f t="shared" si="1"/>
        <v>3.6651914291880923</v>
      </c>
      <c r="AI22" s="222">
        <f t="shared" si="1"/>
        <v>3.839724354387525</v>
      </c>
      <c r="AJ22" s="222">
        <f t="shared" si="1"/>
        <v>4.0142572795869578</v>
      </c>
      <c r="AK22" s="222">
        <f t="shared" si="1"/>
        <v>4.1887902047863905</v>
      </c>
      <c r="AL22" s="222">
        <f t="shared" si="1"/>
        <v>4.3633231299858233</v>
      </c>
      <c r="AM22" s="222">
        <f t="shared" si="1"/>
        <v>4.5378560551852569</v>
      </c>
      <c r="AN22" s="222">
        <f t="shared" si="1"/>
        <v>4.7123889803846897</v>
      </c>
      <c r="AO22" s="222">
        <f t="shared" si="1"/>
        <v>4.8869219055841224</v>
      </c>
      <c r="AP22" s="222">
        <f t="shared" si="1"/>
        <v>5.0614548307835552</v>
      </c>
      <c r="AQ22" s="222">
        <f t="shared" si="1"/>
        <v>5.2359877559829888</v>
      </c>
      <c r="AR22" s="222">
        <f t="shared" si="1"/>
        <v>5.4105206811824216</v>
      </c>
      <c r="AS22" s="222">
        <f t="shared" si="1"/>
        <v>5.5850536063818543</v>
      </c>
      <c r="AT22" s="222">
        <f t="shared" si="1"/>
        <v>5.7595865315812871</v>
      </c>
      <c r="AU22" s="222">
        <f t="shared" si="1"/>
        <v>5.9341194567807207</v>
      </c>
      <c r="AV22" s="222">
        <f t="shared" si="1"/>
        <v>6.1086523819801526</v>
      </c>
      <c r="AW22" s="222">
        <f t="shared" si="1"/>
        <v>6.2831853071795862</v>
      </c>
    </row>
    <row r="23" spans="2:54" x14ac:dyDescent="0.35">
      <c r="L23" s="219" t="s">
        <v>421</v>
      </c>
      <c r="M23" s="222">
        <f>$C$15*SIN(M22+$F$15)</f>
        <v>1.22514845490862E-15</v>
      </c>
      <c r="N23" s="222">
        <f t="shared" ref="N23:AW23" si="2">$C$15*SIN(N22+$F$15)</f>
        <v>-1.7364817766693004</v>
      </c>
      <c r="O23" s="222">
        <f t="shared" si="2"/>
        <v>-3.4202014332566866</v>
      </c>
      <c r="P23" s="222">
        <f t="shared" si="2"/>
        <v>-4.9999999999999973</v>
      </c>
      <c r="Q23" s="222">
        <f t="shared" si="2"/>
        <v>-6.4278760968653925</v>
      </c>
      <c r="R23" s="222">
        <f t="shared" si="2"/>
        <v>-7.660444431189779</v>
      </c>
      <c r="S23" s="222">
        <f t="shared" si="2"/>
        <v>-8.6602540378443837</v>
      </c>
      <c r="T23" s="222">
        <f t="shared" si="2"/>
        <v>-9.3969262078590852</v>
      </c>
      <c r="U23" s="222">
        <f t="shared" si="2"/>
        <v>-9.8480775301220795</v>
      </c>
      <c r="V23" s="222">
        <f t="shared" si="2"/>
        <v>-10</v>
      </c>
      <c r="W23" s="222">
        <f t="shared" si="2"/>
        <v>-9.8480775301220813</v>
      </c>
      <c r="X23" s="222">
        <f t="shared" si="2"/>
        <v>-9.3969262078590852</v>
      </c>
      <c r="Y23" s="222">
        <f t="shared" si="2"/>
        <v>-8.6602540378443909</v>
      </c>
      <c r="Z23" s="222">
        <f t="shared" si="2"/>
        <v>-7.6604444311897808</v>
      </c>
      <c r="AA23" s="222">
        <f t="shared" si="2"/>
        <v>-6.4278760968653961</v>
      </c>
      <c r="AB23" s="222">
        <f t="shared" si="2"/>
        <v>-4.9999999999999964</v>
      </c>
      <c r="AC23" s="222">
        <f t="shared" si="2"/>
        <v>-3.4202014332566861</v>
      </c>
      <c r="AD23" s="222">
        <f t="shared" si="2"/>
        <v>-1.7364817766693039</v>
      </c>
      <c r="AE23" s="222">
        <f t="shared" si="2"/>
        <v>-2.45029690981724E-15</v>
      </c>
      <c r="AF23" s="222">
        <f t="shared" si="2"/>
        <v>1.736481776669299</v>
      </c>
      <c r="AG23" s="222">
        <f t="shared" si="2"/>
        <v>3.4202014332566808</v>
      </c>
      <c r="AH23" s="222">
        <f t="shared" si="2"/>
        <v>5</v>
      </c>
      <c r="AI23" s="222">
        <f t="shared" si="2"/>
        <v>6.4278760968653916</v>
      </c>
      <c r="AJ23" s="222">
        <f t="shared" si="2"/>
        <v>7.6604444311897781</v>
      </c>
      <c r="AK23" s="222">
        <f t="shared" si="2"/>
        <v>8.6602540378443837</v>
      </c>
      <c r="AL23" s="222">
        <f t="shared" si="2"/>
        <v>9.3969262078590816</v>
      </c>
      <c r="AM23" s="222">
        <f t="shared" si="2"/>
        <v>9.8480775301220795</v>
      </c>
      <c r="AN23" s="222">
        <f t="shared" si="2"/>
        <v>10</v>
      </c>
      <c r="AO23" s="222">
        <f t="shared" si="2"/>
        <v>9.8480775301220813</v>
      </c>
      <c r="AP23" s="222">
        <f t="shared" si="2"/>
        <v>9.3969262078590869</v>
      </c>
      <c r="AQ23" s="222">
        <f t="shared" si="2"/>
        <v>8.660254037844382</v>
      </c>
      <c r="AR23" s="222">
        <f t="shared" si="2"/>
        <v>7.6604444311897755</v>
      </c>
      <c r="AS23" s="222">
        <f t="shared" si="2"/>
        <v>6.4278760968653899</v>
      </c>
      <c r="AT23" s="222">
        <f t="shared" si="2"/>
        <v>4.9999999999999982</v>
      </c>
      <c r="AU23" s="222">
        <f t="shared" si="2"/>
        <v>3.420201433256687</v>
      </c>
      <c r="AV23" s="222">
        <f t="shared" si="2"/>
        <v>1.736481776669305</v>
      </c>
      <c r="AW23" s="222">
        <f t="shared" si="2"/>
        <v>3.67544536472586E-15</v>
      </c>
    </row>
    <row r="24" spans="2:54" ht="16" customHeight="1" x14ac:dyDescent="0.35">
      <c r="L24" s="220" t="s">
        <v>422</v>
      </c>
      <c r="M24" s="222">
        <f>$C$16*SIN(M22+$F$16)</f>
        <v>5.0000000000000009</v>
      </c>
      <c r="N24" s="222">
        <f t="shared" ref="N24:AW24" si="3">$C$16*SIN(N22+$F$16)</f>
        <v>4.2294460543933212</v>
      </c>
      <c r="O24" s="222">
        <f t="shared" si="3"/>
        <v>3.330382530626868</v>
      </c>
      <c r="P24" s="222">
        <f t="shared" si="3"/>
        <v>2.3301270189221959</v>
      </c>
      <c r="Q24" s="222">
        <f t="shared" si="3"/>
        <v>1.2590717768487343</v>
      </c>
      <c r="R24" s="222">
        <f t="shared" si="3"/>
        <v>0.14976027595678734</v>
      </c>
      <c r="S24" s="222">
        <f t="shared" si="3"/>
        <v>-0.9641016151377505</v>
      </c>
      <c r="T24" s="222">
        <f t="shared" si="3"/>
        <v>-2.0486697665152875</v>
      </c>
      <c r="U24" s="222">
        <f t="shared" si="3"/>
        <v>-3.0709901237141795</v>
      </c>
      <c r="V24" s="222">
        <f t="shared" si="3"/>
        <v>-3.9999999999999978</v>
      </c>
      <c r="W24" s="222">
        <f t="shared" si="3"/>
        <v>-4.807471900383482</v>
      </c>
      <c r="X24" s="222">
        <f t="shared" si="3"/>
        <v>-5.4688711997719741</v>
      </c>
      <c r="Y24" s="222">
        <f t="shared" si="3"/>
        <v>-5.9641016151377517</v>
      </c>
      <c r="Z24" s="222">
        <f t="shared" si="3"/>
        <v>-6.2781158209086083</v>
      </c>
      <c r="AA24" s="222">
        <f t="shared" si="3"/>
        <v>-6.4013726543410474</v>
      </c>
      <c r="AB24" s="222">
        <f t="shared" si="3"/>
        <v>-6.3301270189221928</v>
      </c>
      <c r="AC24" s="222">
        <f t="shared" si="3"/>
        <v>-6.0665436772322172</v>
      </c>
      <c r="AD24" s="222">
        <f t="shared" si="3"/>
        <v>-5.6186314757287628</v>
      </c>
      <c r="AE24" s="222">
        <f t="shared" si="3"/>
        <v>-5.0000000000000018</v>
      </c>
      <c r="AF24" s="222">
        <f t="shared" si="3"/>
        <v>-4.2294460543933221</v>
      </c>
      <c r="AG24" s="222">
        <f t="shared" si="3"/>
        <v>-3.3303825306268715</v>
      </c>
      <c r="AH24" s="222">
        <f t="shared" si="3"/>
        <v>-2.3301270189221941</v>
      </c>
      <c r="AI24" s="222">
        <f t="shared" si="3"/>
        <v>-1.2590717768487352</v>
      </c>
      <c r="AJ24" s="222">
        <f t="shared" si="3"/>
        <v>-0.14976027595678815</v>
      </c>
      <c r="AK24" s="222">
        <f t="shared" si="3"/>
        <v>0.96410161513774961</v>
      </c>
      <c r="AL24" s="222">
        <f t="shared" si="3"/>
        <v>2.048669766515284</v>
      </c>
      <c r="AM24" s="222">
        <f t="shared" si="3"/>
        <v>3.070990123714179</v>
      </c>
      <c r="AN24" s="222">
        <f t="shared" si="3"/>
        <v>3.9999999999999973</v>
      </c>
      <c r="AO24" s="222">
        <f t="shared" si="3"/>
        <v>4.8074719003834812</v>
      </c>
      <c r="AP24" s="222">
        <f t="shared" si="3"/>
        <v>5.4688711997719741</v>
      </c>
      <c r="AQ24" s="222">
        <f t="shared" si="3"/>
        <v>5.9641016151377544</v>
      </c>
      <c r="AR24" s="222">
        <f t="shared" si="3"/>
        <v>6.2781158209086083</v>
      </c>
      <c r="AS24" s="222">
        <f t="shared" si="3"/>
        <v>6.4013726543410474</v>
      </c>
      <c r="AT24" s="222">
        <f t="shared" si="3"/>
        <v>6.3301270189221928</v>
      </c>
      <c r="AU24" s="222">
        <f t="shared" si="3"/>
        <v>6.0665436772322172</v>
      </c>
      <c r="AV24" s="222">
        <f t="shared" si="3"/>
        <v>5.6186314757287628</v>
      </c>
      <c r="AW24" s="222">
        <f t="shared" si="3"/>
        <v>5.0000000000000027</v>
      </c>
    </row>
    <row r="25" spans="2:54" ht="16" customHeight="1" x14ac:dyDescent="0.45">
      <c r="L25" s="228" t="s">
        <v>433</v>
      </c>
      <c r="M25" s="222">
        <f>M23+M24</f>
        <v>5.0000000000000018</v>
      </c>
      <c r="N25" s="222">
        <f t="shared" ref="N25:AW25" si="4">N23+N24</f>
        <v>2.4929642777240208</v>
      </c>
      <c r="O25" s="222">
        <f t="shared" si="4"/>
        <v>-8.981890262981862E-2</v>
      </c>
      <c r="P25" s="222">
        <f t="shared" si="4"/>
        <v>-2.6698729810778015</v>
      </c>
      <c r="Q25" s="222">
        <f t="shared" si="4"/>
        <v>-5.1688043200166582</v>
      </c>
      <c r="R25" s="222">
        <f t="shared" si="4"/>
        <v>-7.5106841552329913</v>
      </c>
      <c r="S25" s="222">
        <f t="shared" si="4"/>
        <v>-9.6243556529821337</v>
      </c>
      <c r="T25" s="222">
        <f t="shared" si="4"/>
        <v>-11.445595974374372</v>
      </c>
      <c r="U25" s="222">
        <f t="shared" si="4"/>
        <v>-12.919067653836258</v>
      </c>
      <c r="V25" s="222">
        <f t="shared" si="4"/>
        <v>-13.999999999999998</v>
      </c>
      <c r="W25" s="222">
        <f t="shared" si="4"/>
        <v>-14.655549430505562</v>
      </c>
      <c r="X25" s="222">
        <f t="shared" si="4"/>
        <v>-14.86579740763106</v>
      </c>
      <c r="Y25" s="222">
        <f t="shared" si="4"/>
        <v>-14.624355652982143</v>
      </c>
      <c r="Z25" s="222">
        <f t="shared" si="4"/>
        <v>-13.938560252098389</v>
      </c>
      <c r="AA25" s="222">
        <f t="shared" si="4"/>
        <v>-12.829248751206443</v>
      </c>
      <c r="AB25" s="222">
        <f t="shared" si="4"/>
        <v>-11.330127018922189</v>
      </c>
      <c r="AC25" s="222">
        <f t="shared" si="4"/>
        <v>-9.4867451104889042</v>
      </c>
      <c r="AD25" s="222">
        <f t="shared" si="4"/>
        <v>-7.3551132523980662</v>
      </c>
      <c r="AE25" s="222">
        <f t="shared" si="4"/>
        <v>-5.0000000000000044</v>
      </c>
      <c r="AF25" s="222">
        <f t="shared" si="4"/>
        <v>-2.4929642777240231</v>
      </c>
      <c r="AG25" s="222">
        <f t="shared" si="4"/>
        <v>8.9818902629809294E-2</v>
      </c>
      <c r="AH25" s="222">
        <f t="shared" si="4"/>
        <v>2.6698729810778059</v>
      </c>
      <c r="AI25" s="222">
        <f t="shared" si="4"/>
        <v>5.1688043200166565</v>
      </c>
      <c r="AJ25" s="222">
        <f t="shared" si="4"/>
        <v>7.5106841552329904</v>
      </c>
      <c r="AK25" s="222">
        <f t="shared" si="4"/>
        <v>9.6243556529821337</v>
      </c>
      <c r="AL25" s="222">
        <f t="shared" si="4"/>
        <v>11.445595974374365</v>
      </c>
      <c r="AM25" s="222">
        <f t="shared" si="4"/>
        <v>12.919067653836258</v>
      </c>
      <c r="AN25" s="222">
        <f t="shared" si="4"/>
        <v>13.999999999999996</v>
      </c>
      <c r="AO25" s="222">
        <f t="shared" si="4"/>
        <v>14.655549430505562</v>
      </c>
      <c r="AP25" s="222">
        <f t="shared" si="4"/>
        <v>14.86579740763106</v>
      </c>
      <c r="AQ25" s="222">
        <f t="shared" si="4"/>
        <v>14.624355652982135</v>
      </c>
      <c r="AR25" s="222">
        <f t="shared" si="4"/>
        <v>13.938560252098384</v>
      </c>
      <c r="AS25" s="222">
        <f t="shared" si="4"/>
        <v>12.829248751206437</v>
      </c>
      <c r="AT25" s="222">
        <f t="shared" si="4"/>
        <v>11.330127018922191</v>
      </c>
      <c r="AU25" s="222">
        <f t="shared" si="4"/>
        <v>9.4867451104889042</v>
      </c>
      <c r="AV25" s="222">
        <f t="shared" si="4"/>
        <v>7.355113252398068</v>
      </c>
      <c r="AW25" s="222">
        <f t="shared" si="4"/>
        <v>5.0000000000000062</v>
      </c>
    </row>
    <row r="26" spans="2:54" ht="16" customHeight="1" x14ac:dyDescent="0.35"/>
    <row r="44" spans="2:4" x14ac:dyDescent="0.35">
      <c r="B44" s="2" t="s">
        <v>427</v>
      </c>
      <c r="C44" s="2"/>
      <c r="D44" t="s">
        <v>428</v>
      </c>
    </row>
    <row r="45" spans="2:4" x14ac:dyDescent="0.35">
      <c r="B45" s="3" t="s">
        <v>429</v>
      </c>
      <c r="C45" s="3"/>
      <c r="D45" t="s">
        <v>432</v>
      </c>
    </row>
    <row r="46" spans="2:4" x14ac:dyDescent="0.35">
      <c r="B46" t="s">
        <v>430</v>
      </c>
      <c r="D46" t="s">
        <v>431</v>
      </c>
    </row>
  </sheetData>
  <mergeCells count="3">
    <mergeCell ref="L13:O13"/>
    <mergeCell ref="B13:I13"/>
    <mergeCell ref="Q13:U13"/>
  </mergeCells>
  <phoneticPr fontId="37" type="noConversion"/>
  <dataValidations count="1">
    <dataValidation type="list" allowBlank="1" showInputMessage="1" showErrorMessage="1" sqref="E15 D8" xr:uid="{3E8D84A8-7919-4823-9635-E5BE173BBAF1}">
      <formula1>$M$6:$M$7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0" max="1048575" man="1"/>
  </colBreaks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1BF1A-9A03-4CA3-9AB4-14BC2465827D}">
  <dimension ref="A1:K34"/>
  <sheetViews>
    <sheetView zoomScale="85" zoomScaleNormal="85" workbookViewId="0"/>
  </sheetViews>
  <sheetFormatPr baseColWidth="10" defaultRowHeight="14.5" x14ac:dyDescent="0.35"/>
  <cols>
    <col min="2" max="2" width="14.54296875" customWidth="1"/>
    <col min="3" max="3" width="19.81640625" customWidth="1"/>
    <col min="4" max="4" width="22.453125" customWidth="1"/>
    <col min="5" max="6" width="13.81640625" customWidth="1"/>
    <col min="7" max="7" width="16" customWidth="1"/>
    <col min="8" max="8" width="12.453125" customWidth="1"/>
    <col min="10" max="10" width="23.1796875" customWidth="1"/>
    <col min="11" max="11" width="34.7265625" customWidth="1"/>
  </cols>
  <sheetData>
    <row r="1" spans="1:11" ht="40" customHeight="1" x14ac:dyDescent="0.35"/>
    <row r="2" spans="1:11" ht="26" x14ac:dyDescent="0.6">
      <c r="C2" s="33" t="str">
        <f ca="1">_xlfn.CONCAT("Geburtstagsliste für ",YEAR(J2))</f>
        <v>Geburtstagsliste für 2025</v>
      </c>
      <c r="D2" s="33"/>
      <c r="I2" s="30" t="s">
        <v>191</v>
      </c>
      <c r="J2" s="95">
        <f ca="1">NOW()</f>
        <v>46002.718005324074</v>
      </c>
    </row>
    <row r="3" spans="1:11" ht="26" x14ac:dyDescent="0.6">
      <c r="C3" s="33"/>
      <c r="D3" s="33"/>
      <c r="I3" s="30"/>
      <c r="J3" s="95"/>
    </row>
    <row r="4" spans="1:11" ht="28.5" customHeight="1" x14ac:dyDescent="0.35">
      <c r="A4" s="96" t="s">
        <v>192</v>
      </c>
      <c r="B4" s="96" t="s">
        <v>186</v>
      </c>
      <c r="C4" s="96" t="str">
        <f ca="1">_xlfn.CONCAT("Geburtstag im ",YEAR(J2))</f>
        <v>Geburtstag im 2025</v>
      </c>
      <c r="D4" s="96" t="s">
        <v>195</v>
      </c>
      <c r="E4" s="102" t="s">
        <v>193</v>
      </c>
      <c r="F4" s="102" t="s">
        <v>194</v>
      </c>
      <c r="G4" s="96" t="s">
        <v>186</v>
      </c>
      <c r="H4" s="96" t="s">
        <v>187</v>
      </c>
      <c r="I4" s="96" t="s">
        <v>188</v>
      </c>
      <c r="J4" s="96" t="s">
        <v>189</v>
      </c>
      <c r="K4" s="96" t="s">
        <v>190</v>
      </c>
    </row>
    <row r="5" spans="1:11" ht="14.5" customHeight="1" x14ac:dyDescent="0.35">
      <c r="A5" s="5" t="str">
        <f t="shared" ref="A5:A34" si="0">_xlfn.CONCAT(TEXT(MONTH(G5),"00"),"_",TEXT(DAY(G5),"00"))</f>
        <v>01_01</v>
      </c>
      <c r="B5" s="97" t="str">
        <f t="shared" ref="B5:B34" si="1">_xlfn.CONCAT(TEXT(DAY(G5),"00"),".",TEXT(G5,"MMMM"))</f>
        <v>01.Januar</v>
      </c>
      <c r="C5" s="101">
        <f t="shared" ref="C5:C34" ca="1" si="2">DATE(YEAR($J$2),MONTH(G5),DAY(G5))</f>
        <v>45658</v>
      </c>
      <c r="D5" s="101">
        <f t="shared" ref="D5:D34" ca="1" si="3">IF(C5&lt;$J$2,DATE(YEAR($J$2)+1,MONTH(G5),DAY(G5)),DATE(YEAR($J$2),MONTH(G5),DAY(G5)))</f>
        <v>46023</v>
      </c>
      <c r="E5" s="98">
        <f t="shared" ref="E5:E34" ca="1" si="4">YEAR($J$2) - YEAR(G5) - IF(C5&gt;$J$2,1,0)</f>
        <v>62</v>
      </c>
      <c r="F5" s="99">
        <f t="shared" ref="F5:F34" ca="1" si="5">YEAR($J$2) - YEAR(G5)</f>
        <v>62</v>
      </c>
      <c r="G5" s="100">
        <v>23012</v>
      </c>
      <c r="H5" s="5" t="s">
        <v>128</v>
      </c>
      <c r="I5" s="5" t="s">
        <v>129</v>
      </c>
      <c r="J5" s="5" t="s">
        <v>168</v>
      </c>
      <c r="K5" s="81" t="str">
        <f t="shared" ref="K5:K34" ca="1" si="6">IF($J$2&lt;C5,"Noch kein Geburtstag gehabt","Schon Geburtstag gehabt")</f>
        <v>Schon Geburtstag gehabt</v>
      </c>
    </row>
    <row r="6" spans="1:11" ht="14.5" customHeight="1" x14ac:dyDescent="0.35">
      <c r="A6" s="5" t="str">
        <f t="shared" si="0"/>
        <v>01_02</v>
      </c>
      <c r="B6" s="97" t="str">
        <f t="shared" si="1"/>
        <v>02.Januar</v>
      </c>
      <c r="C6" s="101">
        <f t="shared" ca="1" si="2"/>
        <v>45659</v>
      </c>
      <c r="D6" s="101">
        <f t="shared" ca="1" si="3"/>
        <v>46024</v>
      </c>
      <c r="E6" s="98">
        <f t="shared" ca="1" si="4"/>
        <v>38</v>
      </c>
      <c r="F6" s="99">
        <f t="shared" ca="1" si="5"/>
        <v>38</v>
      </c>
      <c r="G6" s="100" t="s">
        <v>133</v>
      </c>
      <c r="H6" s="5" t="s">
        <v>130</v>
      </c>
      <c r="I6" s="5" t="s">
        <v>134</v>
      </c>
      <c r="J6" s="5" t="s">
        <v>135</v>
      </c>
      <c r="K6" s="81" t="str">
        <f t="shared" ca="1" si="6"/>
        <v>Schon Geburtstag gehabt</v>
      </c>
    </row>
    <row r="7" spans="1:11" ht="14.5" customHeight="1" x14ac:dyDescent="0.35">
      <c r="A7" s="5" t="str">
        <f t="shared" si="0"/>
        <v>01_02</v>
      </c>
      <c r="B7" s="97" t="str">
        <f t="shared" si="1"/>
        <v>02.Januar</v>
      </c>
      <c r="C7" s="101">
        <f t="shared" ca="1" si="2"/>
        <v>45659</v>
      </c>
      <c r="D7" s="101">
        <f t="shared" ca="1" si="3"/>
        <v>46024</v>
      </c>
      <c r="E7" s="98">
        <f t="shared" ca="1" si="4"/>
        <v>33</v>
      </c>
      <c r="F7" s="99">
        <f t="shared" ca="1" si="5"/>
        <v>33</v>
      </c>
      <c r="G7" s="100" t="s">
        <v>138</v>
      </c>
      <c r="H7" s="5" t="s">
        <v>130</v>
      </c>
      <c r="I7" s="5" t="s">
        <v>139</v>
      </c>
      <c r="J7" s="5" t="s">
        <v>132</v>
      </c>
      <c r="K7" s="81" t="str">
        <f t="shared" ca="1" si="6"/>
        <v>Schon Geburtstag gehabt</v>
      </c>
    </row>
    <row r="8" spans="1:11" x14ac:dyDescent="0.35">
      <c r="A8" s="5" t="str">
        <f t="shared" si="0"/>
        <v>01_06</v>
      </c>
      <c r="B8" s="97" t="str">
        <f t="shared" si="1"/>
        <v>06.Januar</v>
      </c>
      <c r="C8" s="101">
        <f t="shared" ca="1" si="2"/>
        <v>45663</v>
      </c>
      <c r="D8" s="101">
        <f t="shared" ca="1" si="3"/>
        <v>46028</v>
      </c>
      <c r="E8" s="98">
        <f t="shared" ca="1" si="4"/>
        <v>37</v>
      </c>
      <c r="F8" s="99">
        <f t="shared" ca="1" si="5"/>
        <v>37</v>
      </c>
      <c r="G8" s="100" t="s">
        <v>140</v>
      </c>
      <c r="H8" s="5" t="s">
        <v>130</v>
      </c>
      <c r="I8" s="5" t="s">
        <v>141</v>
      </c>
      <c r="J8" s="5" t="s">
        <v>173</v>
      </c>
      <c r="K8" s="81" t="str">
        <f t="shared" ca="1" si="6"/>
        <v>Schon Geburtstag gehabt</v>
      </c>
    </row>
    <row r="9" spans="1:11" x14ac:dyDescent="0.35">
      <c r="A9" s="5" t="str">
        <f t="shared" si="0"/>
        <v>01_07</v>
      </c>
      <c r="B9" s="97" t="str">
        <f t="shared" si="1"/>
        <v>07.Januar</v>
      </c>
      <c r="C9" s="101">
        <f t="shared" ca="1" si="2"/>
        <v>45664</v>
      </c>
      <c r="D9" s="101">
        <f t="shared" ca="1" si="3"/>
        <v>46029</v>
      </c>
      <c r="E9" s="98">
        <f t="shared" ca="1" si="4"/>
        <v>49</v>
      </c>
      <c r="F9" s="99">
        <f t="shared" ca="1" si="5"/>
        <v>49</v>
      </c>
      <c r="G9" s="100" t="s">
        <v>143</v>
      </c>
      <c r="H9" s="5" t="s">
        <v>128</v>
      </c>
      <c r="I9" s="5" t="s">
        <v>144</v>
      </c>
      <c r="J9" s="5" t="s">
        <v>142</v>
      </c>
      <c r="K9" s="81" t="str">
        <f t="shared" ca="1" si="6"/>
        <v>Schon Geburtstag gehabt</v>
      </c>
    </row>
    <row r="10" spans="1:11" x14ac:dyDescent="0.35">
      <c r="A10" s="5" t="str">
        <f t="shared" si="0"/>
        <v>01_09</v>
      </c>
      <c r="B10" s="97" t="str">
        <f t="shared" si="1"/>
        <v>09.Januar</v>
      </c>
      <c r="C10" s="101">
        <f t="shared" ca="1" si="2"/>
        <v>45666</v>
      </c>
      <c r="D10" s="101">
        <f t="shared" ca="1" si="3"/>
        <v>46031</v>
      </c>
      <c r="E10" s="98">
        <f t="shared" ca="1" si="4"/>
        <v>60</v>
      </c>
      <c r="F10" s="99">
        <f t="shared" ca="1" si="5"/>
        <v>60</v>
      </c>
      <c r="G10" s="100" t="s">
        <v>145</v>
      </c>
      <c r="H10" s="5" t="s">
        <v>128</v>
      </c>
      <c r="I10" s="5" t="s">
        <v>146</v>
      </c>
      <c r="J10" s="5" t="s">
        <v>174</v>
      </c>
      <c r="K10" s="81" t="str">
        <f t="shared" ca="1" si="6"/>
        <v>Schon Geburtstag gehabt</v>
      </c>
    </row>
    <row r="11" spans="1:11" x14ac:dyDescent="0.35">
      <c r="A11" s="5" t="str">
        <f t="shared" si="0"/>
        <v>01_09</v>
      </c>
      <c r="B11" s="97" t="str">
        <f t="shared" si="1"/>
        <v>09.Januar</v>
      </c>
      <c r="C11" s="101">
        <f t="shared" ca="1" si="2"/>
        <v>45666</v>
      </c>
      <c r="D11" s="101">
        <f t="shared" ca="1" si="3"/>
        <v>46031</v>
      </c>
      <c r="E11" s="98">
        <f t="shared" ca="1" si="4"/>
        <v>67</v>
      </c>
      <c r="F11" s="99">
        <f t="shared" ca="1" si="5"/>
        <v>67</v>
      </c>
      <c r="G11" s="100" t="s">
        <v>148</v>
      </c>
      <c r="H11" s="5" t="s">
        <v>130</v>
      </c>
      <c r="I11" s="5" t="s">
        <v>149</v>
      </c>
      <c r="J11" s="5" t="s">
        <v>142</v>
      </c>
      <c r="K11" s="81" t="str">
        <f t="shared" ca="1" si="6"/>
        <v>Schon Geburtstag gehabt</v>
      </c>
    </row>
    <row r="12" spans="1:11" x14ac:dyDescent="0.35">
      <c r="A12" s="5" t="str">
        <f t="shared" si="0"/>
        <v>01_10</v>
      </c>
      <c r="B12" s="97" t="str">
        <f t="shared" si="1"/>
        <v>10.Januar</v>
      </c>
      <c r="C12" s="101">
        <f t="shared" ca="1" si="2"/>
        <v>45667</v>
      </c>
      <c r="D12" s="101">
        <f t="shared" ca="1" si="3"/>
        <v>46032</v>
      </c>
      <c r="E12" s="98">
        <f t="shared" ca="1" si="4"/>
        <v>28</v>
      </c>
      <c r="F12" s="99">
        <f t="shared" ca="1" si="5"/>
        <v>28</v>
      </c>
      <c r="G12" s="100" t="s">
        <v>150</v>
      </c>
      <c r="H12" s="5" t="s">
        <v>130</v>
      </c>
      <c r="I12" s="5" t="s">
        <v>141</v>
      </c>
      <c r="J12" s="5" t="s">
        <v>176</v>
      </c>
      <c r="K12" s="81" t="str">
        <f t="shared" ca="1" si="6"/>
        <v>Schon Geburtstag gehabt</v>
      </c>
    </row>
    <row r="13" spans="1:11" x14ac:dyDescent="0.35">
      <c r="A13" s="5" t="str">
        <f t="shared" si="0"/>
        <v>01_11</v>
      </c>
      <c r="B13" s="97" t="str">
        <f t="shared" si="1"/>
        <v>11.Januar</v>
      </c>
      <c r="C13" s="101">
        <f t="shared" ca="1" si="2"/>
        <v>45668</v>
      </c>
      <c r="D13" s="101">
        <f t="shared" ca="1" si="3"/>
        <v>46033</v>
      </c>
      <c r="E13" s="98">
        <f t="shared" ca="1" si="4"/>
        <v>61</v>
      </c>
      <c r="F13" s="99">
        <f t="shared" ca="1" si="5"/>
        <v>61</v>
      </c>
      <c r="G13" s="100" t="s">
        <v>154</v>
      </c>
      <c r="H13" s="5" t="s">
        <v>128</v>
      </c>
      <c r="I13" s="5" t="s">
        <v>155</v>
      </c>
      <c r="J13" s="5" t="s">
        <v>179</v>
      </c>
      <c r="K13" s="81" t="str">
        <f t="shared" ca="1" si="6"/>
        <v>Schon Geburtstag gehabt</v>
      </c>
    </row>
    <row r="14" spans="1:11" x14ac:dyDescent="0.35">
      <c r="A14" s="5" t="str">
        <f t="shared" si="0"/>
        <v>01_11</v>
      </c>
      <c r="B14" s="97" t="str">
        <f t="shared" si="1"/>
        <v>11.Januar</v>
      </c>
      <c r="C14" s="101">
        <f t="shared" ca="1" si="2"/>
        <v>45668</v>
      </c>
      <c r="D14" s="101">
        <f t="shared" ca="1" si="3"/>
        <v>46033</v>
      </c>
      <c r="E14" s="98">
        <f t="shared" ca="1" si="4"/>
        <v>42</v>
      </c>
      <c r="F14" s="99">
        <f t="shared" ca="1" si="5"/>
        <v>42</v>
      </c>
      <c r="G14" s="100" t="s">
        <v>157</v>
      </c>
      <c r="H14" s="5" t="s">
        <v>130</v>
      </c>
      <c r="I14" s="5" t="s">
        <v>158</v>
      </c>
      <c r="J14" s="5" t="s">
        <v>181</v>
      </c>
      <c r="K14" s="81" t="str">
        <f t="shared" ca="1" si="6"/>
        <v>Schon Geburtstag gehabt</v>
      </c>
    </row>
    <row r="15" spans="1:11" x14ac:dyDescent="0.35">
      <c r="A15" s="5" t="str">
        <f t="shared" si="0"/>
        <v>01_14</v>
      </c>
      <c r="B15" s="97" t="str">
        <f t="shared" si="1"/>
        <v>14.Januar</v>
      </c>
      <c r="C15" s="101">
        <f t="shared" ca="1" si="2"/>
        <v>45671</v>
      </c>
      <c r="D15" s="101">
        <f t="shared" ca="1" si="3"/>
        <v>46036</v>
      </c>
      <c r="E15" s="98">
        <f t="shared" ca="1" si="4"/>
        <v>65</v>
      </c>
      <c r="F15" s="99">
        <f t="shared" ca="1" si="5"/>
        <v>65</v>
      </c>
      <c r="G15" s="100" t="s">
        <v>163</v>
      </c>
      <c r="H15" s="5" t="s">
        <v>130</v>
      </c>
      <c r="I15" s="5" t="s">
        <v>164</v>
      </c>
      <c r="J15" s="5" t="s">
        <v>184</v>
      </c>
      <c r="K15" s="81" t="str">
        <f t="shared" ca="1" si="6"/>
        <v>Schon Geburtstag gehabt</v>
      </c>
    </row>
    <row r="16" spans="1:11" x14ac:dyDescent="0.35">
      <c r="A16" s="5" t="str">
        <f t="shared" si="0"/>
        <v>01_15</v>
      </c>
      <c r="B16" s="97" t="str">
        <f t="shared" si="1"/>
        <v>15.Januar</v>
      </c>
      <c r="C16" s="101">
        <f t="shared" ca="1" si="2"/>
        <v>45672</v>
      </c>
      <c r="D16" s="101">
        <f t="shared" ca="1" si="3"/>
        <v>46037</v>
      </c>
      <c r="E16" s="98">
        <f t="shared" ca="1" si="4"/>
        <v>45</v>
      </c>
      <c r="F16" s="99">
        <f t="shared" ca="1" si="5"/>
        <v>45</v>
      </c>
      <c r="G16" s="100" t="s">
        <v>166</v>
      </c>
      <c r="H16" s="5" t="s">
        <v>130</v>
      </c>
      <c r="I16" s="5" t="s">
        <v>167</v>
      </c>
      <c r="J16" s="5" t="s">
        <v>142</v>
      </c>
      <c r="K16" s="81" t="str">
        <f t="shared" ca="1" si="6"/>
        <v>Schon Geburtstag gehabt</v>
      </c>
    </row>
    <row r="17" spans="1:11" x14ac:dyDescent="0.35">
      <c r="A17" s="5" t="str">
        <f t="shared" si="0"/>
        <v>02_09</v>
      </c>
      <c r="B17" s="97" t="str">
        <f t="shared" si="1"/>
        <v>09.Februar</v>
      </c>
      <c r="C17" s="101">
        <f t="shared" ca="1" si="2"/>
        <v>45697</v>
      </c>
      <c r="D17" s="101">
        <f t="shared" ca="1" si="3"/>
        <v>46062</v>
      </c>
      <c r="E17" s="98">
        <f t="shared" ca="1" si="4"/>
        <v>80</v>
      </c>
      <c r="F17" s="99">
        <f t="shared" ca="1" si="5"/>
        <v>80</v>
      </c>
      <c r="G17" s="100">
        <v>16477</v>
      </c>
      <c r="H17" s="5" t="s">
        <v>128</v>
      </c>
      <c r="I17" s="5" t="s">
        <v>147</v>
      </c>
      <c r="J17" s="5" t="s">
        <v>175</v>
      </c>
      <c r="K17" s="81" t="str">
        <f t="shared" ca="1" si="6"/>
        <v>Schon Geburtstag gehabt</v>
      </c>
    </row>
    <row r="18" spans="1:11" x14ac:dyDescent="0.35">
      <c r="A18" s="5" t="str">
        <f t="shared" si="0"/>
        <v>02_14</v>
      </c>
      <c r="B18" s="97" t="str">
        <f t="shared" si="1"/>
        <v>14.Februar</v>
      </c>
      <c r="C18" s="101">
        <f t="shared" ca="1" si="2"/>
        <v>45702</v>
      </c>
      <c r="D18" s="101">
        <f t="shared" ca="1" si="3"/>
        <v>46067</v>
      </c>
      <c r="E18" s="98">
        <f t="shared" ca="1" si="4"/>
        <v>52</v>
      </c>
      <c r="F18" s="99">
        <f t="shared" ca="1" si="5"/>
        <v>52</v>
      </c>
      <c r="G18" s="100">
        <v>26709</v>
      </c>
      <c r="H18" s="5" t="s">
        <v>130</v>
      </c>
      <c r="I18" s="5" t="s">
        <v>162</v>
      </c>
      <c r="J18" s="5" t="s">
        <v>183</v>
      </c>
      <c r="K18" s="81" t="str">
        <f t="shared" ca="1" si="6"/>
        <v>Schon Geburtstag gehabt</v>
      </c>
    </row>
    <row r="19" spans="1:11" x14ac:dyDescent="0.35">
      <c r="A19" s="5" t="str">
        <f t="shared" si="0"/>
        <v>03_02</v>
      </c>
      <c r="B19" s="97" t="str">
        <f t="shared" si="1"/>
        <v>02.März</v>
      </c>
      <c r="C19" s="101">
        <f t="shared" ca="1" si="2"/>
        <v>45718</v>
      </c>
      <c r="D19" s="101">
        <f t="shared" ca="1" si="3"/>
        <v>46083</v>
      </c>
      <c r="E19" s="98">
        <f t="shared" ca="1" si="4"/>
        <v>66</v>
      </c>
      <c r="F19" s="99">
        <f t="shared" ca="1" si="5"/>
        <v>66</v>
      </c>
      <c r="G19" s="100">
        <v>21611</v>
      </c>
      <c r="H19" s="5" t="s">
        <v>130</v>
      </c>
      <c r="I19" s="5" t="s">
        <v>136</v>
      </c>
      <c r="J19" s="5" t="s">
        <v>132</v>
      </c>
      <c r="K19" s="81" t="str">
        <f t="shared" ca="1" si="6"/>
        <v>Schon Geburtstag gehabt</v>
      </c>
    </row>
    <row r="20" spans="1:11" x14ac:dyDescent="0.35">
      <c r="A20" s="5" t="str">
        <f t="shared" si="0"/>
        <v>03_02</v>
      </c>
      <c r="B20" s="97" t="str">
        <f t="shared" si="1"/>
        <v>02.März</v>
      </c>
      <c r="C20" s="101">
        <f t="shared" ca="1" si="2"/>
        <v>45718</v>
      </c>
      <c r="D20" s="101">
        <f t="shared" ca="1" si="3"/>
        <v>46083</v>
      </c>
      <c r="E20" s="98">
        <f t="shared" ca="1" si="4"/>
        <v>31</v>
      </c>
      <c r="F20" s="99">
        <f t="shared" ca="1" si="5"/>
        <v>31</v>
      </c>
      <c r="G20" s="100">
        <v>34395</v>
      </c>
      <c r="H20" s="5" t="s">
        <v>128</v>
      </c>
      <c r="I20" s="5" t="s">
        <v>137</v>
      </c>
      <c r="J20" s="5" t="s">
        <v>132</v>
      </c>
      <c r="K20" s="81" t="str">
        <f t="shared" ca="1" si="6"/>
        <v>Schon Geburtstag gehabt</v>
      </c>
    </row>
    <row r="21" spans="1:11" x14ac:dyDescent="0.35">
      <c r="A21" s="5" t="str">
        <f t="shared" si="0"/>
        <v>04_10</v>
      </c>
      <c r="B21" s="97" t="str">
        <f t="shared" si="1"/>
        <v>10.April</v>
      </c>
      <c r="C21" s="101">
        <f t="shared" ca="1" si="2"/>
        <v>45757</v>
      </c>
      <c r="D21" s="101">
        <f t="shared" ca="1" si="3"/>
        <v>46122</v>
      </c>
      <c r="E21" s="98">
        <f t="shared" ca="1" si="4"/>
        <v>25</v>
      </c>
      <c r="F21" s="99">
        <f t="shared" ca="1" si="5"/>
        <v>25</v>
      </c>
      <c r="G21" s="100">
        <v>36626</v>
      </c>
      <c r="H21" s="5" t="s">
        <v>130</v>
      </c>
      <c r="I21" s="5" t="s">
        <v>131</v>
      </c>
      <c r="J21" s="5" t="s">
        <v>172</v>
      </c>
      <c r="K21" s="81" t="str">
        <f t="shared" ca="1" si="6"/>
        <v>Schon Geburtstag gehabt</v>
      </c>
    </row>
    <row r="22" spans="1:11" x14ac:dyDescent="0.35">
      <c r="A22" s="5" t="str">
        <f t="shared" si="0"/>
        <v>07_12</v>
      </c>
      <c r="B22" s="97" t="str">
        <f t="shared" si="1"/>
        <v>12.Juli</v>
      </c>
      <c r="C22" s="101">
        <f t="shared" ca="1" si="2"/>
        <v>45850</v>
      </c>
      <c r="D22" s="101">
        <f t="shared" ca="1" si="3"/>
        <v>46215</v>
      </c>
      <c r="E22" s="98">
        <f t="shared" ca="1" si="4"/>
        <v>51</v>
      </c>
      <c r="F22" s="99">
        <f t="shared" ca="1" si="5"/>
        <v>51</v>
      </c>
      <c r="G22" s="100">
        <v>27222</v>
      </c>
      <c r="H22" s="5" t="s">
        <v>130</v>
      </c>
      <c r="I22" s="5" t="s">
        <v>141</v>
      </c>
      <c r="J22" s="5" t="s">
        <v>182</v>
      </c>
      <c r="K22" s="81" t="str">
        <f t="shared" ca="1" si="6"/>
        <v>Schon Geburtstag gehabt</v>
      </c>
    </row>
    <row r="23" spans="1:11" x14ac:dyDescent="0.35">
      <c r="A23" s="5" t="str">
        <f t="shared" si="0"/>
        <v>08_05</v>
      </c>
      <c r="B23" s="97" t="str">
        <f t="shared" si="1"/>
        <v>05.August</v>
      </c>
      <c r="C23" s="101">
        <f t="shared" ca="1" si="2"/>
        <v>45874</v>
      </c>
      <c r="D23" s="101">
        <f t="shared" ca="1" si="3"/>
        <v>46239</v>
      </c>
      <c r="E23" s="98">
        <f t="shared" ca="1" si="4"/>
        <v>65</v>
      </c>
      <c r="F23" s="99">
        <f t="shared" ca="1" si="5"/>
        <v>65</v>
      </c>
      <c r="G23" s="100">
        <v>22133</v>
      </c>
      <c r="H23" s="5" t="s">
        <v>128</v>
      </c>
      <c r="I23" s="5" t="s">
        <v>156</v>
      </c>
      <c r="J23" s="5" t="s">
        <v>180</v>
      </c>
      <c r="K23" s="81" t="str">
        <f t="shared" ca="1" si="6"/>
        <v>Schon Geburtstag gehabt</v>
      </c>
    </row>
    <row r="24" spans="1:11" x14ac:dyDescent="0.35">
      <c r="A24" s="5" t="str">
        <f t="shared" si="0"/>
        <v>08_12</v>
      </c>
      <c r="B24" s="97" t="str">
        <f t="shared" si="1"/>
        <v>12.August</v>
      </c>
      <c r="C24" s="101">
        <f t="shared" ca="1" si="2"/>
        <v>45881</v>
      </c>
      <c r="D24" s="101">
        <f t="shared" ca="1" si="3"/>
        <v>46246</v>
      </c>
      <c r="E24" s="98">
        <f t="shared" ca="1" si="4"/>
        <v>56</v>
      </c>
      <c r="F24" s="99">
        <f t="shared" ca="1" si="5"/>
        <v>56</v>
      </c>
      <c r="G24" s="100">
        <v>25427</v>
      </c>
      <c r="H24" s="5" t="s">
        <v>130</v>
      </c>
      <c r="I24" s="5" t="s">
        <v>160</v>
      </c>
      <c r="J24" s="5" t="s">
        <v>135</v>
      </c>
      <c r="K24" s="81" t="str">
        <f t="shared" ca="1" si="6"/>
        <v>Schon Geburtstag gehabt</v>
      </c>
    </row>
    <row r="25" spans="1:11" x14ac:dyDescent="0.35">
      <c r="A25" s="5" t="str">
        <f t="shared" si="0"/>
        <v>08_13</v>
      </c>
      <c r="B25" s="97" t="str">
        <f t="shared" si="1"/>
        <v>13.August</v>
      </c>
      <c r="C25" s="101">
        <f t="shared" ca="1" si="2"/>
        <v>45882</v>
      </c>
      <c r="D25" s="101">
        <f t="shared" ca="1" si="3"/>
        <v>46247</v>
      </c>
      <c r="E25" s="98">
        <f t="shared" ca="1" si="4"/>
        <v>83</v>
      </c>
      <c r="F25" s="99">
        <f t="shared" ca="1" si="5"/>
        <v>83</v>
      </c>
      <c r="G25" s="100">
        <v>15566</v>
      </c>
      <c r="H25" s="5" t="s">
        <v>130</v>
      </c>
      <c r="I25" s="5" t="s">
        <v>161</v>
      </c>
      <c r="J25" s="5" t="s">
        <v>168</v>
      </c>
      <c r="K25" s="81" t="str">
        <f t="shared" ca="1" si="6"/>
        <v>Schon Geburtstag gehabt</v>
      </c>
    </row>
    <row r="26" spans="1:11" x14ac:dyDescent="0.35">
      <c r="A26" s="5" t="str">
        <f t="shared" si="0"/>
        <v>09_12</v>
      </c>
      <c r="B26" s="97" t="str">
        <f t="shared" si="1"/>
        <v>12.September</v>
      </c>
      <c r="C26" s="101">
        <f t="shared" ca="1" si="2"/>
        <v>45912</v>
      </c>
      <c r="D26" s="101">
        <f t="shared" ca="1" si="3"/>
        <v>46277</v>
      </c>
      <c r="E26" s="98">
        <f t="shared" ca="1" si="4"/>
        <v>56</v>
      </c>
      <c r="F26" s="99">
        <f t="shared" ca="1" si="5"/>
        <v>56</v>
      </c>
      <c r="G26" s="100">
        <v>25458</v>
      </c>
      <c r="H26" s="5" t="s">
        <v>128</v>
      </c>
      <c r="I26" s="5" t="s">
        <v>159</v>
      </c>
      <c r="J26" s="5" t="s">
        <v>135</v>
      </c>
      <c r="K26" s="81" t="str">
        <f t="shared" ca="1" si="6"/>
        <v>Schon Geburtstag gehabt</v>
      </c>
    </row>
    <row r="27" spans="1:11" x14ac:dyDescent="0.35">
      <c r="A27" s="5" t="str">
        <f t="shared" si="0"/>
        <v>09_16</v>
      </c>
      <c r="B27" s="97" t="str">
        <f t="shared" si="1"/>
        <v>16.September</v>
      </c>
      <c r="C27" s="101">
        <f t="shared" ca="1" si="2"/>
        <v>45916</v>
      </c>
      <c r="D27" s="101">
        <f t="shared" ca="1" si="3"/>
        <v>46281</v>
      </c>
      <c r="E27" s="98">
        <f t="shared" ca="1" si="4"/>
        <v>64</v>
      </c>
      <c r="F27" s="99">
        <f t="shared" ca="1" si="5"/>
        <v>64</v>
      </c>
      <c r="G27" s="100">
        <v>22540</v>
      </c>
      <c r="H27" s="5" t="s">
        <v>128</v>
      </c>
      <c r="I27" s="5" t="s">
        <v>170</v>
      </c>
      <c r="J27" s="5" t="s">
        <v>135</v>
      </c>
      <c r="K27" s="81" t="str">
        <f t="shared" ca="1" si="6"/>
        <v>Schon Geburtstag gehabt</v>
      </c>
    </row>
    <row r="28" spans="1:11" x14ac:dyDescent="0.35">
      <c r="A28" s="5" t="str">
        <f t="shared" si="0"/>
        <v>10_10</v>
      </c>
      <c r="B28" s="97" t="str">
        <f t="shared" si="1"/>
        <v>10.Oktober</v>
      </c>
      <c r="C28" s="101">
        <f t="shared" ca="1" si="2"/>
        <v>45940</v>
      </c>
      <c r="D28" s="101">
        <f t="shared" ca="1" si="3"/>
        <v>46305</v>
      </c>
      <c r="E28" s="98">
        <f t="shared" ca="1" si="4"/>
        <v>85</v>
      </c>
      <c r="F28" s="99">
        <f t="shared" ca="1" si="5"/>
        <v>85</v>
      </c>
      <c r="G28" s="100">
        <v>14894</v>
      </c>
      <c r="H28" s="5" t="s">
        <v>130</v>
      </c>
      <c r="I28" s="5" t="s">
        <v>151</v>
      </c>
      <c r="J28" s="5" t="s">
        <v>177</v>
      </c>
      <c r="K28" s="81" t="str">
        <f t="shared" ca="1" si="6"/>
        <v>Schon Geburtstag gehabt</v>
      </c>
    </row>
    <row r="29" spans="1:11" x14ac:dyDescent="0.35">
      <c r="A29" s="5" t="str">
        <f t="shared" si="0"/>
        <v>10_12</v>
      </c>
      <c r="B29" s="97" t="str">
        <f t="shared" si="1"/>
        <v>12.Oktober</v>
      </c>
      <c r="C29" s="101">
        <f t="shared" ca="1" si="2"/>
        <v>45942</v>
      </c>
      <c r="D29" s="101">
        <f t="shared" ca="1" si="3"/>
        <v>46307</v>
      </c>
      <c r="E29" s="98">
        <f t="shared" ca="1" si="4"/>
        <v>83</v>
      </c>
      <c r="F29" s="99">
        <f t="shared" ca="1" si="5"/>
        <v>83</v>
      </c>
      <c r="G29" s="100">
        <v>15626</v>
      </c>
      <c r="H29" s="5" t="s">
        <v>130</v>
      </c>
      <c r="I29" s="5" t="s">
        <v>152</v>
      </c>
      <c r="J29" s="5" t="s">
        <v>168</v>
      </c>
      <c r="K29" s="81" t="str">
        <f t="shared" ca="1" si="6"/>
        <v>Schon Geburtstag gehabt</v>
      </c>
    </row>
    <row r="30" spans="1:11" x14ac:dyDescent="0.35">
      <c r="A30" s="5" t="str">
        <f t="shared" si="0"/>
        <v>10_14</v>
      </c>
      <c r="B30" s="97" t="str">
        <f t="shared" si="1"/>
        <v>14.Oktober</v>
      </c>
      <c r="C30" s="101">
        <f t="shared" ca="1" si="2"/>
        <v>45944</v>
      </c>
      <c r="D30" s="101">
        <f t="shared" ca="1" si="3"/>
        <v>46309</v>
      </c>
      <c r="E30" s="98">
        <f t="shared" ca="1" si="4"/>
        <v>41</v>
      </c>
      <c r="F30" s="99">
        <f t="shared" ca="1" si="5"/>
        <v>41</v>
      </c>
      <c r="G30" s="100">
        <v>30969</v>
      </c>
      <c r="H30" s="5" t="s">
        <v>128</v>
      </c>
      <c r="I30" s="5" t="s">
        <v>165</v>
      </c>
      <c r="J30" s="5" t="s">
        <v>135</v>
      </c>
      <c r="K30" s="81" t="str">
        <f t="shared" ca="1" si="6"/>
        <v>Schon Geburtstag gehabt</v>
      </c>
    </row>
    <row r="31" spans="1:11" x14ac:dyDescent="0.35">
      <c r="A31" s="5" t="str">
        <f t="shared" si="0"/>
        <v>10_15</v>
      </c>
      <c r="B31" s="97" t="str">
        <f t="shared" si="1"/>
        <v>15.Oktober</v>
      </c>
      <c r="C31" s="101">
        <f t="shared" ca="1" si="2"/>
        <v>45945</v>
      </c>
      <c r="D31" s="101">
        <f t="shared" ca="1" si="3"/>
        <v>46310</v>
      </c>
      <c r="E31" s="98">
        <f t="shared" ca="1" si="4"/>
        <v>64</v>
      </c>
      <c r="F31" s="99">
        <f t="shared" ca="1" si="5"/>
        <v>64</v>
      </c>
      <c r="G31" s="100">
        <v>22569</v>
      </c>
      <c r="H31" s="5" t="s">
        <v>130</v>
      </c>
      <c r="I31" s="5" t="s">
        <v>169</v>
      </c>
      <c r="J31" s="5" t="s">
        <v>185</v>
      </c>
      <c r="K31" s="81" t="str">
        <f t="shared" ca="1" si="6"/>
        <v>Schon Geburtstag gehabt</v>
      </c>
    </row>
    <row r="32" spans="1:11" x14ac:dyDescent="0.35">
      <c r="A32" s="5" t="str">
        <f t="shared" si="0"/>
        <v>11_10</v>
      </c>
      <c r="B32" s="97" t="str">
        <f t="shared" si="1"/>
        <v>10.November</v>
      </c>
      <c r="C32" s="101">
        <f t="shared" ca="1" si="2"/>
        <v>45971</v>
      </c>
      <c r="D32" s="101">
        <f t="shared" ca="1" si="3"/>
        <v>46336</v>
      </c>
      <c r="E32" s="98">
        <f t="shared" ca="1" si="4"/>
        <v>84</v>
      </c>
      <c r="F32" s="99">
        <f t="shared" ca="1" si="5"/>
        <v>84</v>
      </c>
      <c r="G32" s="100">
        <v>15290</v>
      </c>
      <c r="H32" s="5" t="s">
        <v>130</v>
      </c>
      <c r="I32" s="5" t="s">
        <v>152</v>
      </c>
      <c r="J32" s="5" t="s">
        <v>178</v>
      </c>
      <c r="K32" s="81" t="str">
        <f t="shared" ca="1" si="6"/>
        <v>Schon Geburtstag gehabt</v>
      </c>
    </row>
    <row r="33" spans="1:11" x14ac:dyDescent="0.35">
      <c r="A33" s="5" t="str">
        <f t="shared" si="0"/>
        <v>12_10</v>
      </c>
      <c r="B33" s="97" t="str">
        <f t="shared" si="1"/>
        <v>10.Dezember</v>
      </c>
      <c r="C33" s="101">
        <f t="shared" ca="1" si="2"/>
        <v>46001</v>
      </c>
      <c r="D33" s="101">
        <f t="shared" ca="1" si="3"/>
        <v>46366</v>
      </c>
      <c r="E33" s="98">
        <f t="shared" ca="1" si="4"/>
        <v>57</v>
      </c>
      <c r="F33" s="99">
        <f t="shared" ca="1" si="5"/>
        <v>57</v>
      </c>
      <c r="G33" s="100">
        <v>25182</v>
      </c>
      <c r="H33" s="5" t="s">
        <v>130</v>
      </c>
      <c r="I33" s="5" t="s">
        <v>153</v>
      </c>
      <c r="J33" s="5" t="s">
        <v>132</v>
      </c>
      <c r="K33" s="81" t="str">
        <f t="shared" ca="1" si="6"/>
        <v>Schon Geburtstag gehabt</v>
      </c>
    </row>
    <row r="34" spans="1:11" x14ac:dyDescent="0.35">
      <c r="A34" s="5" t="str">
        <f t="shared" si="0"/>
        <v>12_16</v>
      </c>
      <c r="B34" s="97" t="str">
        <f t="shared" si="1"/>
        <v>16.Dezember</v>
      </c>
      <c r="C34" s="101">
        <f t="shared" ca="1" si="2"/>
        <v>46007</v>
      </c>
      <c r="D34" s="101">
        <f t="shared" ca="1" si="3"/>
        <v>46007</v>
      </c>
      <c r="E34" s="98">
        <f t="shared" ca="1" si="4"/>
        <v>30</v>
      </c>
      <c r="F34" s="99">
        <f t="shared" ca="1" si="5"/>
        <v>31</v>
      </c>
      <c r="G34" s="100">
        <v>34684</v>
      </c>
      <c r="H34" s="5" t="s">
        <v>130</v>
      </c>
      <c r="I34" s="5" t="s">
        <v>171</v>
      </c>
      <c r="J34" s="5" t="s">
        <v>132</v>
      </c>
      <c r="K34" s="81" t="str">
        <f t="shared" ca="1" si="6"/>
        <v>Noch kein Geburtstag gehabt</v>
      </c>
    </row>
  </sheetData>
  <autoFilter ref="A4:K4" xr:uid="{1841BF1A-9A03-4CA3-9AB4-14BC2465827D}">
    <sortState xmlns:xlrd2="http://schemas.microsoft.com/office/spreadsheetml/2017/richdata2" ref="A5:K34">
      <sortCondition ref="A4"/>
    </sortState>
  </autoFilter>
  <sortState xmlns:xlrd2="http://schemas.microsoft.com/office/spreadsheetml/2017/richdata2" ref="A5:K34">
    <sortCondition ref="A5:A34"/>
  </sortState>
  <conditionalFormatting sqref="B5:B34">
    <cfRule type="expression" dxfId="0" priority="1">
      <formula>IF(K5="Noch kein Geburtstag gehabt",TRUE,FALSE)</formula>
    </cfRule>
  </conditionalFormatting>
  <pageMargins left="0.7" right="0.7" top="0.78740157499999996" bottom="0.78740157499999996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22FC2-F1DD-4976-B11D-F41AF79BE2D1}">
  <dimension ref="B1:C5"/>
  <sheetViews>
    <sheetView zoomScaleNormal="100" workbookViewId="0"/>
  </sheetViews>
  <sheetFormatPr baseColWidth="10" defaultRowHeight="14.5" x14ac:dyDescent="0.35"/>
  <cols>
    <col min="2" max="4" width="19.1796875" customWidth="1"/>
    <col min="5" max="6" width="16.453125" customWidth="1"/>
    <col min="7" max="7" width="18.81640625" customWidth="1"/>
    <col min="8" max="8" width="20.453125" customWidth="1"/>
    <col min="9" max="11" width="16.453125" customWidth="1"/>
  </cols>
  <sheetData>
    <row r="1" spans="2:3" ht="40" customHeight="1" x14ac:dyDescent="0.35"/>
    <row r="2" spans="2:3" ht="26" x14ac:dyDescent="0.6">
      <c r="B2" s="33" t="s">
        <v>126</v>
      </c>
      <c r="C2" s="33"/>
    </row>
    <row r="5" spans="2:3" x14ac:dyDescent="0.35">
      <c r="B5" s="94" t="s">
        <v>127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57830-AC00-4F43-A73A-16FD420D323A}">
  <dimension ref="B1:U45"/>
  <sheetViews>
    <sheetView showGridLines="0" zoomScale="55" zoomScaleNormal="55" workbookViewId="0"/>
  </sheetViews>
  <sheetFormatPr baseColWidth="10" defaultRowHeight="14.5" x14ac:dyDescent="0.35"/>
  <cols>
    <col min="2" max="4" width="19.1796875" customWidth="1"/>
    <col min="5" max="6" width="16.453125" customWidth="1"/>
    <col min="7" max="7" width="18.81640625" customWidth="1"/>
    <col min="8" max="8" width="20.453125" customWidth="1"/>
    <col min="9" max="11" width="16.453125" customWidth="1"/>
  </cols>
  <sheetData>
    <row r="1" spans="2:11" ht="40" customHeight="1" x14ac:dyDescent="0.35"/>
    <row r="2" spans="2:11" ht="26" x14ac:dyDescent="0.6">
      <c r="C2" s="33" t="s">
        <v>102</v>
      </c>
    </row>
    <row r="5" spans="2:11" ht="18.5" x14ac:dyDescent="0.45">
      <c r="B5" s="76" t="s">
        <v>103</v>
      </c>
      <c r="C5" s="76"/>
      <c r="G5" s="76" t="s">
        <v>104</v>
      </c>
      <c r="H5" s="76"/>
      <c r="I5" s="76"/>
    </row>
    <row r="6" spans="2:11" ht="16.5" x14ac:dyDescent="0.35">
      <c r="B6" s="77" t="s">
        <v>105</v>
      </c>
      <c r="C6" s="77" t="s">
        <v>106</v>
      </c>
      <c r="D6" s="77" t="s">
        <v>107</v>
      </c>
      <c r="E6" s="77" t="s">
        <v>108</v>
      </c>
      <c r="G6" s="77" t="s">
        <v>109</v>
      </c>
      <c r="H6" s="77" t="s">
        <v>110</v>
      </c>
      <c r="I6" s="77" t="s">
        <v>106</v>
      </c>
      <c r="J6" s="77" t="s">
        <v>107</v>
      </c>
      <c r="K6" s="77" t="s">
        <v>108</v>
      </c>
    </row>
    <row r="7" spans="2:11" x14ac:dyDescent="0.35">
      <c r="B7" s="79">
        <v>10</v>
      </c>
      <c r="C7" s="88">
        <f>SQRT(2) * B7</f>
        <v>14.142135623730951</v>
      </c>
      <c r="D7" s="78">
        <f>B7^2</f>
        <v>100</v>
      </c>
      <c r="E7" s="78">
        <f>4*B7</f>
        <v>40</v>
      </c>
      <c r="G7" s="79">
        <v>2</v>
      </c>
      <c r="H7" s="79">
        <v>3</v>
      </c>
      <c r="I7" s="80">
        <f>SQRT(G7^2 + H7^2)</f>
        <v>3.6055512754639891</v>
      </c>
      <c r="J7" s="78">
        <f>G7*H7</f>
        <v>6</v>
      </c>
      <c r="K7" s="78">
        <f>2*(G7+H7)</f>
        <v>10</v>
      </c>
    </row>
    <row r="8" spans="2:11" x14ac:dyDescent="0.35">
      <c r="B8" s="78">
        <f>C8/SQRT(2)</f>
        <v>10.000000000190246</v>
      </c>
      <c r="C8" s="79">
        <v>14.142135624</v>
      </c>
      <c r="D8" s="78">
        <f>C8^2 / 2</f>
        <v>100.00000000380493</v>
      </c>
      <c r="E8" s="78">
        <f>4*B8</f>
        <v>40.000000000760984</v>
      </c>
      <c r="G8" s="79">
        <v>2</v>
      </c>
      <c r="H8" s="78">
        <f>SQRT(I8^2-G8^2)</f>
        <v>3.0000000054516063</v>
      </c>
      <c r="I8" s="79">
        <v>3.6055512799999998</v>
      </c>
      <c r="J8" s="78">
        <f>G8*H8</f>
        <v>6.0000000109032126</v>
      </c>
      <c r="K8" s="78">
        <f>2*(G8+H8)</f>
        <v>10.000000010903213</v>
      </c>
    </row>
    <row r="9" spans="2:11" x14ac:dyDescent="0.35">
      <c r="B9" s="78">
        <f>SQRT(D9)</f>
        <v>10</v>
      </c>
      <c r="C9" s="78">
        <f>SQRT(2) * B9</f>
        <v>14.142135623730951</v>
      </c>
      <c r="D9" s="79">
        <v>100</v>
      </c>
      <c r="E9" s="78">
        <f>4*B9</f>
        <v>40</v>
      </c>
      <c r="G9" s="79">
        <v>2</v>
      </c>
      <c r="H9" s="78">
        <f>J9/G9</f>
        <v>3</v>
      </c>
      <c r="I9" s="78">
        <f>SQRT(G9^2 + H9^2)</f>
        <v>3.6055512754639891</v>
      </c>
      <c r="J9" s="79">
        <v>6</v>
      </c>
      <c r="K9" s="78">
        <f>2*(G9+H9)</f>
        <v>10</v>
      </c>
    </row>
    <row r="10" spans="2:11" x14ac:dyDescent="0.35">
      <c r="B10" s="78">
        <f>E10/4</f>
        <v>10</v>
      </c>
      <c r="C10" s="78">
        <f>SQRT(2) * B10</f>
        <v>14.142135623730951</v>
      </c>
      <c r="D10" s="78">
        <f>B10^2</f>
        <v>100</v>
      </c>
      <c r="E10" s="79">
        <v>40</v>
      </c>
      <c r="G10" s="79">
        <v>2</v>
      </c>
      <c r="H10" s="78">
        <f>(K10/2)-G10</f>
        <v>3</v>
      </c>
      <c r="I10" s="78">
        <f>SQRT(G10^2 + H10^2)</f>
        <v>3.6055512754639891</v>
      </c>
      <c r="J10" s="78">
        <f>G10*H10</f>
        <v>6</v>
      </c>
      <c r="K10" s="79">
        <v>10</v>
      </c>
    </row>
    <row r="11" spans="2:11" x14ac:dyDescent="0.35">
      <c r="G11" s="78">
        <f>SQRT((I11^2 - SQRT(I11^4 - 4*J11^2))/2)</f>
        <v>1.9936428724026451</v>
      </c>
      <c r="H11" s="78">
        <f>J11/G11</f>
        <v>3.0095660978483476</v>
      </c>
      <c r="I11" s="79">
        <v>3.61</v>
      </c>
      <c r="J11" s="79">
        <v>6</v>
      </c>
      <c r="K11" s="78">
        <f>2*(G11+H11)</f>
        <v>10.006417940501986</v>
      </c>
    </row>
    <row r="12" spans="2:11" x14ac:dyDescent="0.35">
      <c r="G12" s="78">
        <f>SQRT(I12^2 - H12^2)</f>
        <v>1.9841996510276481</v>
      </c>
      <c r="H12" s="78">
        <f>(K12+SQRT(8*I12^2 - K12^2))/4</f>
        <v>3.0158003489723519</v>
      </c>
      <c r="I12" s="79">
        <v>3.61</v>
      </c>
      <c r="J12" s="78">
        <f>G12*H12</f>
        <v>5.9839500000000001</v>
      </c>
      <c r="K12" s="79">
        <v>10</v>
      </c>
    </row>
    <row r="16" spans="2:11" ht="18.5" x14ac:dyDescent="0.45">
      <c r="B16" s="76" t="s">
        <v>111</v>
      </c>
    </row>
    <row r="17" spans="2:8" ht="16.5" x14ac:dyDescent="0.45">
      <c r="B17" s="77" t="s">
        <v>112</v>
      </c>
      <c r="C17" s="77" t="s">
        <v>113</v>
      </c>
      <c r="D17" s="77" t="s">
        <v>114</v>
      </c>
      <c r="E17" s="77" t="s">
        <v>116</v>
      </c>
      <c r="F17" s="77" t="s">
        <v>117</v>
      </c>
      <c r="G17" s="77" t="s">
        <v>118</v>
      </c>
      <c r="H17" s="77" t="s">
        <v>115</v>
      </c>
    </row>
    <row r="18" spans="2:8" x14ac:dyDescent="0.35">
      <c r="B18" s="79">
        <v>10</v>
      </c>
      <c r="C18" s="79">
        <v>180</v>
      </c>
      <c r="D18" s="78">
        <f>2*B18</f>
        <v>20</v>
      </c>
      <c r="E18" s="81">
        <f>B18^2*PI()</f>
        <v>314.15926535897933</v>
      </c>
      <c r="F18" s="81">
        <f>2*B18*PI()</f>
        <v>62.831853071795862</v>
      </c>
      <c r="G18" s="81">
        <f t="shared" ref="G18:G23" si="0">E18*C18/360</f>
        <v>157.07963267948966</v>
      </c>
      <c r="H18" s="81">
        <f>F18*C18/360</f>
        <v>31.415926535897931</v>
      </c>
    </row>
    <row r="19" spans="2:8" x14ac:dyDescent="0.35">
      <c r="B19" s="78">
        <f>D19/2</f>
        <v>10</v>
      </c>
      <c r="C19" s="79">
        <v>180</v>
      </c>
      <c r="D19" s="79">
        <v>20</v>
      </c>
      <c r="E19" s="78">
        <f>B19^2*PI()</f>
        <v>314.15926535897933</v>
      </c>
      <c r="F19" s="78">
        <f>2*B19*PI()</f>
        <v>62.831853071795862</v>
      </c>
      <c r="G19" s="78">
        <f t="shared" si="0"/>
        <v>157.07963267948966</v>
      </c>
      <c r="H19" s="78">
        <f>F19*C19/360</f>
        <v>31.415926535897931</v>
      </c>
    </row>
    <row r="20" spans="2:8" x14ac:dyDescent="0.35">
      <c r="B20" s="78">
        <f>SQRT(E20/PI())</f>
        <v>10.000000000652864</v>
      </c>
      <c r="C20" s="79">
        <v>180</v>
      </c>
      <c r="D20" s="78">
        <f>2*B20</f>
        <v>20.000000001305729</v>
      </c>
      <c r="E20" s="79">
        <v>314.15926539999998</v>
      </c>
      <c r="F20" s="78">
        <f>2*B20*PI()</f>
        <v>62.831853075897932</v>
      </c>
      <c r="G20" s="78">
        <f t="shared" si="0"/>
        <v>157.07963269999999</v>
      </c>
      <c r="H20" s="78">
        <f>F20*C20/360</f>
        <v>31.415926537948966</v>
      </c>
    </row>
    <row r="21" spans="2:8" x14ac:dyDescent="0.35">
      <c r="B21" s="78">
        <f>D21/2</f>
        <v>9.9999999997141806</v>
      </c>
      <c r="C21" s="79">
        <v>180</v>
      </c>
      <c r="D21" s="78">
        <f>F21/PI()</f>
        <v>19.999999999428361</v>
      </c>
      <c r="E21" s="78">
        <f>B21^2*PI()</f>
        <v>314.15926534102073</v>
      </c>
      <c r="F21" s="79">
        <v>62.831853070000001</v>
      </c>
      <c r="G21" s="78">
        <f t="shared" si="0"/>
        <v>157.07963267051036</v>
      </c>
      <c r="H21" s="78">
        <f>F21*C21/360</f>
        <v>31.415926535000001</v>
      </c>
    </row>
    <row r="22" spans="2:8" x14ac:dyDescent="0.35">
      <c r="B22" s="79">
        <v>10</v>
      </c>
      <c r="C22" s="78">
        <f>360/(F22/H22)</f>
        <v>179.99999999485524</v>
      </c>
      <c r="D22" s="78">
        <f>2*B22</f>
        <v>20</v>
      </c>
      <c r="E22" s="78">
        <f>B22^2*PI()</f>
        <v>314.15926535897933</v>
      </c>
      <c r="F22" s="78">
        <f>2*B22*PI()</f>
        <v>62.831853071795862</v>
      </c>
      <c r="G22" s="78">
        <f t="shared" si="0"/>
        <v>157.07963267500003</v>
      </c>
      <c r="H22" s="79">
        <v>31.415926535000001</v>
      </c>
    </row>
    <row r="23" spans="2:8" x14ac:dyDescent="0.35">
      <c r="B23" s="78">
        <f>D23/2</f>
        <v>10</v>
      </c>
      <c r="C23" s="78">
        <f>360/(F23/H23)</f>
        <v>179.99999999485524</v>
      </c>
      <c r="D23" s="79">
        <v>20</v>
      </c>
      <c r="E23" s="78">
        <f>B23^2*PI()</f>
        <v>314.15926535897933</v>
      </c>
      <c r="F23" s="78">
        <f>2*B23*PI()</f>
        <v>62.831853071795862</v>
      </c>
      <c r="G23" s="78">
        <f t="shared" si="0"/>
        <v>157.07963267500003</v>
      </c>
      <c r="H23" s="79">
        <v>31.415926535000001</v>
      </c>
    </row>
    <row r="24" spans="2:8" x14ac:dyDescent="0.35">
      <c r="B24" s="79">
        <v>10</v>
      </c>
      <c r="C24" s="78">
        <f>360/(E24/G24)</f>
        <v>179.99999999485527</v>
      </c>
      <c r="D24" s="78">
        <f>2*B24</f>
        <v>20</v>
      </c>
      <c r="E24" s="78">
        <f>B24^2*PI()</f>
        <v>314.15926535897933</v>
      </c>
      <c r="F24" s="78">
        <f>2*B24*PI()</f>
        <v>62.831853071795862</v>
      </c>
      <c r="G24" s="79">
        <v>157.07963267500003</v>
      </c>
      <c r="H24" s="78">
        <f>F24*C24/360</f>
        <v>31.415926535000008</v>
      </c>
    </row>
    <row r="25" spans="2:8" x14ac:dyDescent="0.35">
      <c r="B25" s="78">
        <f>D25/2</f>
        <v>10</v>
      </c>
      <c r="C25" s="78">
        <f>360/(E25/G25)</f>
        <v>179.99999999485527</v>
      </c>
      <c r="D25" s="79">
        <v>20</v>
      </c>
      <c r="E25" s="78">
        <f>B25^2*PI()</f>
        <v>314.15926535897933</v>
      </c>
      <c r="F25" s="78">
        <f>2*B25*PI()</f>
        <v>62.831853071795862</v>
      </c>
      <c r="G25" s="79">
        <v>157.07963267500003</v>
      </c>
      <c r="H25" s="78">
        <f>F25*C25/360</f>
        <v>31.415926535000008</v>
      </c>
    </row>
    <row r="29" spans="2:8" ht="18.5" x14ac:dyDescent="0.45">
      <c r="B29" s="76" t="s">
        <v>119</v>
      </c>
    </row>
    <row r="30" spans="2:8" x14ac:dyDescent="0.35">
      <c r="B30" s="77" t="s">
        <v>124</v>
      </c>
      <c r="C30" s="77" t="s">
        <v>123</v>
      </c>
      <c r="D30" s="77" t="s">
        <v>120</v>
      </c>
      <c r="E30" s="89" t="s">
        <v>121</v>
      </c>
      <c r="F30" s="90" t="s">
        <v>122</v>
      </c>
      <c r="G30" s="89" t="s">
        <v>125</v>
      </c>
    </row>
    <row r="31" spans="2:8" x14ac:dyDescent="0.35">
      <c r="B31" s="79"/>
      <c r="C31" s="79"/>
      <c r="D31" s="91"/>
      <c r="E31" s="91"/>
      <c r="F31" s="91"/>
      <c r="G31" s="91"/>
    </row>
    <row r="32" spans="2:8" x14ac:dyDescent="0.35">
      <c r="B32" s="79"/>
      <c r="C32" s="78"/>
      <c r="D32" s="79"/>
      <c r="E32" s="78"/>
      <c r="F32" s="78"/>
      <c r="G32" s="78"/>
    </row>
    <row r="33" spans="2:21" x14ac:dyDescent="0.35">
      <c r="B33" s="79"/>
      <c r="C33" s="78"/>
      <c r="D33" s="78"/>
      <c r="E33" s="79"/>
      <c r="F33" s="78"/>
      <c r="G33" s="78"/>
    </row>
    <row r="34" spans="2:21" x14ac:dyDescent="0.35">
      <c r="B34" s="79"/>
      <c r="C34" s="78"/>
      <c r="D34" s="78"/>
      <c r="E34" s="78"/>
      <c r="F34" s="79"/>
      <c r="G34" s="78"/>
    </row>
    <row r="35" spans="2:21" x14ac:dyDescent="0.35">
      <c r="B35" s="79"/>
      <c r="C35" s="78"/>
      <c r="D35" s="78"/>
      <c r="E35" s="78"/>
      <c r="F35" s="78"/>
      <c r="G35" s="79"/>
    </row>
    <row r="36" spans="2:21" x14ac:dyDescent="0.35">
      <c r="B36" s="78"/>
      <c r="C36" s="79"/>
      <c r="D36" s="79"/>
      <c r="E36" s="78"/>
      <c r="F36" s="78"/>
      <c r="G36" s="78"/>
    </row>
    <row r="37" spans="2:21" x14ac:dyDescent="0.35">
      <c r="B37" s="78"/>
      <c r="C37" s="79"/>
      <c r="D37" s="78"/>
      <c r="E37" s="79"/>
      <c r="F37" s="78"/>
      <c r="G37" s="78"/>
    </row>
    <row r="38" spans="2:21" x14ac:dyDescent="0.35">
      <c r="B38" s="78"/>
      <c r="C38" s="79"/>
      <c r="D38" s="78"/>
      <c r="E38" s="78"/>
      <c r="F38" s="79"/>
      <c r="G38" s="78"/>
    </row>
    <row r="39" spans="2:21" x14ac:dyDescent="0.35">
      <c r="B39" s="78"/>
      <c r="C39" s="79"/>
      <c r="D39" s="78"/>
      <c r="E39" s="78"/>
      <c r="F39" s="78"/>
      <c r="G39" s="79"/>
    </row>
    <row r="40" spans="2:21" x14ac:dyDescent="0.35">
      <c r="B40" s="78"/>
      <c r="C40" s="78"/>
      <c r="D40" s="79"/>
      <c r="E40" s="79"/>
      <c r="F40" s="78"/>
      <c r="G40" s="78"/>
    </row>
    <row r="41" spans="2:21" x14ac:dyDescent="0.35">
      <c r="B41" s="78"/>
      <c r="C41" s="78"/>
      <c r="D41" s="79"/>
      <c r="E41" s="78"/>
      <c r="F41" s="79"/>
      <c r="G41" s="78"/>
      <c r="U41" s="122"/>
    </row>
    <row r="42" spans="2:21" x14ac:dyDescent="0.35">
      <c r="B42" s="78"/>
      <c r="C42" s="78"/>
      <c r="D42" s="79"/>
      <c r="E42" s="78"/>
      <c r="F42" s="78"/>
      <c r="G42" s="79"/>
    </row>
    <row r="43" spans="2:21" x14ac:dyDescent="0.35">
      <c r="B43" s="92"/>
      <c r="C43" s="92"/>
      <c r="D43" s="92"/>
      <c r="E43" s="79"/>
      <c r="F43" s="79"/>
      <c r="G43" s="92"/>
    </row>
    <row r="44" spans="2:21" x14ac:dyDescent="0.35">
      <c r="B44" s="78"/>
      <c r="C44" s="78"/>
      <c r="D44" s="78"/>
      <c r="E44" s="79"/>
      <c r="F44" s="78"/>
      <c r="G44" s="79"/>
    </row>
    <row r="45" spans="2:21" x14ac:dyDescent="0.35">
      <c r="B45" s="78"/>
      <c r="C45" s="78"/>
      <c r="D45" s="78"/>
      <c r="E45" s="78"/>
      <c r="F45" s="79"/>
      <c r="G45" s="79"/>
    </row>
  </sheetData>
  <pageMargins left="0.7" right="0.7" top="0.78740157499999996" bottom="0.78740157499999996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15A17-1A1D-465A-AB11-E83075F9A2A8}">
  <dimension ref="B2:AO28"/>
  <sheetViews>
    <sheetView showGridLines="0" zoomScale="115" zoomScaleNormal="115" workbookViewId="0"/>
  </sheetViews>
  <sheetFormatPr baseColWidth="10" defaultRowHeight="14.5" x14ac:dyDescent="0.35"/>
  <cols>
    <col min="2" max="2" width="25.6328125" customWidth="1"/>
    <col min="8" max="8" width="13.1796875" customWidth="1"/>
    <col min="9" max="9" width="17.54296875" customWidth="1"/>
  </cols>
  <sheetData>
    <row r="2" spans="2:14" ht="64.5" customHeight="1" x14ac:dyDescent="0.35">
      <c r="C2" s="399" t="s">
        <v>847</v>
      </c>
    </row>
    <row r="3" spans="2:14" x14ac:dyDescent="0.35">
      <c r="B3" s="348" t="s">
        <v>5</v>
      </c>
    </row>
    <row r="4" spans="2:14" x14ac:dyDescent="0.35">
      <c r="B4" s="5" t="s">
        <v>2</v>
      </c>
      <c r="C4" s="4">
        <v>1</v>
      </c>
      <c r="D4" s="4">
        <v>2</v>
      </c>
      <c r="E4" s="4">
        <v>3</v>
      </c>
      <c r="F4" s="4">
        <v>4</v>
      </c>
    </row>
    <row r="5" spans="2:14" x14ac:dyDescent="0.35">
      <c r="B5" s="5" t="s">
        <v>4</v>
      </c>
      <c r="C5" s="4">
        <v>10</v>
      </c>
      <c r="D5" s="4">
        <v>19.899999999999999</v>
      </c>
      <c r="E5" s="4">
        <v>30.05</v>
      </c>
      <c r="F5" s="4">
        <v>40.5</v>
      </c>
    </row>
    <row r="7" spans="2:14" x14ac:dyDescent="0.35">
      <c r="B7" s="5" t="s">
        <v>6</v>
      </c>
      <c r="C7" s="81">
        <f>C5/C4</f>
        <v>10</v>
      </c>
      <c r="D7" s="81">
        <f>D5/D4</f>
        <v>9.9499999999999993</v>
      </c>
      <c r="E7" s="81">
        <f>E5/E4</f>
        <v>10.016666666666667</v>
      </c>
      <c r="F7" s="81">
        <f>F5/F4</f>
        <v>10.125</v>
      </c>
      <c r="H7" s="5" t="s">
        <v>3</v>
      </c>
      <c r="I7" s="81">
        <f>AVERAGE(C7:F7)</f>
        <v>10.022916666666667</v>
      </c>
    </row>
    <row r="8" spans="2:14" x14ac:dyDescent="0.35">
      <c r="B8" s="5" t="s">
        <v>7</v>
      </c>
      <c r="C8" s="5">
        <f>$I$7*C4</f>
        <v>10.022916666666667</v>
      </c>
      <c r="D8" s="5">
        <f>$I$7*D4</f>
        <v>20.045833333333334</v>
      </c>
      <c r="E8" s="5">
        <f>$I$7*E4</f>
        <v>30.068750000000001</v>
      </c>
      <c r="F8" s="5">
        <f>$I$7*F4</f>
        <v>40.091666666666669</v>
      </c>
    </row>
    <row r="9" spans="2:14" ht="22" customHeight="1" x14ac:dyDescent="0.35"/>
    <row r="10" spans="2:14" ht="15" thickBot="1" x14ac:dyDescent="0.4"/>
    <row r="11" spans="2:14" ht="26" x14ac:dyDescent="0.6">
      <c r="I11" s="327"/>
      <c r="J11" s="328" t="s">
        <v>9</v>
      </c>
      <c r="K11" s="329"/>
      <c r="L11" s="329"/>
      <c r="M11" s="330" t="s">
        <v>12</v>
      </c>
      <c r="N11" s="331"/>
    </row>
    <row r="12" spans="2:14" x14ac:dyDescent="0.35">
      <c r="I12" s="332"/>
      <c r="J12" s="273"/>
      <c r="K12" s="273"/>
      <c r="L12" s="273"/>
      <c r="M12" s="273"/>
      <c r="N12" s="333"/>
    </row>
    <row r="13" spans="2:14" x14ac:dyDescent="0.35">
      <c r="I13" s="332"/>
      <c r="J13" s="334" t="s">
        <v>10</v>
      </c>
      <c r="K13" s="334" t="s">
        <v>13</v>
      </c>
      <c r="L13" s="2">
        <v>5</v>
      </c>
      <c r="M13" s="273"/>
      <c r="N13" s="333"/>
    </row>
    <row r="14" spans="2:14" ht="15" thickBot="1" x14ac:dyDescent="0.4">
      <c r="I14" s="335"/>
      <c r="J14" s="336" t="s">
        <v>11</v>
      </c>
      <c r="K14" s="336" t="s">
        <v>14</v>
      </c>
      <c r="L14" s="7">
        <v>10</v>
      </c>
      <c r="M14" s="337"/>
      <c r="N14" s="338"/>
    </row>
    <row r="16" spans="2:14" x14ac:dyDescent="0.35">
      <c r="I16" s="349" t="s">
        <v>16</v>
      </c>
      <c r="J16" s="350">
        <v>0.5</v>
      </c>
    </row>
    <row r="17" spans="2:41" x14ac:dyDescent="0.35">
      <c r="I17" s="8" t="s">
        <v>0</v>
      </c>
      <c r="J17" s="4">
        <v>0</v>
      </c>
      <c r="K17" s="81">
        <f>$J$16+J17</f>
        <v>0.5</v>
      </c>
      <c r="L17" s="81">
        <f t="shared" ref="L17:AO17" si="0">$J$16+K17</f>
        <v>1</v>
      </c>
      <c r="M17" s="81">
        <f t="shared" si="0"/>
        <v>1.5</v>
      </c>
      <c r="N17" s="81">
        <f t="shared" si="0"/>
        <v>2</v>
      </c>
      <c r="O17" s="81">
        <f t="shared" si="0"/>
        <v>2.5</v>
      </c>
      <c r="P17" s="81">
        <f t="shared" si="0"/>
        <v>3</v>
      </c>
      <c r="Q17" s="81">
        <f t="shared" si="0"/>
        <v>3.5</v>
      </c>
      <c r="R17" s="81">
        <f t="shared" si="0"/>
        <v>4</v>
      </c>
      <c r="S17" s="81">
        <f t="shared" si="0"/>
        <v>4.5</v>
      </c>
      <c r="T17" s="81">
        <f t="shared" si="0"/>
        <v>5</v>
      </c>
      <c r="U17" s="81">
        <f t="shared" si="0"/>
        <v>5.5</v>
      </c>
      <c r="V17" s="81">
        <f t="shared" si="0"/>
        <v>6</v>
      </c>
      <c r="W17" s="81">
        <f t="shared" si="0"/>
        <v>6.5</v>
      </c>
      <c r="X17" s="81">
        <f t="shared" si="0"/>
        <v>7</v>
      </c>
      <c r="Y17" s="81">
        <f t="shared" si="0"/>
        <v>7.5</v>
      </c>
      <c r="Z17" s="81">
        <f t="shared" si="0"/>
        <v>8</v>
      </c>
      <c r="AA17" s="81">
        <f t="shared" si="0"/>
        <v>8.5</v>
      </c>
      <c r="AB17" s="81">
        <f t="shared" si="0"/>
        <v>9</v>
      </c>
      <c r="AC17" s="81">
        <f t="shared" si="0"/>
        <v>9.5</v>
      </c>
      <c r="AD17" s="81">
        <f t="shared" si="0"/>
        <v>10</v>
      </c>
      <c r="AE17" s="81">
        <f t="shared" si="0"/>
        <v>10.5</v>
      </c>
      <c r="AF17" s="81">
        <f t="shared" si="0"/>
        <v>11</v>
      </c>
      <c r="AG17" s="81">
        <f t="shared" si="0"/>
        <v>11.5</v>
      </c>
      <c r="AH17" s="81">
        <f t="shared" si="0"/>
        <v>12</v>
      </c>
      <c r="AI17" s="81">
        <f t="shared" si="0"/>
        <v>12.5</v>
      </c>
      <c r="AJ17" s="81">
        <f t="shared" si="0"/>
        <v>13</v>
      </c>
      <c r="AK17" s="81">
        <f t="shared" si="0"/>
        <v>13.5</v>
      </c>
      <c r="AL17" s="81">
        <f t="shared" si="0"/>
        <v>14</v>
      </c>
      <c r="AM17" s="81">
        <f t="shared" si="0"/>
        <v>14.5</v>
      </c>
      <c r="AN17" s="81">
        <f t="shared" si="0"/>
        <v>15</v>
      </c>
      <c r="AO17" s="81">
        <f t="shared" si="0"/>
        <v>15.5</v>
      </c>
    </row>
    <row r="18" spans="2:41" ht="18.5" x14ac:dyDescent="0.45">
      <c r="I18" s="339" t="s">
        <v>15</v>
      </c>
      <c r="J18" s="81">
        <f>$L$13*J17+$L$14</f>
        <v>10</v>
      </c>
      <c r="K18" s="81">
        <f t="shared" ref="K18:AO18" si="1">$L$13*K17+$L$14</f>
        <v>12.5</v>
      </c>
      <c r="L18" s="81">
        <f t="shared" si="1"/>
        <v>15</v>
      </c>
      <c r="M18" s="81">
        <f t="shared" si="1"/>
        <v>17.5</v>
      </c>
      <c r="N18" s="81">
        <f t="shared" si="1"/>
        <v>20</v>
      </c>
      <c r="O18" s="81">
        <f t="shared" si="1"/>
        <v>22.5</v>
      </c>
      <c r="P18" s="81">
        <f t="shared" si="1"/>
        <v>25</v>
      </c>
      <c r="Q18" s="81">
        <f t="shared" si="1"/>
        <v>27.5</v>
      </c>
      <c r="R18" s="81">
        <f t="shared" si="1"/>
        <v>30</v>
      </c>
      <c r="S18" s="81">
        <f t="shared" si="1"/>
        <v>32.5</v>
      </c>
      <c r="T18" s="81">
        <f t="shared" si="1"/>
        <v>35</v>
      </c>
      <c r="U18" s="81">
        <f t="shared" si="1"/>
        <v>37.5</v>
      </c>
      <c r="V18" s="81">
        <f t="shared" si="1"/>
        <v>40</v>
      </c>
      <c r="W18" s="81">
        <f t="shared" si="1"/>
        <v>42.5</v>
      </c>
      <c r="X18" s="81">
        <f t="shared" si="1"/>
        <v>45</v>
      </c>
      <c r="Y18" s="81">
        <f t="shared" si="1"/>
        <v>47.5</v>
      </c>
      <c r="Z18" s="81">
        <f t="shared" si="1"/>
        <v>50</v>
      </c>
      <c r="AA18" s="81">
        <f t="shared" si="1"/>
        <v>52.5</v>
      </c>
      <c r="AB18" s="81">
        <f t="shared" si="1"/>
        <v>55</v>
      </c>
      <c r="AC18" s="81">
        <f t="shared" si="1"/>
        <v>57.5</v>
      </c>
      <c r="AD18" s="81">
        <f t="shared" si="1"/>
        <v>60</v>
      </c>
      <c r="AE18" s="81">
        <f t="shared" si="1"/>
        <v>62.5</v>
      </c>
      <c r="AF18" s="81">
        <f t="shared" si="1"/>
        <v>65</v>
      </c>
      <c r="AG18" s="81">
        <f t="shared" si="1"/>
        <v>67.5</v>
      </c>
      <c r="AH18" s="81">
        <f t="shared" si="1"/>
        <v>70</v>
      </c>
      <c r="AI18" s="81">
        <f t="shared" si="1"/>
        <v>72.5</v>
      </c>
      <c r="AJ18" s="81">
        <f t="shared" si="1"/>
        <v>75</v>
      </c>
      <c r="AK18" s="81">
        <f t="shared" si="1"/>
        <v>77.5</v>
      </c>
      <c r="AL18" s="81">
        <f t="shared" si="1"/>
        <v>80</v>
      </c>
      <c r="AM18" s="81">
        <f t="shared" si="1"/>
        <v>82.5</v>
      </c>
      <c r="AN18" s="81">
        <f t="shared" si="1"/>
        <v>85</v>
      </c>
      <c r="AO18" s="81">
        <f t="shared" si="1"/>
        <v>87.5</v>
      </c>
    </row>
    <row r="24" spans="2:41" ht="23.5" x14ac:dyDescent="0.55000000000000004">
      <c r="H24" s="5"/>
      <c r="I24" s="395" t="s">
        <v>844</v>
      </c>
      <c r="J24" s="396" t="str">
        <f>IF($I$24=$R$24,"s [km]","s [m]")</f>
        <v>s [km]</v>
      </c>
      <c r="K24" s="396" t="str">
        <f>IF($I$24=$R$24,"v [km/h]","v [m/s]")</f>
        <v>v [km/h]</v>
      </c>
      <c r="L24" s="396" t="str">
        <f>IF($I$24=$R$24,"t [h]","t [s]")</f>
        <v>t [h]</v>
      </c>
      <c r="M24" s="396" t="str">
        <f>IF($I$24=$R$24,"s0 [km]","s0 [m]")</f>
        <v>s0 [km]</v>
      </c>
      <c r="R24" t="s">
        <v>844</v>
      </c>
    </row>
    <row r="25" spans="2:41" ht="21" x14ac:dyDescent="0.5">
      <c r="B25" s="249"/>
      <c r="H25" s="398" t="s">
        <v>841</v>
      </c>
      <c r="I25" s="397" t="s">
        <v>837</v>
      </c>
      <c r="J25" s="81">
        <f>K25*L25+M25</f>
        <v>250</v>
      </c>
      <c r="K25" s="4">
        <v>100</v>
      </c>
      <c r="L25" s="4">
        <v>2</v>
      </c>
      <c r="M25" s="4">
        <v>50</v>
      </c>
      <c r="R25" t="s">
        <v>845</v>
      </c>
    </row>
    <row r="26" spans="2:41" ht="21" x14ac:dyDescent="0.5">
      <c r="B26" s="249"/>
      <c r="H26" s="398" t="s">
        <v>842</v>
      </c>
      <c r="I26" s="397" t="s">
        <v>838</v>
      </c>
      <c r="J26" s="4">
        <v>250</v>
      </c>
      <c r="K26" s="81">
        <f>(J26-M26)/L26</f>
        <v>100</v>
      </c>
      <c r="L26" s="4">
        <v>2</v>
      </c>
      <c r="M26" s="4">
        <v>50</v>
      </c>
    </row>
    <row r="27" spans="2:41" ht="21" x14ac:dyDescent="0.5">
      <c r="B27" s="249"/>
      <c r="H27" s="398" t="s">
        <v>843</v>
      </c>
      <c r="I27" s="397" t="s">
        <v>839</v>
      </c>
      <c r="J27" s="4">
        <v>250</v>
      </c>
      <c r="K27" s="4">
        <v>100</v>
      </c>
      <c r="L27" s="81">
        <f>(J27-M27)/K27</f>
        <v>2</v>
      </c>
      <c r="M27" s="4">
        <v>50</v>
      </c>
    </row>
    <row r="28" spans="2:41" ht="21" x14ac:dyDescent="0.5">
      <c r="B28" s="249"/>
      <c r="H28" s="398" t="s">
        <v>846</v>
      </c>
      <c r="I28" s="397" t="s">
        <v>840</v>
      </c>
      <c r="J28" s="4">
        <v>250</v>
      </c>
      <c r="K28" s="4">
        <v>100</v>
      </c>
      <c r="L28" s="4">
        <v>2</v>
      </c>
      <c r="M28" s="81">
        <f>J28-K28*L28</f>
        <v>50</v>
      </c>
    </row>
  </sheetData>
  <dataValidations count="1">
    <dataValidation type="list" allowBlank="1" showInputMessage="1" showErrorMessage="1" sqref="I24" xr:uid="{F975B1A8-60F1-4CBD-972B-6627BD48CF40}">
      <formula1>$R$24:$R$25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2CF4D-D5EF-4055-81E3-75652AD13B4F}">
  <dimension ref="B2:Z43"/>
  <sheetViews>
    <sheetView showGridLines="0" topLeftCell="A12" zoomScale="115" zoomScaleNormal="115" workbookViewId="0">
      <selection activeCell="N18" sqref="N18"/>
    </sheetView>
  </sheetViews>
  <sheetFormatPr baseColWidth="10" defaultRowHeight="14.5" x14ac:dyDescent="0.35"/>
  <cols>
    <col min="2" max="2" width="52.54296875" customWidth="1"/>
    <col min="3" max="3" width="9.1796875" customWidth="1"/>
    <col min="9" max="9" width="13.1796875" customWidth="1"/>
    <col min="10" max="10" width="15.453125" customWidth="1"/>
  </cols>
  <sheetData>
    <row r="2" spans="2:26" ht="64.5" customHeight="1" x14ac:dyDescent="0.35">
      <c r="C2" s="399" t="s">
        <v>854</v>
      </c>
      <c r="D2" s="399"/>
    </row>
    <row r="4" spans="2:26" x14ac:dyDescent="0.35">
      <c r="J4" t="s">
        <v>646</v>
      </c>
    </row>
    <row r="5" spans="2:26" x14ac:dyDescent="0.35">
      <c r="J5" t="s">
        <v>884</v>
      </c>
    </row>
    <row r="10" spans="2:26" x14ac:dyDescent="0.35">
      <c r="B10" s="5"/>
      <c r="C10" s="5"/>
      <c r="D10" s="5"/>
      <c r="E10" s="5"/>
      <c r="F10" s="4">
        <v>1</v>
      </c>
      <c r="G10" s="340"/>
      <c r="H10" s="340"/>
      <c r="I10" s="340"/>
      <c r="J10" s="340"/>
      <c r="K10" s="340"/>
      <c r="L10" s="340"/>
      <c r="M10" s="340"/>
      <c r="N10" s="340"/>
      <c r="O10" s="340"/>
      <c r="P10" s="340"/>
      <c r="Q10" s="340"/>
      <c r="R10" s="340"/>
      <c r="S10" s="340"/>
      <c r="T10" s="340"/>
      <c r="U10" s="340"/>
      <c r="V10" s="340"/>
      <c r="W10" s="340"/>
      <c r="X10" s="340"/>
      <c r="Y10" s="340"/>
      <c r="Z10" s="340"/>
    </row>
    <row r="11" spans="2:26" x14ac:dyDescent="0.35">
      <c r="B11" s="5"/>
      <c r="C11" s="5" t="s">
        <v>257</v>
      </c>
      <c r="D11" s="5" t="s">
        <v>884</v>
      </c>
      <c r="E11" s="5"/>
      <c r="F11" s="4">
        <v>0</v>
      </c>
      <c r="G11" s="81">
        <f>F11+$F$10</f>
        <v>1</v>
      </c>
      <c r="H11" s="81">
        <f t="shared" ref="H11:Z11" si="0">G11+$F$10</f>
        <v>2</v>
      </c>
      <c r="I11" s="81">
        <f t="shared" si="0"/>
        <v>3</v>
      </c>
      <c r="J11" s="81">
        <f t="shared" si="0"/>
        <v>4</v>
      </c>
      <c r="K11" s="81">
        <f t="shared" si="0"/>
        <v>5</v>
      </c>
      <c r="L11" s="81">
        <f t="shared" si="0"/>
        <v>6</v>
      </c>
      <c r="M11" s="81">
        <f t="shared" si="0"/>
        <v>7</v>
      </c>
      <c r="N11" s="81">
        <f t="shared" si="0"/>
        <v>8</v>
      </c>
      <c r="O11" s="81">
        <f t="shared" si="0"/>
        <v>9</v>
      </c>
      <c r="P11" s="81">
        <f t="shared" si="0"/>
        <v>10</v>
      </c>
      <c r="Q11" s="81">
        <f t="shared" si="0"/>
        <v>11</v>
      </c>
      <c r="R11" s="81">
        <f t="shared" si="0"/>
        <v>12</v>
      </c>
      <c r="S11" s="81">
        <f t="shared" si="0"/>
        <v>13</v>
      </c>
      <c r="T11" s="81">
        <f t="shared" si="0"/>
        <v>14</v>
      </c>
      <c r="U11" s="81">
        <f t="shared" si="0"/>
        <v>15</v>
      </c>
      <c r="V11" s="81">
        <f t="shared" si="0"/>
        <v>16</v>
      </c>
      <c r="W11" s="81">
        <f t="shared" si="0"/>
        <v>17</v>
      </c>
      <c r="X11" s="81">
        <f t="shared" si="0"/>
        <v>18</v>
      </c>
      <c r="Y11" s="81">
        <f t="shared" si="0"/>
        <v>19</v>
      </c>
      <c r="Z11" s="81">
        <f t="shared" si="0"/>
        <v>20</v>
      </c>
    </row>
    <row r="12" spans="2:26" ht="20.5" x14ac:dyDescent="0.55000000000000004">
      <c r="B12" s="339" t="s">
        <v>644</v>
      </c>
      <c r="C12" s="341" t="s">
        <v>885</v>
      </c>
      <c r="D12" s="341" t="str">
        <f>IF($D$11=$J$4,"[km/h]","[m/s]")</f>
        <v>[m/s]</v>
      </c>
      <c r="E12" s="4">
        <v>10.4</v>
      </c>
      <c r="F12" s="5">
        <f>$E$12*F11 + $E$13</f>
        <v>0</v>
      </c>
      <c r="G12" s="5">
        <f t="shared" ref="G12:Z12" si="1">$E$12*G11 + $E$13</f>
        <v>10.4</v>
      </c>
      <c r="H12" s="5">
        <f t="shared" si="1"/>
        <v>20.8</v>
      </c>
      <c r="I12" s="5">
        <f t="shared" si="1"/>
        <v>31.200000000000003</v>
      </c>
      <c r="J12" s="5">
        <f t="shared" si="1"/>
        <v>41.6</v>
      </c>
      <c r="K12" s="5">
        <f t="shared" si="1"/>
        <v>52</v>
      </c>
      <c r="L12" s="5">
        <f t="shared" si="1"/>
        <v>62.400000000000006</v>
      </c>
      <c r="M12" s="5">
        <f t="shared" si="1"/>
        <v>72.8</v>
      </c>
      <c r="N12" s="5">
        <f t="shared" si="1"/>
        <v>83.2</v>
      </c>
      <c r="O12" s="5">
        <f t="shared" si="1"/>
        <v>93.600000000000009</v>
      </c>
      <c r="P12" s="5">
        <f t="shared" si="1"/>
        <v>104</v>
      </c>
      <c r="Q12" s="5">
        <f t="shared" si="1"/>
        <v>114.4</v>
      </c>
      <c r="R12" s="5">
        <f t="shared" si="1"/>
        <v>124.80000000000001</v>
      </c>
      <c r="S12" s="5">
        <f t="shared" si="1"/>
        <v>135.20000000000002</v>
      </c>
      <c r="T12" s="5">
        <f t="shared" si="1"/>
        <v>145.6</v>
      </c>
      <c r="U12" s="5">
        <f t="shared" si="1"/>
        <v>156</v>
      </c>
      <c r="V12" s="5">
        <f t="shared" si="1"/>
        <v>166.4</v>
      </c>
      <c r="W12" s="5">
        <f t="shared" si="1"/>
        <v>176.8</v>
      </c>
      <c r="X12" s="5">
        <f t="shared" si="1"/>
        <v>187.20000000000002</v>
      </c>
      <c r="Y12" s="5">
        <f t="shared" si="1"/>
        <v>197.6</v>
      </c>
      <c r="Z12" s="5">
        <f t="shared" si="1"/>
        <v>208</v>
      </c>
    </row>
    <row r="13" spans="2:26" ht="20.5" x14ac:dyDescent="0.55000000000000004">
      <c r="B13" s="341"/>
      <c r="C13" s="341" t="s">
        <v>886</v>
      </c>
      <c r="D13" s="341" t="str">
        <f>IF($D$11=$J$4,"[km]","[m]")</f>
        <v>[m]</v>
      </c>
      <c r="E13" s="4">
        <v>0</v>
      </c>
      <c r="F13" s="340"/>
      <c r="G13" s="340"/>
      <c r="H13" s="340"/>
      <c r="I13" s="340"/>
      <c r="J13" s="340"/>
      <c r="K13" s="340"/>
      <c r="L13" s="340"/>
      <c r="M13" s="340"/>
      <c r="N13" s="340"/>
      <c r="O13" s="340"/>
      <c r="P13" s="340"/>
      <c r="Q13" s="340"/>
      <c r="R13" s="340"/>
      <c r="S13" s="340"/>
      <c r="T13" s="340"/>
      <c r="U13" s="340"/>
      <c r="V13" s="340"/>
      <c r="W13" s="340"/>
      <c r="X13" s="340"/>
      <c r="Y13" s="340"/>
      <c r="Z13" s="340"/>
    </row>
    <row r="14" spans="2:26" ht="20.5" x14ac:dyDescent="0.55000000000000004">
      <c r="B14" s="342" t="s">
        <v>643</v>
      </c>
      <c r="C14" s="341" t="s">
        <v>887</v>
      </c>
      <c r="D14" s="341" t="str">
        <f t="shared" ref="D14" si="2">IF($D$11=$J$4,"[km/h]","[m/s]")</f>
        <v>[m/s]</v>
      </c>
      <c r="E14" s="4">
        <v>8.5470079999999999</v>
      </c>
      <c r="F14" s="5">
        <f>$E$14*F11+$E$15</f>
        <v>25.641024999999999</v>
      </c>
      <c r="G14" s="5">
        <f t="shared" ref="G14:Z14" si="3">$E$14*G11+$E$15</f>
        <v>34.188032999999997</v>
      </c>
      <c r="H14" s="5">
        <f t="shared" si="3"/>
        <v>42.735040999999995</v>
      </c>
      <c r="I14" s="5">
        <f t="shared" si="3"/>
        <v>51.282049000000001</v>
      </c>
      <c r="J14" s="5">
        <f t="shared" si="3"/>
        <v>59.829056999999999</v>
      </c>
      <c r="K14" s="5">
        <f t="shared" si="3"/>
        <v>68.376064999999997</v>
      </c>
      <c r="L14" s="5">
        <f t="shared" si="3"/>
        <v>76.923073000000002</v>
      </c>
      <c r="M14" s="5">
        <f t="shared" si="3"/>
        <v>85.470080999999993</v>
      </c>
      <c r="N14" s="5">
        <f t="shared" si="3"/>
        <v>94.017088999999999</v>
      </c>
      <c r="O14" s="5">
        <f t="shared" si="3"/>
        <v>102.564097</v>
      </c>
      <c r="P14" s="5">
        <f t="shared" si="3"/>
        <v>111.11110499999999</v>
      </c>
      <c r="Q14" s="5">
        <f t="shared" si="3"/>
        <v>119.658113</v>
      </c>
      <c r="R14" s="5">
        <f t="shared" si="3"/>
        <v>128.20512100000002</v>
      </c>
      <c r="S14" s="5">
        <f t="shared" si="3"/>
        <v>136.752129</v>
      </c>
      <c r="T14" s="5">
        <f t="shared" si="3"/>
        <v>145.299137</v>
      </c>
      <c r="U14" s="5">
        <f t="shared" si="3"/>
        <v>153.84614499999998</v>
      </c>
      <c r="V14" s="5">
        <f t="shared" si="3"/>
        <v>162.39315299999998</v>
      </c>
      <c r="W14" s="5">
        <f t="shared" si="3"/>
        <v>170.94016099999999</v>
      </c>
      <c r="X14" s="5">
        <f t="shared" si="3"/>
        <v>179.48716899999999</v>
      </c>
      <c r="Y14" s="5">
        <f t="shared" si="3"/>
        <v>188.034177</v>
      </c>
      <c r="Z14" s="5">
        <f t="shared" si="3"/>
        <v>196.581185</v>
      </c>
    </row>
    <row r="15" spans="2:26" ht="20.5" x14ac:dyDescent="0.55000000000000004">
      <c r="B15" s="341"/>
      <c r="C15" s="341" t="s">
        <v>888</v>
      </c>
      <c r="D15" s="341" t="str">
        <f>IF($D$11=$J$4,"[km]","[m]")</f>
        <v>[m]</v>
      </c>
      <c r="E15" s="4">
        <v>25.641024999999999</v>
      </c>
      <c r="F15" s="340"/>
      <c r="G15" s="340"/>
      <c r="H15" s="340"/>
      <c r="I15" s="340"/>
      <c r="J15" s="340"/>
      <c r="K15" s="340"/>
      <c r="L15" s="340"/>
      <c r="M15" s="340"/>
      <c r="N15" s="340"/>
      <c r="O15" s="340"/>
      <c r="P15" s="340"/>
      <c r="Q15" s="340"/>
      <c r="R15" s="340"/>
      <c r="S15" s="340"/>
      <c r="T15" s="340"/>
      <c r="U15" s="340"/>
      <c r="V15" s="340"/>
      <c r="W15" s="340"/>
      <c r="X15" s="340"/>
      <c r="Y15" s="340"/>
      <c r="Z15" s="340"/>
    </row>
    <row r="17" spans="3:4" ht="18.5" x14ac:dyDescent="0.45">
      <c r="C17" s="343" t="str">
        <f>IF(E14*E12&lt;0,"Auf einander zufahren","Einander nachfahren")</f>
        <v>Einander nachfahren</v>
      </c>
      <c r="D17" s="343"/>
    </row>
    <row r="38" spans="2:9" ht="21" x14ac:dyDescent="0.5">
      <c r="B38" s="347" t="s">
        <v>649</v>
      </c>
      <c r="C38" s="96"/>
      <c r="D38" s="96"/>
      <c r="E38" s="96"/>
      <c r="G38" t="s">
        <v>650</v>
      </c>
    </row>
    <row r="39" spans="2:9" ht="16.5" x14ac:dyDescent="0.45">
      <c r="B39" s="8" t="s">
        <v>645</v>
      </c>
      <c r="C39" s="5">
        <f>(E15-E13)/(E12-E14)</f>
        <v>13.837633945532412</v>
      </c>
      <c r="D39" s="5"/>
      <c r="E39" s="5" t="s">
        <v>646</v>
      </c>
      <c r="F39" s="344"/>
      <c r="G39" t="s">
        <v>651</v>
      </c>
      <c r="H39">
        <v>0</v>
      </c>
      <c r="I39">
        <f>C39</f>
        <v>13.837633945532412</v>
      </c>
    </row>
    <row r="40" spans="2:9" x14ac:dyDescent="0.35">
      <c r="B40" s="8"/>
      <c r="C40" s="345">
        <f>C39/24</f>
        <v>0.57656808106385049</v>
      </c>
      <c r="D40" s="345"/>
      <c r="E40" s="5"/>
      <c r="H40">
        <f>C42</f>
        <v>143.91139303353708</v>
      </c>
      <c r="I40">
        <f>H40</f>
        <v>143.91139303353708</v>
      </c>
    </row>
    <row r="41" spans="2:9" x14ac:dyDescent="0.35">
      <c r="B41" s="346"/>
      <c r="C41" s="340"/>
      <c r="D41" s="340"/>
      <c r="E41" s="340"/>
    </row>
    <row r="42" spans="2:9" ht="16.5" x14ac:dyDescent="0.45">
      <c r="B42" s="8" t="s">
        <v>647</v>
      </c>
      <c r="C42" s="5">
        <f>E12*C39+E13</f>
        <v>143.91139303353708</v>
      </c>
      <c r="D42" s="5"/>
      <c r="E42" s="5" t="s">
        <v>648</v>
      </c>
      <c r="G42" t="s">
        <v>652</v>
      </c>
      <c r="H42">
        <f>I39</f>
        <v>13.837633945532412</v>
      </c>
      <c r="I42">
        <f>H42</f>
        <v>13.837633945532412</v>
      </c>
    </row>
    <row r="43" spans="2:9" ht="16.5" x14ac:dyDescent="0.45">
      <c r="B43" s="8" t="s">
        <v>647</v>
      </c>
      <c r="C43" s="5">
        <f>E14*C39+E15</f>
        <v>143.91139303353708</v>
      </c>
      <c r="D43" s="5"/>
      <c r="E43" s="5" t="s">
        <v>648</v>
      </c>
      <c r="H43">
        <v>0</v>
      </c>
      <c r="I43">
        <f>H40</f>
        <v>143.91139303353708</v>
      </c>
    </row>
  </sheetData>
  <dataValidations count="1">
    <dataValidation type="list" allowBlank="1" showInputMessage="1" showErrorMessage="1" sqref="D11" xr:uid="{46E8BB56-A695-4636-B66E-EA96A8B20BE3}">
      <formula1>$J$4:$J$5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44B65-9415-4C8E-AE7F-C0B8FA4247A3}">
  <dimension ref="B2:AA11"/>
  <sheetViews>
    <sheetView showGridLines="0" tabSelected="1" zoomScale="85" zoomScaleNormal="85" workbookViewId="0">
      <selection activeCell="E5" sqref="E5"/>
    </sheetView>
  </sheetViews>
  <sheetFormatPr baseColWidth="10" defaultRowHeight="14.5" x14ac:dyDescent="0.35"/>
  <cols>
    <col min="4" max="4" width="17.54296875" customWidth="1"/>
    <col min="7" max="7" width="14" customWidth="1"/>
  </cols>
  <sheetData>
    <row r="2" spans="2:27" ht="24" thickBot="1" x14ac:dyDescent="0.6">
      <c r="B2" s="11" t="s">
        <v>31</v>
      </c>
      <c r="M2" s="5" t="s">
        <v>27</v>
      </c>
      <c r="N2" s="5"/>
      <c r="P2" s="5" t="s">
        <v>25</v>
      </c>
      <c r="Q2" s="5"/>
      <c r="S2" s="5" t="s">
        <v>26</v>
      </c>
      <c r="T2" s="5"/>
      <c r="W2" s="5" t="s">
        <v>28</v>
      </c>
      <c r="X2" s="5"/>
      <c r="Z2" s="5" t="s">
        <v>29</v>
      </c>
      <c r="AA2" s="5"/>
    </row>
    <row r="3" spans="2:27" ht="20.149999999999999" customHeight="1" thickBot="1" x14ac:dyDescent="0.6">
      <c r="B3" s="11"/>
      <c r="J3" s="9" t="s">
        <v>30</v>
      </c>
      <c r="K3" s="10">
        <v>7</v>
      </c>
      <c r="M3" s="5">
        <f>K3</f>
        <v>7</v>
      </c>
      <c r="N3" s="5">
        <f>M3</f>
        <v>7</v>
      </c>
      <c r="P3" s="5">
        <v>0</v>
      </c>
      <c r="Q3" s="5">
        <f>K3</f>
        <v>7</v>
      </c>
      <c r="S3" s="5">
        <v>0</v>
      </c>
      <c r="T3" s="5">
        <f>N3</f>
        <v>7</v>
      </c>
      <c r="W3" s="5">
        <f>Q3</f>
        <v>7</v>
      </c>
      <c r="X3" s="5">
        <f>W3</f>
        <v>7</v>
      </c>
      <c r="Z3" s="5">
        <v>0</v>
      </c>
      <c r="AA3" s="5">
        <f>X3</f>
        <v>7</v>
      </c>
    </row>
    <row r="4" spans="2:27" ht="20" customHeight="1" x14ac:dyDescent="0.55000000000000004">
      <c r="B4" s="11"/>
      <c r="C4" s="433" t="s">
        <v>21</v>
      </c>
      <c r="D4" s="434"/>
      <c r="E4" s="12">
        <v>1</v>
      </c>
      <c r="F4" s="13" t="s">
        <v>20</v>
      </c>
      <c r="M4" s="5">
        <v>0</v>
      </c>
      <c r="N4" s="5">
        <f>E4*K3+E5</f>
        <v>17</v>
      </c>
      <c r="P4" s="5">
        <f>E5</f>
        <v>10</v>
      </c>
      <c r="Q4" s="5">
        <f>E5</f>
        <v>10</v>
      </c>
      <c r="S4" s="5">
        <f>N4</f>
        <v>17</v>
      </c>
      <c r="T4" s="5">
        <f>S4</f>
        <v>17</v>
      </c>
      <c r="W4" s="5">
        <v>0</v>
      </c>
      <c r="X4" s="5">
        <f>$E$4/2 * $K$3^2 + $E$5*$K$3 + $E$6</f>
        <v>144.5</v>
      </c>
      <c r="Z4" s="5">
        <f>X4</f>
        <v>144.5</v>
      </c>
      <c r="AA4" s="5">
        <f>Z4</f>
        <v>144.5</v>
      </c>
    </row>
    <row r="5" spans="2:27" ht="15.65" customHeight="1" thickBot="1" x14ac:dyDescent="0.6">
      <c r="B5" s="11"/>
      <c r="C5" s="435" t="s">
        <v>22</v>
      </c>
      <c r="D5" s="436"/>
      <c r="E5" s="14">
        <v>10</v>
      </c>
      <c r="F5" s="15" t="s">
        <v>23</v>
      </c>
    </row>
    <row r="6" spans="2:27" ht="15.65" customHeight="1" thickBot="1" x14ac:dyDescent="0.4">
      <c r="C6" s="435" t="s">
        <v>889</v>
      </c>
      <c r="D6" s="436"/>
      <c r="E6" s="14">
        <v>50</v>
      </c>
      <c r="F6" s="15" t="s">
        <v>863</v>
      </c>
    </row>
    <row r="7" spans="2:27" ht="15.65" customHeight="1" x14ac:dyDescent="0.35"/>
    <row r="8" spans="2:27" ht="15.65" customHeight="1" x14ac:dyDescent="0.35">
      <c r="C8" s="431" t="s">
        <v>1</v>
      </c>
      <c r="D8" s="432"/>
      <c r="E8" s="4">
        <v>1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</row>
    <row r="9" spans="2:27" x14ac:dyDescent="0.35">
      <c r="C9" s="429" t="s">
        <v>19</v>
      </c>
      <c r="D9" s="429"/>
      <c r="E9" s="4">
        <v>0</v>
      </c>
      <c r="F9" s="16">
        <f>E9+$E$8</f>
        <v>1</v>
      </c>
      <c r="G9" s="16">
        <f t="shared" ref="G9:Y9" si="0">F9+$E$8</f>
        <v>2</v>
      </c>
      <c r="H9" s="16">
        <f t="shared" si="0"/>
        <v>3</v>
      </c>
      <c r="I9" s="16">
        <f t="shared" si="0"/>
        <v>4</v>
      </c>
      <c r="J9" s="16">
        <f t="shared" si="0"/>
        <v>5</v>
      </c>
      <c r="K9" s="16">
        <f t="shared" si="0"/>
        <v>6</v>
      </c>
      <c r="L9" s="16">
        <f t="shared" si="0"/>
        <v>7</v>
      </c>
      <c r="M9" s="16">
        <f t="shared" si="0"/>
        <v>8</v>
      </c>
      <c r="N9" s="16">
        <f t="shared" si="0"/>
        <v>9</v>
      </c>
      <c r="O9" s="16">
        <f t="shared" si="0"/>
        <v>10</v>
      </c>
      <c r="P9" s="16">
        <f t="shared" si="0"/>
        <v>11</v>
      </c>
      <c r="Q9" s="16">
        <f t="shared" si="0"/>
        <v>12</v>
      </c>
      <c r="R9" s="16">
        <f t="shared" si="0"/>
        <v>13</v>
      </c>
      <c r="S9" s="16">
        <f t="shared" si="0"/>
        <v>14</v>
      </c>
      <c r="T9" s="16">
        <f t="shared" si="0"/>
        <v>15</v>
      </c>
      <c r="U9" s="16">
        <f t="shared" si="0"/>
        <v>16</v>
      </c>
      <c r="V9" s="16">
        <f t="shared" si="0"/>
        <v>17</v>
      </c>
      <c r="W9" s="16">
        <f t="shared" si="0"/>
        <v>18</v>
      </c>
      <c r="X9" s="16">
        <f>W9+$E$8</f>
        <v>19</v>
      </c>
      <c r="Y9" s="16">
        <f t="shared" si="0"/>
        <v>20</v>
      </c>
      <c r="Z9" s="16">
        <f>Y9+$E$8</f>
        <v>21</v>
      </c>
      <c r="AA9" s="16">
        <f>Z9+$E$8</f>
        <v>22</v>
      </c>
    </row>
    <row r="10" spans="2:27" x14ac:dyDescent="0.35">
      <c r="C10" s="430" t="s">
        <v>24</v>
      </c>
      <c r="D10" s="430"/>
      <c r="E10" s="5">
        <f t="shared" ref="E10:Y10" si="1">$E$4*E9+$E$5</f>
        <v>10</v>
      </c>
      <c r="F10" s="5">
        <f t="shared" si="1"/>
        <v>11</v>
      </c>
      <c r="G10" s="5">
        <f t="shared" si="1"/>
        <v>12</v>
      </c>
      <c r="H10" s="5">
        <f t="shared" si="1"/>
        <v>13</v>
      </c>
      <c r="I10" s="5">
        <f t="shared" si="1"/>
        <v>14</v>
      </c>
      <c r="J10" s="5">
        <f t="shared" si="1"/>
        <v>15</v>
      </c>
      <c r="K10" s="5">
        <f t="shared" si="1"/>
        <v>16</v>
      </c>
      <c r="L10" s="5">
        <f t="shared" si="1"/>
        <v>17</v>
      </c>
      <c r="M10" s="5">
        <f t="shared" si="1"/>
        <v>18</v>
      </c>
      <c r="N10" s="5">
        <f t="shared" si="1"/>
        <v>19</v>
      </c>
      <c r="O10" s="5">
        <f t="shared" si="1"/>
        <v>20</v>
      </c>
      <c r="P10" s="5">
        <f t="shared" si="1"/>
        <v>21</v>
      </c>
      <c r="Q10" s="5">
        <f t="shared" si="1"/>
        <v>22</v>
      </c>
      <c r="R10" s="5">
        <f t="shared" si="1"/>
        <v>23</v>
      </c>
      <c r="S10" s="5">
        <f t="shared" si="1"/>
        <v>24</v>
      </c>
      <c r="T10" s="5">
        <f t="shared" si="1"/>
        <v>25</v>
      </c>
      <c r="U10" s="5">
        <f t="shared" si="1"/>
        <v>26</v>
      </c>
      <c r="V10" s="5">
        <f t="shared" si="1"/>
        <v>27</v>
      </c>
      <c r="W10" s="5">
        <f t="shared" si="1"/>
        <v>28</v>
      </c>
      <c r="X10" s="5">
        <f t="shared" si="1"/>
        <v>29</v>
      </c>
      <c r="Y10" s="5">
        <f t="shared" si="1"/>
        <v>30</v>
      </c>
      <c r="Z10" s="5">
        <f>$E$4*Z9+$E$5</f>
        <v>31</v>
      </c>
      <c r="AA10" s="5">
        <f>$E$4*AA9+$E$5</f>
        <v>32</v>
      </c>
    </row>
    <row r="11" spans="2:27" ht="16.5" x14ac:dyDescent="0.35">
      <c r="C11" s="430" t="s">
        <v>890</v>
      </c>
      <c r="D11" s="430"/>
      <c r="E11" s="5">
        <f>$E$4/2 * E9^2 + $E$5*E9 +$E$6</f>
        <v>50</v>
      </c>
      <c r="F11" s="5">
        <f t="shared" ref="F11:AA11" si="2">$E$4/2 * F9^2 + $E$5*F9 +$E$6</f>
        <v>60.5</v>
      </c>
      <c r="G11" s="5">
        <f t="shared" si="2"/>
        <v>72</v>
      </c>
      <c r="H11" s="5">
        <f t="shared" si="2"/>
        <v>84.5</v>
      </c>
      <c r="I11" s="5">
        <f t="shared" si="2"/>
        <v>98</v>
      </c>
      <c r="J11" s="5">
        <f t="shared" si="2"/>
        <v>112.5</v>
      </c>
      <c r="K11" s="5">
        <f t="shared" si="2"/>
        <v>128</v>
      </c>
      <c r="L11" s="5">
        <f t="shared" si="2"/>
        <v>144.5</v>
      </c>
      <c r="M11" s="5">
        <f t="shared" si="2"/>
        <v>162</v>
      </c>
      <c r="N11" s="5">
        <f t="shared" si="2"/>
        <v>180.5</v>
      </c>
      <c r="O11" s="5">
        <f t="shared" si="2"/>
        <v>200</v>
      </c>
      <c r="P11" s="5">
        <f t="shared" si="2"/>
        <v>220.5</v>
      </c>
      <c r="Q11" s="5">
        <f t="shared" si="2"/>
        <v>242</v>
      </c>
      <c r="R11" s="5">
        <f t="shared" si="2"/>
        <v>264.5</v>
      </c>
      <c r="S11" s="5">
        <f t="shared" si="2"/>
        <v>288</v>
      </c>
      <c r="T11" s="5">
        <f t="shared" si="2"/>
        <v>312.5</v>
      </c>
      <c r="U11" s="5">
        <f t="shared" si="2"/>
        <v>338</v>
      </c>
      <c r="V11" s="5">
        <f t="shared" si="2"/>
        <v>364.5</v>
      </c>
      <c r="W11" s="5">
        <f t="shared" si="2"/>
        <v>392</v>
      </c>
      <c r="X11" s="5">
        <f t="shared" si="2"/>
        <v>420.5</v>
      </c>
      <c r="Y11" s="5">
        <f t="shared" si="2"/>
        <v>450</v>
      </c>
      <c r="Z11" s="5">
        <f t="shared" si="2"/>
        <v>480.5</v>
      </c>
      <c r="AA11" s="5">
        <f t="shared" si="2"/>
        <v>512</v>
      </c>
    </row>
  </sheetData>
  <mergeCells count="7">
    <mergeCell ref="C9:D9"/>
    <mergeCell ref="C10:D10"/>
    <mergeCell ref="C11:D11"/>
    <mergeCell ref="C8:D8"/>
    <mergeCell ref="C4:D4"/>
    <mergeCell ref="C5:D5"/>
    <mergeCell ref="C6:D6"/>
  </mergeCells>
  <pageMargins left="0.7" right="0.7" top="0.78740157499999996" bottom="0.78740157499999996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7A4D-486D-4722-8BC0-28E89D3D0FE7}">
  <sheetPr>
    <pageSetUpPr fitToPage="1"/>
  </sheetPr>
  <dimension ref="A2:S19"/>
  <sheetViews>
    <sheetView zoomScale="115" zoomScaleNormal="115" workbookViewId="0"/>
  </sheetViews>
  <sheetFormatPr baseColWidth="10" defaultRowHeight="14.5" x14ac:dyDescent="0.35"/>
  <cols>
    <col min="3" max="3" width="23" customWidth="1"/>
    <col min="4" max="4" width="13" customWidth="1"/>
    <col min="5" max="5" width="23" customWidth="1"/>
    <col min="6" max="6" width="13" customWidth="1"/>
    <col min="7" max="7" width="23" customWidth="1"/>
    <col min="8" max="8" width="13" customWidth="1"/>
    <col min="9" max="9" width="26.1796875" customWidth="1"/>
    <col min="10" max="10" width="13" customWidth="1"/>
    <col min="11" max="11" width="23" customWidth="1"/>
    <col min="12" max="12" width="13" customWidth="1"/>
    <col min="14" max="14" width="15.54296875" customWidth="1"/>
    <col min="15" max="15" width="35.1796875" customWidth="1"/>
    <col min="18" max="18" width="5.54296875" customWidth="1"/>
  </cols>
  <sheetData>
    <row r="2" spans="1:19" ht="23.5" x14ac:dyDescent="0.55000000000000004">
      <c r="B2" s="11" t="s">
        <v>18</v>
      </c>
    </row>
    <row r="3" spans="1:19" x14ac:dyDescent="0.35">
      <c r="Q3" t="s">
        <v>97</v>
      </c>
    </row>
    <row r="4" spans="1:19" x14ac:dyDescent="0.35">
      <c r="J4" t="s">
        <v>50</v>
      </c>
      <c r="K4" t="s">
        <v>49</v>
      </c>
      <c r="Q4" s="70" t="s">
        <v>98</v>
      </c>
    </row>
    <row r="5" spans="1:19" ht="15" thickBot="1" x14ac:dyDescent="0.4"/>
    <row r="6" spans="1:19" ht="29.15" customHeight="1" thickBot="1" x14ac:dyDescent="0.4">
      <c r="C6" s="445" t="str">
        <f>$O$8</f>
        <v>Anfangs-Geschwindigkeit</v>
      </c>
      <c r="D6" s="446"/>
      <c r="E6" s="449" t="str">
        <f>$O$9</f>
        <v>Geschwindigkeit</v>
      </c>
      <c r="F6" s="446"/>
      <c r="G6" s="449" t="str">
        <f>$O$10</f>
        <v>Strecke</v>
      </c>
      <c r="H6" s="446"/>
      <c r="I6" s="449" t="str">
        <f>$O$11</f>
        <v>Zeit</v>
      </c>
      <c r="J6" s="446"/>
      <c r="K6" s="449" t="str">
        <f>$O$12</f>
        <v>Beschleunigung</v>
      </c>
      <c r="L6" s="450"/>
    </row>
    <row r="7" spans="1:19" ht="15" thickBot="1" x14ac:dyDescent="0.4">
      <c r="B7" s="17" t="s">
        <v>38</v>
      </c>
      <c r="C7" s="447" t="str">
        <f>$P$8</f>
        <v>v0 [m/s]</v>
      </c>
      <c r="D7" s="448"/>
      <c r="E7" s="451" t="str">
        <f>$P$9</f>
        <v>v [m/s]</v>
      </c>
      <c r="F7" s="448"/>
      <c r="G7" s="451" t="str">
        <f>$P$10</f>
        <v>s [m]</v>
      </c>
      <c r="H7" s="448"/>
      <c r="I7" s="451" t="str">
        <f>$P$11</f>
        <v>t [s]</v>
      </c>
      <c r="J7" s="448"/>
      <c r="K7" s="451" t="str">
        <f>$P$12</f>
        <v>a [m/s2]</v>
      </c>
      <c r="L7" s="452"/>
      <c r="O7" s="65"/>
      <c r="S7" s="49"/>
    </row>
    <row r="8" spans="1:19" s="23" customFormat="1" ht="38.15" customHeight="1" x14ac:dyDescent="0.35">
      <c r="A8" s="23">
        <v>28</v>
      </c>
      <c r="B8" s="25" t="s">
        <v>39</v>
      </c>
      <c r="C8" s="24" t="s">
        <v>58</v>
      </c>
      <c r="D8" s="18">
        <f>(G8-(K8/2)*I8^2)/I8</f>
        <v>10</v>
      </c>
      <c r="E8" s="18" t="s">
        <v>75</v>
      </c>
      <c r="F8" s="18">
        <f xml:space="preserve"> G8/I8 + K8*I8/2</f>
        <v>24</v>
      </c>
      <c r="G8" s="453">
        <v>119</v>
      </c>
      <c r="H8" s="458"/>
      <c r="I8" s="453">
        <v>7</v>
      </c>
      <c r="J8" s="458"/>
      <c r="K8" s="453">
        <v>2</v>
      </c>
      <c r="L8" s="454"/>
      <c r="N8" s="71" t="s">
        <v>97</v>
      </c>
      <c r="O8" s="65" t="s">
        <v>87</v>
      </c>
      <c r="P8" s="65" t="s">
        <v>88</v>
      </c>
      <c r="Q8" s="41">
        <f>IF(N8=$Q$3,1,0)</f>
        <v>1</v>
      </c>
      <c r="R8" s="41"/>
      <c r="S8" s="41"/>
    </row>
    <row r="9" spans="1:19" ht="38.15" customHeight="1" x14ac:dyDescent="0.35">
      <c r="A9">
        <v>26</v>
      </c>
      <c r="B9" s="19" t="s">
        <v>40</v>
      </c>
      <c r="C9" s="61" t="s">
        <v>51</v>
      </c>
      <c r="D9" s="20">
        <f>E9-K9*I9</f>
        <v>10</v>
      </c>
      <c r="E9" s="455">
        <v>24</v>
      </c>
      <c r="F9" s="459"/>
      <c r="G9" s="20" t="s">
        <v>76</v>
      </c>
      <c r="H9" s="20">
        <f>E9*I9 - K9*I9^2/2</f>
        <v>119</v>
      </c>
      <c r="I9" s="455">
        <v>7</v>
      </c>
      <c r="J9" s="459"/>
      <c r="K9" s="455">
        <v>2</v>
      </c>
      <c r="L9" s="456"/>
      <c r="N9" s="71" t="s">
        <v>97</v>
      </c>
      <c r="O9" s="65" t="s">
        <v>32</v>
      </c>
      <c r="P9" s="65" t="s">
        <v>36</v>
      </c>
      <c r="Q9" s="41">
        <f>IF(N9=$Q$3,2,0)</f>
        <v>2</v>
      </c>
      <c r="R9" s="41"/>
      <c r="S9" s="59"/>
    </row>
    <row r="10" spans="1:19" ht="38.15" customHeight="1" x14ac:dyDescent="0.35">
      <c r="A10">
        <v>22</v>
      </c>
      <c r="B10" s="19" t="s">
        <v>41</v>
      </c>
      <c r="C10" s="62" t="s">
        <v>79</v>
      </c>
      <c r="D10" s="20">
        <f>SQRT(E10^2 - 2*K10*G10)</f>
        <v>10</v>
      </c>
      <c r="E10" s="455">
        <v>24</v>
      </c>
      <c r="F10" s="459"/>
      <c r="G10" s="455">
        <v>119</v>
      </c>
      <c r="H10" s="459"/>
      <c r="I10" s="20" t="s">
        <v>77</v>
      </c>
      <c r="J10" s="20">
        <f>(E10 - SQRT(E10^2 - 2*K10*G10))/K10</f>
        <v>7</v>
      </c>
      <c r="K10" s="455">
        <v>2</v>
      </c>
      <c r="L10" s="456"/>
      <c r="N10" s="71" t="s">
        <v>97</v>
      </c>
      <c r="O10" s="65" t="s">
        <v>33</v>
      </c>
      <c r="P10" s="65" t="s">
        <v>37</v>
      </c>
      <c r="Q10" s="41">
        <f>IF(N10=$Q$3,4,0)</f>
        <v>4</v>
      </c>
      <c r="R10" s="59"/>
      <c r="S10" s="59"/>
    </row>
    <row r="11" spans="1:19" ht="38.15" customHeight="1" x14ac:dyDescent="0.35">
      <c r="A11">
        <v>14</v>
      </c>
      <c r="B11" s="19" t="s">
        <v>42</v>
      </c>
      <c r="C11" s="62" t="s">
        <v>80</v>
      </c>
      <c r="D11" s="20">
        <f>2*G11/I11 - E11</f>
        <v>10</v>
      </c>
      <c r="E11" s="455">
        <v>24</v>
      </c>
      <c r="F11" s="459"/>
      <c r="G11" s="455">
        <v>119</v>
      </c>
      <c r="H11" s="459"/>
      <c r="I11" s="455">
        <v>7</v>
      </c>
      <c r="J11" s="459"/>
      <c r="K11" s="20" t="s">
        <v>78</v>
      </c>
      <c r="L11" s="34">
        <f xml:space="preserve"> 2/I11 * (E11 - G11/I11)</f>
        <v>2</v>
      </c>
      <c r="N11" s="71" t="s">
        <v>98</v>
      </c>
      <c r="O11" s="65" t="s">
        <v>34</v>
      </c>
      <c r="P11" s="65" t="s">
        <v>19</v>
      </c>
      <c r="Q11" s="41">
        <f>IF(N11=$Q$3,8,0)</f>
        <v>0</v>
      </c>
      <c r="R11" s="59"/>
      <c r="S11" s="59"/>
    </row>
    <row r="12" spans="1:19" s="23" customFormat="1" ht="38.15" customHeight="1" x14ac:dyDescent="0.35">
      <c r="A12" s="23">
        <v>25</v>
      </c>
      <c r="B12" s="19" t="s">
        <v>43</v>
      </c>
      <c r="C12" s="461">
        <v>10</v>
      </c>
      <c r="D12" s="459"/>
      <c r="E12" s="21" t="s">
        <v>54</v>
      </c>
      <c r="F12" s="20">
        <f>K12*I12+C12</f>
        <v>24</v>
      </c>
      <c r="G12" s="22" t="s">
        <v>57</v>
      </c>
      <c r="H12" s="20">
        <f>K12/2 * I12^2 + C12*I12</f>
        <v>119</v>
      </c>
      <c r="I12" s="455">
        <v>7</v>
      </c>
      <c r="J12" s="459"/>
      <c r="K12" s="455">
        <v>2</v>
      </c>
      <c r="L12" s="456"/>
      <c r="N12" s="71" t="s">
        <v>98</v>
      </c>
      <c r="O12" s="65" t="s">
        <v>35</v>
      </c>
      <c r="P12" s="65" t="s">
        <v>59</v>
      </c>
      <c r="Q12" s="41">
        <f>IF(N12=$Q$3,16,0)</f>
        <v>0</v>
      </c>
      <c r="R12" s="59"/>
      <c r="S12" s="41">
        <f>SUM(Q8:Q12)</f>
        <v>7</v>
      </c>
    </row>
    <row r="13" spans="1:19" ht="38.15" customHeight="1" x14ac:dyDescent="0.35">
      <c r="A13">
        <v>21</v>
      </c>
      <c r="B13" s="19" t="s">
        <v>45</v>
      </c>
      <c r="C13" s="461">
        <v>10</v>
      </c>
      <c r="D13" s="459"/>
      <c r="E13" s="20" t="s">
        <v>81</v>
      </c>
      <c r="F13" s="20">
        <f>SQRT(C13^2 + 2*K13*G13)</f>
        <v>24</v>
      </c>
      <c r="G13" s="455">
        <v>119</v>
      </c>
      <c r="H13" s="459"/>
      <c r="I13" s="26" t="s">
        <v>56</v>
      </c>
      <c r="J13" s="20">
        <f xml:space="preserve"> (-C13 + SQRT(C13^2 + 2*K13*G13))/K13</f>
        <v>7</v>
      </c>
      <c r="K13" s="457">
        <v>2</v>
      </c>
      <c r="L13" s="456"/>
      <c r="O13" s="65" t="s">
        <v>90</v>
      </c>
      <c r="P13" s="66" t="s">
        <v>96</v>
      </c>
    </row>
    <row r="14" spans="1:19" ht="38.15" customHeight="1" x14ac:dyDescent="0.35">
      <c r="A14">
        <v>13</v>
      </c>
      <c r="B14" s="19" t="s">
        <v>44</v>
      </c>
      <c r="C14" s="461">
        <v>10</v>
      </c>
      <c r="D14" s="459"/>
      <c r="E14" s="20" t="s">
        <v>82</v>
      </c>
      <c r="F14" s="20">
        <f>2*G14/I14 - C14</f>
        <v>24</v>
      </c>
      <c r="G14" s="455">
        <v>119</v>
      </c>
      <c r="H14" s="459"/>
      <c r="I14" s="455">
        <v>7</v>
      </c>
      <c r="J14" s="460"/>
      <c r="K14" s="72" t="s">
        <v>55</v>
      </c>
      <c r="L14" s="34">
        <f>2*((G14-C14*I14)/I14^2)</f>
        <v>2</v>
      </c>
      <c r="O14" s="65" t="s">
        <v>91</v>
      </c>
      <c r="P14" s="66" t="s">
        <v>95</v>
      </c>
    </row>
    <row r="15" spans="1:19" ht="38.15" customHeight="1" x14ac:dyDescent="0.35">
      <c r="A15">
        <v>19</v>
      </c>
      <c r="B15" s="19" t="s">
        <v>46</v>
      </c>
      <c r="C15" s="461">
        <v>10</v>
      </c>
      <c r="D15" s="459"/>
      <c r="E15" s="455">
        <v>24</v>
      </c>
      <c r="F15" s="459"/>
      <c r="G15" s="20" t="s">
        <v>83</v>
      </c>
      <c r="H15" s="20">
        <f>(E15^2 - C15^2)/(2*K15)</f>
        <v>119</v>
      </c>
      <c r="I15" s="63" t="s">
        <v>53</v>
      </c>
      <c r="J15" s="20">
        <f>(E15-C15)/K15</f>
        <v>7</v>
      </c>
      <c r="K15" s="455">
        <v>2</v>
      </c>
      <c r="L15" s="456"/>
      <c r="O15" s="65" t="s">
        <v>92</v>
      </c>
      <c r="P15" s="66" t="s">
        <v>93</v>
      </c>
    </row>
    <row r="16" spans="1:19" ht="38.15" customHeight="1" x14ac:dyDescent="0.35">
      <c r="A16">
        <v>11</v>
      </c>
      <c r="B16" s="19" t="s">
        <v>47</v>
      </c>
      <c r="C16" s="461">
        <v>10</v>
      </c>
      <c r="D16" s="459"/>
      <c r="E16" s="455">
        <v>24</v>
      </c>
      <c r="F16" s="459"/>
      <c r="G16" s="20" t="s">
        <v>84</v>
      </c>
      <c r="H16" s="20">
        <f>(C16+E16)*I16/2</f>
        <v>119</v>
      </c>
      <c r="I16" s="455">
        <v>7</v>
      </c>
      <c r="J16" s="459"/>
      <c r="K16" s="63" t="s">
        <v>52</v>
      </c>
      <c r="L16" s="34">
        <f>(E16-C16)/I16</f>
        <v>2</v>
      </c>
      <c r="O16" s="65" t="s">
        <v>34</v>
      </c>
      <c r="P16" s="66" t="s">
        <v>19</v>
      </c>
    </row>
    <row r="17" spans="1:16" ht="38.15" customHeight="1" thickBot="1" x14ac:dyDescent="0.4">
      <c r="A17">
        <v>7</v>
      </c>
      <c r="B17" s="64" t="s">
        <v>48</v>
      </c>
      <c r="C17" s="463">
        <v>10</v>
      </c>
      <c r="D17" s="462"/>
      <c r="E17" s="457">
        <v>24</v>
      </c>
      <c r="F17" s="462"/>
      <c r="G17" s="457">
        <v>119</v>
      </c>
      <c r="H17" s="462"/>
      <c r="I17" s="68" t="s">
        <v>85</v>
      </c>
      <c r="J17" s="68">
        <f>2*G17/(C17+E17)</f>
        <v>7</v>
      </c>
      <c r="K17" s="68" t="s">
        <v>86</v>
      </c>
      <c r="L17" s="69">
        <f>(E17^2 - C17^2)/(2*G17)</f>
        <v>2</v>
      </c>
      <c r="O17" s="65" t="s">
        <v>89</v>
      </c>
      <c r="P17" s="66" t="s">
        <v>94</v>
      </c>
    </row>
    <row r="18" spans="1:16" ht="15" thickBot="1" x14ac:dyDescent="0.4">
      <c r="B18" s="67" t="s">
        <v>38</v>
      </c>
      <c r="C18" s="441" t="str">
        <f>P13</f>
        <v>ω0 [rad/s]</v>
      </c>
      <c r="D18" s="442"/>
      <c r="E18" s="443" t="str">
        <f>P14</f>
        <v>ω [rad/s]</v>
      </c>
      <c r="F18" s="442"/>
      <c r="G18" s="443" t="str">
        <f>P15</f>
        <v>φ [rad]</v>
      </c>
      <c r="H18" s="442"/>
      <c r="I18" s="443" t="str">
        <f>P16</f>
        <v>t [s]</v>
      </c>
      <c r="J18" s="442"/>
      <c r="K18" s="443" t="str">
        <f>P17</f>
        <v>α [rad/s2]</v>
      </c>
      <c r="L18" s="444"/>
    </row>
    <row r="19" spans="1:16" ht="29.15" customHeight="1" thickBot="1" x14ac:dyDescent="0.4">
      <c r="C19" s="437" t="str">
        <f>O13</f>
        <v>Anfangs-Winkelgeschwindigkeit</v>
      </c>
      <c r="D19" s="438"/>
      <c r="E19" s="439" t="str">
        <f>O14</f>
        <v>Winkelgeschwindigkeit</v>
      </c>
      <c r="F19" s="438"/>
      <c r="G19" s="439" t="str">
        <f>O15</f>
        <v>Winkel</v>
      </c>
      <c r="H19" s="438"/>
      <c r="I19" s="439" t="str">
        <f>O16</f>
        <v>Zeit</v>
      </c>
      <c r="J19" s="438"/>
      <c r="K19" s="439" t="str">
        <f>O17</f>
        <v>Winkelbeschleunigung</v>
      </c>
      <c r="L19" s="440"/>
    </row>
  </sheetData>
  <mergeCells count="50">
    <mergeCell ref="G17:H17"/>
    <mergeCell ref="E16:F16"/>
    <mergeCell ref="E17:F17"/>
    <mergeCell ref="C17:D17"/>
    <mergeCell ref="I16:J16"/>
    <mergeCell ref="G8:H8"/>
    <mergeCell ref="G10:H10"/>
    <mergeCell ref="G11:H11"/>
    <mergeCell ref="G13:H13"/>
    <mergeCell ref="G14:H14"/>
    <mergeCell ref="C12:D12"/>
    <mergeCell ref="C13:D13"/>
    <mergeCell ref="C14:D14"/>
    <mergeCell ref="C15:D15"/>
    <mergeCell ref="C16:D16"/>
    <mergeCell ref="E9:F9"/>
    <mergeCell ref="E10:F10"/>
    <mergeCell ref="E11:F11"/>
    <mergeCell ref="E15:F15"/>
    <mergeCell ref="K15:L15"/>
    <mergeCell ref="I8:J8"/>
    <mergeCell ref="I9:J9"/>
    <mergeCell ref="I11:J11"/>
    <mergeCell ref="I12:J12"/>
    <mergeCell ref="I14:J14"/>
    <mergeCell ref="K8:L8"/>
    <mergeCell ref="K9:L9"/>
    <mergeCell ref="K10:L10"/>
    <mergeCell ref="K12:L12"/>
    <mergeCell ref="K13:L13"/>
    <mergeCell ref="C6:D6"/>
    <mergeCell ref="C7:D7"/>
    <mergeCell ref="K6:L6"/>
    <mergeCell ref="K7:L7"/>
    <mergeCell ref="I6:J6"/>
    <mergeCell ref="I7:J7"/>
    <mergeCell ref="G6:H6"/>
    <mergeCell ref="G7:H7"/>
    <mergeCell ref="E6:F6"/>
    <mergeCell ref="E7:F7"/>
    <mergeCell ref="C18:D18"/>
    <mergeCell ref="E18:F18"/>
    <mergeCell ref="G18:H18"/>
    <mergeCell ref="I18:J18"/>
    <mergeCell ref="K18:L18"/>
    <mergeCell ref="C19:D19"/>
    <mergeCell ref="E19:F19"/>
    <mergeCell ref="G19:H19"/>
    <mergeCell ref="I19:J19"/>
    <mergeCell ref="K19:L19"/>
  </mergeCells>
  <dataValidations count="2">
    <dataValidation type="list" allowBlank="1" showInputMessage="1" showErrorMessage="1" sqref="E24" xr:uid="{F0227B52-6C3F-4B29-A45C-B261C0C0E4F1}">
      <formula1>$C$7:$L$7</formula1>
    </dataValidation>
    <dataValidation type="list" allowBlank="1" showInputMessage="1" showErrorMessage="1" sqref="N8:N12" xr:uid="{DCF60D17-7633-456A-A407-CB000447DE9C}">
      <formula1>$Q$3:$Q$4</formula1>
    </dataValidation>
  </dataValidations>
  <pageMargins left="0.7" right="0.7" top="0.78740157499999996" bottom="0.78740157499999996" header="0.3" footer="0.3"/>
  <pageSetup scale="40" orientation="landscape" r:id="rId1"/>
  <drawing r:id="rId2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E385A-774A-4F74-BEB8-908DD8C1FAA2}">
  <dimension ref="B2:AA49"/>
  <sheetViews>
    <sheetView showGridLines="0" topLeftCell="A23" zoomScale="115" zoomScaleNormal="115" workbookViewId="0"/>
  </sheetViews>
  <sheetFormatPr baseColWidth="10" defaultRowHeight="14.5" x14ac:dyDescent="0.35"/>
  <cols>
    <col min="2" max="2" width="52.54296875" customWidth="1"/>
    <col min="3" max="3" width="13.54296875" customWidth="1"/>
    <col min="4" max="4" width="12.54296875" customWidth="1"/>
    <col min="10" max="10" width="13.1796875" customWidth="1"/>
    <col min="11" max="11" width="15.453125" customWidth="1"/>
  </cols>
  <sheetData>
    <row r="2" spans="2:27" ht="64.5" customHeight="1" x14ac:dyDescent="0.35">
      <c r="C2" s="399" t="s">
        <v>855</v>
      </c>
    </row>
    <row r="10" spans="2:27" x14ac:dyDescent="0.35">
      <c r="B10" s="5"/>
      <c r="C10" s="5"/>
      <c r="D10" s="5"/>
      <c r="E10" s="5"/>
      <c r="F10" s="5"/>
      <c r="G10" s="4">
        <v>0.5</v>
      </c>
      <c r="H10" s="400"/>
      <c r="I10" s="400"/>
      <c r="J10" s="400"/>
      <c r="K10" s="400"/>
      <c r="L10" s="400"/>
      <c r="M10" s="400"/>
      <c r="N10" s="400"/>
      <c r="O10" s="400"/>
      <c r="P10" s="400"/>
      <c r="Q10" s="400"/>
      <c r="R10" s="400"/>
      <c r="S10" s="400"/>
      <c r="T10" s="400"/>
      <c r="U10" s="400"/>
      <c r="V10" s="400"/>
      <c r="W10" s="400"/>
      <c r="X10" s="400"/>
      <c r="Y10" s="400"/>
      <c r="Z10" s="400"/>
      <c r="AA10" s="400"/>
    </row>
    <row r="11" spans="2:27" x14ac:dyDescent="0.35">
      <c r="B11" s="5"/>
      <c r="C11" s="5" t="s">
        <v>17</v>
      </c>
      <c r="D11" s="5"/>
      <c r="E11" s="5"/>
      <c r="F11" s="5"/>
      <c r="G11" s="4">
        <v>0</v>
      </c>
      <c r="H11" s="81">
        <f>G11+$G$10</f>
        <v>0.5</v>
      </c>
      <c r="I11" s="81">
        <f t="shared" ref="I11:AA11" si="0">H11+$G$10</f>
        <v>1</v>
      </c>
      <c r="J11" s="81">
        <f t="shared" si="0"/>
        <v>1.5</v>
      </c>
      <c r="K11" s="81">
        <f t="shared" si="0"/>
        <v>2</v>
      </c>
      <c r="L11" s="81">
        <f t="shared" si="0"/>
        <v>2.5</v>
      </c>
      <c r="M11" s="81">
        <f t="shared" si="0"/>
        <v>3</v>
      </c>
      <c r="N11" s="81">
        <f t="shared" si="0"/>
        <v>3.5</v>
      </c>
      <c r="O11" s="81">
        <f t="shared" si="0"/>
        <v>4</v>
      </c>
      <c r="P11" s="81">
        <f t="shared" si="0"/>
        <v>4.5</v>
      </c>
      <c r="Q11" s="81">
        <f t="shared" si="0"/>
        <v>5</v>
      </c>
      <c r="R11" s="81">
        <f t="shared" si="0"/>
        <v>5.5</v>
      </c>
      <c r="S11" s="81">
        <f t="shared" si="0"/>
        <v>6</v>
      </c>
      <c r="T11" s="81">
        <f t="shared" si="0"/>
        <v>6.5</v>
      </c>
      <c r="U11" s="81">
        <f t="shared" si="0"/>
        <v>7</v>
      </c>
      <c r="V11" s="81">
        <f t="shared" si="0"/>
        <v>7.5</v>
      </c>
      <c r="W11" s="81">
        <f t="shared" si="0"/>
        <v>8</v>
      </c>
      <c r="X11" s="81">
        <f t="shared" si="0"/>
        <v>8.5</v>
      </c>
      <c r="Y11" s="81">
        <f t="shared" si="0"/>
        <v>9</v>
      </c>
      <c r="Z11" s="81">
        <f t="shared" si="0"/>
        <v>9.5</v>
      </c>
      <c r="AA11" s="81">
        <f t="shared" si="0"/>
        <v>10</v>
      </c>
    </row>
    <row r="12" spans="2:27" ht="32" x14ac:dyDescent="0.8">
      <c r="B12" s="402" t="s">
        <v>864</v>
      </c>
      <c r="C12" s="5"/>
      <c r="D12" s="341" t="s">
        <v>861</v>
      </c>
      <c r="E12" s="341"/>
      <c r="F12" s="341"/>
      <c r="G12" s="5">
        <f>(($E$16/2)*G11^2 + $E$15*G11 + $E$14)/1000</f>
        <v>36.6</v>
      </c>
      <c r="H12" s="5">
        <f t="shared" ref="H12:AA12" si="1">(($E$16/2)*H11^2 + $E$15*H11 + $E$14)/1000</f>
        <v>36.604416666666665</v>
      </c>
      <c r="I12" s="5">
        <f t="shared" si="1"/>
        <v>36.609333333333339</v>
      </c>
      <c r="J12" s="5">
        <f t="shared" si="1"/>
        <v>36.614750000000001</v>
      </c>
      <c r="K12" s="5">
        <f t="shared" si="1"/>
        <v>36.620666666666665</v>
      </c>
      <c r="L12" s="5">
        <f t="shared" si="1"/>
        <v>36.627083333333339</v>
      </c>
      <c r="M12" s="5">
        <f t="shared" si="1"/>
        <v>36.634</v>
      </c>
      <c r="N12" s="5">
        <f t="shared" si="1"/>
        <v>36.641416666666665</v>
      </c>
      <c r="O12" s="5">
        <f t="shared" si="1"/>
        <v>36.649333333333338</v>
      </c>
      <c r="P12" s="5">
        <f t="shared" si="1"/>
        <v>36.65775</v>
      </c>
      <c r="Q12" s="5">
        <f t="shared" si="1"/>
        <v>36.666666666666664</v>
      </c>
      <c r="R12" s="5">
        <f t="shared" si="1"/>
        <v>36.676083333333338</v>
      </c>
      <c r="S12" s="5">
        <f t="shared" si="1"/>
        <v>36.686</v>
      </c>
      <c r="T12" s="5">
        <f t="shared" si="1"/>
        <v>36.696416666666664</v>
      </c>
      <c r="U12" s="5">
        <f t="shared" si="1"/>
        <v>36.707333333333338</v>
      </c>
      <c r="V12" s="5">
        <f t="shared" si="1"/>
        <v>36.71875</v>
      </c>
      <c r="W12" s="5">
        <f t="shared" si="1"/>
        <v>36.730666666666664</v>
      </c>
      <c r="X12" s="5">
        <f t="shared" si="1"/>
        <v>36.743083333333338</v>
      </c>
      <c r="Y12" s="5">
        <f t="shared" si="1"/>
        <v>36.756</v>
      </c>
      <c r="Z12" s="5">
        <f t="shared" si="1"/>
        <v>36.769416666666665</v>
      </c>
      <c r="AA12" s="5">
        <f t="shared" si="1"/>
        <v>36.783333333333339</v>
      </c>
    </row>
    <row r="13" spans="2:27" ht="30" x14ac:dyDescent="0.8">
      <c r="B13" s="402" t="s">
        <v>865</v>
      </c>
      <c r="C13" s="5"/>
      <c r="D13" s="341" t="s">
        <v>862</v>
      </c>
      <c r="E13" s="341"/>
      <c r="F13" s="341"/>
      <c r="G13" s="5">
        <f>($E$16*G11+$E$15)*3.6</f>
        <v>30.000000000000004</v>
      </c>
      <c r="H13" s="5">
        <f t="shared" ref="H13:AA13" si="2">($E$16*H11+$E$15)*3.6</f>
        <v>33.6</v>
      </c>
      <c r="I13" s="5">
        <f t="shared" si="2"/>
        <v>37.200000000000003</v>
      </c>
      <c r="J13" s="5">
        <f t="shared" si="2"/>
        <v>40.800000000000004</v>
      </c>
      <c r="K13" s="5">
        <f t="shared" si="2"/>
        <v>44.400000000000006</v>
      </c>
      <c r="L13" s="5">
        <f t="shared" si="2"/>
        <v>48</v>
      </c>
      <c r="M13" s="5">
        <f t="shared" si="2"/>
        <v>51.6</v>
      </c>
      <c r="N13" s="5">
        <f t="shared" si="2"/>
        <v>55.2</v>
      </c>
      <c r="O13" s="5">
        <f t="shared" si="2"/>
        <v>58.800000000000011</v>
      </c>
      <c r="P13" s="5">
        <f t="shared" si="2"/>
        <v>62.400000000000013</v>
      </c>
      <c r="Q13" s="5">
        <f t="shared" si="2"/>
        <v>66.000000000000014</v>
      </c>
      <c r="R13" s="5">
        <f t="shared" si="2"/>
        <v>69.600000000000009</v>
      </c>
      <c r="S13" s="5">
        <f t="shared" si="2"/>
        <v>73.200000000000017</v>
      </c>
      <c r="T13" s="5">
        <f t="shared" si="2"/>
        <v>76.800000000000011</v>
      </c>
      <c r="U13" s="5">
        <f t="shared" si="2"/>
        <v>80.400000000000006</v>
      </c>
      <c r="V13" s="5">
        <f t="shared" si="2"/>
        <v>84.000000000000014</v>
      </c>
      <c r="W13" s="5">
        <f t="shared" si="2"/>
        <v>87.600000000000009</v>
      </c>
      <c r="X13" s="5">
        <f t="shared" si="2"/>
        <v>91.200000000000017</v>
      </c>
      <c r="Y13" s="5">
        <f t="shared" si="2"/>
        <v>94.800000000000011</v>
      </c>
      <c r="Z13" s="5">
        <f t="shared" si="2"/>
        <v>98.4</v>
      </c>
      <c r="AA13" s="5">
        <f t="shared" si="2"/>
        <v>102.00000000000001</v>
      </c>
    </row>
    <row r="14" spans="2:27" ht="20.5" x14ac:dyDescent="0.55000000000000004">
      <c r="B14" s="341"/>
      <c r="C14" s="341" t="s">
        <v>640</v>
      </c>
      <c r="D14" s="4">
        <v>36.6</v>
      </c>
      <c r="E14" s="81">
        <f>D14*1000</f>
        <v>36600</v>
      </c>
      <c r="F14" s="81" t="s">
        <v>863</v>
      </c>
      <c r="G14" s="400"/>
      <c r="H14" s="400"/>
      <c r="I14" s="400"/>
      <c r="J14" s="400"/>
      <c r="K14" s="400"/>
      <c r="L14" s="400"/>
      <c r="M14" s="400"/>
      <c r="N14" s="400"/>
      <c r="O14" s="400"/>
      <c r="P14" s="400"/>
      <c r="Q14" s="400"/>
      <c r="R14" s="400"/>
      <c r="S14" s="400"/>
      <c r="T14" s="400"/>
      <c r="U14" s="400"/>
      <c r="V14" s="400"/>
      <c r="W14" s="400"/>
      <c r="X14" s="400"/>
      <c r="Y14" s="400"/>
      <c r="Z14" s="400"/>
      <c r="AA14" s="400"/>
    </row>
    <row r="15" spans="2:27" ht="20.5" x14ac:dyDescent="0.55000000000000004">
      <c r="B15" s="341"/>
      <c r="C15" s="341" t="s">
        <v>857</v>
      </c>
      <c r="D15" s="4">
        <v>30</v>
      </c>
      <c r="E15" s="81">
        <f>D15/3.6</f>
        <v>8.3333333333333339</v>
      </c>
      <c r="F15" s="81" t="s">
        <v>23</v>
      </c>
      <c r="G15" s="400"/>
      <c r="H15" s="400"/>
      <c r="I15" s="400"/>
      <c r="J15" s="400"/>
      <c r="K15" s="400"/>
      <c r="L15" s="400"/>
      <c r="M15" s="400"/>
      <c r="N15" s="400"/>
      <c r="O15" s="400"/>
      <c r="P15" s="400"/>
      <c r="Q15" s="400"/>
      <c r="R15" s="400"/>
      <c r="S15" s="400"/>
      <c r="T15" s="400"/>
      <c r="U15" s="400"/>
      <c r="V15" s="400"/>
      <c r="W15" s="400"/>
      <c r="X15" s="400"/>
      <c r="Y15" s="400"/>
      <c r="Z15" s="400"/>
      <c r="AA15" s="400"/>
    </row>
    <row r="16" spans="2:27" ht="22" x14ac:dyDescent="0.55000000000000004">
      <c r="B16" s="341"/>
      <c r="C16" s="341" t="s">
        <v>856</v>
      </c>
      <c r="D16" s="4">
        <v>2</v>
      </c>
      <c r="E16" s="81">
        <f>D16</f>
        <v>2</v>
      </c>
      <c r="F16" s="81" t="s">
        <v>20</v>
      </c>
      <c r="G16" s="400"/>
      <c r="H16" s="400"/>
      <c r="I16" s="400"/>
      <c r="J16" s="400"/>
      <c r="K16" s="400"/>
      <c r="L16" s="400"/>
      <c r="M16" s="400"/>
      <c r="N16" s="400"/>
      <c r="O16" s="400"/>
      <c r="P16" s="400"/>
      <c r="Q16" s="400"/>
      <c r="R16" s="400"/>
      <c r="S16" s="400"/>
      <c r="T16" s="400"/>
      <c r="U16" s="400"/>
      <c r="V16" s="400"/>
      <c r="W16" s="400"/>
      <c r="X16" s="400"/>
      <c r="Y16" s="400"/>
      <c r="Z16" s="400"/>
      <c r="AA16" s="400"/>
    </row>
    <row r="17" spans="2:27" ht="18.5" x14ac:dyDescent="0.45">
      <c r="B17" s="403"/>
      <c r="C17" s="403"/>
      <c r="D17" s="400"/>
      <c r="E17" s="400"/>
      <c r="F17" s="400"/>
      <c r="G17" s="400"/>
      <c r="H17" s="400"/>
      <c r="I17" s="400"/>
      <c r="J17" s="400"/>
      <c r="K17" s="400"/>
      <c r="L17" s="400"/>
      <c r="M17" s="400"/>
      <c r="N17" s="400"/>
      <c r="O17" s="400"/>
      <c r="P17" s="400"/>
      <c r="Q17" s="400"/>
      <c r="R17" s="400"/>
      <c r="S17" s="400"/>
      <c r="T17" s="400"/>
      <c r="U17" s="400"/>
      <c r="V17" s="400"/>
      <c r="W17" s="400"/>
      <c r="X17" s="400"/>
      <c r="Y17" s="400"/>
      <c r="Z17" s="400"/>
      <c r="AA17" s="400"/>
    </row>
    <row r="18" spans="2:27" ht="30" x14ac:dyDescent="0.8">
      <c r="B18" s="401" t="s">
        <v>858</v>
      </c>
      <c r="C18" s="341" t="s">
        <v>641</v>
      </c>
      <c r="D18" s="4">
        <v>120</v>
      </c>
      <c r="E18" s="4"/>
      <c r="F18" s="4"/>
      <c r="G18" s="5">
        <f>$D$18*G11+$D$21</f>
        <v>0</v>
      </c>
      <c r="H18" s="5">
        <f t="shared" ref="H18:AA18" si="3">$D$18*H11+$D$21</f>
        <v>60</v>
      </c>
      <c r="I18" s="5">
        <f t="shared" si="3"/>
        <v>120</v>
      </c>
      <c r="J18" s="5">
        <f t="shared" si="3"/>
        <v>180</v>
      </c>
      <c r="K18" s="5">
        <f t="shared" si="3"/>
        <v>240</v>
      </c>
      <c r="L18" s="5">
        <f t="shared" si="3"/>
        <v>300</v>
      </c>
      <c r="M18" s="5">
        <f t="shared" si="3"/>
        <v>360</v>
      </c>
      <c r="N18" s="5">
        <f t="shared" si="3"/>
        <v>420</v>
      </c>
      <c r="O18" s="5">
        <f t="shared" si="3"/>
        <v>480</v>
      </c>
      <c r="P18" s="5">
        <f t="shared" si="3"/>
        <v>540</v>
      </c>
      <c r="Q18" s="5">
        <f t="shared" si="3"/>
        <v>600</v>
      </c>
      <c r="R18" s="5">
        <f t="shared" si="3"/>
        <v>660</v>
      </c>
      <c r="S18" s="5">
        <f t="shared" si="3"/>
        <v>720</v>
      </c>
      <c r="T18" s="5">
        <f t="shared" si="3"/>
        <v>780</v>
      </c>
      <c r="U18" s="5">
        <f t="shared" si="3"/>
        <v>840</v>
      </c>
      <c r="V18" s="5">
        <f t="shared" si="3"/>
        <v>900</v>
      </c>
      <c r="W18" s="5">
        <f t="shared" si="3"/>
        <v>960</v>
      </c>
      <c r="X18" s="5">
        <f t="shared" si="3"/>
        <v>1020</v>
      </c>
      <c r="Y18" s="5">
        <f t="shared" si="3"/>
        <v>1080</v>
      </c>
      <c r="Z18" s="5">
        <f t="shared" si="3"/>
        <v>1140</v>
      </c>
      <c r="AA18" s="5">
        <f t="shared" si="3"/>
        <v>1200</v>
      </c>
    </row>
    <row r="19" spans="2:27" ht="20.5" x14ac:dyDescent="0.55000000000000004">
      <c r="B19" s="342"/>
      <c r="C19" s="341" t="s">
        <v>642</v>
      </c>
      <c r="D19" s="4">
        <v>0</v>
      </c>
      <c r="E19" s="4"/>
      <c r="F19" s="4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 spans="2:27" ht="22" x14ac:dyDescent="0.55000000000000004">
      <c r="B20" s="341"/>
      <c r="C20" s="341" t="s">
        <v>859</v>
      </c>
      <c r="D20" s="4"/>
      <c r="E20" s="4"/>
      <c r="F20" s="4"/>
      <c r="G20" s="400"/>
      <c r="H20" s="400"/>
      <c r="I20" s="400"/>
      <c r="J20" s="400"/>
      <c r="K20" s="400"/>
      <c r="L20" s="400"/>
      <c r="M20" s="400"/>
      <c r="N20" s="400"/>
      <c r="O20" s="400"/>
      <c r="P20" s="400"/>
      <c r="Q20" s="400"/>
      <c r="R20" s="400"/>
      <c r="S20" s="400"/>
      <c r="T20" s="400"/>
      <c r="U20" s="400"/>
      <c r="V20" s="400"/>
      <c r="W20" s="400"/>
      <c r="X20" s="400"/>
      <c r="Y20" s="400"/>
      <c r="Z20" s="400"/>
      <c r="AA20" s="400"/>
    </row>
    <row r="21" spans="2:27" ht="20.5" x14ac:dyDescent="0.55000000000000004">
      <c r="B21" s="341"/>
      <c r="C21" s="341" t="s">
        <v>860</v>
      </c>
      <c r="D21" s="4"/>
      <c r="E21" s="4"/>
      <c r="F21" s="4"/>
      <c r="G21" s="400"/>
      <c r="H21" s="400"/>
      <c r="I21" s="400"/>
      <c r="J21" s="400"/>
      <c r="K21" s="400"/>
      <c r="L21" s="400"/>
      <c r="M21" s="400"/>
      <c r="N21" s="400"/>
      <c r="O21" s="400"/>
      <c r="P21" s="400"/>
      <c r="Q21" s="400"/>
      <c r="R21" s="400"/>
      <c r="S21" s="400"/>
      <c r="T21" s="400"/>
      <c r="U21" s="400"/>
      <c r="V21" s="400"/>
      <c r="W21" s="400"/>
      <c r="X21" s="400"/>
      <c r="Y21" s="400"/>
      <c r="Z21" s="400"/>
      <c r="AA21" s="400"/>
    </row>
    <row r="23" spans="2:27" ht="18.5" x14ac:dyDescent="0.45">
      <c r="C23" s="343" t="e">
        <f>IF(D18*#REF!&lt;0,"Auf einander zufahren","Einander nachfahren")</f>
        <v>#REF!</v>
      </c>
    </row>
    <row r="44" spans="2:10" ht="21" x14ac:dyDescent="0.5">
      <c r="B44" s="347" t="s">
        <v>649</v>
      </c>
      <c r="C44" s="96"/>
      <c r="D44" s="96"/>
      <c r="E44" s="404"/>
      <c r="F44" s="404"/>
      <c r="H44" t="s">
        <v>650</v>
      </c>
    </row>
    <row r="45" spans="2:10" ht="16.5" x14ac:dyDescent="0.45">
      <c r="B45" s="8" t="s">
        <v>645</v>
      </c>
      <c r="C45" s="5" t="e">
        <f>(D21-D14)/(#REF!-D18)</f>
        <v>#REF!</v>
      </c>
      <c r="D45" s="5" t="s">
        <v>646</v>
      </c>
      <c r="G45" s="344"/>
      <c r="H45" t="s">
        <v>651</v>
      </c>
      <c r="I45">
        <v>0</v>
      </c>
      <c r="J45" t="e">
        <f>C45</f>
        <v>#REF!</v>
      </c>
    </row>
    <row r="46" spans="2:10" x14ac:dyDescent="0.35">
      <c r="B46" s="8"/>
      <c r="C46" s="345" t="e">
        <f>C45/24</f>
        <v>#REF!</v>
      </c>
      <c r="D46" s="5"/>
      <c r="I46" t="e">
        <f>C48</f>
        <v>#REF!</v>
      </c>
      <c r="J46" t="e">
        <f>I46</f>
        <v>#REF!</v>
      </c>
    </row>
    <row r="47" spans="2:10" x14ac:dyDescent="0.35">
      <c r="B47" s="346"/>
      <c r="C47" s="340"/>
      <c r="D47" s="340"/>
      <c r="E47" s="405"/>
      <c r="F47" s="405"/>
    </row>
    <row r="48" spans="2:10" ht="16.5" x14ac:dyDescent="0.45">
      <c r="B48" s="8" t="s">
        <v>647</v>
      </c>
      <c r="C48" s="5" t="e">
        <f>#REF!*C45+D14</f>
        <v>#REF!</v>
      </c>
      <c r="D48" s="5" t="s">
        <v>648</v>
      </c>
      <c r="H48" t="s">
        <v>652</v>
      </c>
      <c r="I48" t="e">
        <f>J45</f>
        <v>#REF!</v>
      </c>
      <c r="J48" t="e">
        <f>I48</f>
        <v>#REF!</v>
      </c>
    </row>
    <row r="49" spans="2:10" ht="16.5" x14ac:dyDescent="0.45">
      <c r="B49" s="8" t="s">
        <v>647</v>
      </c>
      <c r="C49" s="5" t="e">
        <f>D18*C45+D21</f>
        <v>#REF!</v>
      </c>
      <c r="D49" s="5" t="s">
        <v>648</v>
      </c>
      <c r="I49">
        <v>0</v>
      </c>
      <c r="J49" t="e">
        <f>I46</f>
        <v>#REF!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B38E5-43C1-41D2-ADA5-A29109FD68B0}">
  <sheetPr codeName="Tabelle15">
    <pageSetUpPr fitToPage="1"/>
  </sheetPr>
  <dimension ref="C1:BB20"/>
  <sheetViews>
    <sheetView showGridLines="0" zoomScale="70" zoomScaleNormal="70" workbookViewId="0"/>
  </sheetViews>
  <sheetFormatPr baseColWidth="10" defaultColWidth="10.81640625" defaultRowHeight="14.5" x14ac:dyDescent="0.35"/>
  <cols>
    <col min="3" max="9" width="13.81640625" customWidth="1"/>
    <col min="10" max="12" width="3.26953125" customWidth="1"/>
    <col min="13" max="13" width="31" customWidth="1"/>
    <col min="14" max="14" width="19.81640625" customWidth="1"/>
    <col min="15" max="15" width="9.7265625" customWidth="1"/>
    <col min="16" max="16" width="6.453125" customWidth="1"/>
    <col min="17" max="18" width="10" customWidth="1"/>
    <col min="19" max="54" width="6.453125" customWidth="1"/>
  </cols>
  <sheetData>
    <row r="1" spans="3:54" ht="21.75" customHeight="1" x14ac:dyDescent="0.35"/>
    <row r="2" spans="3:54" ht="26" x14ac:dyDescent="0.6">
      <c r="C2" s="33" t="s">
        <v>61</v>
      </c>
    </row>
    <row r="4" spans="3:54" x14ac:dyDescent="0.35">
      <c r="U4" s="5"/>
      <c r="V4" s="5" t="s">
        <v>69</v>
      </c>
      <c r="W4" s="5"/>
      <c r="X4" s="5"/>
      <c r="Y4" s="5"/>
      <c r="Z4" s="5"/>
      <c r="AA4" s="5"/>
    </row>
    <row r="5" spans="3:54" x14ac:dyDescent="0.35">
      <c r="U5" s="5"/>
      <c r="V5" s="8" t="s">
        <v>73</v>
      </c>
      <c r="W5" s="247">
        <f>MAX(N15:N19)</f>
        <v>0.76604444311897812</v>
      </c>
      <c r="X5" s="5"/>
      <c r="Y5" s="5"/>
      <c r="Z5" s="5">
        <f>N12</f>
        <v>50</v>
      </c>
      <c r="AA5" s="5">
        <f>Z5</f>
        <v>50</v>
      </c>
    </row>
    <row r="6" spans="3:54" x14ac:dyDescent="0.35">
      <c r="U6" s="5"/>
      <c r="V6" s="8" t="s">
        <v>72</v>
      </c>
      <c r="W6" s="247">
        <f>MIN(N15:N19)</f>
        <v>-0.18793852415718165</v>
      </c>
      <c r="X6" s="5"/>
      <c r="Y6" s="5"/>
      <c r="Z6" s="5">
        <v>0</v>
      </c>
      <c r="AA6" s="5">
        <f>W7</f>
        <v>0.76604444311897812</v>
      </c>
    </row>
    <row r="7" spans="3:54" x14ac:dyDescent="0.35">
      <c r="M7" t="s">
        <v>308</v>
      </c>
      <c r="N7" t="s">
        <v>310</v>
      </c>
      <c r="U7" s="430" t="s">
        <v>74</v>
      </c>
      <c r="V7" s="430"/>
      <c r="W7" s="247">
        <f>IF(ABS(W5)&gt;ABS(W6),W5,W6)</f>
        <v>0.76604444311897812</v>
      </c>
      <c r="X7" s="5"/>
      <c r="Y7" s="5"/>
      <c r="Z7" s="5"/>
      <c r="AA7" s="5"/>
      <c r="AL7" s="5" t="s">
        <v>65</v>
      </c>
    </row>
    <row r="8" spans="3:54" ht="16" customHeight="1" x14ac:dyDescent="0.35">
      <c r="M8" s="122" t="s">
        <v>308</v>
      </c>
      <c r="N8" t="s">
        <v>309</v>
      </c>
      <c r="U8" s="1"/>
      <c r="V8" s="28"/>
      <c r="AL8" s="5" t="s">
        <v>66</v>
      </c>
    </row>
    <row r="9" spans="3:54" x14ac:dyDescent="0.35">
      <c r="M9" s="122" t="s">
        <v>312</v>
      </c>
      <c r="N9" t="s">
        <v>311</v>
      </c>
    </row>
    <row r="11" spans="3:54" ht="21" x14ac:dyDescent="0.35">
      <c r="C11" s="464"/>
      <c r="D11" s="464"/>
      <c r="E11" s="464"/>
      <c r="F11" s="464"/>
      <c r="G11" s="464"/>
      <c r="H11" s="464"/>
      <c r="I11" s="464"/>
      <c r="J11" s="36"/>
      <c r="K11" s="36"/>
      <c r="O11" s="32" t="s">
        <v>8</v>
      </c>
      <c r="P11" s="35">
        <v>10</v>
      </c>
      <c r="Q11" s="59"/>
      <c r="R11" s="59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  <c r="AF11" s="59"/>
      <c r="AG11" s="59"/>
      <c r="AH11" s="59"/>
      <c r="AI11" s="59"/>
      <c r="AJ11" s="59"/>
      <c r="AK11" s="59"/>
      <c r="AL11" s="59"/>
      <c r="AM11" s="59"/>
      <c r="AN11" s="59"/>
      <c r="AO11" s="59"/>
      <c r="AP11" s="59"/>
      <c r="AQ11" s="59"/>
      <c r="AR11" s="59"/>
      <c r="AS11" s="59"/>
      <c r="AT11" s="59"/>
      <c r="AU11" s="59"/>
      <c r="AV11" s="59"/>
      <c r="AW11" s="59"/>
      <c r="AX11" s="59"/>
      <c r="AY11" s="59"/>
      <c r="AZ11" s="59"/>
      <c r="BA11" s="59"/>
      <c r="BB11" s="59"/>
    </row>
    <row r="12" spans="3:54" s="23" customFormat="1" ht="21" x14ac:dyDescent="0.35">
      <c r="C12" s="465" t="s">
        <v>442</v>
      </c>
      <c r="D12" s="465"/>
      <c r="E12" s="465"/>
      <c r="F12" s="465"/>
      <c r="G12" s="465"/>
      <c r="H12" s="465"/>
      <c r="I12" s="465"/>
      <c r="J12" s="36"/>
      <c r="K12" s="36"/>
      <c r="M12" s="46" t="s">
        <v>436</v>
      </c>
      <c r="N12" s="27">
        <v>50</v>
      </c>
      <c r="O12" s="466" t="s">
        <v>64</v>
      </c>
      <c r="P12" s="27">
        <v>0</v>
      </c>
      <c r="Q12" s="60">
        <f>P12+$P$11</f>
        <v>10</v>
      </c>
      <c r="R12" s="60">
        <f t="shared" ref="R12:BB12" si="0">Q12+$P$11</f>
        <v>20</v>
      </c>
      <c r="S12" s="60">
        <f t="shared" si="0"/>
        <v>30</v>
      </c>
      <c r="T12" s="60">
        <f t="shared" si="0"/>
        <v>40</v>
      </c>
      <c r="U12" s="60">
        <f t="shared" si="0"/>
        <v>50</v>
      </c>
      <c r="V12" s="60">
        <f t="shared" si="0"/>
        <v>60</v>
      </c>
      <c r="W12" s="60">
        <f t="shared" si="0"/>
        <v>70</v>
      </c>
      <c r="X12" s="60">
        <f t="shared" si="0"/>
        <v>80</v>
      </c>
      <c r="Y12" s="60">
        <f t="shared" si="0"/>
        <v>90</v>
      </c>
      <c r="Z12" s="60">
        <f t="shared" si="0"/>
        <v>100</v>
      </c>
      <c r="AA12" s="60">
        <f t="shared" si="0"/>
        <v>110</v>
      </c>
      <c r="AB12" s="60">
        <f t="shared" si="0"/>
        <v>120</v>
      </c>
      <c r="AC12" s="60">
        <f t="shared" si="0"/>
        <v>130</v>
      </c>
      <c r="AD12" s="60">
        <f t="shared" si="0"/>
        <v>140</v>
      </c>
      <c r="AE12" s="60">
        <f t="shared" si="0"/>
        <v>150</v>
      </c>
      <c r="AF12" s="60">
        <f t="shared" si="0"/>
        <v>160</v>
      </c>
      <c r="AG12" s="60">
        <f t="shared" si="0"/>
        <v>170</v>
      </c>
      <c r="AH12" s="60">
        <f t="shared" si="0"/>
        <v>180</v>
      </c>
      <c r="AI12" s="60">
        <f t="shared" si="0"/>
        <v>190</v>
      </c>
      <c r="AJ12" s="60">
        <f t="shared" si="0"/>
        <v>200</v>
      </c>
      <c r="AK12" s="60">
        <f t="shared" si="0"/>
        <v>210</v>
      </c>
      <c r="AL12" s="60">
        <f t="shared" si="0"/>
        <v>220</v>
      </c>
      <c r="AM12" s="60">
        <f t="shared" si="0"/>
        <v>230</v>
      </c>
      <c r="AN12" s="60">
        <f t="shared" si="0"/>
        <v>240</v>
      </c>
      <c r="AO12" s="60">
        <f t="shared" si="0"/>
        <v>250</v>
      </c>
      <c r="AP12" s="60">
        <f t="shared" si="0"/>
        <v>260</v>
      </c>
      <c r="AQ12" s="60">
        <f t="shared" si="0"/>
        <v>270</v>
      </c>
      <c r="AR12" s="60">
        <f t="shared" si="0"/>
        <v>280</v>
      </c>
      <c r="AS12" s="60">
        <f t="shared" si="0"/>
        <v>290</v>
      </c>
      <c r="AT12" s="60">
        <f t="shared" si="0"/>
        <v>300</v>
      </c>
      <c r="AU12" s="60">
        <f t="shared" si="0"/>
        <v>310</v>
      </c>
      <c r="AV12" s="60">
        <f t="shared" si="0"/>
        <v>320</v>
      </c>
      <c r="AW12" s="60">
        <f t="shared" si="0"/>
        <v>330</v>
      </c>
      <c r="AX12" s="60">
        <f t="shared" si="0"/>
        <v>340</v>
      </c>
      <c r="AY12" s="60">
        <f t="shared" si="0"/>
        <v>350</v>
      </c>
      <c r="AZ12" s="60">
        <f t="shared" si="0"/>
        <v>360</v>
      </c>
      <c r="BA12" s="60">
        <f t="shared" si="0"/>
        <v>370</v>
      </c>
      <c r="BB12" s="60">
        <f t="shared" si="0"/>
        <v>380</v>
      </c>
    </row>
    <row r="13" spans="3:54" s="23" customFormat="1" ht="43.5" x14ac:dyDescent="0.35">
      <c r="C13" s="48" t="s">
        <v>67</v>
      </c>
      <c r="D13" s="48" t="s">
        <v>313</v>
      </c>
      <c r="E13" s="48" t="s">
        <v>440</v>
      </c>
      <c r="F13" s="48" t="s">
        <v>435</v>
      </c>
      <c r="G13" s="48" t="s">
        <v>438</v>
      </c>
      <c r="H13" s="48" t="s">
        <v>314</v>
      </c>
      <c r="I13" s="48" t="s">
        <v>315</v>
      </c>
      <c r="J13" s="49"/>
      <c r="K13" s="49"/>
      <c r="M13" s="57" t="s">
        <v>437</v>
      </c>
      <c r="N13" s="51">
        <f>PI()*N12/180</f>
        <v>0.87266462599716477</v>
      </c>
      <c r="O13" s="467"/>
      <c r="P13" s="50">
        <f>PI()*P12/180</f>
        <v>0</v>
      </c>
      <c r="Q13" s="50">
        <f t="shared" ref="Q13:BB13" si="1">PI()*Q12/180</f>
        <v>0.17453292519943295</v>
      </c>
      <c r="R13" s="50">
        <f t="shared" si="1"/>
        <v>0.3490658503988659</v>
      </c>
      <c r="S13" s="50">
        <f t="shared" si="1"/>
        <v>0.52359877559829882</v>
      </c>
      <c r="T13" s="50">
        <f t="shared" si="1"/>
        <v>0.69813170079773179</v>
      </c>
      <c r="U13" s="50">
        <f t="shared" si="1"/>
        <v>0.87266462599716477</v>
      </c>
      <c r="V13" s="50">
        <f t="shared" si="1"/>
        <v>1.0471975511965976</v>
      </c>
      <c r="W13" s="50">
        <f t="shared" si="1"/>
        <v>1.2217304763960306</v>
      </c>
      <c r="X13" s="50">
        <f t="shared" si="1"/>
        <v>1.3962634015954636</v>
      </c>
      <c r="Y13" s="50">
        <f t="shared" si="1"/>
        <v>1.5707963267948966</v>
      </c>
      <c r="Z13" s="50">
        <f t="shared" si="1"/>
        <v>1.7453292519943295</v>
      </c>
      <c r="AA13" s="50">
        <f t="shared" si="1"/>
        <v>1.9198621771937625</v>
      </c>
      <c r="AB13" s="50">
        <f t="shared" si="1"/>
        <v>2.0943951023931953</v>
      </c>
      <c r="AC13" s="50">
        <f t="shared" si="1"/>
        <v>2.2689280275926285</v>
      </c>
      <c r="AD13" s="50">
        <f t="shared" si="1"/>
        <v>2.4434609527920612</v>
      </c>
      <c r="AE13" s="50">
        <f t="shared" si="1"/>
        <v>2.6179938779914944</v>
      </c>
      <c r="AF13" s="50">
        <f t="shared" si="1"/>
        <v>2.7925268031909272</v>
      </c>
      <c r="AG13" s="50">
        <f t="shared" si="1"/>
        <v>2.9670597283903604</v>
      </c>
      <c r="AH13" s="50">
        <f t="shared" si="1"/>
        <v>3.1415926535897931</v>
      </c>
      <c r="AI13" s="50">
        <f t="shared" si="1"/>
        <v>3.3161255787892263</v>
      </c>
      <c r="AJ13" s="50">
        <f t="shared" si="1"/>
        <v>3.4906585039886591</v>
      </c>
      <c r="AK13" s="50">
        <f t="shared" si="1"/>
        <v>3.6651914291880923</v>
      </c>
      <c r="AL13" s="50">
        <f t="shared" si="1"/>
        <v>3.839724354387525</v>
      </c>
      <c r="AM13" s="50">
        <f t="shared" si="1"/>
        <v>4.0142572795869578</v>
      </c>
      <c r="AN13" s="50">
        <f t="shared" si="1"/>
        <v>4.1887902047863905</v>
      </c>
      <c r="AO13" s="50">
        <f t="shared" si="1"/>
        <v>4.3633231299858233</v>
      </c>
      <c r="AP13" s="50">
        <f t="shared" si="1"/>
        <v>4.5378560551852569</v>
      </c>
      <c r="AQ13" s="50">
        <f t="shared" si="1"/>
        <v>4.7123889803846897</v>
      </c>
      <c r="AR13" s="50">
        <f t="shared" si="1"/>
        <v>4.8869219055841224</v>
      </c>
      <c r="AS13" s="50">
        <f t="shared" si="1"/>
        <v>5.0614548307835552</v>
      </c>
      <c r="AT13" s="50">
        <f t="shared" si="1"/>
        <v>5.2359877559829888</v>
      </c>
      <c r="AU13" s="50">
        <f t="shared" si="1"/>
        <v>5.4105206811824216</v>
      </c>
      <c r="AV13" s="50">
        <f t="shared" si="1"/>
        <v>5.5850536063818543</v>
      </c>
      <c r="AW13" s="50">
        <f t="shared" si="1"/>
        <v>5.7595865315812871</v>
      </c>
      <c r="AX13" s="50">
        <f t="shared" si="1"/>
        <v>5.9341194567807207</v>
      </c>
      <c r="AY13" s="50">
        <f t="shared" si="1"/>
        <v>6.1086523819801526</v>
      </c>
      <c r="AZ13" s="50">
        <f t="shared" si="1"/>
        <v>6.2831853071795862</v>
      </c>
      <c r="BA13" s="50">
        <f t="shared" si="1"/>
        <v>6.457718232379019</v>
      </c>
      <c r="BB13" s="50">
        <f t="shared" si="1"/>
        <v>6.6322511575784526</v>
      </c>
    </row>
    <row r="14" spans="3:54" s="23" customFormat="1" x14ac:dyDescent="0.35">
      <c r="C14" s="48"/>
      <c r="D14" s="48"/>
      <c r="E14" s="48"/>
      <c r="F14" s="48"/>
      <c r="G14" s="48"/>
      <c r="H14" s="48"/>
      <c r="I14" s="48"/>
      <c r="J14" s="49"/>
      <c r="K14" s="49"/>
      <c r="M14" s="57" t="s">
        <v>441</v>
      </c>
      <c r="N14" s="236">
        <f>$F$19 * N12 / 360</f>
        <v>2.7777777777777779E-3</v>
      </c>
      <c r="O14" s="468"/>
      <c r="P14" s="235">
        <f>$F$19 * P12 / 360</f>
        <v>0</v>
      </c>
      <c r="Q14" s="235">
        <f t="shared" ref="Q14:BB14" si="2">$F$19 * Q12 / 360</f>
        <v>5.5555555555555556E-4</v>
      </c>
      <c r="R14" s="235">
        <f t="shared" si="2"/>
        <v>1.1111111111111111E-3</v>
      </c>
      <c r="S14" s="235">
        <f t="shared" si="2"/>
        <v>1.6666666666666666E-3</v>
      </c>
      <c r="T14" s="235">
        <f t="shared" si="2"/>
        <v>2.2222222222222222E-3</v>
      </c>
      <c r="U14" s="235">
        <f t="shared" si="2"/>
        <v>2.7777777777777779E-3</v>
      </c>
      <c r="V14" s="235">
        <f t="shared" si="2"/>
        <v>3.3333333333333331E-3</v>
      </c>
      <c r="W14" s="235">
        <f t="shared" si="2"/>
        <v>3.8888888888888892E-3</v>
      </c>
      <c r="X14" s="235">
        <f t="shared" si="2"/>
        <v>4.4444444444444444E-3</v>
      </c>
      <c r="Y14" s="235">
        <f t="shared" si="2"/>
        <v>5.0000000000000001E-3</v>
      </c>
      <c r="Z14" s="235">
        <f t="shared" si="2"/>
        <v>5.5555555555555558E-3</v>
      </c>
      <c r="AA14" s="235">
        <f t="shared" si="2"/>
        <v>6.1111111111111114E-3</v>
      </c>
      <c r="AB14" s="235">
        <f t="shared" si="2"/>
        <v>6.6666666666666662E-3</v>
      </c>
      <c r="AC14" s="235">
        <f t="shared" si="2"/>
        <v>7.2222222222222228E-3</v>
      </c>
      <c r="AD14" s="235">
        <f t="shared" si="2"/>
        <v>7.7777777777777784E-3</v>
      </c>
      <c r="AE14" s="235">
        <f t="shared" si="2"/>
        <v>8.3333333333333332E-3</v>
      </c>
      <c r="AF14" s="235">
        <f t="shared" si="2"/>
        <v>8.8888888888888889E-3</v>
      </c>
      <c r="AG14" s="235">
        <f t="shared" si="2"/>
        <v>9.4444444444444445E-3</v>
      </c>
      <c r="AH14" s="235">
        <f t="shared" si="2"/>
        <v>0.01</v>
      </c>
      <c r="AI14" s="235">
        <f t="shared" si="2"/>
        <v>1.0555555555555556E-2</v>
      </c>
      <c r="AJ14" s="235">
        <f t="shared" si="2"/>
        <v>1.1111111111111112E-2</v>
      </c>
      <c r="AK14" s="235">
        <f t="shared" si="2"/>
        <v>1.1666666666666667E-2</v>
      </c>
      <c r="AL14" s="235">
        <f t="shared" si="2"/>
        <v>1.2222222222222223E-2</v>
      </c>
      <c r="AM14" s="235">
        <f t="shared" si="2"/>
        <v>1.2777777777777779E-2</v>
      </c>
      <c r="AN14" s="235">
        <f t="shared" si="2"/>
        <v>1.3333333333333332E-2</v>
      </c>
      <c r="AO14" s="235">
        <f t="shared" si="2"/>
        <v>1.3888888888888888E-2</v>
      </c>
      <c r="AP14" s="235">
        <f t="shared" si="2"/>
        <v>1.4444444444444446E-2</v>
      </c>
      <c r="AQ14" s="235">
        <f t="shared" si="2"/>
        <v>1.5000000000000001E-2</v>
      </c>
      <c r="AR14" s="235">
        <f t="shared" si="2"/>
        <v>1.5555555555555557E-2</v>
      </c>
      <c r="AS14" s="235">
        <f t="shared" si="2"/>
        <v>1.6111111111111111E-2</v>
      </c>
      <c r="AT14" s="235">
        <f t="shared" si="2"/>
        <v>1.6666666666666666E-2</v>
      </c>
      <c r="AU14" s="235">
        <f t="shared" si="2"/>
        <v>1.7222222222222222E-2</v>
      </c>
      <c r="AV14" s="235">
        <f t="shared" si="2"/>
        <v>1.7777777777777778E-2</v>
      </c>
      <c r="AW14" s="235">
        <f t="shared" si="2"/>
        <v>1.8333333333333333E-2</v>
      </c>
      <c r="AX14" s="235">
        <f t="shared" si="2"/>
        <v>1.8888888888888889E-2</v>
      </c>
      <c r="AY14" s="235">
        <f t="shared" si="2"/>
        <v>1.9444444444444445E-2</v>
      </c>
      <c r="AZ14" s="235">
        <f t="shared" si="2"/>
        <v>0.02</v>
      </c>
      <c r="BA14" s="235">
        <f t="shared" si="2"/>
        <v>2.0555555555555556E-2</v>
      </c>
      <c r="BB14" s="235">
        <f t="shared" si="2"/>
        <v>2.1111111111111112E-2</v>
      </c>
    </row>
    <row r="15" spans="3:54" x14ac:dyDescent="0.35">
      <c r="C15" s="31">
        <v>1</v>
      </c>
      <c r="D15" s="31">
        <v>50</v>
      </c>
      <c r="E15" s="237">
        <f>D15/$D$19</f>
        <v>1</v>
      </c>
      <c r="F15" s="237">
        <f>1/D15</f>
        <v>0.02</v>
      </c>
      <c r="G15" s="237">
        <f>2*PI()*D15</f>
        <v>314.15926535897933</v>
      </c>
      <c r="H15" s="31">
        <v>0</v>
      </c>
      <c r="I15" s="240">
        <f>PI()*H15/180</f>
        <v>0</v>
      </c>
      <c r="J15" s="45"/>
      <c r="K15" s="45"/>
      <c r="M15" s="52" t="str">
        <f>_xlfn.CONCAT("y0 = ",IF(C15&lt;&gt;1,_xlfn.CONCAT(ROUND(C15,2)," *"),"")," sin(2*pi * ",IF(D15&lt;&gt;1,_xlfn.CONCAT(ROUND(D15,2),"Hz"),"")," * t ",IF(H15&lt;&gt;0,_xlfn.CONCAT(" + ",ROUND(H15,2),"°"),""),") = ")</f>
        <v xml:space="preserve">y0 =  sin(2*pi * 50Hz * t ) = </v>
      </c>
      <c r="N15" s="242">
        <f>IF($O$15=$AL$7,$C$15*SIN($G$15*N14 + $E$15*$I$15),"")</f>
        <v>0.76604444311897812</v>
      </c>
      <c r="O15" s="37" t="s">
        <v>65</v>
      </c>
      <c r="P15" s="43">
        <f>IF($O$15=$AL$7,$C$15*SIN($G$15*P14 + $E$15*$I$15),"")</f>
        <v>0</v>
      </c>
      <c r="Q15" s="43">
        <f t="shared" ref="Q15:BB15" si="3">IF($O$15=$AL$7,$C$15*SIN($G$15*Q14 + $E$15*$I$15),"")</f>
        <v>0.17364817766693033</v>
      </c>
      <c r="R15" s="43">
        <f t="shared" si="3"/>
        <v>0.34202014332566871</v>
      </c>
      <c r="S15" s="43">
        <f t="shared" si="3"/>
        <v>0.49999999999999994</v>
      </c>
      <c r="T15" s="43">
        <f t="shared" si="3"/>
        <v>0.64278760968653925</v>
      </c>
      <c r="U15" s="43">
        <f t="shared" si="3"/>
        <v>0.76604444311897812</v>
      </c>
      <c r="V15" s="43">
        <f t="shared" si="3"/>
        <v>0.8660254037844386</v>
      </c>
      <c r="W15" s="43">
        <f t="shared" si="3"/>
        <v>0.93969262078590843</v>
      </c>
      <c r="X15" s="43">
        <f t="shared" si="3"/>
        <v>0.98480775301220802</v>
      </c>
      <c r="Y15" s="43">
        <f t="shared" si="3"/>
        <v>1</v>
      </c>
      <c r="Z15" s="43">
        <f t="shared" si="3"/>
        <v>0.98480775301220802</v>
      </c>
      <c r="AA15" s="43">
        <f t="shared" si="3"/>
        <v>0.93969262078590832</v>
      </c>
      <c r="AB15" s="43">
        <f t="shared" si="3"/>
        <v>0.86602540378443871</v>
      </c>
      <c r="AC15" s="43">
        <f t="shared" si="3"/>
        <v>0.76604444311897801</v>
      </c>
      <c r="AD15" s="43">
        <f t="shared" si="3"/>
        <v>0.64278760968653914</v>
      </c>
      <c r="AE15" s="43">
        <f t="shared" si="3"/>
        <v>0.49999999999999994</v>
      </c>
      <c r="AF15" s="43">
        <f t="shared" si="3"/>
        <v>0.34202014332566888</v>
      </c>
      <c r="AG15" s="43">
        <f t="shared" si="3"/>
        <v>0.17364817766693028</v>
      </c>
      <c r="AH15" s="43">
        <f t="shared" si="3"/>
        <v>1.22514845490862E-16</v>
      </c>
      <c r="AI15" s="43">
        <f t="shared" si="3"/>
        <v>-0.17364817766693047</v>
      </c>
      <c r="AJ15" s="43">
        <f t="shared" si="3"/>
        <v>-0.34202014332566905</v>
      </c>
      <c r="AK15" s="43">
        <f t="shared" si="3"/>
        <v>-0.50000000000000011</v>
      </c>
      <c r="AL15" s="43">
        <f t="shared" si="3"/>
        <v>-0.64278760968653958</v>
      </c>
      <c r="AM15" s="43">
        <f t="shared" si="3"/>
        <v>-0.76604444311897846</v>
      </c>
      <c r="AN15" s="43">
        <f t="shared" si="3"/>
        <v>-0.86602540378443837</v>
      </c>
      <c r="AO15" s="43">
        <f t="shared" si="3"/>
        <v>-0.93969262078590843</v>
      </c>
      <c r="AP15" s="43">
        <f t="shared" si="3"/>
        <v>-0.98480775301220802</v>
      </c>
      <c r="AQ15" s="43">
        <f t="shared" si="3"/>
        <v>-1</v>
      </c>
      <c r="AR15" s="43">
        <f t="shared" si="3"/>
        <v>-0.98480775301220802</v>
      </c>
      <c r="AS15" s="43">
        <f t="shared" si="3"/>
        <v>-0.93969262078590832</v>
      </c>
      <c r="AT15" s="43">
        <f t="shared" si="3"/>
        <v>-0.8660254037844386</v>
      </c>
      <c r="AU15" s="43">
        <f t="shared" si="3"/>
        <v>-0.76604444311897812</v>
      </c>
      <c r="AV15" s="43">
        <f t="shared" si="3"/>
        <v>-0.64278760968653958</v>
      </c>
      <c r="AW15" s="43">
        <f t="shared" si="3"/>
        <v>-0.49999999999999967</v>
      </c>
      <c r="AX15" s="43">
        <f t="shared" si="3"/>
        <v>-0.3420201433256686</v>
      </c>
      <c r="AY15" s="43">
        <f t="shared" si="3"/>
        <v>-0.17364817766693039</v>
      </c>
      <c r="AZ15" s="43">
        <f t="shared" si="3"/>
        <v>-2.45029690981724E-16</v>
      </c>
      <c r="BA15" s="43">
        <f t="shared" si="3"/>
        <v>0.17364817766693078</v>
      </c>
      <c r="BB15" s="43">
        <f t="shared" si="3"/>
        <v>0.34202014332566893</v>
      </c>
    </row>
    <row r="16" spans="3:54" x14ac:dyDescent="0.35">
      <c r="C16" s="31">
        <f>1/3</f>
        <v>0.33333333333333331</v>
      </c>
      <c r="D16" s="31">
        <f>3*D15</f>
        <v>150</v>
      </c>
      <c r="E16" s="237">
        <f>D16/$D$19</f>
        <v>3</v>
      </c>
      <c r="F16" s="237">
        <f>1/D16</f>
        <v>6.6666666666666671E-3</v>
      </c>
      <c r="G16" s="237">
        <f>2*PI()*D16</f>
        <v>942.47779607693792</v>
      </c>
      <c r="H16" s="31">
        <v>0</v>
      </c>
      <c r="I16" s="240">
        <f>PI()*H16/180</f>
        <v>0</v>
      </c>
      <c r="J16" s="45"/>
      <c r="K16" s="45"/>
      <c r="M16" s="53" t="str">
        <f>_xlfn.CONCAT("y1 = ",IF(C16&lt;&gt;1,_xlfn.CONCAT(ROUND(C16,2)," *"),"")," sin(2*pi * ",IF(D16&lt;&gt;1,_xlfn.CONCAT(ROUND(D16,2),"Hz"),"")," * t ",IF(H16&lt;&gt;0,_xlfn.CONCAT(" + ",ROUND(H16,2),"°"),""),") = ")</f>
        <v xml:space="preserve">y1 = 0.33 * sin(2*pi * 150Hz * t ) = </v>
      </c>
      <c r="N16" s="243">
        <f>IF($O$16=$AL$7,$C$16*SIN($G$16*N14 + $E$16*$I$16),"")</f>
        <v>0.16666666666666663</v>
      </c>
      <c r="O16" s="38" t="s">
        <v>65</v>
      </c>
      <c r="P16" s="43">
        <f>IF($O$16=$AL$7,$C$16*SIN($G$16*P14 + $E$16*$I$16),"")</f>
        <v>0</v>
      </c>
      <c r="Q16" s="43">
        <f t="shared" ref="Q16:BB16" si="4">IF($O$16=$AL$7,$C$16*SIN($G$16*Q14 + $E$16*$I$16),"")</f>
        <v>0.16666666666666663</v>
      </c>
      <c r="R16" s="43">
        <f t="shared" si="4"/>
        <v>0.28867513459481287</v>
      </c>
      <c r="S16" s="43">
        <f t="shared" si="4"/>
        <v>0.33333333333333331</v>
      </c>
      <c r="T16" s="43">
        <f t="shared" si="4"/>
        <v>0.28867513459481287</v>
      </c>
      <c r="U16" s="43">
        <f t="shared" si="4"/>
        <v>0.16666666666666663</v>
      </c>
      <c r="V16" s="43">
        <f t="shared" si="4"/>
        <v>1.8886801844697487E-16</v>
      </c>
      <c r="W16" s="43">
        <f t="shared" si="4"/>
        <v>-0.16666666666666669</v>
      </c>
      <c r="X16" s="43">
        <f t="shared" si="4"/>
        <v>-0.28867513459481275</v>
      </c>
      <c r="Y16" s="43">
        <f t="shared" si="4"/>
        <v>-0.33333333333333331</v>
      </c>
      <c r="Z16" s="43">
        <f t="shared" si="4"/>
        <v>-0.28867513459481287</v>
      </c>
      <c r="AA16" s="43">
        <f t="shared" si="4"/>
        <v>-0.16666666666666655</v>
      </c>
      <c r="AB16" s="43">
        <f t="shared" si="4"/>
        <v>-3.7773603689394974E-16</v>
      </c>
      <c r="AC16" s="43">
        <f t="shared" si="4"/>
        <v>0.16666666666666666</v>
      </c>
      <c r="AD16" s="43">
        <f t="shared" si="4"/>
        <v>0.28867513459481292</v>
      </c>
      <c r="AE16" s="43">
        <f t="shared" si="4"/>
        <v>0.33333333333333331</v>
      </c>
      <c r="AF16" s="43">
        <f t="shared" si="4"/>
        <v>0.28867513459481303</v>
      </c>
      <c r="AG16" s="43">
        <f t="shared" si="4"/>
        <v>0.16666666666666657</v>
      </c>
      <c r="AH16" s="43">
        <f t="shared" si="4"/>
        <v>1.22514845490862E-16</v>
      </c>
      <c r="AI16" s="43">
        <f t="shared" si="4"/>
        <v>-0.16666666666666638</v>
      </c>
      <c r="AJ16" s="43">
        <f t="shared" si="4"/>
        <v>-0.28867513459481287</v>
      </c>
      <c r="AK16" s="43">
        <f t="shared" si="4"/>
        <v>-0.33333333333333331</v>
      </c>
      <c r="AL16" s="43">
        <f t="shared" si="4"/>
        <v>-0.28867513459481275</v>
      </c>
      <c r="AM16" s="43">
        <f t="shared" si="4"/>
        <v>-0.16666666666666663</v>
      </c>
      <c r="AN16" s="43">
        <f t="shared" si="4"/>
        <v>-7.5547207378789949E-16</v>
      </c>
      <c r="AO16" s="43">
        <f t="shared" si="4"/>
        <v>0.16666666666666635</v>
      </c>
      <c r="AP16" s="43">
        <f t="shared" si="4"/>
        <v>0.28867513459481287</v>
      </c>
      <c r="AQ16" s="43">
        <f t="shared" si="4"/>
        <v>0.33333333333333331</v>
      </c>
      <c r="AR16" s="43">
        <f t="shared" si="4"/>
        <v>0.28867513459481275</v>
      </c>
      <c r="AS16" s="43">
        <f t="shared" si="4"/>
        <v>0.16666666666666718</v>
      </c>
      <c r="AT16" s="43">
        <f t="shared" si="4"/>
        <v>2.0419140915143666E-16</v>
      </c>
      <c r="AU16" s="43">
        <f t="shared" si="4"/>
        <v>-0.1666666666666663</v>
      </c>
      <c r="AV16" s="43">
        <f t="shared" si="4"/>
        <v>-0.28867513459481253</v>
      </c>
      <c r="AW16" s="43">
        <f t="shared" si="4"/>
        <v>-0.33333333333333331</v>
      </c>
      <c r="AX16" s="43">
        <f t="shared" si="4"/>
        <v>-0.28867513459481275</v>
      </c>
      <c r="AY16" s="43">
        <f t="shared" si="4"/>
        <v>-0.16666666666666669</v>
      </c>
      <c r="AZ16" s="43">
        <f t="shared" si="4"/>
        <v>-2.45029690981724E-16</v>
      </c>
      <c r="BA16" s="43">
        <f t="shared" si="4"/>
        <v>0.16666666666666627</v>
      </c>
      <c r="BB16" s="43">
        <f t="shared" si="4"/>
        <v>0.28867513459481253</v>
      </c>
    </row>
    <row r="17" spans="3:54" x14ac:dyDescent="0.35">
      <c r="C17" s="31">
        <f>1/5</f>
        <v>0.2</v>
      </c>
      <c r="D17" s="31">
        <f>5*D15</f>
        <v>250</v>
      </c>
      <c r="E17" s="237">
        <f>D17/$D$19</f>
        <v>5</v>
      </c>
      <c r="F17" s="237">
        <f>1/D17</f>
        <v>4.0000000000000001E-3</v>
      </c>
      <c r="G17" s="237">
        <f>2*PI()*D17</f>
        <v>1570.7963267948965</v>
      </c>
      <c r="H17" s="31">
        <v>0</v>
      </c>
      <c r="I17" s="240">
        <f>PI()*H17/180</f>
        <v>0</v>
      </c>
      <c r="J17" s="45"/>
      <c r="K17" s="45"/>
      <c r="M17" s="54" t="str">
        <f>_xlfn.CONCAT("y2 = ",IF(C17&lt;&gt;1,_xlfn.CONCAT(ROUND(C17,2)," *"),"")," sin(2*pi * ",IF(D17&lt;&gt;1,_xlfn.CONCAT(ROUND(D17,2),"Hz"),"")," * t ",IF(H17&lt;&gt;0,_xlfn.CONCAT(" + ",ROUND(H17,2),"°"),""),") = ")</f>
        <v xml:space="preserve">y2 = 0.2 * sin(2*pi * 250Hz * t ) = </v>
      </c>
      <c r="N17" s="244">
        <f>IF($O$17=$AL$7,$C$17*SIN($G$17*N14 + $E$17*$I$17),"")</f>
        <v>-0.18793852415718165</v>
      </c>
      <c r="O17" s="39" t="s">
        <v>65</v>
      </c>
      <c r="P17" s="43">
        <f>IF($O$17=$AL$7,$C$17*SIN($G$17*P14 + $E$17*$I$17),"")</f>
        <v>0</v>
      </c>
      <c r="Q17" s="43">
        <f>IF($O$17=$AL$7,$C$17*SIN($G$17*Q14 + $E$17*$I$17),"")</f>
        <v>0.15320888862379559</v>
      </c>
      <c r="R17" s="43">
        <f t="shared" ref="R17:BB17" si="5">IF($O$17=$AL$7,$C$17*SIN($G$17*R14 + $E$17*$I$17),"")</f>
        <v>0.19696155060244164</v>
      </c>
      <c r="S17" s="43">
        <f t="shared" si="5"/>
        <v>0.10000000000000007</v>
      </c>
      <c r="T17" s="43">
        <f t="shared" si="5"/>
        <v>-6.8404028665133648E-2</v>
      </c>
      <c r="U17" s="43">
        <f t="shared" si="5"/>
        <v>-0.18793852415718165</v>
      </c>
      <c r="V17" s="43">
        <f t="shared" si="5"/>
        <v>-0.17320508075688781</v>
      </c>
      <c r="W17" s="43">
        <f t="shared" si="5"/>
        <v>-3.472963553338608E-2</v>
      </c>
      <c r="X17" s="43">
        <f t="shared" si="5"/>
        <v>0.12855752193730771</v>
      </c>
      <c r="Y17" s="43">
        <f t="shared" si="5"/>
        <v>0.2</v>
      </c>
      <c r="Z17" s="43">
        <f t="shared" si="5"/>
        <v>0.12855752193730807</v>
      </c>
      <c r="AA17" s="43">
        <f t="shared" si="5"/>
        <v>-3.4729635533385955E-2</v>
      </c>
      <c r="AB17" s="43">
        <f t="shared" si="5"/>
        <v>-0.17320508075688756</v>
      </c>
      <c r="AC17" s="43">
        <f t="shared" si="5"/>
        <v>-0.18793852415718174</v>
      </c>
      <c r="AD17" s="43">
        <f t="shared" si="5"/>
        <v>-6.8404028665133773E-2</v>
      </c>
      <c r="AE17" s="43">
        <f t="shared" si="5"/>
        <v>9.9999999999999811E-2</v>
      </c>
      <c r="AF17" s="43">
        <f t="shared" si="5"/>
        <v>0.19696155060244155</v>
      </c>
      <c r="AG17" s="43">
        <f t="shared" si="5"/>
        <v>0.15320888862379578</v>
      </c>
      <c r="AH17" s="43">
        <f t="shared" si="5"/>
        <v>1.22514845490862E-16</v>
      </c>
      <c r="AI17" s="43">
        <f t="shared" si="5"/>
        <v>-0.15320888862379542</v>
      </c>
      <c r="AJ17" s="43">
        <f t="shared" si="5"/>
        <v>-0.19696155060244172</v>
      </c>
      <c r="AK17" s="43">
        <f t="shared" si="5"/>
        <v>-0.10000000000000003</v>
      </c>
      <c r="AL17" s="43">
        <f t="shared" si="5"/>
        <v>6.8404028665133537E-2</v>
      </c>
      <c r="AM17" s="43">
        <f t="shared" si="5"/>
        <v>0.18793852415718154</v>
      </c>
      <c r="AN17" s="43">
        <f t="shared" si="5"/>
        <v>0.17320508075688806</v>
      </c>
      <c r="AO17" s="43">
        <f t="shared" si="5"/>
        <v>3.4729635533386899E-2</v>
      </c>
      <c r="AP17" s="43">
        <f t="shared" si="5"/>
        <v>-0.1285575219373076</v>
      </c>
      <c r="AQ17" s="43">
        <f t="shared" si="5"/>
        <v>-0.2</v>
      </c>
      <c r="AR17" s="43">
        <f t="shared" si="5"/>
        <v>-0.12855752193730791</v>
      </c>
      <c r="AS17" s="43">
        <f t="shared" si="5"/>
        <v>3.4729635533385143E-2</v>
      </c>
      <c r="AT17" s="43">
        <f t="shared" si="5"/>
        <v>0.17320508075688754</v>
      </c>
      <c r="AU17" s="43">
        <f t="shared" si="5"/>
        <v>0.18793852415718193</v>
      </c>
      <c r="AV17" s="43">
        <f t="shared" si="5"/>
        <v>6.840402866513455E-2</v>
      </c>
      <c r="AW17" s="43">
        <f t="shared" si="5"/>
        <v>-9.99999999999997E-2</v>
      </c>
      <c r="AX17" s="43">
        <f t="shared" si="5"/>
        <v>-0.19696155060244153</v>
      </c>
      <c r="AY17" s="43">
        <f t="shared" si="5"/>
        <v>-0.15320888862379611</v>
      </c>
      <c r="AZ17" s="43">
        <f t="shared" si="5"/>
        <v>-2.45029690981724E-16</v>
      </c>
      <c r="BA17" s="43">
        <f t="shared" si="5"/>
        <v>0.15320888862379489</v>
      </c>
      <c r="BB17" s="43">
        <f t="shared" si="5"/>
        <v>0.19696155060244172</v>
      </c>
    </row>
    <row r="18" spans="3:54" ht="15" thickBot="1" x14ac:dyDescent="0.4">
      <c r="C18" s="230">
        <f>1/7</f>
        <v>0.14285714285714285</v>
      </c>
      <c r="D18" s="230">
        <f>7*D15</f>
        <v>350</v>
      </c>
      <c r="E18" s="238">
        <f>D18/$D$19</f>
        <v>7</v>
      </c>
      <c r="F18" s="238">
        <f>1/D18</f>
        <v>2.8571428571428571E-3</v>
      </c>
      <c r="G18" s="238">
        <f>2*PI()*D18</f>
        <v>2199.114857512855</v>
      </c>
      <c r="H18" s="230">
        <v>0</v>
      </c>
      <c r="I18" s="241">
        <f>PI()*H18/180</f>
        <v>0</v>
      </c>
      <c r="J18" s="45"/>
      <c r="K18" s="45"/>
      <c r="M18" s="55" t="str">
        <f>_xlfn.CONCAT("y3 = ",IF(C18&lt;&gt;1,_xlfn.CONCAT(ROUND(C18,2)," *"),"")," sin(2*pi * ",IF(D18&lt;&gt;1,_xlfn.CONCAT(ROUND(D18,2),"Hz"),"")," * t ",IF(H18&lt;&gt;0,_xlfn.CONCAT(" + ",ROUND(H18,2),"°"),""),") = ")</f>
        <v xml:space="preserve">y3 = 0.14 * sin(2*pi * 350Hz * t ) = </v>
      </c>
      <c r="N18" s="245">
        <f>IF($O$18=$AL$7,$C$18*SIN($G$18*N14 + $E$18*$I$18),"")</f>
        <v>-2.4806882523847322E-2</v>
      </c>
      <c r="O18" s="40" t="s">
        <v>65</v>
      </c>
      <c r="P18" s="43">
        <f>IF($O$18=$AL$7,$C$18*SIN($G$18*P14 + $E$18*$I$18),"")</f>
        <v>0</v>
      </c>
      <c r="Q18" s="43">
        <f t="shared" ref="Q18:BB18" si="6">IF($O$18=$AL$7,$C$18*SIN($G$18*Q14 + $E$18*$I$18),"")</f>
        <v>0.13424180296941546</v>
      </c>
      <c r="R18" s="43">
        <f t="shared" si="6"/>
        <v>9.1826801383791345E-2</v>
      </c>
      <c r="S18" s="43">
        <f t="shared" si="6"/>
        <v>-7.1428571428571341E-2</v>
      </c>
      <c r="T18" s="43">
        <f t="shared" si="6"/>
        <v>-0.14068682185888687</v>
      </c>
      <c r="U18" s="43">
        <f t="shared" si="6"/>
        <v>-2.4806882523847322E-2</v>
      </c>
      <c r="V18" s="43">
        <f t="shared" si="6"/>
        <v>0.12371791482634827</v>
      </c>
      <c r="W18" s="43">
        <f t="shared" si="6"/>
        <v>0.10943492044556839</v>
      </c>
      <c r="X18" s="43">
        <f t="shared" si="6"/>
        <v>-4.8860020475095425E-2</v>
      </c>
      <c r="Y18" s="43">
        <f t="shared" si="6"/>
        <v>-0.14285714285714285</v>
      </c>
      <c r="Z18" s="43">
        <f t="shared" si="6"/>
        <v>-4.8860020475095779E-2</v>
      </c>
      <c r="AA18" s="43">
        <f t="shared" si="6"/>
        <v>0.10943492044556814</v>
      </c>
      <c r="AB18" s="43">
        <f t="shared" si="6"/>
        <v>0.12371791482634859</v>
      </c>
      <c r="AC18" s="43">
        <f t="shared" si="6"/>
        <v>-2.4806882523847079E-2</v>
      </c>
      <c r="AD18" s="43">
        <f t="shared" si="6"/>
        <v>-0.14068682185888681</v>
      </c>
      <c r="AE18" s="43">
        <f t="shared" si="6"/>
        <v>-7.1428571428571883E-2</v>
      </c>
      <c r="AF18" s="43">
        <f t="shared" si="6"/>
        <v>9.1826801383791151E-2</v>
      </c>
      <c r="AG18" s="43">
        <f t="shared" si="6"/>
        <v>0.13424180296941562</v>
      </c>
      <c r="AH18" s="43">
        <f t="shared" si="6"/>
        <v>1.22514845490862E-16</v>
      </c>
      <c r="AI18" s="43">
        <f t="shared" si="6"/>
        <v>-0.13424180296941537</v>
      </c>
      <c r="AJ18" s="43">
        <f t="shared" si="6"/>
        <v>-9.1826801383791734E-2</v>
      </c>
      <c r="AK18" s="43">
        <f t="shared" si="6"/>
        <v>7.142857142857123E-2</v>
      </c>
      <c r="AL18" s="43">
        <f t="shared" si="6"/>
        <v>0.14068682185888692</v>
      </c>
      <c r="AM18" s="43">
        <f t="shared" si="6"/>
        <v>2.4806882523847319E-2</v>
      </c>
      <c r="AN18" s="43">
        <f t="shared" si="6"/>
        <v>-0.12371791482634795</v>
      </c>
      <c r="AO18" s="43">
        <f t="shared" si="6"/>
        <v>-0.10943492044556863</v>
      </c>
      <c r="AP18" s="43">
        <f t="shared" si="6"/>
        <v>4.8860020475095314E-2</v>
      </c>
      <c r="AQ18" s="43">
        <f t="shared" si="6"/>
        <v>0.14285714285714285</v>
      </c>
      <c r="AR18" s="43">
        <f t="shared" si="6"/>
        <v>4.8860020475096133E-2</v>
      </c>
      <c r="AS18" s="43">
        <f t="shared" si="6"/>
        <v>-0.10943492044556806</v>
      </c>
      <c r="AT18" s="43">
        <f t="shared" si="6"/>
        <v>-0.1237179148263489</v>
      </c>
      <c r="AU18" s="43">
        <f t="shared" si="6"/>
        <v>2.4806882523846455E-2</v>
      </c>
      <c r="AV18" s="43">
        <f t="shared" si="6"/>
        <v>0.14068682185888678</v>
      </c>
      <c r="AW18" s="43">
        <f t="shared" si="6"/>
        <v>7.1428571428572424E-2</v>
      </c>
      <c r="AX18" s="43">
        <f t="shared" si="6"/>
        <v>-9.1826801383790679E-2</v>
      </c>
      <c r="AY18" s="43">
        <f t="shared" si="6"/>
        <v>-0.13424180296941565</v>
      </c>
      <c r="AZ18" s="43">
        <f t="shared" si="6"/>
        <v>-2.45029690981724E-16</v>
      </c>
      <c r="BA18" s="43">
        <f t="shared" si="6"/>
        <v>0.13424180296941515</v>
      </c>
      <c r="BB18" s="43">
        <f t="shared" si="6"/>
        <v>9.1826801383791817E-2</v>
      </c>
    </row>
    <row r="19" spans="3:54" ht="16" customHeight="1" thickBot="1" x14ac:dyDescent="0.4">
      <c r="C19" s="231" t="s">
        <v>439</v>
      </c>
      <c r="D19" s="232">
        <f>MIN(D15:D18)</f>
        <v>50</v>
      </c>
      <c r="E19" s="232"/>
      <c r="F19" s="239">
        <f>1/D19</f>
        <v>0.02</v>
      </c>
      <c r="G19" s="239">
        <f>2*PI()*D19</f>
        <v>314.15926535897933</v>
      </c>
      <c r="H19" s="233"/>
      <c r="I19" s="234"/>
      <c r="M19" s="29" t="s">
        <v>60</v>
      </c>
      <c r="N19" s="246">
        <f>IF($O$19=$AL$7,SUM(N15:N18),"")</f>
        <v>0.71996570310461572</v>
      </c>
      <c r="O19" s="42" t="s">
        <v>65</v>
      </c>
      <c r="P19" s="44">
        <f t="shared" ref="P19:BB19" si="7">IF($O$19=$AL$7,SUM(P15:P18),"")</f>
        <v>0</v>
      </c>
      <c r="Q19" s="44">
        <f t="shared" si="7"/>
        <v>0.62776553592680795</v>
      </c>
      <c r="R19" s="44">
        <f t="shared" si="7"/>
        <v>0.91948362990671439</v>
      </c>
      <c r="S19" s="44">
        <f t="shared" si="7"/>
        <v>0.86190476190476195</v>
      </c>
      <c r="T19" s="44">
        <f t="shared" si="7"/>
        <v>0.72237189375733157</v>
      </c>
      <c r="U19" s="44">
        <f t="shared" si="7"/>
        <v>0.71996570310461572</v>
      </c>
      <c r="V19" s="44">
        <f t="shared" si="7"/>
        <v>0.81653823785389934</v>
      </c>
      <c r="W19" s="44">
        <f t="shared" si="7"/>
        <v>0.847731239031424</v>
      </c>
      <c r="X19" s="44">
        <f t="shared" si="7"/>
        <v>0.77583011987960759</v>
      </c>
      <c r="Y19" s="44">
        <f t="shared" si="7"/>
        <v>0.7238095238095239</v>
      </c>
      <c r="Z19" s="44">
        <f t="shared" si="7"/>
        <v>0.77583011987960748</v>
      </c>
      <c r="AA19" s="44">
        <f t="shared" si="7"/>
        <v>0.847731239031424</v>
      </c>
      <c r="AB19" s="44">
        <f t="shared" si="7"/>
        <v>0.81653823785389945</v>
      </c>
      <c r="AC19" s="44">
        <f t="shared" si="7"/>
        <v>0.71996570310461583</v>
      </c>
      <c r="AD19" s="44">
        <f t="shared" si="7"/>
        <v>0.72237189375733157</v>
      </c>
      <c r="AE19" s="44">
        <f t="shared" si="7"/>
        <v>0.86190476190476129</v>
      </c>
      <c r="AF19" s="44">
        <f t="shared" si="7"/>
        <v>0.91948362990671473</v>
      </c>
      <c r="AG19" s="44">
        <f t="shared" si="7"/>
        <v>0.62776553592680817</v>
      </c>
      <c r="AH19" s="44">
        <f t="shared" si="7"/>
        <v>4.90059381963448E-16</v>
      </c>
      <c r="AI19" s="44">
        <f t="shared" si="7"/>
        <v>-0.62776553592680762</v>
      </c>
      <c r="AJ19" s="44">
        <f t="shared" si="7"/>
        <v>-0.91948362990671539</v>
      </c>
      <c r="AK19" s="44">
        <f t="shared" si="7"/>
        <v>-0.8619047619047624</v>
      </c>
      <c r="AL19" s="44">
        <f t="shared" si="7"/>
        <v>-0.72237189375733191</v>
      </c>
      <c r="AM19" s="44">
        <f t="shared" si="7"/>
        <v>-0.71996570310461616</v>
      </c>
      <c r="AN19" s="44">
        <f t="shared" si="7"/>
        <v>-0.81653823785389912</v>
      </c>
      <c r="AO19" s="44">
        <f t="shared" si="7"/>
        <v>-0.84773123903142378</v>
      </c>
      <c r="AP19" s="44">
        <f t="shared" si="7"/>
        <v>-0.77583011987960748</v>
      </c>
      <c r="AQ19" s="44">
        <f t="shared" si="7"/>
        <v>-0.7238095238095239</v>
      </c>
      <c r="AR19" s="44">
        <f t="shared" si="7"/>
        <v>-0.77583011987960693</v>
      </c>
      <c r="AS19" s="44">
        <f t="shared" si="7"/>
        <v>-0.847731239031424</v>
      </c>
      <c r="AT19" s="44">
        <f t="shared" si="7"/>
        <v>-0.81653823785389967</v>
      </c>
      <c r="AU19" s="44">
        <f t="shared" si="7"/>
        <v>-0.71996570310461605</v>
      </c>
      <c r="AV19" s="44">
        <f t="shared" si="7"/>
        <v>-0.7223718937573308</v>
      </c>
      <c r="AW19" s="44">
        <f t="shared" si="7"/>
        <v>-0.86190476190476029</v>
      </c>
      <c r="AX19" s="44">
        <f t="shared" si="7"/>
        <v>-0.91948362990671351</v>
      </c>
      <c r="AY19" s="44">
        <f t="shared" si="7"/>
        <v>-0.62776553592680884</v>
      </c>
      <c r="AZ19" s="44">
        <f t="shared" si="7"/>
        <v>-9.8011876392689601E-16</v>
      </c>
      <c r="BA19" s="44">
        <f t="shared" si="7"/>
        <v>0.62776553592680706</v>
      </c>
      <c r="BB19" s="44">
        <f t="shared" si="7"/>
        <v>0.91948362990671506</v>
      </c>
    </row>
    <row r="20" spans="3:54" ht="8.5" customHeight="1" x14ac:dyDescent="0.35">
      <c r="M20" s="28"/>
      <c r="N20" s="28"/>
      <c r="O20" s="28"/>
    </row>
  </sheetData>
  <mergeCells count="4">
    <mergeCell ref="C11:I11"/>
    <mergeCell ref="C12:I12"/>
    <mergeCell ref="U7:V7"/>
    <mergeCell ref="O12:O14"/>
  </mergeCells>
  <dataValidations count="1">
    <dataValidation type="list" allowBlank="1" showInputMessage="1" showErrorMessage="1" sqref="O15:O18 O19" xr:uid="{14030FAE-C205-4F99-A125-F98CBE2B09BD}">
      <formula1>$AL$7:$AL$8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F7D5C-D0F8-40D0-BDC5-363CB671BB60}">
  <sheetPr>
    <pageSetUpPr fitToPage="1"/>
  </sheetPr>
  <dimension ref="B1:AY74"/>
  <sheetViews>
    <sheetView showGridLines="0" zoomScale="85" zoomScaleNormal="85" workbookViewId="0"/>
  </sheetViews>
  <sheetFormatPr baseColWidth="10" defaultColWidth="10.81640625" defaultRowHeight="14.5" x14ac:dyDescent="0.35"/>
  <cols>
    <col min="2" max="2" width="16.26953125" customWidth="1"/>
    <col min="3" max="6" width="13.81640625" customWidth="1"/>
    <col min="7" max="9" width="3.26953125" customWidth="1"/>
    <col min="10" max="10" width="25.54296875" customWidth="1"/>
    <col min="11" max="11" width="19.81640625" customWidth="1"/>
    <col min="12" max="12" width="9.7265625" customWidth="1"/>
    <col min="13" max="51" width="6.453125" customWidth="1"/>
  </cols>
  <sheetData>
    <row r="1" spans="2:51" ht="21.75" customHeight="1" x14ac:dyDescent="0.35"/>
    <row r="2" spans="2:51" ht="26" x14ac:dyDescent="0.6">
      <c r="C2" s="33" t="s">
        <v>468</v>
      </c>
    </row>
    <row r="4" spans="2:51" x14ac:dyDescent="0.35">
      <c r="R4" s="5"/>
      <c r="S4" s="5" t="s">
        <v>69</v>
      </c>
      <c r="T4" s="5"/>
      <c r="U4" s="5"/>
      <c r="V4" s="5"/>
      <c r="W4" s="5"/>
      <c r="X4" s="5"/>
      <c r="Z4" s="5" t="s">
        <v>475</v>
      </c>
      <c r="AA4" s="5"/>
      <c r="AC4" s="5" t="s">
        <v>476</v>
      </c>
      <c r="AD4" s="5"/>
    </row>
    <row r="5" spans="2:51" x14ac:dyDescent="0.35">
      <c r="R5" s="5"/>
      <c r="S5" s="8" t="s">
        <v>73</v>
      </c>
      <c r="T5" s="44">
        <f>MAX(K14:K23)</f>
        <v>0.8660254037844386</v>
      </c>
      <c r="U5" s="5"/>
      <c r="V5" s="5"/>
      <c r="W5" s="5">
        <f>K12</f>
        <v>60</v>
      </c>
      <c r="X5" s="5">
        <f>W5</f>
        <v>60</v>
      </c>
      <c r="Z5" s="5">
        <v>0</v>
      </c>
      <c r="AA5" s="5">
        <f>AY12</f>
        <v>570</v>
      </c>
      <c r="AC5" s="5">
        <v>0</v>
      </c>
      <c r="AD5" s="5">
        <v>0</v>
      </c>
    </row>
    <row r="6" spans="2:51" x14ac:dyDescent="0.35">
      <c r="E6" t="s">
        <v>465</v>
      </c>
      <c r="R6" s="5"/>
      <c r="S6" s="8" t="s">
        <v>72</v>
      </c>
      <c r="T6" s="44">
        <f>MIN(K14:K23)</f>
        <v>-0.43301270189221958</v>
      </c>
      <c r="U6" s="5"/>
      <c r="V6" s="5"/>
      <c r="W6" s="44">
        <f>IF(T6&gt;0,0,T6)</f>
        <v>-0.43301270189221958</v>
      </c>
      <c r="X6" s="44">
        <f>IF(T5&lt;0,0,T5)</f>
        <v>0.8660254037844386</v>
      </c>
      <c r="Z6" s="5">
        <v>0</v>
      </c>
      <c r="AA6" s="5">
        <v>0</v>
      </c>
      <c r="AC6" s="44">
        <f>MIN(M14:AY23)</f>
        <v>-1</v>
      </c>
      <c r="AD6" s="44">
        <f>MAX(M14:AY23)</f>
        <v>1</v>
      </c>
    </row>
    <row r="7" spans="2:51" ht="15" thickBot="1" x14ac:dyDescent="0.4">
      <c r="E7" t="s">
        <v>466</v>
      </c>
      <c r="R7" s="430" t="s">
        <v>74</v>
      </c>
      <c r="S7" s="430"/>
      <c r="T7" s="5">
        <f>IF(ABS(T5)&gt;ABS(T6),T5,T6)</f>
        <v>0.8660254037844386</v>
      </c>
      <c r="U7" s="5"/>
      <c r="V7" s="5"/>
      <c r="W7" s="5"/>
      <c r="X7" s="5"/>
      <c r="AI7" s="5" t="s">
        <v>65</v>
      </c>
    </row>
    <row r="8" spans="2:51" ht="16" customHeight="1" thickBot="1" x14ac:dyDescent="0.5">
      <c r="E8" s="251" t="str">
        <f>IF(E15&gt;0,"Kapazitiv (Strom voreilend)",IF(E15&lt;0,"Induktiv (Strom nacheilend)","Ohmsch (Gleichphasig)"))</f>
        <v>Induktiv (Strom nacheilend)</v>
      </c>
      <c r="F8" s="252"/>
      <c r="G8" s="252"/>
      <c r="H8" s="253"/>
      <c r="R8" s="1"/>
      <c r="S8" s="28"/>
      <c r="AI8" s="5" t="s">
        <v>66</v>
      </c>
    </row>
    <row r="11" spans="2:51" ht="21" x14ac:dyDescent="0.35">
      <c r="C11" s="464"/>
      <c r="D11" s="464"/>
      <c r="E11" s="464"/>
      <c r="F11" s="464"/>
      <c r="G11" s="36"/>
      <c r="H11" s="36"/>
      <c r="L11" s="32" t="s">
        <v>8</v>
      </c>
      <c r="M11" s="35">
        <v>15</v>
      </c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  <c r="AF11" s="59"/>
      <c r="AG11" s="59"/>
      <c r="AH11" s="59"/>
      <c r="AI11" s="59"/>
      <c r="AJ11" s="59"/>
      <c r="AK11" s="59"/>
      <c r="AL11" s="59"/>
      <c r="AM11" s="59"/>
      <c r="AN11" s="59"/>
      <c r="AO11" s="59"/>
      <c r="AP11" s="59"/>
      <c r="AQ11" s="59"/>
      <c r="AR11" s="59"/>
      <c r="AS11" s="59"/>
      <c r="AT11" s="59"/>
      <c r="AU11" s="59"/>
      <c r="AV11" s="59"/>
      <c r="AW11" s="59"/>
      <c r="AX11" s="59"/>
      <c r="AY11" s="59"/>
    </row>
    <row r="12" spans="2:51" s="23" customFormat="1" ht="21" x14ac:dyDescent="0.35">
      <c r="C12" s="465" t="s">
        <v>477</v>
      </c>
      <c r="D12" s="465"/>
      <c r="E12" s="465"/>
      <c r="F12" s="465"/>
      <c r="G12" s="36"/>
      <c r="H12" s="36"/>
      <c r="J12" s="46" t="s">
        <v>63</v>
      </c>
      <c r="K12" s="27">
        <v>60</v>
      </c>
      <c r="L12" s="466" t="s">
        <v>64</v>
      </c>
      <c r="M12" s="27">
        <v>0</v>
      </c>
      <c r="N12" s="60">
        <f>M12+$M$11</f>
        <v>15</v>
      </c>
      <c r="O12" s="60">
        <f t="shared" ref="O12:AY12" si="0">N12+$M$11</f>
        <v>30</v>
      </c>
      <c r="P12" s="60">
        <f t="shared" si="0"/>
        <v>45</v>
      </c>
      <c r="Q12" s="60">
        <f t="shared" si="0"/>
        <v>60</v>
      </c>
      <c r="R12" s="60">
        <f t="shared" si="0"/>
        <v>75</v>
      </c>
      <c r="S12" s="60">
        <f t="shared" si="0"/>
        <v>90</v>
      </c>
      <c r="T12" s="60">
        <f t="shared" si="0"/>
        <v>105</v>
      </c>
      <c r="U12" s="60">
        <f t="shared" si="0"/>
        <v>120</v>
      </c>
      <c r="V12" s="60">
        <f t="shared" si="0"/>
        <v>135</v>
      </c>
      <c r="W12" s="60">
        <f t="shared" si="0"/>
        <v>150</v>
      </c>
      <c r="X12" s="60">
        <f t="shared" si="0"/>
        <v>165</v>
      </c>
      <c r="Y12" s="60">
        <f t="shared" si="0"/>
        <v>180</v>
      </c>
      <c r="Z12" s="60">
        <f t="shared" si="0"/>
        <v>195</v>
      </c>
      <c r="AA12" s="60">
        <f t="shared" si="0"/>
        <v>210</v>
      </c>
      <c r="AB12" s="60">
        <f t="shared" si="0"/>
        <v>225</v>
      </c>
      <c r="AC12" s="60">
        <f t="shared" si="0"/>
        <v>240</v>
      </c>
      <c r="AD12" s="60">
        <f t="shared" si="0"/>
        <v>255</v>
      </c>
      <c r="AE12" s="60">
        <f t="shared" si="0"/>
        <v>270</v>
      </c>
      <c r="AF12" s="60">
        <f t="shared" si="0"/>
        <v>285</v>
      </c>
      <c r="AG12" s="60">
        <f t="shared" si="0"/>
        <v>300</v>
      </c>
      <c r="AH12" s="60">
        <f t="shared" si="0"/>
        <v>315</v>
      </c>
      <c r="AI12" s="60">
        <f t="shared" si="0"/>
        <v>330</v>
      </c>
      <c r="AJ12" s="60">
        <f t="shared" si="0"/>
        <v>345</v>
      </c>
      <c r="AK12" s="60">
        <f t="shared" si="0"/>
        <v>360</v>
      </c>
      <c r="AL12" s="60">
        <f t="shared" si="0"/>
        <v>375</v>
      </c>
      <c r="AM12" s="60">
        <f t="shared" si="0"/>
        <v>390</v>
      </c>
      <c r="AN12" s="60">
        <f t="shared" si="0"/>
        <v>405</v>
      </c>
      <c r="AO12" s="60">
        <f t="shared" si="0"/>
        <v>420</v>
      </c>
      <c r="AP12" s="60">
        <f t="shared" si="0"/>
        <v>435</v>
      </c>
      <c r="AQ12" s="60">
        <f t="shared" si="0"/>
        <v>450</v>
      </c>
      <c r="AR12" s="60">
        <f t="shared" si="0"/>
        <v>465</v>
      </c>
      <c r="AS12" s="60">
        <f t="shared" si="0"/>
        <v>480</v>
      </c>
      <c r="AT12" s="60">
        <f t="shared" si="0"/>
        <v>495</v>
      </c>
      <c r="AU12" s="60">
        <f t="shared" si="0"/>
        <v>510</v>
      </c>
      <c r="AV12" s="60">
        <f t="shared" si="0"/>
        <v>525</v>
      </c>
      <c r="AW12" s="60">
        <f t="shared" si="0"/>
        <v>540</v>
      </c>
      <c r="AX12" s="60">
        <f t="shared" si="0"/>
        <v>555</v>
      </c>
      <c r="AY12" s="60">
        <f t="shared" si="0"/>
        <v>570</v>
      </c>
    </row>
    <row r="13" spans="2:51" s="23" customFormat="1" ht="43.5" x14ac:dyDescent="0.35">
      <c r="B13" s="48" t="s">
        <v>206</v>
      </c>
      <c r="C13" s="48" t="s">
        <v>67</v>
      </c>
      <c r="D13" s="48" t="s">
        <v>68</v>
      </c>
      <c r="E13" s="48" t="s">
        <v>71</v>
      </c>
      <c r="F13" s="48" t="s">
        <v>70</v>
      </c>
      <c r="G13" s="49"/>
      <c r="H13" s="49"/>
      <c r="J13" s="57" t="s">
        <v>62</v>
      </c>
      <c r="K13" s="51">
        <f>PI()*K12/180</f>
        <v>1.0471975511965976</v>
      </c>
      <c r="L13" s="468"/>
      <c r="M13" s="50">
        <f>PI()*M12/180</f>
        <v>0</v>
      </c>
      <c r="N13" s="50">
        <f>PI()*N12/180</f>
        <v>0.26179938779914941</v>
      </c>
      <c r="O13" s="50">
        <f t="shared" ref="O13:AY13" si="1">PI()*O12/180</f>
        <v>0.52359877559829882</v>
      </c>
      <c r="P13" s="50">
        <f t="shared" si="1"/>
        <v>0.78539816339744828</v>
      </c>
      <c r="Q13" s="50">
        <f t="shared" si="1"/>
        <v>1.0471975511965976</v>
      </c>
      <c r="R13" s="50">
        <f t="shared" si="1"/>
        <v>1.3089969389957472</v>
      </c>
      <c r="S13" s="50">
        <f t="shared" si="1"/>
        <v>1.5707963267948966</v>
      </c>
      <c r="T13" s="50">
        <f t="shared" si="1"/>
        <v>1.8325957145940461</v>
      </c>
      <c r="U13" s="50">
        <f t="shared" si="1"/>
        <v>2.0943951023931953</v>
      </c>
      <c r="V13" s="50">
        <f t="shared" si="1"/>
        <v>2.3561944901923448</v>
      </c>
      <c r="W13" s="50">
        <f t="shared" si="1"/>
        <v>2.6179938779914944</v>
      </c>
      <c r="X13" s="50">
        <f t="shared" si="1"/>
        <v>2.8797932657906435</v>
      </c>
      <c r="Y13" s="50">
        <f t="shared" si="1"/>
        <v>3.1415926535897931</v>
      </c>
      <c r="Z13" s="50">
        <f t="shared" si="1"/>
        <v>3.4033920413889422</v>
      </c>
      <c r="AA13" s="50">
        <f t="shared" si="1"/>
        <v>3.6651914291880923</v>
      </c>
      <c r="AB13" s="50">
        <f t="shared" si="1"/>
        <v>3.9269908169872414</v>
      </c>
      <c r="AC13" s="50">
        <f t="shared" si="1"/>
        <v>4.1887902047863905</v>
      </c>
      <c r="AD13" s="50">
        <f t="shared" si="1"/>
        <v>4.4505895925855405</v>
      </c>
      <c r="AE13" s="50">
        <f t="shared" si="1"/>
        <v>4.7123889803846897</v>
      </c>
      <c r="AF13" s="50">
        <f t="shared" si="1"/>
        <v>4.9741883681838397</v>
      </c>
      <c r="AG13" s="50">
        <f t="shared" si="1"/>
        <v>5.2359877559829888</v>
      </c>
      <c r="AH13" s="50">
        <f t="shared" si="1"/>
        <v>5.497787143782138</v>
      </c>
      <c r="AI13" s="50">
        <f t="shared" si="1"/>
        <v>5.7595865315812871</v>
      </c>
      <c r="AJ13" s="50">
        <f t="shared" si="1"/>
        <v>6.0213859193804371</v>
      </c>
      <c r="AK13" s="50">
        <f t="shared" si="1"/>
        <v>6.2831853071795862</v>
      </c>
      <c r="AL13" s="50">
        <f t="shared" si="1"/>
        <v>6.5449846949787354</v>
      </c>
      <c r="AM13" s="50">
        <f t="shared" si="1"/>
        <v>6.8067840827778845</v>
      </c>
      <c r="AN13" s="50">
        <f t="shared" si="1"/>
        <v>7.0685834705770336</v>
      </c>
      <c r="AO13" s="50">
        <f t="shared" si="1"/>
        <v>7.3303828583761845</v>
      </c>
      <c r="AP13" s="50">
        <f t="shared" si="1"/>
        <v>7.5921822461753337</v>
      </c>
      <c r="AQ13" s="50">
        <f t="shared" si="1"/>
        <v>7.8539816339744828</v>
      </c>
      <c r="AR13" s="50">
        <f t="shared" si="1"/>
        <v>8.1157810217736319</v>
      </c>
      <c r="AS13" s="50">
        <f t="shared" si="1"/>
        <v>8.3775804095727811</v>
      </c>
      <c r="AT13" s="50">
        <f t="shared" si="1"/>
        <v>8.639379797371932</v>
      </c>
      <c r="AU13" s="50">
        <f t="shared" si="1"/>
        <v>8.9011791851710811</v>
      </c>
      <c r="AV13" s="50">
        <f t="shared" si="1"/>
        <v>9.1629785729702302</v>
      </c>
      <c r="AW13" s="50">
        <f t="shared" si="1"/>
        <v>9.4247779607693793</v>
      </c>
      <c r="AX13" s="50">
        <f t="shared" si="1"/>
        <v>9.6865773485685303</v>
      </c>
      <c r="AY13" s="50">
        <f t="shared" si="1"/>
        <v>9.9483767363676794</v>
      </c>
    </row>
    <row r="14" spans="2:51" ht="17.5" customHeight="1" x14ac:dyDescent="0.35">
      <c r="B14" s="48" t="s">
        <v>467</v>
      </c>
      <c r="C14" s="31">
        <v>1</v>
      </c>
      <c r="D14" s="31">
        <v>50</v>
      </c>
      <c r="E14" s="58">
        <v>0</v>
      </c>
      <c r="F14" s="250">
        <f>PI()*E14/180</f>
        <v>0</v>
      </c>
      <c r="G14" s="45"/>
      <c r="H14" s="45"/>
      <c r="J14" s="47" t="str">
        <f>_xlfn.CONCAT(B14," = ",IF(C14&lt;&gt;1,_xlfn.CONCAT(ROUND(C14,2)," *"),"")," sin(","x ",IF(F14&lt;&gt;0,_xlfn.CONCAT(" + ",ROUND(F14,2),"°"),""),") = ")</f>
        <v xml:space="preserve">U =  sin(x ) = </v>
      </c>
      <c r="K14" s="52">
        <f>IF($L$14=$AI$7,$C$14*SIN(K13 + $F$14),0)</f>
        <v>0.8660254037844386</v>
      </c>
      <c r="L14" s="37" t="s">
        <v>65</v>
      </c>
      <c r="M14" s="43">
        <f>IF($L$14=$AI$7,$C$14*SIN(M13 + $F$14),0)</f>
        <v>0</v>
      </c>
      <c r="N14" s="43">
        <f t="shared" ref="N14:AY14" si="2">IF($L$14=$AI$7,$C$14*SIN(N13 + $F$14),0)</f>
        <v>0.25881904510252074</v>
      </c>
      <c r="O14" s="43">
        <f t="shared" si="2"/>
        <v>0.49999999999999994</v>
      </c>
      <c r="P14" s="43">
        <f t="shared" si="2"/>
        <v>0.70710678118654746</v>
      </c>
      <c r="Q14" s="43">
        <f t="shared" si="2"/>
        <v>0.8660254037844386</v>
      </c>
      <c r="R14" s="43">
        <f t="shared" si="2"/>
        <v>0.96592582628906831</v>
      </c>
      <c r="S14" s="43">
        <f t="shared" si="2"/>
        <v>1</v>
      </c>
      <c r="T14" s="43">
        <f t="shared" si="2"/>
        <v>0.96592582628906831</v>
      </c>
      <c r="U14" s="43">
        <f t="shared" si="2"/>
        <v>0.86602540378443871</v>
      </c>
      <c r="V14" s="43">
        <f t="shared" si="2"/>
        <v>0.70710678118654757</v>
      </c>
      <c r="W14" s="43">
        <f t="shared" si="2"/>
        <v>0.49999999999999994</v>
      </c>
      <c r="X14" s="43">
        <f t="shared" si="2"/>
        <v>0.25881904510252102</v>
      </c>
      <c r="Y14" s="43">
        <f t="shared" si="2"/>
        <v>1.22514845490862E-16</v>
      </c>
      <c r="Z14" s="43">
        <f t="shared" si="2"/>
        <v>-0.25881904510252035</v>
      </c>
      <c r="AA14" s="43">
        <f t="shared" si="2"/>
        <v>-0.50000000000000011</v>
      </c>
      <c r="AB14" s="43">
        <f t="shared" si="2"/>
        <v>-0.70710678118654746</v>
      </c>
      <c r="AC14" s="43">
        <f t="shared" si="2"/>
        <v>-0.86602540378443837</v>
      </c>
      <c r="AD14" s="43">
        <f t="shared" si="2"/>
        <v>-0.96592582628906831</v>
      </c>
      <c r="AE14" s="43">
        <f t="shared" si="2"/>
        <v>-1</v>
      </c>
      <c r="AF14" s="43">
        <f t="shared" si="2"/>
        <v>-0.9659258262890682</v>
      </c>
      <c r="AG14" s="43">
        <f t="shared" si="2"/>
        <v>-0.8660254037844386</v>
      </c>
      <c r="AH14" s="43">
        <f t="shared" si="2"/>
        <v>-0.70710678118654768</v>
      </c>
      <c r="AI14" s="43">
        <f t="shared" si="2"/>
        <v>-0.50000000000000044</v>
      </c>
      <c r="AJ14" s="43">
        <f t="shared" si="2"/>
        <v>-0.25881904510252068</v>
      </c>
      <c r="AK14" s="43">
        <f t="shared" si="2"/>
        <v>-2.45029690981724E-16</v>
      </c>
      <c r="AL14" s="43">
        <f t="shared" si="2"/>
        <v>0.25881904510252024</v>
      </c>
      <c r="AM14" s="43">
        <f t="shared" si="2"/>
        <v>0.49999999999999928</v>
      </c>
      <c r="AN14" s="43">
        <f t="shared" si="2"/>
        <v>0.70710678118654668</v>
      </c>
      <c r="AO14" s="43">
        <f t="shared" si="2"/>
        <v>0.86602540378443882</v>
      </c>
      <c r="AP14" s="43">
        <f t="shared" si="2"/>
        <v>0.96592582628906831</v>
      </c>
      <c r="AQ14" s="43">
        <f t="shared" si="2"/>
        <v>1</v>
      </c>
      <c r="AR14" s="43">
        <f t="shared" si="2"/>
        <v>0.96592582628906842</v>
      </c>
      <c r="AS14" s="43">
        <f t="shared" si="2"/>
        <v>0.86602540378443915</v>
      </c>
      <c r="AT14" s="43">
        <f t="shared" si="2"/>
        <v>0.70710678118654713</v>
      </c>
      <c r="AU14" s="43">
        <f t="shared" si="2"/>
        <v>0.49999999999999978</v>
      </c>
      <c r="AV14" s="43">
        <f t="shared" si="2"/>
        <v>0.25881904510252079</v>
      </c>
      <c r="AW14" s="43">
        <f t="shared" si="2"/>
        <v>3.67544536472586E-16</v>
      </c>
      <c r="AX14" s="43">
        <f t="shared" si="2"/>
        <v>-0.25881904510252185</v>
      </c>
      <c r="AY14" s="43">
        <f t="shared" si="2"/>
        <v>-0.50000000000000067</v>
      </c>
    </row>
    <row r="15" spans="2:51" ht="17.5" customHeight="1" x14ac:dyDescent="0.35">
      <c r="B15" s="48" t="s">
        <v>47</v>
      </c>
      <c r="C15" s="31">
        <v>1</v>
      </c>
      <c r="D15" s="250">
        <f>D14</f>
        <v>50</v>
      </c>
      <c r="E15" s="31">
        <v>-60</v>
      </c>
      <c r="F15" s="250">
        <f>PI()*E15/180</f>
        <v>-1.0471975511965976</v>
      </c>
      <c r="G15" s="45"/>
      <c r="H15" s="45"/>
      <c r="J15" s="82" t="str">
        <f>_xlfn.CONCAT(B15," = ",IF(C15&lt;&gt;1,_xlfn.CONCAT(ROUND(C15,2)," *"),"")," sin(x ",IF(E15&lt;&gt;0,_xlfn.CONCAT(" + ",ROUND(E15,2),"°"),""),") = ")</f>
        <v xml:space="preserve">I =  sin(x  + -60°) = </v>
      </c>
      <c r="K15" s="83">
        <f>IF($L$15=$AI$7,$C$15*SIN(K13 + $F$15),"")</f>
        <v>0</v>
      </c>
      <c r="L15" s="84" t="s">
        <v>65</v>
      </c>
      <c r="M15" s="44">
        <f>IF($L$15=$AI$7,$C$15*SIN(M13 + $F$15),0)</f>
        <v>-0.8660254037844386</v>
      </c>
      <c r="N15" s="44">
        <f t="shared" ref="N15:AY15" si="3">IF($L$15=$AI$7,$C$15*SIN(N13 + $F$15),0)</f>
        <v>-0.70710678118654746</v>
      </c>
      <c r="O15" s="44">
        <f t="shared" si="3"/>
        <v>-0.49999999999999994</v>
      </c>
      <c r="P15" s="44">
        <f t="shared" si="3"/>
        <v>-0.25881904510252068</v>
      </c>
      <c r="Q15" s="44">
        <f t="shared" si="3"/>
        <v>0</v>
      </c>
      <c r="R15" s="44">
        <f t="shared" si="3"/>
        <v>0.25881904510252091</v>
      </c>
      <c r="S15" s="44">
        <f t="shared" si="3"/>
        <v>0.5</v>
      </c>
      <c r="T15" s="44">
        <f t="shared" si="3"/>
        <v>0.70710678118654768</v>
      </c>
      <c r="U15" s="44">
        <f t="shared" si="3"/>
        <v>0.8660254037844386</v>
      </c>
      <c r="V15" s="44">
        <f t="shared" si="3"/>
        <v>0.96592582628906831</v>
      </c>
      <c r="W15" s="44">
        <f t="shared" si="3"/>
        <v>1</v>
      </c>
      <c r="X15" s="44">
        <f t="shared" si="3"/>
        <v>0.96592582628906831</v>
      </c>
      <c r="Y15" s="44">
        <f t="shared" si="3"/>
        <v>0.86602540378443849</v>
      </c>
      <c r="Z15" s="44">
        <f t="shared" si="3"/>
        <v>0.70710678118654757</v>
      </c>
      <c r="AA15" s="44">
        <f t="shared" si="3"/>
        <v>0.49999999999999956</v>
      </c>
      <c r="AB15" s="44">
        <f t="shared" si="3"/>
        <v>0.25881904510252057</v>
      </c>
      <c r="AC15" s="44">
        <f t="shared" si="3"/>
        <v>1.22514845490862E-16</v>
      </c>
      <c r="AD15" s="44">
        <f t="shared" si="3"/>
        <v>-0.25881904510252118</v>
      </c>
      <c r="AE15" s="44">
        <f t="shared" si="3"/>
        <v>-0.50000000000000011</v>
      </c>
      <c r="AF15" s="44">
        <f t="shared" si="3"/>
        <v>-0.70710678118654802</v>
      </c>
      <c r="AG15" s="44">
        <f t="shared" si="3"/>
        <v>-0.86602540378443882</v>
      </c>
      <c r="AH15" s="44">
        <f t="shared" si="3"/>
        <v>-0.96592582628906831</v>
      </c>
      <c r="AI15" s="44">
        <f t="shared" si="3"/>
        <v>-1</v>
      </c>
      <c r="AJ15" s="44">
        <f t="shared" si="3"/>
        <v>-0.9659258262890682</v>
      </c>
      <c r="AK15" s="44">
        <f t="shared" si="3"/>
        <v>-0.8660254037844386</v>
      </c>
      <c r="AL15" s="44">
        <f t="shared" si="3"/>
        <v>-0.70710678118654768</v>
      </c>
      <c r="AM15" s="44">
        <f t="shared" si="3"/>
        <v>-0.50000000000000044</v>
      </c>
      <c r="AN15" s="44">
        <f t="shared" si="3"/>
        <v>-0.25881904510252157</v>
      </c>
      <c r="AO15" s="44">
        <f t="shared" si="3"/>
        <v>6.4314872871840123E-16</v>
      </c>
      <c r="AP15" s="44">
        <f t="shared" si="3"/>
        <v>0.25881904510252107</v>
      </c>
      <c r="AQ15" s="44">
        <f t="shared" si="3"/>
        <v>0.5</v>
      </c>
      <c r="AR15" s="44">
        <f t="shared" si="3"/>
        <v>0.70710678118654735</v>
      </c>
      <c r="AS15" s="44">
        <f t="shared" si="3"/>
        <v>0.86602540378443837</v>
      </c>
      <c r="AT15" s="44">
        <f t="shared" si="3"/>
        <v>0.96592582628906853</v>
      </c>
      <c r="AU15" s="44">
        <f t="shared" si="3"/>
        <v>1</v>
      </c>
      <c r="AV15" s="44">
        <f t="shared" si="3"/>
        <v>0.96592582628906842</v>
      </c>
      <c r="AW15" s="44">
        <f t="shared" si="3"/>
        <v>0.86602540378443915</v>
      </c>
      <c r="AX15" s="44">
        <f t="shared" si="3"/>
        <v>0.70710678118654713</v>
      </c>
      <c r="AY15" s="44">
        <f t="shared" si="3"/>
        <v>0.49999999999999978</v>
      </c>
    </row>
    <row r="16" spans="2:51" ht="17.5" customHeight="1" x14ac:dyDescent="0.35">
      <c r="B16" s="48" t="s">
        <v>469</v>
      </c>
      <c r="C16" s="250">
        <f>C15*COS(F15)</f>
        <v>0.50000000000000011</v>
      </c>
      <c r="D16" s="250">
        <f>D15</f>
        <v>50</v>
      </c>
      <c r="E16" s="250">
        <f>E14</f>
        <v>0</v>
      </c>
      <c r="F16" s="250">
        <f>F14</f>
        <v>0</v>
      </c>
      <c r="J16" s="254" t="str">
        <f>_xlfn.CONCAT("IP = ",IF(C16&lt;&gt;1,_xlfn.CONCAT(ROUND(C16,2)," *"),"")," sin(x ",IF(E16&lt;&gt;0,_xlfn.CONCAT(" + ",ROUND(E16,2),"°"),""),") = ")</f>
        <v xml:space="preserve">IP = 0.5 * sin(x ) = </v>
      </c>
      <c r="K16" s="255">
        <f>IF($L$16=$AI$7,$C$16*SIN(K14 + $F$16),"")</f>
        <v>0.38087999070814471</v>
      </c>
      <c r="L16" s="256" t="s">
        <v>65</v>
      </c>
      <c r="M16" s="44">
        <f>IF($L$16=$AI$7,$C$16*SIN(M13 + $F$16),0)</f>
        <v>0</v>
      </c>
      <c r="N16" s="44">
        <f t="shared" ref="N16:AY16" si="4">IF($L$16=$AI$7,$C$16*SIN(N13 + $F$16),0)</f>
        <v>0.1294095225512604</v>
      </c>
      <c r="O16" s="44">
        <f t="shared" si="4"/>
        <v>0.25</v>
      </c>
      <c r="P16" s="44">
        <f t="shared" si="4"/>
        <v>0.35355339059327379</v>
      </c>
      <c r="Q16" s="44">
        <f t="shared" si="4"/>
        <v>0.43301270189221941</v>
      </c>
      <c r="R16" s="44">
        <f t="shared" si="4"/>
        <v>0.48296291314453427</v>
      </c>
      <c r="S16" s="44">
        <f t="shared" si="4"/>
        <v>0.50000000000000011</v>
      </c>
      <c r="T16" s="44">
        <f t="shared" si="4"/>
        <v>0.48296291314453427</v>
      </c>
      <c r="U16" s="44">
        <f t="shared" si="4"/>
        <v>0.43301270189221946</v>
      </c>
      <c r="V16" s="44">
        <f t="shared" si="4"/>
        <v>0.35355339059327384</v>
      </c>
      <c r="W16" s="44">
        <f t="shared" si="4"/>
        <v>0.25</v>
      </c>
      <c r="X16" s="44">
        <f t="shared" si="4"/>
        <v>0.12940952255126054</v>
      </c>
      <c r="Y16" s="44">
        <f t="shared" si="4"/>
        <v>6.1257422745431013E-17</v>
      </c>
      <c r="Z16" s="44">
        <f t="shared" si="4"/>
        <v>-0.1294095225512602</v>
      </c>
      <c r="AA16" s="44">
        <f t="shared" si="4"/>
        <v>-0.25000000000000011</v>
      </c>
      <c r="AB16" s="44">
        <f t="shared" si="4"/>
        <v>-0.35355339059327379</v>
      </c>
      <c r="AC16" s="44">
        <f t="shared" si="4"/>
        <v>-0.4330127018922193</v>
      </c>
      <c r="AD16" s="44">
        <f t="shared" si="4"/>
        <v>-0.48296291314453427</v>
      </c>
      <c r="AE16" s="44">
        <f t="shared" si="4"/>
        <v>-0.50000000000000011</v>
      </c>
      <c r="AF16" s="44">
        <f t="shared" si="4"/>
        <v>-0.48296291314453421</v>
      </c>
      <c r="AG16" s="44">
        <f t="shared" si="4"/>
        <v>-0.43301270189221941</v>
      </c>
      <c r="AH16" s="44">
        <f t="shared" si="4"/>
        <v>-0.3535533905932739</v>
      </c>
      <c r="AI16" s="44">
        <f t="shared" si="4"/>
        <v>-0.25000000000000028</v>
      </c>
      <c r="AJ16" s="44">
        <f t="shared" si="4"/>
        <v>-0.12940952255126037</v>
      </c>
      <c r="AK16" s="44">
        <f t="shared" si="4"/>
        <v>-1.2251484549086203E-16</v>
      </c>
      <c r="AL16" s="44">
        <f t="shared" si="4"/>
        <v>0.12940952255126015</v>
      </c>
      <c r="AM16" s="44">
        <f t="shared" si="4"/>
        <v>0.24999999999999969</v>
      </c>
      <c r="AN16" s="44">
        <f t="shared" si="4"/>
        <v>0.3535533905932734</v>
      </c>
      <c r="AO16" s="44">
        <f t="shared" si="4"/>
        <v>0.43301270189221952</v>
      </c>
      <c r="AP16" s="44">
        <f t="shared" si="4"/>
        <v>0.48296291314453427</v>
      </c>
      <c r="AQ16" s="44">
        <f t="shared" si="4"/>
        <v>0.50000000000000011</v>
      </c>
      <c r="AR16" s="44">
        <f t="shared" si="4"/>
        <v>0.48296291314453432</v>
      </c>
      <c r="AS16" s="44">
        <f t="shared" si="4"/>
        <v>0.43301270189221969</v>
      </c>
      <c r="AT16" s="44">
        <f t="shared" si="4"/>
        <v>0.35355339059327362</v>
      </c>
      <c r="AU16" s="44">
        <f t="shared" si="4"/>
        <v>0.24999999999999994</v>
      </c>
      <c r="AV16" s="44">
        <f t="shared" si="4"/>
        <v>0.12940952255126043</v>
      </c>
      <c r="AW16" s="44">
        <f t="shared" si="4"/>
        <v>1.8377226823629305E-16</v>
      </c>
      <c r="AX16" s="44">
        <f t="shared" si="4"/>
        <v>-0.12940952255126095</v>
      </c>
      <c r="AY16" s="44">
        <f t="shared" si="4"/>
        <v>-0.25000000000000039</v>
      </c>
    </row>
    <row r="17" spans="2:51" ht="17.5" customHeight="1" x14ac:dyDescent="0.35">
      <c r="B17" s="48" t="s">
        <v>470</v>
      </c>
      <c r="C17" s="250">
        <f>C15*SIN(F15)</f>
        <v>-0.8660254037844386</v>
      </c>
      <c r="D17" s="250">
        <f>D16</f>
        <v>50</v>
      </c>
      <c r="E17" s="250">
        <v>90</v>
      </c>
      <c r="F17" s="250">
        <f>PI()*E17/180</f>
        <v>1.5707963267948966</v>
      </c>
      <c r="J17" s="254" t="str">
        <f>_xlfn.CONCAT("IQ = ",IF(C17&lt;&gt;1,_xlfn.CONCAT(ROUND(C17,2)," *"),"")," sin(x ",IF(E17&lt;&gt;0,_xlfn.CONCAT(" + ",ROUND(E17,2),"°"),""),") = ")</f>
        <v xml:space="preserve">IQ = -0.87 * sin(x  + 90°) = </v>
      </c>
      <c r="K17" s="255">
        <f>IF($L$17=$AI$7,$C$17*SIN(K13 + $F$17),"")</f>
        <v>-0.43301270189221958</v>
      </c>
      <c r="L17" s="256" t="s">
        <v>65</v>
      </c>
      <c r="M17" s="44">
        <f>IF($L$17=$AI$7,$C$17*SIN(M13 + $F$17),0)</f>
        <v>-0.8660254037844386</v>
      </c>
      <c r="N17" s="44">
        <f t="shared" ref="N17:AY17" si="5">IF($L$17=$AI$7,$C$17*SIN(N13 + $F$17),0)</f>
        <v>-0.83651630373780783</v>
      </c>
      <c r="O17" s="44">
        <f t="shared" si="5"/>
        <v>-0.75</v>
      </c>
      <c r="P17" s="44">
        <f t="shared" si="5"/>
        <v>-0.61237243569579458</v>
      </c>
      <c r="Q17" s="44">
        <f t="shared" si="5"/>
        <v>-0.43301270189221958</v>
      </c>
      <c r="R17" s="44">
        <f t="shared" si="5"/>
        <v>-0.22414386804201319</v>
      </c>
      <c r="S17" s="44">
        <f t="shared" si="5"/>
        <v>-1.0610096853581188E-16</v>
      </c>
      <c r="T17" s="44">
        <f t="shared" si="5"/>
        <v>0.22414386804201339</v>
      </c>
      <c r="U17" s="44">
        <f t="shared" si="5"/>
        <v>0.43301270189221908</v>
      </c>
      <c r="V17" s="44">
        <f t="shared" si="5"/>
        <v>0.61237243569579447</v>
      </c>
      <c r="W17" s="44">
        <f t="shared" si="5"/>
        <v>0.75000000000000011</v>
      </c>
      <c r="X17" s="44">
        <f t="shared" si="5"/>
        <v>0.83651630373780783</v>
      </c>
      <c r="Y17" s="44">
        <f t="shared" si="5"/>
        <v>0.8660254037844386</v>
      </c>
      <c r="Z17" s="44">
        <f t="shared" si="5"/>
        <v>0.83651630373780794</v>
      </c>
      <c r="AA17" s="44">
        <f t="shared" si="5"/>
        <v>0.74999999999999989</v>
      </c>
      <c r="AB17" s="44">
        <f t="shared" si="5"/>
        <v>0.61237243569579458</v>
      </c>
      <c r="AC17" s="44">
        <f t="shared" si="5"/>
        <v>0.43301270189221969</v>
      </c>
      <c r="AD17" s="44">
        <f t="shared" si="5"/>
        <v>0.22414386804201331</v>
      </c>
      <c r="AE17" s="44">
        <f t="shared" si="5"/>
        <v>2.1220193707162375E-16</v>
      </c>
      <c r="AF17" s="44">
        <f t="shared" si="5"/>
        <v>-0.22414386804201364</v>
      </c>
      <c r="AG17" s="44">
        <f t="shared" si="5"/>
        <v>-0.4330127018922193</v>
      </c>
      <c r="AH17" s="44">
        <f t="shared" si="5"/>
        <v>-0.61237243569579436</v>
      </c>
      <c r="AI17" s="44">
        <f t="shared" si="5"/>
        <v>-0.74999999999999967</v>
      </c>
      <c r="AJ17" s="44">
        <f t="shared" si="5"/>
        <v>-0.83651630373780783</v>
      </c>
      <c r="AK17" s="44">
        <f t="shared" si="5"/>
        <v>-0.8660254037844386</v>
      </c>
      <c r="AL17" s="44">
        <f t="shared" si="5"/>
        <v>-0.83651630373780794</v>
      </c>
      <c r="AM17" s="44">
        <f t="shared" si="5"/>
        <v>-0.75000000000000044</v>
      </c>
      <c r="AN17" s="44">
        <f t="shared" si="5"/>
        <v>-0.61237243569579525</v>
      </c>
      <c r="AO17" s="44">
        <f t="shared" si="5"/>
        <v>-0.43301270189221913</v>
      </c>
      <c r="AP17" s="44">
        <f t="shared" si="5"/>
        <v>-0.22414386804201339</v>
      </c>
      <c r="AQ17" s="44">
        <f t="shared" si="5"/>
        <v>-3.183029056074356E-16</v>
      </c>
      <c r="AR17" s="44">
        <f t="shared" si="5"/>
        <v>0.22414386804201281</v>
      </c>
      <c r="AS17" s="44">
        <f t="shared" si="5"/>
        <v>0.43301270189221858</v>
      </c>
      <c r="AT17" s="44">
        <f t="shared" si="5"/>
        <v>0.6123724356957948</v>
      </c>
      <c r="AU17" s="44">
        <f t="shared" si="5"/>
        <v>0.75</v>
      </c>
      <c r="AV17" s="44">
        <f t="shared" si="5"/>
        <v>0.83651630373780783</v>
      </c>
      <c r="AW17" s="44">
        <f t="shared" si="5"/>
        <v>0.8660254037844386</v>
      </c>
      <c r="AX17" s="44">
        <f t="shared" si="5"/>
        <v>0.83651630373780761</v>
      </c>
      <c r="AY17" s="44">
        <f t="shared" si="5"/>
        <v>0.74999999999999967</v>
      </c>
    </row>
    <row r="18" spans="2:51" ht="17.5" customHeight="1" x14ac:dyDescent="0.35">
      <c r="B18" s="99" t="str">
        <f>IF(AND(C15=C18,E15=E18,F15=F18),"Kontrolle ok","Fehler")</f>
        <v>Kontrolle ok</v>
      </c>
      <c r="C18" s="250">
        <f>SQRT(C16^2+C17^2)</f>
        <v>1</v>
      </c>
      <c r="D18" s="5"/>
      <c r="E18" s="250">
        <f>DEGREES(F18)</f>
        <v>-59.999999999999993</v>
      </c>
      <c r="F18" s="250">
        <f>ATAN2(C16,C17)</f>
        <v>-1.0471975511965976</v>
      </c>
      <c r="J18" s="257" t="s">
        <v>471</v>
      </c>
      <c r="K18" s="258" t="str">
        <f>IF($L$18=$AI$7,K16+K17,"")</f>
        <v/>
      </c>
      <c r="L18" s="259" t="s">
        <v>66</v>
      </c>
      <c r="M18" s="44">
        <f>IF($L$18=$AI$7,M16+M17,0)</f>
        <v>0</v>
      </c>
      <c r="N18" s="44">
        <f t="shared" ref="N18:AY18" si="6">IF($L$18=$AI$7,N16+N17,0)</f>
        <v>0</v>
      </c>
      <c r="O18" s="44">
        <f t="shared" si="6"/>
        <v>0</v>
      </c>
      <c r="P18" s="44">
        <f t="shared" si="6"/>
        <v>0</v>
      </c>
      <c r="Q18" s="44">
        <f t="shared" si="6"/>
        <v>0</v>
      </c>
      <c r="R18" s="44">
        <f t="shared" si="6"/>
        <v>0</v>
      </c>
      <c r="S18" s="44">
        <f t="shared" si="6"/>
        <v>0</v>
      </c>
      <c r="T18" s="44">
        <f t="shared" si="6"/>
        <v>0</v>
      </c>
      <c r="U18" s="44">
        <f t="shared" si="6"/>
        <v>0</v>
      </c>
      <c r="V18" s="44">
        <f t="shared" si="6"/>
        <v>0</v>
      </c>
      <c r="W18" s="44">
        <f t="shared" si="6"/>
        <v>0</v>
      </c>
      <c r="X18" s="44">
        <f t="shared" si="6"/>
        <v>0</v>
      </c>
      <c r="Y18" s="44">
        <f t="shared" si="6"/>
        <v>0</v>
      </c>
      <c r="Z18" s="44">
        <f t="shared" si="6"/>
        <v>0</v>
      </c>
      <c r="AA18" s="44">
        <f t="shared" si="6"/>
        <v>0</v>
      </c>
      <c r="AB18" s="44">
        <f t="shared" si="6"/>
        <v>0</v>
      </c>
      <c r="AC18" s="44">
        <f t="shared" si="6"/>
        <v>0</v>
      </c>
      <c r="AD18" s="44">
        <f t="shared" si="6"/>
        <v>0</v>
      </c>
      <c r="AE18" s="44">
        <f t="shared" si="6"/>
        <v>0</v>
      </c>
      <c r="AF18" s="44">
        <f t="shared" si="6"/>
        <v>0</v>
      </c>
      <c r="AG18" s="44">
        <f t="shared" si="6"/>
        <v>0</v>
      </c>
      <c r="AH18" s="44">
        <f t="shared" si="6"/>
        <v>0</v>
      </c>
      <c r="AI18" s="44">
        <f t="shared" si="6"/>
        <v>0</v>
      </c>
      <c r="AJ18" s="44">
        <f t="shared" si="6"/>
        <v>0</v>
      </c>
      <c r="AK18" s="44">
        <f t="shared" si="6"/>
        <v>0</v>
      </c>
      <c r="AL18" s="44">
        <f t="shared" si="6"/>
        <v>0</v>
      </c>
      <c r="AM18" s="44">
        <f t="shared" si="6"/>
        <v>0</v>
      </c>
      <c r="AN18" s="44">
        <f t="shared" si="6"/>
        <v>0</v>
      </c>
      <c r="AO18" s="44">
        <f t="shared" si="6"/>
        <v>0</v>
      </c>
      <c r="AP18" s="44">
        <f t="shared" si="6"/>
        <v>0</v>
      </c>
      <c r="AQ18" s="44">
        <f t="shared" si="6"/>
        <v>0</v>
      </c>
      <c r="AR18" s="44">
        <f t="shared" si="6"/>
        <v>0</v>
      </c>
      <c r="AS18" s="44">
        <f t="shared" si="6"/>
        <v>0</v>
      </c>
      <c r="AT18" s="44">
        <f t="shared" si="6"/>
        <v>0</v>
      </c>
      <c r="AU18" s="44">
        <f t="shared" si="6"/>
        <v>0</v>
      </c>
      <c r="AV18" s="44">
        <f t="shared" si="6"/>
        <v>0</v>
      </c>
      <c r="AW18" s="44">
        <f t="shared" si="6"/>
        <v>0</v>
      </c>
      <c r="AX18" s="44">
        <f t="shared" si="6"/>
        <v>0</v>
      </c>
      <c r="AY18" s="44">
        <f t="shared" si="6"/>
        <v>0</v>
      </c>
    </row>
    <row r="19" spans="2:51" ht="8.5" customHeight="1" x14ac:dyDescent="0.35">
      <c r="J19" s="30"/>
      <c r="K19" s="56"/>
      <c r="L19" s="41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</row>
    <row r="20" spans="2:51" ht="8.5" customHeight="1" x14ac:dyDescent="0.35">
      <c r="J20" s="30"/>
      <c r="K20" s="56"/>
      <c r="L20" s="41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</row>
    <row r="21" spans="2:51" x14ac:dyDescent="0.35">
      <c r="J21" s="85" t="s">
        <v>472</v>
      </c>
      <c r="K21" s="86">
        <f>IF($L$21=$AI$7,K14*K15,"")</f>
        <v>0</v>
      </c>
      <c r="L21" s="87" t="s">
        <v>65</v>
      </c>
      <c r="M21" s="44">
        <f>IF($L$21=$AI$7,M14*M15,0)</f>
        <v>0</v>
      </c>
      <c r="N21" s="44">
        <f t="shared" ref="N21:AY21" si="7">IF($L$21=$AI$7,N14*N15,0)</f>
        <v>-0.1830127018922193</v>
      </c>
      <c r="O21" s="44">
        <f t="shared" si="7"/>
        <v>-0.24999999999999994</v>
      </c>
      <c r="P21" s="44">
        <f t="shared" si="7"/>
        <v>-0.18301270189221924</v>
      </c>
      <c r="Q21" s="44">
        <f t="shared" si="7"/>
        <v>0</v>
      </c>
      <c r="R21" s="44">
        <f t="shared" si="7"/>
        <v>0.25000000000000017</v>
      </c>
      <c r="S21" s="44">
        <f t="shared" si="7"/>
        <v>0.5</v>
      </c>
      <c r="T21" s="44">
        <f t="shared" si="7"/>
        <v>0.68301270189221952</v>
      </c>
      <c r="U21" s="44">
        <f t="shared" si="7"/>
        <v>0.75</v>
      </c>
      <c r="V21" s="44">
        <f t="shared" si="7"/>
        <v>0.68301270189221941</v>
      </c>
      <c r="W21" s="44">
        <f t="shared" si="7"/>
        <v>0.49999999999999994</v>
      </c>
      <c r="X21" s="44">
        <f t="shared" si="7"/>
        <v>0.25000000000000028</v>
      </c>
      <c r="Y21" s="44">
        <f t="shared" si="7"/>
        <v>1.0610096853581185E-16</v>
      </c>
      <c r="Z21" s="44">
        <f t="shared" si="7"/>
        <v>-0.18301270189221905</v>
      </c>
      <c r="AA21" s="44">
        <f t="shared" si="7"/>
        <v>-0.24999999999999983</v>
      </c>
      <c r="AB21" s="44">
        <f t="shared" si="7"/>
        <v>-0.18301270189221916</v>
      </c>
      <c r="AC21" s="44">
        <f t="shared" si="7"/>
        <v>-1.0610096853581184E-16</v>
      </c>
      <c r="AD21" s="44">
        <f t="shared" si="7"/>
        <v>0.25000000000000039</v>
      </c>
      <c r="AE21" s="44">
        <f t="shared" si="7"/>
        <v>0.50000000000000011</v>
      </c>
      <c r="AF21" s="44">
        <f t="shared" si="7"/>
        <v>0.68301270189221974</v>
      </c>
      <c r="AG21" s="44">
        <f t="shared" si="7"/>
        <v>0.75000000000000011</v>
      </c>
      <c r="AH21" s="44">
        <f t="shared" si="7"/>
        <v>0.68301270189221952</v>
      </c>
      <c r="AI21" s="44">
        <f t="shared" si="7"/>
        <v>0.50000000000000044</v>
      </c>
      <c r="AJ21" s="44">
        <f t="shared" si="7"/>
        <v>0.24999999999999989</v>
      </c>
      <c r="AK21" s="44">
        <f t="shared" si="7"/>
        <v>2.1220193707162375E-16</v>
      </c>
      <c r="AL21" s="44">
        <f t="shared" si="7"/>
        <v>-0.18301270189221899</v>
      </c>
      <c r="AM21" s="44">
        <f t="shared" si="7"/>
        <v>-0.24999999999999986</v>
      </c>
      <c r="AN21" s="44">
        <f t="shared" si="7"/>
        <v>-0.18301270189221969</v>
      </c>
      <c r="AO21" s="44">
        <f t="shared" si="7"/>
        <v>5.5698313748180192E-16</v>
      </c>
      <c r="AP21" s="44">
        <f t="shared" si="7"/>
        <v>0.25000000000000033</v>
      </c>
      <c r="AQ21" s="44">
        <f t="shared" si="7"/>
        <v>0.5</v>
      </c>
      <c r="AR21" s="44">
        <f t="shared" si="7"/>
        <v>0.6830127018922193</v>
      </c>
      <c r="AS21" s="44">
        <f t="shared" si="7"/>
        <v>0.75000000000000022</v>
      </c>
      <c r="AT21" s="44">
        <f t="shared" si="7"/>
        <v>0.68301270189221908</v>
      </c>
      <c r="AU21" s="44">
        <f t="shared" si="7"/>
        <v>0.49999999999999978</v>
      </c>
      <c r="AV21" s="44">
        <f t="shared" si="7"/>
        <v>0.25000000000000006</v>
      </c>
      <c r="AW21" s="44">
        <f t="shared" si="7"/>
        <v>3.183029056074358E-16</v>
      </c>
      <c r="AX21" s="44">
        <f t="shared" si="7"/>
        <v>-0.18301270189221999</v>
      </c>
      <c r="AY21" s="44">
        <f t="shared" si="7"/>
        <v>-0.25000000000000022</v>
      </c>
    </row>
    <row r="22" spans="2:51" ht="16.5" x14ac:dyDescent="0.35">
      <c r="J22" s="85" t="s">
        <v>474</v>
      </c>
      <c r="K22" s="86">
        <f>IF($L$21=$AI$7,K15*K16,"")</f>
        <v>0</v>
      </c>
      <c r="L22" s="87" t="s">
        <v>65</v>
      </c>
      <c r="M22" s="44">
        <f>IF($L$22=$AI$7,M14*M16,0)</f>
        <v>0</v>
      </c>
      <c r="N22" s="44">
        <f t="shared" ref="N22:AY22" si="8">IF($L$22=$AI$7,N14*N16,0)</f>
        <v>3.3493649053890337E-2</v>
      </c>
      <c r="O22" s="44">
        <f t="shared" si="8"/>
        <v>0.12499999999999999</v>
      </c>
      <c r="P22" s="44">
        <f t="shared" si="8"/>
        <v>0.25</v>
      </c>
      <c r="Q22" s="44">
        <f t="shared" si="8"/>
        <v>0.37500000000000006</v>
      </c>
      <c r="R22" s="44">
        <f t="shared" si="8"/>
        <v>0.46650635094610982</v>
      </c>
      <c r="S22" s="44">
        <f t="shared" si="8"/>
        <v>0.50000000000000011</v>
      </c>
      <c r="T22" s="44">
        <f t="shared" si="8"/>
        <v>0.46650635094610982</v>
      </c>
      <c r="U22" s="44">
        <f t="shared" si="8"/>
        <v>0.37500000000000017</v>
      </c>
      <c r="V22" s="44">
        <f t="shared" si="8"/>
        <v>0.25000000000000006</v>
      </c>
      <c r="W22" s="44">
        <f t="shared" si="8"/>
        <v>0.12499999999999999</v>
      </c>
      <c r="X22" s="44">
        <f t="shared" si="8"/>
        <v>3.3493649053890413E-2</v>
      </c>
      <c r="Y22" s="44">
        <f t="shared" si="8"/>
        <v>7.504943682824896E-33</v>
      </c>
      <c r="Z22" s="44">
        <f t="shared" si="8"/>
        <v>3.349364905389024E-2</v>
      </c>
      <c r="AA22" s="44">
        <f t="shared" si="8"/>
        <v>0.12500000000000008</v>
      </c>
      <c r="AB22" s="44">
        <f t="shared" si="8"/>
        <v>0.25</v>
      </c>
      <c r="AC22" s="44">
        <f t="shared" si="8"/>
        <v>0.37499999999999983</v>
      </c>
      <c r="AD22" s="44">
        <f t="shared" si="8"/>
        <v>0.46650635094610982</v>
      </c>
      <c r="AE22" s="44">
        <f t="shared" si="8"/>
        <v>0.50000000000000011</v>
      </c>
      <c r="AF22" s="44">
        <f t="shared" si="8"/>
        <v>0.4665063509461097</v>
      </c>
      <c r="AG22" s="44">
        <f t="shared" si="8"/>
        <v>0.37500000000000006</v>
      </c>
      <c r="AH22" s="44">
        <f t="shared" si="8"/>
        <v>0.25000000000000017</v>
      </c>
      <c r="AI22" s="44">
        <f t="shared" si="8"/>
        <v>0.12500000000000025</v>
      </c>
      <c r="AJ22" s="44">
        <f t="shared" si="8"/>
        <v>3.3493649053890323E-2</v>
      </c>
      <c r="AK22" s="44">
        <f t="shared" si="8"/>
        <v>3.0019774731299584E-32</v>
      </c>
      <c r="AL22" s="44">
        <f t="shared" si="8"/>
        <v>3.3493649053890212E-2</v>
      </c>
      <c r="AM22" s="44">
        <f t="shared" si="8"/>
        <v>0.12499999999999967</v>
      </c>
      <c r="AN22" s="44">
        <f t="shared" si="8"/>
        <v>0.24999999999999944</v>
      </c>
      <c r="AO22" s="44">
        <f t="shared" si="8"/>
        <v>0.37500000000000022</v>
      </c>
      <c r="AP22" s="44">
        <f t="shared" si="8"/>
        <v>0.46650635094610982</v>
      </c>
      <c r="AQ22" s="44">
        <f t="shared" si="8"/>
        <v>0.50000000000000011</v>
      </c>
      <c r="AR22" s="44">
        <f t="shared" si="8"/>
        <v>0.46650635094610993</v>
      </c>
      <c r="AS22" s="44">
        <f t="shared" si="8"/>
        <v>0.37500000000000056</v>
      </c>
      <c r="AT22" s="44">
        <f t="shared" si="8"/>
        <v>0.24999999999999975</v>
      </c>
      <c r="AU22" s="44">
        <f t="shared" si="8"/>
        <v>0.12499999999999992</v>
      </c>
      <c r="AV22" s="44">
        <f t="shared" si="8"/>
        <v>3.3493649053890351E-2</v>
      </c>
      <c r="AW22" s="44">
        <f t="shared" si="8"/>
        <v>6.7544493145424073E-32</v>
      </c>
      <c r="AX22" s="44">
        <f t="shared" si="8"/>
        <v>3.3493649053890628E-2</v>
      </c>
      <c r="AY22" s="44">
        <f t="shared" si="8"/>
        <v>0.12500000000000036</v>
      </c>
    </row>
    <row r="23" spans="2:51" ht="16.5" x14ac:dyDescent="0.35">
      <c r="J23" s="85" t="s">
        <v>473</v>
      </c>
      <c r="K23" s="86">
        <f>IF($L$21=$AI$7,K16*K17,"")</f>
        <v>-0.16492587387321722</v>
      </c>
      <c r="L23" s="87" t="s">
        <v>65</v>
      </c>
      <c r="M23" s="44">
        <f>IF($L$23=$AI$7,M14*M17,0)</f>
        <v>0</v>
      </c>
      <c r="N23" s="44">
        <f t="shared" ref="N23:AY23" si="9">IF($L$23=$AI$7,N14*N17,0)</f>
        <v>-0.21650635094610962</v>
      </c>
      <c r="O23" s="44">
        <f t="shared" si="9"/>
        <v>-0.37499999999999994</v>
      </c>
      <c r="P23" s="44">
        <f t="shared" si="9"/>
        <v>-0.4330127018922193</v>
      </c>
      <c r="Q23" s="44">
        <f t="shared" si="9"/>
        <v>-0.37500000000000022</v>
      </c>
      <c r="R23" s="44">
        <f t="shared" si="9"/>
        <v>-0.21650635094610948</v>
      </c>
      <c r="S23" s="44">
        <f t="shared" si="9"/>
        <v>-1.0610096853581188E-16</v>
      </c>
      <c r="T23" s="44">
        <f t="shared" si="9"/>
        <v>0.21650635094610968</v>
      </c>
      <c r="U23" s="44">
        <f t="shared" si="9"/>
        <v>0.37499999999999983</v>
      </c>
      <c r="V23" s="44">
        <f t="shared" si="9"/>
        <v>0.4330127018922193</v>
      </c>
      <c r="W23" s="44">
        <f t="shared" si="9"/>
        <v>0.375</v>
      </c>
      <c r="X23" s="44">
        <f t="shared" si="9"/>
        <v>0.21650635094610984</v>
      </c>
      <c r="Y23" s="44">
        <f t="shared" si="9"/>
        <v>1.0610096853581188E-16</v>
      </c>
      <c r="Z23" s="44">
        <f t="shared" si="9"/>
        <v>-0.21650635094610932</v>
      </c>
      <c r="AA23" s="44">
        <f t="shared" si="9"/>
        <v>-0.375</v>
      </c>
      <c r="AB23" s="44">
        <f t="shared" si="9"/>
        <v>-0.4330127018922193</v>
      </c>
      <c r="AC23" s="44">
        <f t="shared" si="9"/>
        <v>-0.37500000000000022</v>
      </c>
      <c r="AD23" s="44">
        <f t="shared" si="9"/>
        <v>-0.21650635094610959</v>
      </c>
      <c r="AE23" s="44">
        <f t="shared" si="9"/>
        <v>-2.1220193707162375E-16</v>
      </c>
      <c r="AF23" s="44">
        <f t="shared" si="9"/>
        <v>0.2165063509461099</v>
      </c>
      <c r="AG23" s="44">
        <f t="shared" si="9"/>
        <v>0.37499999999999994</v>
      </c>
      <c r="AH23" s="44">
        <f t="shared" si="9"/>
        <v>0.4330127018922193</v>
      </c>
      <c r="AI23" s="44">
        <f t="shared" si="9"/>
        <v>0.37500000000000017</v>
      </c>
      <c r="AJ23" s="44">
        <f t="shared" si="9"/>
        <v>0.21650635094610957</v>
      </c>
      <c r="AK23" s="44">
        <f t="shared" si="9"/>
        <v>2.1220193707162375E-16</v>
      </c>
      <c r="AL23" s="44">
        <f t="shared" si="9"/>
        <v>-0.21650635094610923</v>
      </c>
      <c r="AM23" s="44">
        <f t="shared" si="9"/>
        <v>-0.37499999999999967</v>
      </c>
      <c r="AN23" s="44">
        <f t="shared" si="9"/>
        <v>-0.4330127018922193</v>
      </c>
      <c r="AO23" s="44">
        <f t="shared" si="9"/>
        <v>-0.37499999999999989</v>
      </c>
      <c r="AP23" s="44">
        <f t="shared" si="9"/>
        <v>-0.21650635094610968</v>
      </c>
      <c r="AQ23" s="44">
        <f t="shared" si="9"/>
        <v>-3.183029056074356E-16</v>
      </c>
      <c r="AR23" s="44">
        <f t="shared" si="9"/>
        <v>0.21650635094610915</v>
      </c>
      <c r="AS23" s="44">
        <f t="shared" si="9"/>
        <v>0.37499999999999956</v>
      </c>
      <c r="AT23" s="44">
        <f t="shared" si="9"/>
        <v>0.4330127018922193</v>
      </c>
      <c r="AU23" s="44">
        <f t="shared" si="9"/>
        <v>0.37499999999999983</v>
      </c>
      <c r="AV23" s="44">
        <f t="shared" si="9"/>
        <v>0.21650635094610968</v>
      </c>
      <c r="AW23" s="44">
        <f t="shared" si="9"/>
        <v>3.183029056074356E-16</v>
      </c>
      <c r="AX23" s="44">
        <f t="shared" si="9"/>
        <v>-0.21650635094611048</v>
      </c>
      <c r="AY23" s="44">
        <f t="shared" si="9"/>
        <v>-0.37500000000000033</v>
      </c>
    </row>
    <row r="59" spans="3:10" ht="16.5" x14ac:dyDescent="0.45">
      <c r="C59" t="s">
        <v>449</v>
      </c>
      <c r="E59" t="s">
        <v>452</v>
      </c>
      <c r="G59" t="s">
        <v>459</v>
      </c>
    </row>
    <row r="60" spans="3:10" ht="16.5" x14ac:dyDescent="0.45">
      <c r="C60" t="s">
        <v>450</v>
      </c>
      <c r="E60" t="s">
        <v>453</v>
      </c>
      <c r="G60" t="s">
        <v>460</v>
      </c>
    </row>
    <row r="61" spans="3:10" x14ac:dyDescent="0.35">
      <c r="C61" s="248" t="s">
        <v>451</v>
      </c>
      <c r="E61" t="s">
        <v>454</v>
      </c>
    </row>
    <row r="63" spans="3:10" x14ac:dyDescent="0.35">
      <c r="C63" t="s">
        <v>456</v>
      </c>
      <c r="E63" t="s">
        <v>455</v>
      </c>
      <c r="J63" t="s">
        <v>458</v>
      </c>
    </row>
    <row r="64" spans="3:10" ht="18.5" x14ac:dyDescent="0.45">
      <c r="C64" t="s">
        <v>457</v>
      </c>
      <c r="E64" t="s">
        <v>464</v>
      </c>
    </row>
    <row r="66" spans="3:5" ht="24" x14ac:dyDescent="0.65">
      <c r="E66" s="249" t="s">
        <v>462</v>
      </c>
    </row>
    <row r="68" spans="3:5" x14ac:dyDescent="0.35">
      <c r="C68" t="s">
        <v>461</v>
      </c>
    </row>
    <row r="74" spans="3:5" x14ac:dyDescent="0.35">
      <c r="C74" t="s">
        <v>463</v>
      </c>
    </row>
  </sheetData>
  <mergeCells count="4">
    <mergeCell ref="R7:S7"/>
    <mergeCell ref="C11:F11"/>
    <mergeCell ref="C12:F12"/>
    <mergeCell ref="L12:L13"/>
  </mergeCells>
  <dataValidations count="1">
    <dataValidation type="list" allowBlank="1" showInputMessage="1" showErrorMessage="1" sqref="L14:L18 AP7 L21:L23" xr:uid="{C8E29193-96AE-404C-87B8-B84194F32E1C}">
      <formula1>$AI$7:$AI$8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F91CB-F0FB-46C8-A99F-379ED0B1A00D}">
  <dimension ref="B1:BG126"/>
  <sheetViews>
    <sheetView showGridLines="0" zoomScaleNormal="100" workbookViewId="0"/>
  </sheetViews>
  <sheetFormatPr baseColWidth="10" defaultRowHeight="14.5" x14ac:dyDescent="0.35"/>
  <cols>
    <col min="1" max="1" width="3.26953125" customWidth="1"/>
    <col min="2" max="2" width="9.81640625" customWidth="1"/>
    <col min="13" max="13" width="15.1796875" customWidth="1"/>
    <col min="15" max="15" width="9.81640625" customWidth="1"/>
    <col min="16" max="16" width="4.453125" customWidth="1"/>
    <col min="17" max="17" width="8.81640625" style="222" customWidth="1"/>
    <col min="18" max="18" width="11.26953125" style="222" customWidth="1"/>
    <col min="19" max="20" width="8.81640625" style="222" customWidth="1"/>
    <col min="21" max="21" width="5.7265625" style="222" customWidth="1"/>
    <col min="22" max="24" width="5.54296875" style="222" customWidth="1"/>
    <col min="25" max="25" width="10.1796875" style="222" customWidth="1"/>
    <col min="26" max="26" width="5.54296875" style="222" customWidth="1"/>
  </cols>
  <sheetData>
    <row r="1" spans="2:43" ht="15" customHeight="1" x14ac:dyDescent="0.35"/>
    <row r="2" spans="2:43" ht="23.5" x14ac:dyDescent="0.55000000000000004">
      <c r="C2" s="11" t="s">
        <v>446</v>
      </c>
      <c r="D2" s="11"/>
      <c r="R2" s="221"/>
      <c r="AD2" s="1"/>
      <c r="AG2" s="1"/>
      <c r="AQ2" t="s">
        <v>65</v>
      </c>
    </row>
    <row r="3" spans="2:43" ht="12" customHeight="1" x14ac:dyDescent="0.55000000000000004">
      <c r="B3" s="11"/>
      <c r="R3" s="221"/>
      <c r="AA3" s="260" t="s">
        <v>479</v>
      </c>
      <c r="AB3" s="261">
        <f>SQRT(3)/2</f>
        <v>0.8660254037844386</v>
      </c>
      <c r="AD3" s="1"/>
      <c r="AE3" s="262"/>
      <c r="AG3" s="260" t="s">
        <v>483</v>
      </c>
      <c r="AH3" s="261">
        <f>1/SQRT(2)</f>
        <v>0.70710678118654746</v>
      </c>
      <c r="AQ3" t="s">
        <v>66</v>
      </c>
    </row>
    <row r="4" spans="2:43" ht="14.5" customHeight="1" x14ac:dyDescent="0.55000000000000004">
      <c r="B4" s="11"/>
      <c r="R4" s="221"/>
      <c r="AA4" s="260" t="s">
        <v>478</v>
      </c>
      <c r="AB4" s="261">
        <f>COS(RADIANS(30))</f>
        <v>0.86602540378443871</v>
      </c>
      <c r="AD4" s="260" t="s">
        <v>481</v>
      </c>
      <c r="AE4" s="261">
        <f>COS(RADIANS(60))</f>
        <v>0.50000000000000011</v>
      </c>
      <c r="AG4" s="260" t="s">
        <v>482</v>
      </c>
      <c r="AH4" s="261">
        <f>COS(RADIANS(45))</f>
        <v>0.70710678118654757</v>
      </c>
    </row>
    <row r="5" spans="2:43" ht="14.5" customHeight="1" x14ac:dyDescent="0.35">
      <c r="AA5" s="260" t="s">
        <v>480</v>
      </c>
      <c r="AB5" s="261">
        <f>SIN(RADIANS(60))</f>
        <v>0.8660254037844386</v>
      </c>
      <c r="AD5" s="260" t="s">
        <v>478</v>
      </c>
      <c r="AE5" s="261">
        <f>SIN(RADIANS(30))</f>
        <v>0.49999999999999994</v>
      </c>
      <c r="AG5" s="260" t="s">
        <v>482</v>
      </c>
      <c r="AH5" s="261">
        <f>SIN(RADIANS(45))</f>
        <v>0.70710678118654746</v>
      </c>
    </row>
    <row r="6" spans="2:43" ht="14.5" customHeight="1" x14ac:dyDescent="0.35"/>
    <row r="7" spans="2:43" ht="4.5" customHeight="1" x14ac:dyDescent="0.35"/>
    <row r="8" spans="2:43" ht="4.5" customHeight="1" x14ac:dyDescent="0.35"/>
    <row r="9" spans="2:43" ht="16.5" x14ac:dyDescent="0.45">
      <c r="B9" s="214" t="s">
        <v>418</v>
      </c>
      <c r="C9" s="5"/>
      <c r="D9" s="5"/>
      <c r="E9" s="5"/>
      <c r="F9" s="5"/>
      <c r="G9" s="5"/>
      <c r="H9" s="5"/>
      <c r="I9" s="5"/>
      <c r="J9" s="5"/>
      <c r="M9" s="427" t="s">
        <v>419</v>
      </c>
      <c r="N9" s="428"/>
      <c r="O9" s="428"/>
      <c r="P9" s="428"/>
      <c r="R9" s="427" t="s">
        <v>231</v>
      </c>
      <c r="S9" s="428"/>
      <c r="T9" s="428"/>
      <c r="U9" s="428"/>
      <c r="V9" s="428"/>
      <c r="W9"/>
      <c r="X9" s="5" t="s">
        <v>485</v>
      </c>
      <c r="Y9" s="5"/>
      <c r="Z9"/>
      <c r="AA9" s="5" t="s">
        <v>484</v>
      </c>
      <c r="AB9" s="5"/>
    </row>
    <row r="10" spans="2:43" ht="16.5" x14ac:dyDescent="0.45">
      <c r="B10" s="218" t="s">
        <v>197</v>
      </c>
      <c r="C10" s="217" t="s">
        <v>613</v>
      </c>
      <c r="D10" s="217" t="s">
        <v>614</v>
      </c>
      <c r="E10" s="217" t="s">
        <v>92</v>
      </c>
      <c r="F10" s="217" t="s">
        <v>415</v>
      </c>
      <c r="G10" s="217" t="s">
        <v>92</v>
      </c>
      <c r="H10" s="217" t="s">
        <v>415</v>
      </c>
      <c r="I10" s="217" t="s">
        <v>416</v>
      </c>
      <c r="J10" s="217" t="s">
        <v>417</v>
      </c>
      <c r="M10" s="223" t="s">
        <v>423</v>
      </c>
      <c r="N10" s="223" t="s">
        <v>424</v>
      </c>
      <c r="O10" s="223" t="s">
        <v>425</v>
      </c>
      <c r="P10" s="223" t="s">
        <v>426</v>
      </c>
      <c r="Q10" s="221"/>
      <c r="R10" s="227" t="s">
        <v>420</v>
      </c>
      <c r="S10" s="223"/>
      <c r="T10" s="223"/>
      <c r="U10" s="223"/>
      <c r="V10" s="223"/>
      <c r="W10"/>
      <c r="X10" s="5">
        <v>0</v>
      </c>
      <c r="Y10" s="81">
        <f>C12*COS(G12)</f>
        <v>-162.63455967290585</v>
      </c>
      <c r="Z10"/>
      <c r="AA10" s="81">
        <f>Y10</f>
        <v>-162.63455967290585</v>
      </c>
      <c r="AB10" s="81">
        <f>Y10</f>
        <v>-162.63455967290585</v>
      </c>
    </row>
    <row r="11" spans="2:43" x14ac:dyDescent="0.35">
      <c r="B11" s="289" t="s">
        <v>443</v>
      </c>
      <c r="C11" s="215">
        <f>D11 * SQRT(2)</f>
        <v>325.26911934581187</v>
      </c>
      <c r="D11" s="215">
        <v>230</v>
      </c>
      <c r="E11" s="79">
        <v>0</v>
      </c>
      <c r="F11" s="78" t="s">
        <v>202</v>
      </c>
      <c r="G11" s="216">
        <f>E11*PI()/180</f>
        <v>0</v>
      </c>
      <c r="H11" s="78" t="s">
        <v>203</v>
      </c>
      <c r="I11" s="216">
        <f>C11*COS(G11)</f>
        <v>325.26911934581187</v>
      </c>
      <c r="J11" s="216">
        <f>C11*SIN(G11)</f>
        <v>0</v>
      </c>
      <c r="M11" s="224">
        <v>0</v>
      </c>
      <c r="N11" s="224">
        <f>I11</f>
        <v>325.26911934581187</v>
      </c>
      <c r="O11" s="224">
        <v>0</v>
      </c>
      <c r="P11" s="224">
        <f>J11</f>
        <v>0</v>
      </c>
      <c r="Q11" s="225"/>
      <c r="R11" s="226">
        <f>MAX(ABS(P11),ABS(N12),ABS(P12),ABS(N11),ABS(N14),ABS(P14))</f>
        <v>325.26911934581187</v>
      </c>
      <c r="S11" s="224">
        <f>R12</f>
        <v>357.79603128039309</v>
      </c>
      <c r="T11" s="224">
        <v>0</v>
      </c>
      <c r="U11" s="224">
        <f>-S11</f>
        <v>-357.79603128039309</v>
      </c>
      <c r="V11" s="224">
        <v>0</v>
      </c>
      <c r="W11"/>
      <c r="X11" s="5">
        <v>0</v>
      </c>
      <c r="Y11" s="5">
        <v>0</v>
      </c>
      <c r="Z11"/>
      <c r="AA11" s="5">
        <v>0</v>
      </c>
      <c r="AB11" s="81">
        <f>C12*SIN(G12)</f>
        <v>281.69132042006549</v>
      </c>
    </row>
    <row r="12" spans="2:43" x14ac:dyDescent="0.35">
      <c r="B12" s="290" t="s">
        <v>444</v>
      </c>
      <c r="C12" s="215">
        <f>D12 * SQRT(2)</f>
        <v>325.26911934581187</v>
      </c>
      <c r="D12" s="215">
        <v>230</v>
      </c>
      <c r="E12" s="79">
        <v>120</v>
      </c>
      <c r="F12" s="78" t="str">
        <f>F11</f>
        <v>°</v>
      </c>
      <c r="G12" s="216">
        <f>E12*PI()/180</f>
        <v>2.0943951023931953</v>
      </c>
      <c r="H12" s="78" t="s">
        <v>203</v>
      </c>
      <c r="I12" s="216">
        <f>C12*COS(G12)</f>
        <v>-162.63455967290585</v>
      </c>
      <c r="J12" s="216">
        <f>C12*SIN(G12)</f>
        <v>281.69132042006549</v>
      </c>
      <c r="M12" s="224">
        <v>0</v>
      </c>
      <c r="N12" s="224">
        <f>I12</f>
        <v>-162.63455967290585</v>
      </c>
      <c r="O12" s="224">
        <v>0</v>
      </c>
      <c r="P12" s="224">
        <f>J12</f>
        <v>281.69132042006549</v>
      </c>
      <c r="Q12" s="225"/>
      <c r="R12" s="226">
        <f>R11*1.1</f>
        <v>357.79603128039309</v>
      </c>
      <c r="S12" s="224">
        <v>0</v>
      </c>
      <c r="T12" s="224">
        <f>S11</f>
        <v>357.79603128039309</v>
      </c>
      <c r="U12" s="224">
        <v>0</v>
      </c>
      <c r="V12" s="224">
        <f>U11</f>
        <v>-357.79603128039309</v>
      </c>
      <c r="W12"/>
      <c r="X12"/>
      <c r="Y12"/>
      <c r="Z12"/>
    </row>
    <row r="13" spans="2:43" x14ac:dyDescent="0.35">
      <c r="B13" s="291" t="s">
        <v>564</v>
      </c>
      <c r="C13" s="215">
        <f>D13 * SQRT(2)</f>
        <v>325.26911934581187</v>
      </c>
      <c r="D13" s="215">
        <v>230</v>
      </c>
      <c r="E13" s="79">
        <v>240</v>
      </c>
      <c r="F13" s="78" t="str">
        <f>F12</f>
        <v>°</v>
      </c>
      <c r="G13" s="216">
        <f>E13*PI()/180</f>
        <v>4.1887902047863905</v>
      </c>
      <c r="H13" s="78" t="s">
        <v>203</v>
      </c>
      <c r="I13" s="216">
        <f>C13*COS(G13)</f>
        <v>-162.63455967290608</v>
      </c>
      <c r="J13" s="216">
        <f>C13*SIN(G13)</f>
        <v>-281.69132042006538</v>
      </c>
      <c r="M13" s="224">
        <v>0</v>
      </c>
      <c r="N13" s="224">
        <f>I13</f>
        <v>-162.63455967290608</v>
      </c>
      <c r="O13" s="224">
        <v>0</v>
      </c>
      <c r="P13" s="224">
        <f>J13</f>
        <v>-281.69132042006538</v>
      </c>
      <c r="Q13" s="225"/>
      <c r="R13" s="226">
        <f>R12*1.1</f>
        <v>393.57563440843245</v>
      </c>
      <c r="S13" s="224">
        <v>0</v>
      </c>
      <c r="T13" s="224">
        <f>S12</f>
        <v>0</v>
      </c>
      <c r="U13" s="224">
        <v>0</v>
      </c>
      <c r="V13" s="224">
        <f>U12</f>
        <v>0</v>
      </c>
      <c r="W13"/>
      <c r="X13"/>
      <c r="Y13"/>
      <c r="Z13"/>
    </row>
    <row r="14" spans="2:43" ht="16.5" x14ac:dyDescent="0.45">
      <c r="B14" s="228" t="s">
        <v>445</v>
      </c>
      <c r="C14" s="216">
        <f>SQRT(I14^2+J14^2)</f>
        <v>563.38264084013099</v>
      </c>
      <c r="D14" s="216"/>
      <c r="E14" s="216">
        <f>G14*180/PI()</f>
        <v>149.99999999999997</v>
      </c>
      <c r="F14" s="78" t="str">
        <f>F12</f>
        <v>°</v>
      </c>
      <c r="G14" s="216">
        <f>ATAN2(I14,J14)</f>
        <v>2.617993877991494</v>
      </c>
      <c r="H14" s="78" t="str">
        <f>H12</f>
        <v>rad</v>
      </c>
      <c r="I14" s="216">
        <f>I12-I11</f>
        <v>-487.90367901871775</v>
      </c>
      <c r="J14" s="216">
        <f>J12-J11</f>
        <v>281.69132042006549</v>
      </c>
      <c r="M14" s="224">
        <f>N11</f>
        <v>325.26911934581187</v>
      </c>
      <c r="N14" s="224">
        <f>N12</f>
        <v>-162.63455967290585</v>
      </c>
      <c r="O14" s="224">
        <f>P11</f>
        <v>0</v>
      </c>
      <c r="P14" s="224">
        <f>P12</f>
        <v>281.69132042006549</v>
      </c>
      <c r="W14"/>
      <c r="X14" s="1" t="s">
        <v>486</v>
      </c>
      <c r="Y14" s="263">
        <f>C11-Y10</f>
        <v>487.90367901871775</v>
      </c>
      <c r="Z14"/>
    </row>
    <row r="15" spans="2:43" ht="16.5" x14ac:dyDescent="0.45">
      <c r="AB15" s="1" t="s">
        <v>487</v>
      </c>
      <c r="AC15" s="263">
        <f>AB11</f>
        <v>281.69132042006549</v>
      </c>
    </row>
    <row r="16" spans="2:43" ht="16.5" x14ac:dyDescent="0.45">
      <c r="AB16" s="228" t="s">
        <v>488</v>
      </c>
      <c r="AC16" s="263">
        <f>SQRT(Y14^2+AC15^2)</f>
        <v>563.38264084013099</v>
      </c>
      <c r="AD16">
        <f>C11*SQRT(3)</f>
        <v>563.38264084013099</v>
      </c>
    </row>
    <row r="17" spans="17:59" x14ac:dyDescent="0.35">
      <c r="AB17" s="1"/>
      <c r="AC17" s="262"/>
    </row>
    <row r="18" spans="17:59" x14ac:dyDescent="0.35">
      <c r="AB18" s="1"/>
      <c r="AC18" s="262"/>
    </row>
    <row r="20" spans="17:59" x14ac:dyDescent="0.35">
      <c r="Q20" s="222" t="s">
        <v>208</v>
      </c>
      <c r="R20" s="222">
        <v>0</v>
      </c>
      <c r="S20" s="222">
        <f>R20+10</f>
        <v>10</v>
      </c>
      <c r="T20" s="222">
        <f t="shared" ref="T20:BB20" si="0">S20+10</f>
        <v>20</v>
      </c>
      <c r="U20" s="222">
        <f t="shared" si="0"/>
        <v>30</v>
      </c>
      <c r="V20" s="222">
        <f t="shared" si="0"/>
        <v>40</v>
      </c>
      <c r="W20" s="222">
        <f t="shared" si="0"/>
        <v>50</v>
      </c>
      <c r="X20" s="222">
        <f t="shared" si="0"/>
        <v>60</v>
      </c>
      <c r="Y20" s="222">
        <f t="shared" si="0"/>
        <v>70</v>
      </c>
      <c r="Z20" s="222">
        <f t="shared" si="0"/>
        <v>80</v>
      </c>
      <c r="AA20" s="222">
        <f t="shared" si="0"/>
        <v>90</v>
      </c>
      <c r="AB20" s="222">
        <f t="shared" si="0"/>
        <v>100</v>
      </c>
      <c r="AC20" s="222">
        <f t="shared" si="0"/>
        <v>110</v>
      </c>
      <c r="AD20" s="222">
        <f t="shared" si="0"/>
        <v>120</v>
      </c>
      <c r="AE20" s="222">
        <f t="shared" si="0"/>
        <v>130</v>
      </c>
      <c r="AF20" s="222">
        <f t="shared" si="0"/>
        <v>140</v>
      </c>
      <c r="AG20" s="222">
        <f t="shared" si="0"/>
        <v>150</v>
      </c>
      <c r="AH20" s="222">
        <f t="shared" si="0"/>
        <v>160</v>
      </c>
      <c r="AI20" s="222">
        <f t="shared" si="0"/>
        <v>170</v>
      </c>
      <c r="AJ20" s="222">
        <f t="shared" si="0"/>
        <v>180</v>
      </c>
      <c r="AK20" s="222">
        <f t="shared" si="0"/>
        <v>190</v>
      </c>
      <c r="AL20" s="222">
        <f t="shared" si="0"/>
        <v>200</v>
      </c>
      <c r="AM20" s="222">
        <f t="shared" si="0"/>
        <v>210</v>
      </c>
      <c r="AN20" s="222">
        <f t="shared" si="0"/>
        <v>220</v>
      </c>
      <c r="AO20" s="222">
        <f t="shared" si="0"/>
        <v>230</v>
      </c>
      <c r="AP20" s="222">
        <f t="shared" si="0"/>
        <v>240</v>
      </c>
      <c r="AQ20" s="222">
        <f t="shared" si="0"/>
        <v>250</v>
      </c>
      <c r="AR20" s="222">
        <f t="shared" si="0"/>
        <v>260</v>
      </c>
      <c r="AS20" s="222">
        <f t="shared" si="0"/>
        <v>270</v>
      </c>
      <c r="AT20" s="222">
        <f t="shared" si="0"/>
        <v>280</v>
      </c>
      <c r="AU20" s="222">
        <f t="shared" si="0"/>
        <v>290</v>
      </c>
      <c r="AV20" s="222">
        <f t="shared" si="0"/>
        <v>300</v>
      </c>
      <c r="AW20" s="222">
        <f t="shared" si="0"/>
        <v>310</v>
      </c>
      <c r="AX20" s="222">
        <f t="shared" si="0"/>
        <v>320</v>
      </c>
      <c r="AY20" s="222">
        <f t="shared" si="0"/>
        <v>330</v>
      </c>
      <c r="AZ20" s="222">
        <f t="shared" si="0"/>
        <v>340</v>
      </c>
      <c r="BA20" s="222">
        <f t="shared" si="0"/>
        <v>350</v>
      </c>
      <c r="BB20" s="222">
        <f t="shared" si="0"/>
        <v>360</v>
      </c>
      <c r="BC20" s="222"/>
      <c r="BD20" s="222"/>
      <c r="BE20" s="222"/>
      <c r="BF20" s="222"/>
      <c r="BG20" s="222"/>
    </row>
    <row r="21" spans="17:59" x14ac:dyDescent="0.35">
      <c r="Q21" s="222" t="s">
        <v>209</v>
      </c>
      <c r="R21" s="222">
        <f>R20*PI()/180</f>
        <v>0</v>
      </c>
      <c r="S21" s="222">
        <f t="shared" ref="S21:BB21" si="1">S20*PI()/180</f>
        <v>0.17453292519943295</v>
      </c>
      <c r="T21" s="222">
        <f t="shared" si="1"/>
        <v>0.3490658503988659</v>
      </c>
      <c r="U21" s="222">
        <f t="shared" si="1"/>
        <v>0.52359877559829882</v>
      </c>
      <c r="V21" s="222">
        <f t="shared" si="1"/>
        <v>0.69813170079773179</v>
      </c>
      <c r="W21" s="222">
        <f t="shared" si="1"/>
        <v>0.87266462599716477</v>
      </c>
      <c r="X21" s="222">
        <f t="shared" si="1"/>
        <v>1.0471975511965976</v>
      </c>
      <c r="Y21" s="222">
        <f t="shared" si="1"/>
        <v>1.2217304763960306</v>
      </c>
      <c r="Z21" s="222">
        <f t="shared" si="1"/>
        <v>1.3962634015954636</v>
      </c>
      <c r="AA21" s="222">
        <f t="shared" si="1"/>
        <v>1.5707963267948966</v>
      </c>
      <c r="AB21" s="222">
        <f t="shared" si="1"/>
        <v>1.7453292519943295</v>
      </c>
      <c r="AC21" s="222">
        <f t="shared" si="1"/>
        <v>1.9198621771937625</v>
      </c>
      <c r="AD21" s="222">
        <f t="shared" si="1"/>
        <v>2.0943951023931953</v>
      </c>
      <c r="AE21" s="222">
        <f t="shared" si="1"/>
        <v>2.2689280275926285</v>
      </c>
      <c r="AF21" s="222">
        <f t="shared" si="1"/>
        <v>2.4434609527920612</v>
      </c>
      <c r="AG21" s="222">
        <f t="shared" si="1"/>
        <v>2.6179938779914944</v>
      </c>
      <c r="AH21" s="222">
        <f t="shared" si="1"/>
        <v>2.7925268031909272</v>
      </c>
      <c r="AI21" s="222">
        <f t="shared" si="1"/>
        <v>2.9670597283903604</v>
      </c>
      <c r="AJ21" s="222">
        <f t="shared" si="1"/>
        <v>3.1415926535897931</v>
      </c>
      <c r="AK21" s="222">
        <f t="shared" si="1"/>
        <v>3.3161255787892263</v>
      </c>
      <c r="AL21" s="222">
        <f t="shared" si="1"/>
        <v>3.4906585039886591</v>
      </c>
      <c r="AM21" s="222">
        <f t="shared" si="1"/>
        <v>3.6651914291880923</v>
      </c>
      <c r="AN21" s="222">
        <f t="shared" si="1"/>
        <v>3.839724354387525</v>
      </c>
      <c r="AO21" s="222">
        <f t="shared" si="1"/>
        <v>4.0142572795869578</v>
      </c>
      <c r="AP21" s="222">
        <f t="shared" si="1"/>
        <v>4.1887902047863905</v>
      </c>
      <c r="AQ21" s="222">
        <f t="shared" si="1"/>
        <v>4.3633231299858233</v>
      </c>
      <c r="AR21" s="222">
        <f t="shared" si="1"/>
        <v>4.5378560551852569</v>
      </c>
      <c r="AS21" s="222">
        <f t="shared" si="1"/>
        <v>4.7123889803846897</v>
      </c>
      <c r="AT21" s="222">
        <f t="shared" si="1"/>
        <v>4.8869219055841224</v>
      </c>
      <c r="AU21" s="222">
        <f t="shared" si="1"/>
        <v>5.0614548307835552</v>
      </c>
      <c r="AV21" s="222">
        <f t="shared" si="1"/>
        <v>5.2359877559829888</v>
      </c>
      <c r="AW21" s="222">
        <f t="shared" si="1"/>
        <v>5.4105206811824216</v>
      </c>
      <c r="AX21" s="222">
        <f t="shared" si="1"/>
        <v>5.5850536063818543</v>
      </c>
      <c r="AY21" s="222">
        <f t="shared" si="1"/>
        <v>5.7595865315812871</v>
      </c>
      <c r="AZ21" s="222">
        <f t="shared" si="1"/>
        <v>5.9341194567807207</v>
      </c>
      <c r="BA21" s="222">
        <f t="shared" si="1"/>
        <v>6.1086523819801526</v>
      </c>
      <c r="BB21" s="222">
        <f t="shared" si="1"/>
        <v>6.2831853071795862</v>
      </c>
    </row>
    <row r="22" spans="17:59" x14ac:dyDescent="0.35">
      <c r="Q22" s="289" t="s">
        <v>447</v>
      </c>
      <c r="R22" s="222">
        <f t="shared" ref="R22:BB22" si="2">$C$11*SIN(R21+$G$11)</f>
        <v>0</v>
      </c>
      <c r="S22" s="222">
        <f t="shared" si="2"/>
        <v>56.482389825727509</v>
      </c>
      <c r="T22" s="222">
        <f t="shared" si="2"/>
        <v>111.24859081806862</v>
      </c>
      <c r="U22" s="222">
        <f t="shared" si="2"/>
        <v>162.63455967290591</v>
      </c>
      <c r="V22" s="222">
        <f t="shared" si="2"/>
        <v>209.07895972914008</v>
      </c>
      <c r="W22" s="222">
        <f t="shared" si="2"/>
        <v>249.17060139306287</v>
      </c>
      <c r="X22" s="222">
        <f t="shared" si="2"/>
        <v>281.69132042006549</v>
      </c>
      <c r="Y22" s="222">
        <f t="shared" si="2"/>
        <v>305.65299121879036</v>
      </c>
      <c r="Z22" s="222">
        <f t="shared" si="2"/>
        <v>320.32755054720872</v>
      </c>
      <c r="AA22" s="222">
        <f t="shared" si="2"/>
        <v>325.26911934581187</v>
      </c>
      <c r="AB22" s="222">
        <f t="shared" si="2"/>
        <v>320.32755054720872</v>
      </c>
      <c r="AC22" s="222">
        <f t="shared" si="2"/>
        <v>305.65299121879036</v>
      </c>
      <c r="AD22" s="222">
        <f t="shared" si="2"/>
        <v>281.69132042006549</v>
      </c>
      <c r="AE22" s="222">
        <f t="shared" si="2"/>
        <v>249.17060139306287</v>
      </c>
      <c r="AF22" s="222">
        <f t="shared" si="2"/>
        <v>209.07895972914014</v>
      </c>
      <c r="AG22" s="222">
        <f t="shared" si="2"/>
        <v>162.63455967290591</v>
      </c>
      <c r="AH22" s="222">
        <f t="shared" si="2"/>
        <v>111.24859081806868</v>
      </c>
      <c r="AI22" s="222">
        <f t="shared" si="2"/>
        <v>56.482389825727488</v>
      </c>
      <c r="AJ22" s="222">
        <f t="shared" si="2"/>
        <v>3.9850295899600895E-14</v>
      </c>
      <c r="AK22" s="222">
        <f t="shared" si="2"/>
        <v>-56.482389825727552</v>
      </c>
      <c r="AL22" s="222">
        <f t="shared" si="2"/>
        <v>-111.24859081806861</v>
      </c>
      <c r="AM22" s="222">
        <f t="shared" si="2"/>
        <v>-162.63455967290597</v>
      </c>
      <c r="AN22" s="222">
        <f t="shared" si="2"/>
        <v>-209.07895972914008</v>
      </c>
      <c r="AO22" s="222">
        <f t="shared" si="2"/>
        <v>-249.17060139306281</v>
      </c>
      <c r="AP22" s="222">
        <f t="shared" si="2"/>
        <v>-281.69132042006538</v>
      </c>
      <c r="AQ22" s="222">
        <f t="shared" si="2"/>
        <v>-305.65299121879031</v>
      </c>
      <c r="AR22" s="222">
        <f t="shared" si="2"/>
        <v>-320.32755054720872</v>
      </c>
      <c r="AS22" s="222">
        <f t="shared" si="2"/>
        <v>-325.26911934581187</v>
      </c>
      <c r="AT22" s="222">
        <f t="shared" si="2"/>
        <v>-320.32755054720877</v>
      </c>
      <c r="AU22" s="222">
        <f t="shared" si="2"/>
        <v>-305.65299121879042</v>
      </c>
      <c r="AV22" s="222">
        <f t="shared" si="2"/>
        <v>-281.69132042006549</v>
      </c>
      <c r="AW22" s="222">
        <f t="shared" si="2"/>
        <v>-249.1706013930629</v>
      </c>
      <c r="AX22" s="222">
        <f t="shared" si="2"/>
        <v>-209.07895972914019</v>
      </c>
      <c r="AY22" s="222">
        <f t="shared" si="2"/>
        <v>-162.63455967290608</v>
      </c>
      <c r="AZ22" s="222">
        <f t="shared" si="2"/>
        <v>-111.24859081806858</v>
      </c>
      <c r="BA22" s="222">
        <f t="shared" si="2"/>
        <v>-56.482389825727815</v>
      </c>
      <c r="BB22" s="222">
        <f t="shared" si="2"/>
        <v>-7.9700591799201791E-14</v>
      </c>
    </row>
    <row r="23" spans="17:59" ht="16" customHeight="1" x14ac:dyDescent="0.35">
      <c r="Q23" s="290" t="s">
        <v>565</v>
      </c>
      <c r="R23" s="222">
        <f t="shared" ref="R23:BB23" si="3">$C$12*SIN(R21+$G$12)</f>
        <v>281.69132042006549</v>
      </c>
      <c r="S23" s="222">
        <f t="shared" si="3"/>
        <v>249.17060139306295</v>
      </c>
      <c r="T23" s="222">
        <f t="shared" si="3"/>
        <v>209.07895972914014</v>
      </c>
      <c r="U23" s="222">
        <f t="shared" si="3"/>
        <v>162.63455967290605</v>
      </c>
      <c r="V23" s="222">
        <f t="shared" si="3"/>
        <v>111.24859081806868</v>
      </c>
      <c r="W23" s="222">
        <f t="shared" si="3"/>
        <v>56.482389825727623</v>
      </c>
      <c r="X23" s="222">
        <f t="shared" si="3"/>
        <v>3.9850295899600895E-14</v>
      </c>
      <c r="Y23" s="222">
        <f t="shared" si="3"/>
        <v>-56.48238982572741</v>
      </c>
      <c r="Z23" s="222">
        <f t="shared" si="3"/>
        <v>-111.24859081806845</v>
      </c>
      <c r="AA23" s="222">
        <f t="shared" si="3"/>
        <v>-162.63455967290585</v>
      </c>
      <c r="AB23" s="222">
        <f t="shared" si="3"/>
        <v>-209.07895972914008</v>
      </c>
      <c r="AC23" s="222">
        <f t="shared" si="3"/>
        <v>-249.17060139306281</v>
      </c>
      <c r="AD23" s="222">
        <f t="shared" si="3"/>
        <v>-281.69132042006538</v>
      </c>
      <c r="AE23" s="222">
        <f t="shared" si="3"/>
        <v>-305.65299121879036</v>
      </c>
      <c r="AF23" s="222">
        <f t="shared" si="3"/>
        <v>-320.32755054720872</v>
      </c>
      <c r="AG23" s="222">
        <f t="shared" si="3"/>
        <v>-325.26911934581187</v>
      </c>
      <c r="AH23" s="222">
        <f t="shared" si="3"/>
        <v>-320.32755054720877</v>
      </c>
      <c r="AI23" s="222">
        <f t="shared" si="3"/>
        <v>-305.65299121879042</v>
      </c>
      <c r="AJ23" s="222">
        <f t="shared" si="3"/>
        <v>-281.69132042006561</v>
      </c>
      <c r="AK23" s="222">
        <f t="shared" si="3"/>
        <v>-249.1706013930629</v>
      </c>
      <c r="AL23" s="222">
        <f t="shared" si="3"/>
        <v>-209.07895972914019</v>
      </c>
      <c r="AM23" s="222">
        <f t="shared" si="3"/>
        <v>-162.63455967290582</v>
      </c>
      <c r="AN23" s="222">
        <f t="shared" si="3"/>
        <v>-111.24859081806858</v>
      </c>
      <c r="AO23" s="222">
        <f t="shared" si="3"/>
        <v>-56.482389825727523</v>
      </c>
      <c r="AP23" s="222">
        <f t="shared" si="3"/>
        <v>-7.9700591799201791E-14</v>
      </c>
      <c r="AQ23" s="222">
        <f t="shared" si="3"/>
        <v>56.482389825727374</v>
      </c>
      <c r="AR23" s="222">
        <f t="shared" si="3"/>
        <v>111.24859081806842</v>
      </c>
      <c r="AS23" s="222">
        <f t="shared" si="3"/>
        <v>162.63455967290571</v>
      </c>
      <c r="AT23" s="222">
        <f t="shared" si="3"/>
        <v>209.07895972913983</v>
      </c>
      <c r="AU23" s="222">
        <f t="shared" si="3"/>
        <v>249.17060139306261</v>
      </c>
      <c r="AV23" s="222">
        <f t="shared" si="3"/>
        <v>281.69132042006555</v>
      </c>
      <c r="AW23" s="222">
        <f t="shared" si="3"/>
        <v>305.65299121879036</v>
      </c>
      <c r="AX23" s="222">
        <f t="shared" si="3"/>
        <v>320.32755054720872</v>
      </c>
      <c r="AY23" s="222">
        <f t="shared" si="3"/>
        <v>325.26911934581187</v>
      </c>
      <c r="AZ23" s="222">
        <f t="shared" si="3"/>
        <v>320.32755054720877</v>
      </c>
      <c r="BA23" s="222">
        <f t="shared" si="3"/>
        <v>305.65299121879048</v>
      </c>
      <c r="BB23" s="222">
        <f t="shared" si="3"/>
        <v>281.69132042006567</v>
      </c>
    </row>
    <row r="24" spans="17:59" ht="16" customHeight="1" x14ac:dyDescent="0.35">
      <c r="Q24" s="291" t="s">
        <v>564</v>
      </c>
      <c r="R24" s="222">
        <f t="shared" ref="R24:BB24" si="4">$C$13*SIN(R21+$G$13)</f>
        <v>-281.69132042006538</v>
      </c>
      <c r="S24" s="222">
        <f t="shared" si="4"/>
        <v>-305.65299121879031</v>
      </c>
      <c r="T24" s="222">
        <f t="shared" si="4"/>
        <v>-320.32755054720866</v>
      </c>
      <c r="U24" s="222">
        <f t="shared" si="4"/>
        <v>-325.26911934581187</v>
      </c>
      <c r="V24" s="222">
        <f t="shared" si="4"/>
        <v>-320.32755054720877</v>
      </c>
      <c r="W24" s="222">
        <f t="shared" si="4"/>
        <v>-305.65299121879042</v>
      </c>
      <c r="X24" s="222">
        <f t="shared" si="4"/>
        <v>-281.69132042006561</v>
      </c>
      <c r="Y24" s="222">
        <f t="shared" si="4"/>
        <v>-249.17060139306307</v>
      </c>
      <c r="Z24" s="222">
        <f t="shared" si="4"/>
        <v>-209.07895972914019</v>
      </c>
      <c r="AA24" s="222">
        <f t="shared" si="4"/>
        <v>-162.63455967290608</v>
      </c>
      <c r="AB24" s="222">
        <f t="shared" si="4"/>
        <v>-111.24859081806885</v>
      </c>
      <c r="AC24" s="222">
        <f t="shared" si="4"/>
        <v>-56.482389825727523</v>
      </c>
      <c r="AD24" s="222">
        <f t="shared" si="4"/>
        <v>-7.9700591799201791E-14</v>
      </c>
      <c r="AE24" s="222">
        <f t="shared" si="4"/>
        <v>56.482389825727374</v>
      </c>
      <c r="AF24" s="222">
        <f t="shared" si="4"/>
        <v>111.24859081806842</v>
      </c>
      <c r="AG24" s="222">
        <f t="shared" si="4"/>
        <v>162.63455967290571</v>
      </c>
      <c r="AH24" s="222">
        <f t="shared" si="4"/>
        <v>209.07895972913983</v>
      </c>
      <c r="AI24" s="222">
        <f t="shared" si="4"/>
        <v>249.17060139306278</v>
      </c>
      <c r="AJ24" s="222">
        <f t="shared" si="4"/>
        <v>281.69132042006538</v>
      </c>
      <c r="AK24" s="222">
        <f t="shared" si="4"/>
        <v>305.65299121879036</v>
      </c>
      <c r="AL24" s="222">
        <f t="shared" si="4"/>
        <v>320.32755054720872</v>
      </c>
      <c r="AM24" s="222">
        <f t="shared" si="4"/>
        <v>325.26911934581187</v>
      </c>
      <c r="AN24" s="222">
        <f t="shared" si="4"/>
        <v>320.32755054720877</v>
      </c>
      <c r="AO24" s="222">
        <f t="shared" si="4"/>
        <v>305.65299121879048</v>
      </c>
      <c r="AP24" s="222">
        <f t="shared" si="4"/>
        <v>281.69132042006567</v>
      </c>
      <c r="AQ24" s="222">
        <f t="shared" si="4"/>
        <v>249.17060139306309</v>
      </c>
      <c r="AR24" s="222">
        <f t="shared" si="4"/>
        <v>209.07895972914</v>
      </c>
      <c r="AS24" s="222">
        <f t="shared" si="4"/>
        <v>162.63455967290585</v>
      </c>
      <c r="AT24" s="222">
        <f t="shared" si="4"/>
        <v>111.24859081806862</v>
      </c>
      <c r="AU24" s="222">
        <f t="shared" si="4"/>
        <v>56.482389825727559</v>
      </c>
      <c r="AV24" s="222">
        <f t="shared" si="4"/>
        <v>1.1955088769880268E-13</v>
      </c>
      <c r="AW24" s="222">
        <f t="shared" si="4"/>
        <v>-56.482389825727324</v>
      </c>
      <c r="AX24" s="222">
        <f t="shared" si="4"/>
        <v>-111.24859081806838</v>
      </c>
      <c r="AY24" s="222">
        <f t="shared" si="4"/>
        <v>-162.63455967290565</v>
      </c>
      <c r="AZ24" s="222">
        <f t="shared" si="4"/>
        <v>-209.0789597291398</v>
      </c>
      <c r="BA24" s="222">
        <f t="shared" si="4"/>
        <v>-249.17060139306255</v>
      </c>
      <c r="BB24" s="222">
        <f t="shared" si="4"/>
        <v>-281.69132042006521</v>
      </c>
    </row>
    <row r="25" spans="17:59" ht="16" hidden="1" customHeight="1" x14ac:dyDescent="0.45">
      <c r="Q25" s="228" t="s">
        <v>448</v>
      </c>
      <c r="R25" s="222">
        <f>R22-R24</f>
        <v>281.69132042006538</v>
      </c>
      <c r="S25" s="222">
        <f t="shared" ref="S25:BB25" si="5">S22-S24</f>
        <v>362.13538104451783</v>
      </c>
      <c r="T25" s="222">
        <f t="shared" si="5"/>
        <v>431.57614136527729</v>
      </c>
      <c r="U25" s="222">
        <f t="shared" si="5"/>
        <v>487.90367901871775</v>
      </c>
      <c r="V25" s="222">
        <f t="shared" si="5"/>
        <v>529.40651027634885</v>
      </c>
      <c r="W25" s="222">
        <f t="shared" si="5"/>
        <v>554.82359261185331</v>
      </c>
      <c r="X25" s="222">
        <f t="shared" si="5"/>
        <v>563.3826408401311</v>
      </c>
      <c r="Y25" s="222">
        <f t="shared" si="5"/>
        <v>554.82359261185343</v>
      </c>
      <c r="Z25" s="222">
        <f t="shared" si="5"/>
        <v>529.40651027634885</v>
      </c>
      <c r="AA25" s="222">
        <f t="shared" si="5"/>
        <v>487.90367901871798</v>
      </c>
      <c r="AB25" s="222">
        <f t="shared" si="5"/>
        <v>431.57614136527758</v>
      </c>
      <c r="AC25" s="222">
        <f t="shared" si="5"/>
        <v>362.13538104451789</v>
      </c>
      <c r="AD25" s="222">
        <f t="shared" si="5"/>
        <v>281.69132042006555</v>
      </c>
      <c r="AE25" s="222">
        <f t="shared" si="5"/>
        <v>192.68821156733549</v>
      </c>
      <c r="AF25" s="222">
        <f t="shared" si="5"/>
        <v>97.830368911071716</v>
      </c>
      <c r="AG25" s="222">
        <f t="shared" si="5"/>
        <v>0</v>
      </c>
      <c r="AH25" s="222">
        <f t="shared" si="5"/>
        <v>-97.830368911071147</v>
      </c>
      <c r="AI25" s="222">
        <f t="shared" si="5"/>
        <v>-192.68821156733529</v>
      </c>
      <c r="AJ25" s="222">
        <f t="shared" si="5"/>
        <v>-281.69132042006532</v>
      </c>
      <c r="AK25" s="222">
        <f t="shared" si="5"/>
        <v>-362.13538104451789</v>
      </c>
      <c r="AL25" s="222">
        <f t="shared" si="5"/>
        <v>-431.57614136527729</v>
      </c>
      <c r="AM25" s="222">
        <f t="shared" si="5"/>
        <v>-487.90367901871787</v>
      </c>
      <c r="AN25" s="222">
        <f t="shared" si="5"/>
        <v>-529.40651027634885</v>
      </c>
      <c r="AO25" s="222">
        <f t="shared" si="5"/>
        <v>-554.82359261185331</v>
      </c>
      <c r="AP25" s="222">
        <f t="shared" si="5"/>
        <v>-563.38264084013099</v>
      </c>
      <c r="AQ25" s="222">
        <f t="shared" si="5"/>
        <v>-554.82359261185343</v>
      </c>
      <c r="AR25" s="222">
        <f t="shared" si="5"/>
        <v>-529.40651027634874</v>
      </c>
      <c r="AS25" s="222">
        <f t="shared" si="5"/>
        <v>-487.90367901871775</v>
      </c>
      <c r="AT25" s="222">
        <f t="shared" si="5"/>
        <v>-431.57614136527741</v>
      </c>
      <c r="AU25" s="222">
        <f t="shared" si="5"/>
        <v>-362.135381044518</v>
      </c>
      <c r="AV25" s="222">
        <f t="shared" si="5"/>
        <v>-281.69132042006561</v>
      </c>
      <c r="AW25" s="222">
        <f t="shared" si="5"/>
        <v>-192.68821156733557</v>
      </c>
      <c r="AX25" s="222">
        <f t="shared" si="5"/>
        <v>-97.830368911071815</v>
      </c>
      <c r="AY25" s="222">
        <f t="shared" si="5"/>
        <v>-4.2632564145606011E-13</v>
      </c>
      <c r="AZ25" s="222">
        <f t="shared" si="5"/>
        <v>97.830368911071218</v>
      </c>
      <c r="BA25" s="222">
        <f t="shared" si="5"/>
        <v>192.68821156733475</v>
      </c>
      <c r="BB25" s="222">
        <f t="shared" si="5"/>
        <v>281.69132042006515</v>
      </c>
    </row>
    <row r="26" spans="17:59" ht="16" customHeight="1" x14ac:dyDescent="0.45">
      <c r="Q26" s="228" t="s">
        <v>445</v>
      </c>
      <c r="R26" s="222">
        <f>R22-R23</f>
        <v>-281.69132042006549</v>
      </c>
      <c r="S26" s="222">
        <f t="shared" ref="S26:BB26" si="6">S22-S23</f>
        <v>-192.68821156733543</v>
      </c>
      <c r="T26" s="222">
        <f t="shared" si="6"/>
        <v>-97.830368911071517</v>
      </c>
      <c r="U26" s="222">
        <f t="shared" si="6"/>
        <v>0</v>
      </c>
      <c r="V26" s="222">
        <f t="shared" si="6"/>
        <v>97.830368911071403</v>
      </c>
      <c r="W26" s="222">
        <f t="shared" si="6"/>
        <v>192.68821156733526</v>
      </c>
      <c r="X26" s="222">
        <f t="shared" si="6"/>
        <v>281.69132042006544</v>
      </c>
      <c r="Y26" s="222">
        <f t="shared" si="6"/>
        <v>362.13538104451777</v>
      </c>
      <c r="Z26" s="222">
        <f t="shared" si="6"/>
        <v>431.57614136527718</v>
      </c>
      <c r="AA26" s="222">
        <f t="shared" si="6"/>
        <v>487.90367901871775</v>
      </c>
      <c r="AB26" s="222">
        <f t="shared" si="6"/>
        <v>529.40651027634885</v>
      </c>
      <c r="AC26" s="222">
        <f t="shared" si="6"/>
        <v>554.8235926118532</v>
      </c>
      <c r="AD26" s="222">
        <f t="shared" si="6"/>
        <v>563.38264084013088</v>
      </c>
      <c r="AE26" s="222">
        <f t="shared" si="6"/>
        <v>554.8235926118532</v>
      </c>
      <c r="AF26" s="222">
        <f t="shared" si="6"/>
        <v>529.40651027634885</v>
      </c>
      <c r="AG26" s="222">
        <f t="shared" si="6"/>
        <v>487.90367901871775</v>
      </c>
      <c r="AH26" s="222">
        <f t="shared" si="6"/>
        <v>431.57614136527746</v>
      </c>
      <c r="AI26" s="222">
        <f t="shared" si="6"/>
        <v>362.13538104451789</v>
      </c>
      <c r="AJ26" s="222">
        <f t="shared" si="6"/>
        <v>281.69132042006567</v>
      </c>
      <c r="AK26" s="222">
        <f t="shared" si="6"/>
        <v>192.68821156733534</v>
      </c>
      <c r="AL26" s="222">
        <f t="shared" si="6"/>
        <v>97.830368911071588</v>
      </c>
      <c r="AM26" s="222">
        <f t="shared" si="6"/>
        <v>0</v>
      </c>
      <c r="AN26" s="222">
        <f t="shared" si="6"/>
        <v>-97.830368911071503</v>
      </c>
      <c r="AO26" s="222">
        <f t="shared" si="6"/>
        <v>-192.68821156733529</v>
      </c>
      <c r="AP26" s="222">
        <f t="shared" si="6"/>
        <v>-281.69132042006532</v>
      </c>
      <c r="AQ26" s="222">
        <f t="shared" si="6"/>
        <v>-362.13538104451766</v>
      </c>
      <c r="AR26" s="222">
        <f t="shared" si="6"/>
        <v>-431.57614136527712</v>
      </c>
      <c r="AS26" s="222">
        <f t="shared" si="6"/>
        <v>-487.90367901871758</v>
      </c>
      <c r="AT26" s="222">
        <f t="shared" si="6"/>
        <v>-529.40651027634863</v>
      </c>
      <c r="AU26" s="222">
        <f t="shared" si="6"/>
        <v>-554.82359261185297</v>
      </c>
      <c r="AV26" s="222">
        <f t="shared" si="6"/>
        <v>-563.38264084013099</v>
      </c>
      <c r="AW26" s="222">
        <f t="shared" si="6"/>
        <v>-554.8235926118532</v>
      </c>
      <c r="AX26" s="222">
        <f t="shared" si="6"/>
        <v>-529.40651027634885</v>
      </c>
      <c r="AY26" s="222">
        <f t="shared" si="6"/>
        <v>-487.90367901871798</v>
      </c>
      <c r="AZ26" s="222">
        <f t="shared" si="6"/>
        <v>-431.57614136527735</v>
      </c>
      <c r="BA26" s="222">
        <f t="shared" si="6"/>
        <v>-362.13538104451828</v>
      </c>
      <c r="BB26" s="222">
        <f t="shared" si="6"/>
        <v>-281.69132042006572</v>
      </c>
    </row>
    <row r="44" spans="2:26" x14ac:dyDescent="0.35">
      <c r="B44" s="2" t="s">
        <v>427</v>
      </c>
      <c r="C44" s="2"/>
      <c r="D44" t="s">
        <v>428</v>
      </c>
      <c r="P44" s="222"/>
      <c r="Z44"/>
    </row>
    <row r="45" spans="2:26" x14ac:dyDescent="0.35">
      <c r="B45" s="3" t="s">
        <v>429</v>
      </c>
      <c r="C45" s="3"/>
      <c r="D45" t="s">
        <v>432</v>
      </c>
      <c r="P45" s="222"/>
      <c r="Z45"/>
    </row>
    <row r="46" spans="2:26" x14ac:dyDescent="0.35">
      <c r="B46" t="s">
        <v>430</v>
      </c>
      <c r="D46" t="s">
        <v>431</v>
      </c>
      <c r="P46" s="222"/>
      <c r="Z46"/>
    </row>
    <row r="49" spans="2:5" ht="15" thickBot="1" x14ac:dyDescent="0.4"/>
    <row r="50" spans="2:5" ht="17" thickBot="1" x14ac:dyDescent="0.5">
      <c r="B50" s="264" t="s">
        <v>488</v>
      </c>
      <c r="C50" s="231" t="s">
        <v>489</v>
      </c>
      <c r="D50" s="233"/>
      <c r="E50" s="234"/>
    </row>
    <row r="86" spans="2:20" ht="21" x14ac:dyDescent="0.5">
      <c r="B86" s="73" t="s">
        <v>568</v>
      </c>
      <c r="M86" s="8" t="s">
        <v>572</v>
      </c>
      <c r="N86" s="4">
        <v>300</v>
      </c>
      <c r="O86" s="5" t="s">
        <v>573</v>
      </c>
      <c r="P86" s="5"/>
      <c r="Q86" s="292">
        <f>N86*SQRT(2)</f>
        <v>424.26406871192853</v>
      </c>
      <c r="R86" s="111" t="s">
        <v>575</v>
      </c>
    </row>
    <row r="87" spans="2:20" ht="16.5" x14ac:dyDescent="0.45">
      <c r="M87" s="8" t="s">
        <v>574</v>
      </c>
      <c r="N87" s="292">
        <f>N86*SQRT(3)</f>
        <v>519.6152422706632</v>
      </c>
      <c r="O87" s="5" t="s">
        <v>573</v>
      </c>
      <c r="P87" s="5"/>
      <c r="Q87" s="292">
        <f>N87*SQRT(2)</f>
        <v>734.84692283495349</v>
      </c>
      <c r="R87" s="111" t="s">
        <v>575</v>
      </c>
    </row>
    <row r="88" spans="2:20" x14ac:dyDescent="0.35">
      <c r="M88" s="8" t="s">
        <v>569</v>
      </c>
      <c r="N88" s="4">
        <v>40</v>
      </c>
      <c r="O88" s="293" t="s">
        <v>322</v>
      </c>
      <c r="P88" s="5"/>
      <c r="Q88" s="111"/>
      <c r="R88" s="111"/>
    </row>
    <row r="89" spans="2:20" x14ac:dyDescent="0.35">
      <c r="M89" s="8" t="s">
        <v>570</v>
      </c>
      <c r="N89" s="4">
        <v>80</v>
      </c>
      <c r="O89" s="293" t="s">
        <v>322</v>
      </c>
      <c r="P89" s="5"/>
      <c r="Q89" s="111"/>
      <c r="R89" s="111"/>
    </row>
    <row r="90" spans="2:20" x14ac:dyDescent="0.35">
      <c r="M90" s="8" t="s">
        <v>571</v>
      </c>
      <c r="N90" s="4">
        <v>160</v>
      </c>
      <c r="O90" s="293" t="s">
        <v>322</v>
      </c>
      <c r="P90" s="5"/>
      <c r="Q90" s="111"/>
      <c r="R90" s="111"/>
    </row>
    <row r="94" spans="2:20" x14ac:dyDescent="0.35">
      <c r="J94" s="94" t="s">
        <v>576</v>
      </c>
      <c r="Q94" s="94" t="s">
        <v>586</v>
      </c>
    </row>
    <row r="96" spans="2:20" ht="17.5" x14ac:dyDescent="0.45">
      <c r="J96" s="8" t="s">
        <v>577</v>
      </c>
      <c r="K96" s="5" t="s">
        <v>578</v>
      </c>
      <c r="L96" s="294">
        <f>$N$86^2/$N$88</f>
        <v>2250</v>
      </c>
      <c r="M96" s="5" t="s">
        <v>579</v>
      </c>
      <c r="Q96" s="8"/>
      <c r="R96" s="5"/>
      <c r="S96" s="294"/>
      <c r="T96" s="5"/>
    </row>
    <row r="97" spans="10:14" ht="17.5" x14ac:dyDescent="0.45">
      <c r="J97" s="8" t="s">
        <v>580</v>
      </c>
      <c r="K97" s="5" t="s">
        <v>583</v>
      </c>
      <c r="L97" s="294">
        <f>$N$86^2/$N$89</f>
        <v>1125</v>
      </c>
      <c r="M97" s="5" t="s">
        <v>579</v>
      </c>
    </row>
    <row r="98" spans="10:14" ht="17.5" x14ac:dyDescent="0.45">
      <c r="J98" s="8" t="s">
        <v>581</v>
      </c>
      <c r="K98" s="5" t="s">
        <v>584</v>
      </c>
      <c r="L98" s="294">
        <f>$N$86^2/$N$90</f>
        <v>562.5</v>
      </c>
      <c r="M98" s="5" t="s">
        <v>579</v>
      </c>
    </row>
    <row r="99" spans="10:14" ht="16.5" x14ac:dyDescent="0.45">
      <c r="J99" s="8" t="s">
        <v>582</v>
      </c>
      <c r="K99" s="5" t="s">
        <v>585</v>
      </c>
      <c r="L99" s="294">
        <f>SUM(L96:L98)</f>
        <v>3937.5</v>
      </c>
      <c r="M99" s="5" t="s">
        <v>579</v>
      </c>
    </row>
    <row r="100" spans="10:14" ht="21.65" customHeight="1" x14ac:dyDescent="0.35"/>
    <row r="101" spans="10:14" ht="16.5" x14ac:dyDescent="0.45">
      <c r="J101" s="296" t="s">
        <v>603</v>
      </c>
      <c r="K101" s="302" t="s">
        <v>604</v>
      </c>
      <c r="L101" s="294">
        <f>$N$86/N88</f>
        <v>7.5</v>
      </c>
      <c r="M101" s="5" t="s">
        <v>39</v>
      </c>
    </row>
    <row r="102" spans="10:14" ht="16.5" x14ac:dyDescent="0.45">
      <c r="J102" s="296" t="s">
        <v>605</v>
      </c>
      <c r="K102" s="302" t="s">
        <v>606</v>
      </c>
      <c r="L102" s="294">
        <f>$N$86/N89</f>
        <v>3.75</v>
      </c>
      <c r="M102" s="5" t="s">
        <v>39</v>
      </c>
    </row>
    <row r="103" spans="10:14" ht="16.5" x14ac:dyDescent="0.45">
      <c r="J103" s="296" t="s">
        <v>607</v>
      </c>
      <c r="K103" s="302" t="s">
        <v>608</v>
      </c>
      <c r="L103" s="294">
        <f>$N$86/N90</f>
        <v>1.875</v>
      </c>
      <c r="M103" s="5" t="s">
        <v>39</v>
      </c>
    </row>
    <row r="106" spans="10:14" x14ac:dyDescent="0.35">
      <c r="J106" s="8" t="s">
        <v>196</v>
      </c>
      <c r="K106" s="99" t="s">
        <v>208</v>
      </c>
      <c r="L106" s="99" t="s">
        <v>207</v>
      </c>
      <c r="M106" s="99" t="s">
        <v>416</v>
      </c>
      <c r="N106" s="99" t="s">
        <v>417</v>
      </c>
    </row>
    <row r="107" spans="10:14" ht="16.5" x14ac:dyDescent="0.45">
      <c r="J107" s="296" t="s">
        <v>609</v>
      </c>
      <c r="K107" s="302">
        <v>0</v>
      </c>
      <c r="L107" s="301">
        <f>L101</f>
        <v>7.5</v>
      </c>
      <c r="M107" s="294">
        <f>L107*COS(RADIANS(K107))</f>
        <v>7.5</v>
      </c>
      <c r="N107" s="294">
        <f>L107*SIN(RADIANS(K107))</f>
        <v>0</v>
      </c>
    </row>
    <row r="108" spans="10:14" ht="16.5" x14ac:dyDescent="0.45">
      <c r="J108" s="296" t="s">
        <v>610</v>
      </c>
      <c r="K108" s="302">
        <v>120</v>
      </c>
      <c r="L108" s="301">
        <f>L102</f>
        <v>3.75</v>
      </c>
      <c r="M108" s="294">
        <f>L108*COS(RADIANS(K108))</f>
        <v>-1.8749999999999991</v>
      </c>
      <c r="N108" s="294">
        <f>L108*SIN(RADIANS(K108))</f>
        <v>3.247595264191645</v>
      </c>
    </row>
    <row r="109" spans="10:14" ht="17" thickBot="1" x14ac:dyDescent="0.5">
      <c r="J109" s="307" t="s">
        <v>611</v>
      </c>
      <c r="K109" s="308">
        <v>240</v>
      </c>
      <c r="L109" s="309">
        <f>L103</f>
        <v>1.875</v>
      </c>
      <c r="M109" s="294">
        <f>L109*COS(RADIANS(K109))</f>
        <v>-0.93750000000000089</v>
      </c>
      <c r="N109" s="294">
        <f>L109*SIN(RADIANS(K109))</f>
        <v>-1.6237976320958221</v>
      </c>
    </row>
    <row r="110" spans="10:14" ht="17" thickBot="1" x14ac:dyDescent="0.5">
      <c r="J110" s="310" t="s">
        <v>602</v>
      </c>
      <c r="K110" s="311">
        <f>IF(N110&lt;&gt;0,DEGREES(ATAN2(M110,N110)),0)</f>
        <v>19.106605350869099</v>
      </c>
      <c r="L110" s="312">
        <f>SQRT(M110^2+N110^2)</f>
        <v>4.9607837082461073</v>
      </c>
      <c r="M110" s="306">
        <f>SUM(M107:M109)</f>
        <v>4.6875</v>
      </c>
      <c r="N110" s="294">
        <f>SUM(N107:N109)</f>
        <v>1.623797632095823</v>
      </c>
    </row>
    <row r="111" spans="10:14" ht="7.5" customHeight="1" x14ac:dyDescent="0.35">
      <c r="J111" s="1"/>
      <c r="K111" s="295"/>
      <c r="L111" s="295"/>
      <c r="M111" s="295"/>
      <c r="N111" s="295"/>
    </row>
    <row r="112" spans="10:14" ht="7.5" customHeight="1" x14ac:dyDescent="0.35">
      <c r="J112" s="1"/>
      <c r="K112" s="295"/>
      <c r="L112" s="295"/>
      <c r="M112" s="295"/>
      <c r="N112" s="295"/>
    </row>
    <row r="113" spans="10:15" ht="7.5" customHeight="1" x14ac:dyDescent="0.35">
      <c r="J113" s="1"/>
      <c r="K113" s="295"/>
      <c r="L113" s="295"/>
      <c r="M113" s="295"/>
      <c r="N113" s="295"/>
    </row>
    <row r="114" spans="10:15" x14ac:dyDescent="0.35">
      <c r="K114" s="99" t="s">
        <v>226</v>
      </c>
      <c r="L114" s="99" t="s">
        <v>227</v>
      </c>
      <c r="M114" s="99" t="s">
        <v>228</v>
      </c>
      <c r="N114" s="99" t="s">
        <v>229</v>
      </c>
    </row>
    <row r="115" spans="10:15" ht="16.5" x14ac:dyDescent="0.45">
      <c r="J115" s="296" t="s">
        <v>609</v>
      </c>
      <c r="K115" s="81">
        <v>0</v>
      </c>
      <c r="L115" s="294">
        <f>M107</f>
        <v>7.5</v>
      </c>
      <c r="M115" s="81">
        <v>0</v>
      </c>
      <c r="N115" s="294">
        <f>N107</f>
        <v>0</v>
      </c>
    </row>
    <row r="116" spans="10:15" ht="16.5" x14ac:dyDescent="0.45">
      <c r="J116" s="296" t="s">
        <v>610</v>
      </c>
      <c r="K116" s="81">
        <f>IF($L$121=$AQ$3,0,L115)</f>
        <v>0</v>
      </c>
      <c r="L116" s="294">
        <f>IF($L$121=$AQ$3,M108,L115+M108)</f>
        <v>-1.8749999999999991</v>
      </c>
      <c r="M116" s="81">
        <f>IF($L$121=$AQ$3,0,N115)</f>
        <v>0</v>
      </c>
      <c r="N116" s="294">
        <f>IF($L$121=$AQ$3,N108,N115+N108)</f>
        <v>3.247595264191645</v>
      </c>
    </row>
    <row r="117" spans="10:15" ht="16.5" x14ac:dyDescent="0.45">
      <c r="J117" s="296" t="s">
        <v>611</v>
      </c>
      <c r="K117" s="81">
        <f>IF($L$121=$AQ$3,0,L116)</f>
        <v>0</v>
      </c>
      <c r="L117" s="294">
        <f>IF($L$121=$AQ$3,M109,L116+M109)</f>
        <v>-0.93750000000000089</v>
      </c>
      <c r="M117" s="81">
        <f>IF($L$121=$AQ$3,0,N116)</f>
        <v>0</v>
      </c>
      <c r="N117" s="294">
        <f>IF($L$121=$AQ$3,N109,N116+N109)</f>
        <v>-1.6237976320958221</v>
      </c>
    </row>
    <row r="118" spans="10:15" ht="16.5" x14ac:dyDescent="0.45">
      <c r="J118" s="296" t="s">
        <v>602</v>
      </c>
      <c r="K118" s="81">
        <v>0</v>
      </c>
      <c r="L118" s="294">
        <f>M110</f>
        <v>4.6875</v>
      </c>
      <c r="M118" s="81">
        <v>0</v>
      </c>
      <c r="N118" s="294">
        <f>N110</f>
        <v>1.623797632095823</v>
      </c>
    </row>
    <row r="119" spans="10:15" x14ac:dyDescent="0.35">
      <c r="M119" s="8" t="s">
        <v>612</v>
      </c>
      <c r="N119" s="303">
        <f>1.2*MAX(L107:N118,K115:K118)</f>
        <v>9</v>
      </c>
    </row>
    <row r="120" spans="10:15" ht="15" thickBot="1" x14ac:dyDescent="0.4">
      <c r="M120" s="1"/>
      <c r="N120" s="295"/>
    </row>
    <row r="121" spans="10:15" ht="15" thickBot="1" x14ac:dyDescent="0.4">
      <c r="J121" s="231"/>
      <c r="K121" s="304" t="s">
        <v>587</v>
      </c>
      <c r="L121" s="305" t="s">
        <v>66</v>
      </c>
    </row>
    <row r="123" spans="10:15" x14ac:dyDescent="0.35">
      <c r="M123" t="s">
        <v>600</v>
      </c>
      <c r="N123" s="295">
        <f>-N119</f>
        <v>-9</v>
      </c>
      <c r="O123" s="295">
        <f>N119</f>
        <v>9</v>
      </c>
    </row>
    <row r="124" spans="10:15" x14ac:dyDescent="0.35">
      <c r="N124">
        <v>0</v>
      </c>
      <c r="O124">
        <v>0</v>
      </c>
    </row>
    <row r="125" spans="10:15" x14ac:dyDescent="0.35">
      <c r="M125" t="s">
        <v>601</v>
      </c>
      <c r="N125">
        <v>0</v>
      </c>
      <c r="O125">
        <v>0</v>
      </c>
    </row>
    <row r="126" spans="10:15" x14ac:dyDescent="0.35">
      <c r="N126" s="295">
        <f>N123</f>
        <v>-9</v>
      </c>
      <c r="O126" s="295">
        <f>O123</f>
        <v>9</v>
      </c>
    </row>
  </sheetData>
  <mergeCells count="2">
    <mergeCell ref="M9:P9"/>
    <mergeCell ref="R9:V9"/>
  </mergeCells>
  <dataValidations count="1">
    <dataValidation type="list" allowBlank="1" showInputMessage="1" showErrorMessage="1" sqref="L121" xr:uid="{CDE02CC4-0708-4446-821A-1CA57401204E}">
      <formula1>$AQ$2:$AQ$3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5" max="1048575" man="1"/>
  </colBreaks>
  <drawing r:id="rId2"/>
  <legacy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A3B9-96CB-466D-8D95-4B5F44B0AC67}">
  <sheetPr>
    <pageSetUpPr fitToPage="1"/>
  </sheetPr>
  <dimension ref="C2:AC273"/>
  <sheetViews>
    <sheetView showGridLines="0" zoomScale="40" zoomScaleNormal="40" zoomScalePageLayoutView="25" workbookViewId="0">
      <selection activeCell="C2" sqref="C2"/>
    </sheetView>
  </sheetViews>
  <sheetFormatPr baseColWidth="10" defaultRowHeight="15.5" x14ac:dyDescent="0.35"/>
  <cols>
    <col min="16" max="16" width="50.54296875" style="124" customWidth="1"/>
    <col min="17" max="17" width="4.81640625" style="151" customWidth="1"/>
    <col min="18" max="18" width="34.54296875" style="125" customWidth="1"/>
    <col min="19" max="19" width="3.81640625" style="147" customWidth="1"/>
    <col min="20" max="20" width="12" customWidth="1"/>
    <col min="21" max="21" width="50.54296875" style="1" customWidth="1"/>
    <col min="22" max="22" width="4.81640625" style="41" customWidth="1"/>
    <col min="23" max="23" width="24.54296875" customWidth="1"/>
    <col min="24" max="24" width="3.81640625" customWidth="1"/>
    <col min="26" max="26" width="50.54296875" customWidth="1"/>
    <col min="27" max="27" width="4.81640625" style="59" customWidth="1"/>
    <col min="28" max="28" width="24.54296875" customWidth="1"/>
    <col min="29" max="29" width="3.81640625" customWidth="1"/>
  </cols>
  <sheetData>
    <row r="2" spans="3:29" ht="26" x14ac:dyDescent="0.6">
      <c r="C2" s="33" t="s">
        <v>323</v>
      </c>
    </row>
    <row r="5" spans="3:29" ht="24" x14ac:dyDescent="0.65">
      <c r="P5" s="140" t="s">
        <v>334</v>
      </c>
      <c r="Q5" s="139" t="s">
        <v>333</v>
      </c>
      <c r="R5" s="126">
        <v>0.5</v>
      </c>
      <c r="S5" s="179" t="s">
        <v>322</v>
      </c>
      <c r="U5" s="177" t="str">
        <f>U59</f>
        <v>U1</v>
      </c>
      <c r="V5" s="201" t="str">
        <f>V59</f>
        <v xml:space="preserve"> =</v>
      </c>
      <c r="W5" s="177">
        <f>W59</f>
        <v>0.38502673796791448</v>
      </c>
      <c r="X5" s="195" t="str">
        <f>X59</f>
        <v>V</v>
      </c>
      <c r="Z5" s="189" t="str">
        <f>U98</f>
        <v>I1 = I23 = I123</v>
      </c>
      <c r="AA5" s="188" t="str">
        <f>V98</f>
        <v xml:space="preserve"> =</v>
      </c>
      <c r="AB5" s="189">
        <f>W98</f>
        <v>0.77005347593582896</v>
      </c>
      <c r="AC5" s="187" t="str">
        <f>X98</f>
        <v>A</v>
      </c>
    </row>
    <row r="6" spans="3:29" ht="24" x14ac:dyDescent="0.65">
      <c r="P6" s="140" t="s">
        <v>335</v>
      </c>
      <c r="Q6" s="139" t="s">
        <v>333</v>
      </c>
      <c r="R6" s="126">
        <v>0.5</v>
      </c>
      <c r="S6" s="179" t="s">
        <v>322</v>
      </c>
      <c r="U6" s="177" t="str">
        <f>U62</f>
        <v>U1 = U2 = U23</v>
      </c>
      <c r="V6" s="201" t="str">
        <f>V62</f>
        <v xml:space="preserve"> =</v>
      </c>
      <c r="W6" s="177">
        <f>W62</f>
        <v>0.25668449197860965</v>
      </c>
      <c r="X6" s="195" t="str">
        <f>X62</f>
        <v>V</v>
      </c>
      <c r="Z6" s="189" t="str">
        <f>U18</f>
        <v>I2</v>
      </c>
      <c r="AA6" s="188" t="str">
        <f>V18</f>
        <v xml:space="preserve"> =</v>
      </c>
      <c r="AB6" s="187">
        <f>W18</f>
        <v>0.5133689839572193</v>
      </c>
      <c r="AC6" s="187" t="str">
        <f>X18</f>
        <v>A</v>
      </c>
    </row>
    <row r="7" spans="3:29" ht="24" x14ac:dyDescent="0.65">
      <c r="P7" s="140" t="s">
        <v>336</v>
      </c>
      <c r="Q7" s="139" t="s">
        <v>333</v>
      </c>
      <c r="R7" s="126">
        <v>1</v>
      </c>
      <c r="S7" s="179" t="s">
        <v>322</v>
      </c>
      <c r="U7" s="177" t="str">
        <f>U62</f>
        <v>U1 = U2 = U23</v>
      </c>
      <c r="V7" s="201" t="str">
        <f>V62</f>
        <v xml:space="preserve"> =</v>
      </c>
      <c r="W7" s="177">
        <f>W62</f>
        <v>0.25668449197860965</v>
      </c>
      <c r="X7" s="195" t="str">
        <f>X62</f>
        <v>V</v>
      </c>
      <c r="Z7" s="189" t="str">
        <f>U21</f>
        <v>I3</v>
      </c>
      <c r="AA7" s="188" t="str">
        <f>V21</f>
        <v xml:space="preserve"> =</v>
      </c>
      <c r="AB7" s="189">
        <f>W21</f>
        <v>0.25668449197860965</v>
      </c>
      <c r="AC7" s="187" t="str">
        <f>X21</f>
        <v>A</v>
      </c>
    </row>
    <row r="8" spans="3:29" ht="24" x14ac:dyDescent="0.65">
      <c r="P8" s="140" t="s">
        <v>337</v>
      </c>
      <c r="Q8" s="139" t="s">
        <v>333</v>
      </c>
      <c r="R8" s="126">
        <v>1</v>
      </c>
      <c r="S8" s="179" t="s">
        <v>322</v>
      </c>
      <c r="U8" s="177" t="str">
        <f>U88</f>
        <v>U4 = U5 = U123 = U12345</v>
      </c>
      <c r="V8" s="201" t="str">
        <f>V88</f>
        <v xml:space="preserve"> =</v>
      </c>
      <c r="W8" s="177">
        <f>W88</f>
        <v>0.64171122994652408</v>
      </c>
      <c r="X8" s="195" t="str">
        <f>X88</f>
        <v>V</v>
      </c>
      <c r="Z8" s="189" t="str">
        <f>U24</f>
        <v>I4</v>
      </c>
      <c r="AA8" s="188" t="str">
        <f>V24</f>
        <v xml:space="preserve"> =</v>
      </c>
      <c r="AB8" s="189">
        <f>W24</f>
        <v>0.64171122994652408</v>
      </c>
      <c r="AC8" s="187" t="str">
        <f>X24</f>
        <v>A</v>
      </c>
    </row>
    <row r="9" spans="3:29" ht="24" x14ac:dyDescent="0.65">
      <c r="P9" s="140" t="s">
        <v>338</v>
      </c>
      <c r="Q9" s="139" t="s">
        <v>333</v>
      </c>
      <c r="R9" s="126">
        <v>2</v>
      </c>
      <c r="S9" s="179" t="s">
        <v>322</v>
      </c>
      <c r="U9" s="177" t="str">
        <f>U88</f>
        <v>U4 = U5 = U123 = U12345</v>
      </c>
      <c r="V9" s="201" t="str">
        <f>V88</f>
        <v xml:space="preserve"> =</v>
      </c>
      <c r="W9" s="177">
        <f>W88</f>
        <v>0.64171122994652408</v>
      </c>
      <c r="X9" s="195" t="str">
        <f>X88</f>
        <v>V</v>
      </c>
      <c r="Z9" s="189" t="str">
        <f>U27</f>
        <v>I5</v>
      </c>
      <c r="AA9" s="188" t="str">
        <f>V27</f>
        <v xml:space="preserve"> =</v>
      </c>
      <c r="AB9" s="189">
        <f>W27</f>
        <v>0.32085561497326204</v>
      </c>
      <c r="AC9" s="187" t="str">
        <f>X27</f>
        <v>A</v>
      </c>
    </row>
    <row r="10" spans="3:29" ht="24" x14ac:dyDescent="0.65">
      <c r="P10" s="140" t="s">
        <v>339</v>
      </c>
      <c r="Q10" s="139" t="s">
        <v>333</v>
      </c>
      <c r="R10" s="126">
        <v>2</v>
      </c>
      <c r="S10" s="179" t="s">
        <v>322</v>
      </c>
      <c r="U10" s="177" t="str">
        <f>U144</f>
        <v>U6</v>
      </c>
      <c r="V10" s="201" t="str">
        <f>V144</f>
        <v xml:space="preserve"> =</v>
      </c>
      <c r="W10" s="177">
        <f>W144</f>
        <v>3.4652406417112305</v>
      </c>
      <c r="X10" s="195" t="str">
        <f>X144</f>
        <v>V</v>
      </c>
      <c r="Z10" s="189" t="str">
        <f>U183</f>
        <v>I6 = I12345 = I123456</v>
      </c>
      <c r="AA10" s="188" t="str">
        <f>V183</f>
        <v xml:space="preserve"> =</v>
      </c>
      <c r="AB10" s="189">
        <f>W183</f>
        <v>1.7326203208556152</v>
      </c>
      <c r="AC10" s="187" t="str">
        <f>X183</f>
        <v>A</v>
      </c>
    </row>
    <row r="11" spans="3:29" ht="24" x14ac:dyDescent="0.65">
      <c r="P11" s="140" t="s">
        <v>340</v>
      </c>
      <c r="Q11" s="139" t="s">
        <v>333</v>
      </c>
      <c r="R11" s="126">
        <v>0.5</v>
      </c>
      <c r="S11" s="179" t="s">
        <v>322</v>
      </c>
      <c r="U11" s="177" t="str">
        <f>U31</f>
        <v>U7</v>
      </c>
      <c r="V11" s="201" t="str">
        <f>V31</f>
        <v xml:space="preserve"> =</v>
      </c>
      <c r="W11" s="177">
        <f>W31</f>
        <v>2.0534759358288772</v>
      </c>
      <c r="X11" s="195" t="str">
        <f>X31</f>
        <v>V</v>
      </c>
      <c r="Z11" s="189" t="str">
        <f>U68</f>
        <v>I7 = I8 = I78</v>
      </c>
      <c r="AA11" s="188" t="str">
        <f>V68</f>
        <v xml:space="preserve"> =</v>
      </c>
      <c r="AB11" s="189">
        <f>W68</f>
        <v>4.1069518716577544</v>
      </c>
      <c r="AC11" s="187" t="str">
        <f>X68</f>
        <v>A</v>
      </c>
    </row>
    <row r="12" spans="3:29" ht="24" x14ac:dyDescent="0.65">
      <c r="P12" s="140" t="s">
        <v>341</v>
      </c>
      <c r="Q12" s="139" t="s">
        <v>333</v>
      </c>
      <c r="R12" s="126">
        <v>0.5</v>
      </c>
      <c r="S12" s="179" t="s">
        <v>322</v>
      </c>
      <c r="U12" s="177" t="str">
        <f>U34</f>
        <v>U8</v>
      </c>
      <c r="V12" s="201" t="str">
        <f>V34</f>
        <v xml:space="preserve"> =</v>
      </c>
      <c r="W12" s="177">
        <f>W34</f>
        <v>2.0534759358288772</v>
      </c>
      <c r="X12" s="195" t="str">
        <f>X34</f>
        <v>V</v>
      </c>
      <c r="Z12" s="189" t="str">
        <f>U68</f>
        <v>I7 = I8 = I78</v>
      </c>
      <c r="AA12" s="188" t="str">
        <f>V68</f>
        <v xml:space="preserve"> =</v>
      </c>
      <c r="AB12" s="189">
        <f>W68</f>
        <v>4.1069518716577544</v>
      </c>
      <c r="AC12" s="187" t="str">
        <f>X68</f>
        <v>A</v>
      </c>
    </row>
    <row r="13" spans="3:29" ht="24" x14ac:dyDescent="0.65">
      <c r="P13" s="140" t="s">
        <v>342</v>
      </c>
      <c r="Q13" s="139" t="s">
        <v>333</v>
      </c>
      <c r="R13" s="126">
        <v>2</v>
      </c>
      <c r="S13" s="179" t="s">
        <v>322</v>
      </c>
      <c r="U13" s="177" t="str">
        <f>U172</f>
        <v>U9 = U123456789 = U78 = U123456</v>
      </c>
      <c r="V13" s="201" t="str">
        <f>V172</f>
        <v xml:space="preserve"> =</v>
      </c>
      <c r="W13" s="177">
        <f>W172</f>
        <v>4.1069518716577544</v>
      </c>
      <c r="X13" s="195" t="str">
        <f>X172</f>
        <v>V</v>
      </c>
      <c r="Z13" s="189" t="str">
        <f>U65</f>
        <v>I9</v>
      </c>
      <c r="AA13" s="188" t="str">
        <f>V65</f>
        <v xml:space="preserve"> =</v>
      </c>
      <c r="AB13" s="189">
        <f>W65</f>
        <v>2.0534759358288772</v>
      </c>
      <c r="AC13" s="187" t="str">
        <f>X65</f>
        <v>A</v>
      </c>
    </row>
    <row r="14" spans="3:29" ht="24" x14ac:dyDescent="0.65">
      <c r="P14" s="140" t="s">
        <v>343</v>
      </c>
      <c r="Q14" s="139" t="s">
        <v>333</v>
      </c>
      <c r="R14" s="126">
        <v>1</v>
      </c>
      <c r="S14" s="179" t="s">
        <v>322</v>
      </c>
      <c r="U14" s="177" t="str">
        <f>U229</f>
        <v>U10</v>
      </c>
      <c r="V14" s="201" t="str">
        <f>V229</f>
        <v xml:space="preserve"> =</v>
      </c>
      <c r="W14" s="177">
        <f>W229</f>
        <v>7.8930481283422456</v>
      </c>
      <c r="X14" s="195" t="str">
        <f>X229</f>
        <v>V</v>
      </c>
      <c r="Z14" s="189" t="str">
        <f>U273</f>
        <v>I10 = I123456789 = ITot</v>
      </c>
      <c r="AA14" s="188" t="str">
        <f>V273</f>
        <v xml:space="preserve"> =</v>
      </c>
      <c r="AB14" s="189">
        <f>W273</f>
        <v>7.8930481283422456</v>
      </c>
      <c r="AC14" s="187" t="str">
        <f>X273</f>
        <v>A</v>
      </c>
    </row>
    <row r="15" spans="3:29" ht="24" x14ac:dyDescent="0.65">
      <c r="P15" s="174" t="s">
        <v>403</v>
      </c>
      <c r="Q15" s="175" t="s">
        <v>333</v>
      </c>
      <c r="R15" s="176">
        <f>R273</f>
        <v>1.5203252032520327</v>
      </c>
      <c r="S15" s="180" t="s">
        <v>321</v>
      </c>
      <c r="U15" s="141" t="s">
        <v>402</v>
      </c>
      <c r="V15" s="202" t="s">
        <v>333</v>
      </c>
      <c r="W15" s="126">
        <v>12</v>
      </c>
      <c r="X15" s="196" t="s">
        <v>321</v>
      </c>
      <c r="Z15" s="189" t="str">
        <f>U273</f>
        <v>I10 = I123456789 = ITot</v>
      </c>
      <c r="AA15" s="188" t="str">
        <f>V273</f>
        <v xml:space="preserve"> =</v>
      </c>
      <c r="AB15" s="187">
        <f>W273</f>
        <v>7.8930481283422456</v>
      </c>
      <c r="AC15" s="187" t="str">
        <f>X273</f>
        <v>A</v>
      </c>
    </row>
    <row r="16" spans="3:29" x14ac:dyDescent="0.35">
      <c r="G16" s="123"/>
    </row>
    <row r="17" spans="16:24" ht="35.5" customHeight="1" x14ac:dyDescent="0.8">
      <c r="U17" s="131" t="s">
        <v>390</v>
      </c>
      <c r="V17" s="202" t="s">
        <v>333</v>
      </c>
      <c r="W17" s="153" t="s">
        <v>396</v>
      </c>
      <c r="X17" s="5"/>
    </row>
    <row r="18" spans="16:24" ht="35.5" customHeight="1" x14ac:dyDescent="0.8">
      <c r="P18" s="190" t="str">
        <f>P59</f>
        <v>R23</v>
      </c>
      <c r="Q18" s="191" t="str">
        <f>Q59</f>
        <v xml:space="preserve"> =</v>
      </c>
      <c r="R18" s="190">
        <f>R59</f>
        <v>0.33333333333333331</v>
      </c>
      <c r="S18" s="192" t="str">
        <f>S59</f>
        <v>Ω</v>
      </c>
      <c r="U18" s="159" t="s">
        <v>390</v>
      </c>
      <c r="V18" s="203" t="s">
        <v>333</v>
      </c>
      <c r="W18" s="160">
        <f>W62/R6</f>
        <v>0.5133689839572193</v>
      </c>
      <c r="X18" s="160" t="s">
        <v>39</v>
      </c>
    </row>
    <row r="19" spans="16:24" ht="35.5" customHeight="1" x14ac:dyDescent="0.35">
      <c r="P19" s="190" t="str">
        <f>P62</f>
        <v>R45</v>
      </c>
      <c r="Q19" s="191" t="str">
        <f>Q62</f>
        <v xml:space="preserve"> =</v>
      </c>
      <c r="R19" s="190">
        <f>R62</f>
        <v>0.66666666666666663</v>
      </c>
      <c r="S19" s="192" t="str">
        <f>S62</f>
        <v>Ω</v>
      </c>
    </row>
    <row r="20" spans="16:24" ht="35.5" customHeight="1" x14ac:dyDescent="0.8">
      <c r="P20" s="190" t="str">
        <f>P65</f>
        <v>R78</v>
      </c>
      <c r="Q20" s="191" t="str">
        <f>Q65</f>
        <v xml:space="preserve"> =</v>
      </c>
      <c r="R20" s="190">
        <f>R65</f>
        <v>1</v>
      </c>
      <c r="S20" s="192" t="str">
        <f>S65</f>
        <v>Ω</v>
      </c>
      <c r="U20" s="131" t="s">
        <v>391</v>
      </c>
      <c r="V20" s="202" t="s">
        <v>333</v>
      </c>
      <c r="W20" s="153" t="s">
        <v>397</v>
      </c>
      <c r="X20" s="5"/>
    </row>
    <row r="21" spans="16:24" ht="35.5" customHeight="1" x14ac:dyDescent="0.8">
      <c r="U21" s="159" t="s">
        <v>391</v>
      </c>
      <c r="V21" s="203" t="s">
        <v>333</v>
      </c>
      <c r="W21" s="160">
        <f>W62/R7</f>
        <v>0.25668449197860965</v>
      </c>
      <c r="X21" s="160" t="s">
        <v>39</v>
      </c>
    </row>
    <row r="22" spans="16:24" ht="35.5" customHeight="1" x14ac:dyDescent="0.35">
      <c r="P22" s="190" t="str">
        <f>P98</f>
        <v>R123</v>
      </c>
      <c r="Q22" s="191" t="str">
        <f>Q98</f>
        <v xml:space="preserve"> =</v>
      </c>
      <c r="R22" s="190">
        <f>R98</f>
        <v>0.83333333333333326</v>
      </c>
      <c r="S22" s="192" t="str">
        <f>S98</f>
        <v>Ω</v>
      </c>
    </row>
    <row r="23" spans="16:24" ht="35.5" customHeight="1" x14ac:dyDescent="0.8">
      <c r="P23" s="190" t="str">
        <f>P101</f>
        <v>R789</v>
      </c>
      <c r="Q23" s="191" t="str">
        <f>Q101</f>
        <v xml:space="preserve"> =</v>
      </c>
      <c r="R23" s="190">
        <f>R101</f>
        <v>0.66666666666666663</v>
      </c>
      <c r="S23" s="192" t="str">
        <f>S101</f>
        <v>Ω</v>
      </c>
      <c r="U23" s="131" t="s">
        <v>392</v>
      </c>
      <c r="V23" s="202" t="s">
        <v>333</v>
      </c>
      <c r="W23" s="153" t="s">
        <v>398</v>
      </c>
      <c r="X23" s="5"/>
    </row>
    <row r="24" spans="16:24" ht="35.5" customHeight="1" x14ac:dyDescent="0.8">
      <c r="U24" s="159" t="s">
        <v>392</v>
      </c>
      <c r="V24" s="203" t="s">
        <v>333</v>
      </c>
      <c r="W24" s="160">
        <f>W88/R8</f>
        <v>0.64171122994652408</v>
      </c>
      <c r="X24" s="160" t="s">
        <v>39</v>
      </c>
    </row>
    <row r="25" spans="16:24" ht="35.5" customHeight="1" x14ac:dyDescent="0.35">
      <c r="P25" s="190" t="str">
        <f>P141</f>
        <v>R12345</v>
      </c>
      <c r="Q25" s="191" t="str">
        <f>Q141</f>
        <v xml:space="preserve"> =</v>
      </c>
      <c r="R25" s="190">
        <f>R141</f>
        <v>0.37037037037037035</v>
      </c>
      <c r="S25" s="192" t="str">
        <f>S141</f>
        <v>Ω</v>
      </c>
    </row>
    <row r="26" spans="16:24" ht="35.5" customHeight="1" x14ac:dyDescent="0.8">
      <c r="U26" s="131" t="s">
        <v>393</v>
      </c>
      <c r="V26" s="202" t="s">
        <v>333</v>
      </c>
      <c r="W26" s="153" t="s">
        <v>399</v>
      </c>
      <c r="X26" s="5"/>
    </row>
    <row r="27" spans="16:24" ht="35.5" customHeight="1" x14ac:dyDescent="0.8">
      <c r="P27" s="190" t="str">
        <f>P180</f>
        <v>R123456</v>
      </c>
      <c r="Q27" s="191" t="str">
        <f>Q180</f>
        <v xml:space="preserve"> =</v>
      </c>
      <c r="R27" s="190">
        <f>R180</f>
        <v>2.3703703703703702</v>
      </c>
      <c r="S27" s="192" t="str">
        <f>S180</f>
        <v>Ω</v>
      </c>
      <c r="U27" s="159" t="s">
        <v>393</v>
      </c>
      <c r="V27" s="203" t="s">
        <v>333</v>
      </c>
      <c r="W27" s="160">
        <f>W88/R9</f>
        <v>0.32085561497326204</v>
      </c>
      <c r="X27" s="160" t="s">
        <v>39</v>
      </c>
    </row>
    <row r="28" spans="16:24" ht="35.5" customHeight="1" x14ac:dyDescent="0.35"/>
    <row r="29" spans="16:24" ht="35.5" customHeight="1" x14ac:dyDescent="0.35">
      <c r="P29" s="190" t="str">
        <f>P226</f>
        <v>R123456789</v>
      </c>
      <c r="Q29" s="191" t="str">
        <f>Q226</f>
        <v xml:space="preserve"> =</v>
      </c>
      <c r="R29" s="190">
        <f>R226</f>
        <v>0.52032520325203258</v>
      </c>
      <c r="S29" s="192" t="str">
        <f>S226</f>
        <v>Ω</v>
      </c>
    </row>
    <row r="30" spans="16:24" ht="35.5" customHeight="1" x14ac:dyDescent="0.85">
      <c r="U30" s="164" t="s">
        <v>394</v>
      </c>
      <c r="V30" s="202" t="s">
        <v>333</v>
      </c>
      <c r="W30" s="166" t="s">
        <v>400</v>
      </c>
      <c r="X30" s="197"/>
    </row>
    <row r="31" spans="16:24" ht="35.5" customHeight="1" x14ac:dyDescent="0.85">
      <c r="P31" s="190" t="str">
        <f>P273</f>
        <v>RTot</v>
      </c>
      <c r="Q31" s="191" t="str">
        <f>Q273</f>
        <v xml:space="preserve"> =</v>
      </c>
      <c r="R31" s="190">
        <f>R273</f>
        <v>1.5203252032520327</v>
      </c>
      <c r="S31" s="192" t="str">
        <f>S273</f>
        <v>Ω</v>
      </c>
      <c r="U31" s="169" t="s">
        <v>394</v>
      </c>
      <c r="V31" s="203" t="s">
        <v>333</v>
      </c>
      <c r="W31" s="170">
        <f>W68*R11</f>
        <v>2.0534759358288772</v>
      </c>
      <c r="X31" s="170" t="s">
        <v>321</v>
      </c>
    </row>
    <row r="32" spans="16:24" ht="35.5" customHeight="1" x14ac:dyDescent="0.35"/>
    <row r="33" spans="3:24" ht="35.5" customHeight="1" x14ac:dyDescent="0.85">
      <c r="U33" s="164" t="s">
        <v>395</v>
      </c>
      <c r="V33" s="202" t="s">
        <v>333</v>
      </c>
      <c r="W33" s="166" t="s">
        <v>401</v>
      </c>
      <c r="X33" s="197"/>
    </row>
    <row r="34" spans="3:24" ht="35.5" customHeight="1" x14ac:dyDescent="0.85">
      <c r="U34" s="169" t="s">
        <v>395</v>
      </c>
      <c r="V34" s="203" t="s">
        <v>333</v>
      </c>
      <c r="W34" s="170">
        <f>W68*R12</f>
        <v>2.0534759358288772</v>
      </c>
      <c r="X34" s="170" t="s">
        <v>321</v>
      </c>
    </row>
    <row r="35" spans="3:24" ht="35.5" customHeight="1" x14ac:dyDescent="0.35"/>
    <row r="36" spans="3:24" ht="35.5" customHeight="1" x14ac:dyDescent="0.35"/>
    <row r="37" spans="3:24" ht="35.5" customHeight="1" x14ac:dyDescent="0.35"/>
    <row r="38" spans="3:24" ht="35.5" customHeight="1" x14ac:dyDescent="0.35"/>
    <row r="39" spans="3:24" ht="35.5" customHeight="1" x14ac:dyDescent="0.35"/>
    <row r="40" spans="3:24" ht="35.5" customHeight="1" x14ac:dyDescent="0.35"/>
    <row r="41" spans="3:24" ht="13" customHeight="1" x14ac:dyDescent="0.35"/>
    <row r="42" spans="3:24" ht="13" customHeight="1" x14ac:dyDescent="0.35"/>
    <row r="45" spans="3:24" ht="26" x14ac:dyDescent="0.6">
      <c r="C45" s="33" t="s">
        <v>324</v>
      </c>
    </row>
    <row r="46" spans="3:24" x14ac:dyDescent="0.35">
      <c r="R46" s="124"/>
    </row>
    <row r="47" spans="3:24" x14ac:dyDescent="0.35">
      <c r="R47" s="124"/>
    </row>
    <row r="48" spans="3:24" ht="21" x14ac:dyDescent="0.5">
      <c r="P48" s="142" t="str">
        <f t="shared" ref="P48:S51" si="0">P6</f>
        <v>R2</v>
      </c>
      <c r="Q48" s="154" t="str">
        <f t="shared" si="0"/>
        <v xml:space="preserve"> =</v>
      </c>
      <c r="R48" s="142">
        <f t="shared" si="0"/>
        <v>0.5</v>
      </c>
      <c r="S48" s="146" t="str">
        <f t="shared" si="0"/>
        <v>Ω</v>
      </c>
      <c r="U48" s="6" t="str">
        <f>U98</f>
        <v>I1 = I23 = I123</v>
      </c>
      <c r="V48" s="204" t="str">
        <f>V98</f>
        <v xml:space="preserve"> =</v>
      </c>
      <c r="W48" s="6">
        <f>W98</f>
        <v>0.77005347593582896</v>
      </c>
      <c r="X48" s="172" t="str">
        <f>X98</f>
        <v>A</v>
      </c>
    </row>
    <row r="49" spans="16:24" ht="21" x14ac:dyDescent="0.5">
      <c r="P49" s="142" t="str">
        <f t="shared" si="0"/>
        <v>R3</v>
      </c>
      <c r="Q49" s="154" t="str">
        <f t="shared" si="0"/>
        <v xml:space="preserve"> =</v>
      </c>
      <c r="R49" s="142">
        <f t="shared" si="0"/>
        <v>1</v>
      </c>
      <c r="S49" s="146" t="str">
        <f t="shared" si="0"/>
        <v>Ω</v>
      </c>
      <c r="U49" s="167" t="str">
        <f>U226</f>
        <v>U9 = U123456789 = U78 = U123456</v>
      </c>
      <c r="V49" s="205" t="str">
        <f>V226</f>
        <v xml:space="preserve"> =</v>
      </c>
      <c r="W49" s="167">
        <f>W226</f>
        <v>4.1069518716577544</v>
      </c>
      <c r="X49" s="173" t="str">
        <f>X226</f>
        <v>V</v>
      </c>
    </row>
    <row r="50" spans="16:24" ht="21" x14ac:dyDescent="0.5">
      <c r="P50" s="142" t="str">
        <f t="shared" si="0"/>
        <v>R4</v>
      </c>
      <c r="Q50" s="154" t="str">
        <f t="shared" si="0"/>
        <v xml:space="preserve"> =</v>
      </c>
      <c r="R50" s="142">
        <f t="shared" si="0"/>
        <v>1</v>
      </c>
      <c r="S50" s="146" t="str">
        <f t="shared" si="0"/>
        <v>Ω</v>
      </c>
      <c r="U50" s="1" t="str">
        <f>P5</f>
        <v>R1</v>
      </c>
      <c r="V50" s="41" t="str">
        <f>Q5</f>
        <v xml:space="preserve"> =</v>
      </c>
      <c r="W50" s="1">
        <f>R5</f>
        <v>0.5</v>
      </c>
      <c r="X50" t="str">
        <f>S5</f>
        <v>Ω</v>
      </c>
    </row>
    <row r="51" spans="16:24" ht="21" x14ac:dyDescent="0.5">
      <c r="P51" s="142" t="str">
        <f t="shared" si="0"/>
        <v>R5</v>
      </c>
      <c r="Q51" s="154" t="str">
        <f t="shared" si="0"/>
        <v xml:space="preserve"> =</v>
      </c>
      <c r="R51" s="142">
        <f t="shared" si="0"/>
        <v>2</v>
      </c>
      <c r="S51" s="146" t="str">
        <f t="shared" si="0"/>
        <v>Ω</v>
      </c>
      <c r="U51" s="1" t="str">
        <f>P59</f>
        <v>R23</v>
      </c>
      <c r="V51" s="41" t="str">
        <f>Q59</f>
        <v xml:space="preserve"> =</v>
      </c>
      <c r="W51" s="1">
        <f>R59</f>
        <v>0.33333333333333331</v>
      </c>
      <c r="X51" t="str">
        <f>S59</f>
        <v>Ω</v>
      </c>
    </row>
    <row r="52" spans="16:24" ht="21" x14ac:dyDescent="0.5">
      <c r="P52" s="142" t="str">
        <f t="shared" ref="P52:S53" si="1">P11</f>
        <v>R7</v>
      </c>
      <c r="Q52" s="154" t="str">
        <f t="shared" si="1"/>
        <v xml:space="preserve"> =</v>
      </c>
      <c r="R52" s="142">
        <f t="shared" si="1"/>
        <v>0.5</v>
      </c>
      <c r="S52" s="146" t="str">
        <f t="shared" si="1"/>
        <v>Ω</v>
      </c>
      <c r="U52" s="1" t="str">
        <f>P65</f>
        <v>R78</v>
      </c>
      <c r="V52" s="41" t="str">
        <f>Q65</f>
        <v xml:space="preserve"> =</v>
      </c>
      <c r="W52" s="1">
        <f>R65</f>
        <v>1</v>
      </c>
      <c r="X52" t="str">
        <f>S65</f>
        <v>Ω</v>
      </c>
    </row>
    <row r="53" spans="16:24" ht="21" x14ac:dyDescent="0.5">
      <c r="P53" s="142" t="str">
        <f t="shared" si="1"/>
        <v>R8</v>
      </c>
      <c r="Q53" s="154" t="str">
        <f t="shared" si="1"/>
        <v xml:space="preserve"> =</v>
      </c>
      <c r="R53" s="142">
        <f t="shared" si="1"/>
        <v>0.5</v>
      </c>
      <c r="S53" s="146" t="str">
        <f t="shared" si="1"/>
        <v>Ω</v>
      </c>
      <c r="U53" s="1" t="str">
        <f>P13</f>
        <v>R9</v>
      </c>
      <c r="V53" s="41" t="str">
        <f>Q13</f>
        <v xml:space="preserve"> =</v>
      </c>
      <c r="W53" s="1">
        <f>R13</f>
        <v>2</v>
      </c>
      <c r="X53" t="str">
        <f>S13</f>
        <v>Ω</v>
      </c>
    </row>
    <row r="54" spans="16:24" x14ac:dyDescent="0.35">
      <c r="R54" s="124"/>
    </row>
    <row r="55" spans="16:24" x14ac:dyDescent="0.35">
      <c r="R55" s="124"/>
    </row>
    <row r="58" spans="16:24" ht="32.5" x14ac:dyDescent="0.85">
      <c r="P58" s="127" t="s">
        <v>344</v>
      </c>
      <c r="Q58" s="139" t="s">
        <v>333</v>
      </c>
      <c r="R58" s="128" t="s">
        <v>348</v>
      </c>
      <c r="S58" s="181"/>
      <c r="U58" s="164" t="s">
        <v>384</v>
      </c>
      <c r="V58" s="202" t="s">
        <v>333</v>
      </c>
      <c r="W58" s="166" t="s">
        <v>386</v>
      </c>
      <c r="X58" s="197"/>
    </row>
    <row r="59" spans="16:24" ht="32.5" x14ac:dyDescent="0.85">
      <c r="P59" s="143" t="s">
        <v>344</v>
      </c>
      <c r="Q59" s="144" t="s">
        <v>333</v>
      </c>
      <c r="R59" s="145">
        <f>1/(1/R6+1/R7)</f>
        <v>0.33333333333333331</v>
      </c>
      <c r="S59" s="182" t="s">
        <v>322</v>
      </c>
      <c r="U59" s="169" t="s">
        <v>384</v>
      </c>
      <c r="V59" s="203" t="s">
        <v>333</v>
      </c>
      <c r="W59" s="170">
        <f>W48*W50</f>
        <v>0.38502673796791448</v>
      </c>
      <c r="X59" s="170" t="s">
        <v>321</v>
      </c>
    </row>
    <row r="61" spans="16:24" ht="32.5" x14ac:dyDescent="0.85">
      <c r="P61" s="127" t="s">
        <v>345</v>
      </c>
      <c r="Q61" s="139" t="s">
        <v>333</v>
      </c>
      <c r="R61" s="128" t="s">
        <v>349</v>
      </c>
      <c r="S61" s="181"/>
      <c r="U61" s="164" t="s">
        <v>385</v>
      </c>
      <c r="V61" s="202" t="s">
        <v>333</v>
      </c>
      <c r="W61" s="166" t="s">
        <v>387</v>
      </c>
      <c r="X61" s="197"/>
    </row>
    <row r="62" spans="16:24" ht="32.5" x14ac:dyDescent="0.85">
      <c r="P62" s="143" t="s">
        <v>345</v>
      </c>
      <c r="Q62" s="144" t="s">
        <v>333</v>
      </c>
      <c r="R62" s="145">
        <f>1/(1/R8+1/R9)</f>
        <v>0.66666666666666663</v>
      </c>
      <c r="S62" s="182" t="s">
        <v>322</v>
      </c>
      <c r="U62" s="169" t="s">
        <v>409</v>
      </c>
      <c r="V62" s="203" t="s">
        <v>333</v>
      </c>
      <c r="W62" s="170">
        <f>W48*W51</f>
        <v>0.25668449197860965</v>
      </c>
      <c r="X62" s="170" t="s">
        <v>321</v>
      </c>
    </row>
    <row r="64" spans="16:24" ht="30" x14ac:dyDescent="0.8">
      <c r="P64" s="127" t="s">
        <v>346</v>
      </c>
      <c r="Q64" s="139" t="s">
        <v>333</v>
      </c>
      <c r="R64" s="128" t="s">
        <v>350</v>
      </c>
      <c r="S64" s="181"/>
      <c r="U64" s="131" t="s">
        <v>383</v>
      </c>
      <c r="V64" s="202" t="s">
        <v>333</v>
      </c>
      <c r="W64" s="153" t="s">
        <v>388</v>
      </c>
      <c r="X64" s="5"/>
    </row>
    <row r="65" spans="16:24" ht="30" x14ac:dyDescent="0.8">
      <c r="P65" s="143" t="s">
        <v>346</v>
      </c>
      <c r="Q65" s="144" t="s">
        <v>333</v>
      </c>
      <c r="R65" s="145">
        <f>R11+R12</f>
        <v>1</v>
      </c>
      <c r="S65" s="182" t="s">
        <v>322</v>
      </c>
      <c r="U65" s="159" t="s">
        <v>383</v>
      </c>
      <c r="V65" s="203" t="s">
        <v>333</v>
      </c>
      <c r="W65" s="160">
        <f>W49/W53</f>
        <v>2.0534759358288772</v>
      </c>
      <c r="X65" s="160" t="s">
        <v>39</v>
      </c>
    </row>
    <row r="67" spans="16:24" ht="30" x14ac:dyDescent="0.8">
      <c r="U67" s="131" t="s">
        <v>382</v>
      </c>
      <c r="V67" s="202" t="s">
        <v>333</v>
      </c>
      <c r="W67" s="153" t="s">
        <v>389</v>
      </c>
      <c r="X67" s="5"/>
    </row>
    <row r="68" spans="16:24" ht="30" x14ac:dyDescent="0.8">
      <c r="U68" s="159" t="s">
        <v>410</v>
      </c>
      <c r="V68" s="203" t="s">
        <v>333</v>
      </c>
      <c r="W68" s="160">
        <f>W49/W52</f>
        <v>4.1069518716577544</v>
      </c>
      <c r="X68" s="160" t="s">
        <v>39</v>
      </c>
    </row>
    <row r="70" spans="16:24" ht="16" thickBot="1" x14ac:dyDescent="0.4"/>
    <row r="71" spans="16:24" ht="33" thickBot="1" x14ac:dyDescent="0.9">
      <c r="U71" s="138" t="s">
        <v>405</v>
      </c>
      <c r="V71" s="206">
        <f>IF(W59+W62=W88,1,-1)</f>
        <v>1</v>
      </c>
    </row>
    <row r="72" spans="16:24" ht="16" thickBot="1" x14ac:dyDescent="0.4"/>
    <row r="73" spans="16:24" ht="30.5" thickBot="1" x14ac:dyDescent="0.85">
      <c r="U73" s="134" t="s">
        <v>406</v>
      </c>
      <c r="V73" s="207">
        <f>IF(W65+W68=W180,1,-1)</f>
        <v>1</v>
      </c>
    </row>
    <row r="79" spans="16:24" ht="3.65" customHeight="1" x14ac:dyDescent="0.35"/>
    <row r="80" spans="16:24" ht="3.65" customHeight="1" x14ac:dyDescent="0.35"/>
    <row r="81" spans="3:24" ht="3.65" customHeight="1" x14ac:dyDescent="0.35"/>
    <row r="82" spans="3:24" ht="3.65" customHeight="1" x14ac:dyDescent="0.35"/>
    <row r="83" spans="3:24" ht="3.65" customHeight="1" x14ac:dyDescent="0.35"/>
    <row r="88" spans="3:24" ht="26" x14ac:dyDescent="0.6">
      <c r="C88" s="33" t="s">
        <v>329</v>
      </c>
      <c r="P88" s="124" t="str">
        <f>P5</f>
        <v>R1</v>
      </c>
      <c r="Q88" s="151" t="str">
        <f>Q5</f>
        <v xml:space="preserve"> =</v>
      </c>
      <c r="R88" s="124">
        <f>R5</f>
        <v>0.5</v>
      </c>
      <c r="S88" s="147" t="str">
        <f>S5</f>
        <v>Ω</v>
      </c>
      <c r="U88" s="167" t="str">
        <f>U141</f>
        <v>U4 = U5 = U123 = U12345</v>
      </c>
      <c r="V88" s="205" t="str">
        <f>V141</f>
        <v xml:space="preserve"> =</v>
      </c>
      <c r="W88" s="167">
        <f>W141</f>
        <v>0.64171122994652408</v>
      </c>
      <c r="X88" s="173" t="str">
        <f>X141</f>
        <v>V</v>
      </c>
    </row>
    <row r="89" spans="3:24" x14ac:dyDescent="0.35">
      <c r="P89" s="124" t="str">
        <f>P13</f>
        <v>R9</v>
      </c>
      <c r="Q89" s="151" t="str">
        <f>Q13</f>
        <v xml:space="preserve"> =</v>
      </c>
      <c r="R89" s="124">
        <f>R13</f>
        <v>2</v>
      </c>
      <c r="S89" s="147" t="str">
        <f>S13</f>
        <v>Ω</v>
      </c>
      <c r="U89" s="1" t="str">
        <f>P98</f>
        <v>R123</v>
      </c>
      <c r="V89" s="41" t="str">
        <f>Q98</f>
        <v xml:space="preserve"> =</v>
      </c>
      <c r="W89" s="1">
        <f>R98</f>
        <v>0.83333333333333326</v>
      </c>
      <c r="X89" t="str">
        <f>S98</f>
        <v>Ω</v>
      </c>
    </row>
    <row r="90" spans="3:24" x14ac:dyDescent="0.35">
      <c r="P90" s="124" t="str">
        <f>P59</f>
        <v>R23</v>
      </c>
      <c r="Q90" s="151" t="str">
        <f>Q59</f>
        <v xml:space="preserve"> =</v>
      </c>
      <c r="R90" s="124">
        <f>R59</f>
        <v>0.33333333333333331</v>
      </c>
      <c r="S90" s="147" t="str">
        <f>S59</f>
        <v>Ω</v>
      </c>
      <c r="U90" s="1" t="str">
        <f>P135</f>
        <v>R45</v>
      </c>
      <c r="V90" s="41" t="str">
        <f>Q135</f>
        <v xml:space="preserve"> =</v>
      </c>
      <c r="W90" s="1">
        <f>R135</f>
        <v>0.66666666666666663</v>
      </c>
      <c r="X90" t="str">
        <f>S135</f>
        <v>Ω</v>
      </c>
    </row>
    <row r="91" spans="3:24" x14ac:dyDescent="0.35">
      <c r="P91" s="124" t="str">
        <f>P65</f>
        <v>R78</v>
      </c>
      <c r="Q91" s="151" t="str">
        <f>Q65</f>
        <v xml:space="preserve"> =</v>
      </c>
      <c r="R91" s="124">
        <f>R65</f>
        <v>1</v>
      </c>
      <c r="S91" s="147" t="str">
        <f>S65</f>
        <v>Ω</v>
      </c>
    </row>
    <row r="97" spans="16:24" ht="30" x14ac:dyDescent="0.8">
      <c r="P97" s="127" t="s">
        <v>347</v>
      </c>
      <c r="Q97" s="139" t="s">
        <v>333</v>
      </c>
      <c r="R97" s="128" t="s">
        <v>351</v>
      </c>
      <c r="S97" s="181"/>
      <c r="U97" s="131" t="s">
        <v>378</v>
      </c>
      <c r="V97" s="202" t="s">
        <v>333</v>
      </c>
      <c r="W97" s="153" t="s">
        <v>379</v>
      </c>
      <c r="X97" s="5"/>
    </row>
    <row r="98" spans="16:24" ht="30" x14ac:dyDescent="0.8">
      <c r="P98" s="143" t="s">
        <v>347</v>
      </c>
      <c r="Q98" s="144" t="s">
        <v>333</v>
      </c>
      <c r="R98" s="145">
        <f>R90+R88</f>
        <v>0.83333333333333326</v>
      </c>
      <c r="S98" s="182" t="s">
        <v>322</v>
      </c>
      <c r="U98" s="159" t="s">
        <v>413</v>
      </c>
      <c r="V98" s="203" t="s">
        <v>333</v>
      </c>
      <c r="W98" s="160">
        <f>W88/W89</f>
        <v>0.77005347593582896</v>
      </c>
      <c r="X98" s="160" t="s">
        <v>39</v>
      </c>
    </row>
    <row r="100" spans="16:24" ht="30" x14ac:dyDescent="0.8">
      <c r="P100" s="127" t="s">
        <v>352</v>
      </c>
      <c r="Q100" s="139" t="s">
        <v>333</v>
      </c>
      <c r="R100" s="128" t="s">
        <v>353</v>
      </c>
      <c r="S100" s="181"/>
      <c r="U100" s="131" t="s">
        <v>380</v>
      </c>
      <c r="V100" s="202" t="s">
        <v>333</v>
      </c>
      <c r="W100" s="153" t="s">
        <v>381</v>
      </c>
      <c r="X100" s="5"/>
    </row>
    <row r="101" spans="16:24" ht="30" x14ac:dyDescent="0.8">
      <c r="P101" s="143" t="s">
        <v>352</v>
      </c>
      <c r="Q101" s="144" t="s">
        <v>333</v>
      </c>
      <c r="R101" s="145">
        <f>1/(1/R89+1/R91)</f>
        <v>0.66666666666666663</v>
      </c>
      <c r="S101" s="182" t="s">
        <v>322</v>
      </c>
      <c r="U101" s="159" t="s">
        <v>380</v>
      </c>
      <c r="V101" s="203" t="s">
        <v>333</v>
      </c>
      <c r="W101" s="160">
        <f>W88/W90</f>
        <v>0.96256684491978617</v>
      </c>
      <c r="X101" s="160" t="s">
        <v>39</v>
      </c>
    </row>
    <row r="103" spans="16:24" ht="16" thickBot="1" x14ac:dyDescent="0.4"/>
    <row r="104" spans="16:24" ht="30.5" thickBot="1" x14ac:dyDescent="0.85">
      <c r="U104" s="134" t="s">
        <v>404</v>
      </c>
      <c r="V104" s="207">
        <f>IF(W98+W101=W137,1,-1)</f>
        <v>1</v>
      </c>
    </row>
    <row r="114" ht="3.65" customHeight="1" x14ac:dyDescent="0.35"/>
    <row r="115" ht="3.65" customHeight="1" x14ac:dyDescent="0.35"/>
    <row r="116" ht="3.65" customHeight="1" x14ac:dyDescent="0.35"/>
    <row r="117" ht="3.65" customHeight="1" x14ac:dyDescent="0.35"/>
    <row r="118" ht="3.65" customHeight="1" x14ac:dyDescent="0.35"/>
    <row r="119" ht="3.65" customHeight="1" x14ac:dyDescent="0.35"/>
    <row r="120" ht="3.65" customHeight="1" x14ac:dyDescent="0.35"/>
    <row r="121" ht="3.65" customHeight="1" x14ac:dyDescent="0.35"/>
    <row r="122" ht="3.65" customHeight="1" x14ac:dyDescent="0.35"/>
    <row r="123" ht="3.65" customHeight="1" x14ac:dyDescent="0.35"/>
    <row r="124" ht="3.65" customHeight="1" x14ac:dyDescent="0.35"/>
    <row r="125" ht="3.65" customHeight="1" x14ac:dyDescent="0.35"/>
    <row r="126" ht="3.65" customHeight="1" x14ac:dyDescent="0.35"/>
    <row r="127" ht="3.65" customHeight="1" x14ac:dyDescent="0.35"/>
    <row r="130" spans="3:24" ht="26" x14ac:dyDescent="0.6">
      <c r="C130" s="33" t="s">
        <v>328</v>
      </c>
    </row>
    <row r="134" spans="3:24" ht="28.5" x14ac:dyDescent="0.65">
      <c r="T134" s="136"/>
    </row>
    <row r="135" spans="3:24" ht="28.5" x14ac:dyDescent="0.65">
      <c r="P135" s="124" t="str">
        <f>P62</f>
        <v>R45</v>
      </c>
      <c r="Q135" s="151" t="str">
        <f>Q62</f>
        <v xml:space="preserve"> =</v>
      </c>
      <c r="R135" s="124">
        <f>R62</f>
        <v>0.66666666666666663</v>
      </c>
      <c r="S135" s="147" t="str">
        <f>S62</f>
        <v>Ω</v>
      </c>
      <c r="T135" s="136"/>
      <c r="U135" s="1" t="str">
        <f>P141</f>
        <v>R12345</v>
      </c>
      <c r="V135" s="41" t="str">
        <f>Q141</f>
        <v xml:space="preserve"> =</v>
      </c>
      <c r="W135" s="1">
        <f>R141</f>
        <v>0.37037037037037035</v>
      </c>
      <c r="X135" t="str">
        <f>S141</f>
        <v>Ω</v>
      </c>
    </row>
    <row r="136" spans="3:24" ht="28.5" x14ac:dyDescent="0.65">
      <c r="P136" s="124" t="str">
        <f>P98</f>
        <v>R123</v>
      </c>
      <c r="Q136" s="151" t="str">
        <f>Q98</f>
        <v xml:space="preserve"> =</v>
      </c>
      <c r="R136" s="124">
        <f>R98</f>
        <v>0.83333333333333326</v>
      </c>
      <c r="S136" s="147" t="str">
        <f>S98</f>
        <v>Ω</v>
      </c>
      <c r="T136" s="136"/>
      <c r="U136" s="1" t="str">
        <f>P172</f>
        <v>R6</v>
      </c>
      <c r="V136" s="41" t="str">
        <f>Q172</f>
        <v xml:space="preserve"> =</v>
      </c>
      <c r="W136" s="1">
        <f>R172</f>
        <v>2</v>
      </c>
      <c r="X136" t="str">
        <f>S172</f>
        <v>Ω</v>
      </c>
    </row>
    <row r="137" spans="3:24" ht="28.5" x14ac:dyDescent="0.65">
      <c r="P137" s="137"/>
      <c r="Q137" s="152"/>
      <c r="R137" s="136"/>
      <c r="S137" s="171"/>
      <c r="T137" s="136"/>
      <c r="U137" s="6" t="str">
        <f>U183</f>
        <v>I6 = I12345 = I123456</v>
      </c>
      <c r="V137" s="204" t="str">
        <f>V183</f>
        <v xml:space="preserve"> =</v>
      </c>
      <c r="W137" s="6">
        <f>W183</f>
        <v>1.7326203208556152</v>
      </c>
      <c r="X137" s="172" t="str">
        <f>X183</f>
        <v>A</v>
      </c>
    </row>
    <row r="140" spans="3:24" ht="32.5" x14ac:dyDescent="0.85">
      <c r="P140" s="135" t="s">
        <v>354</v>
      </c>
      <c r="Q140" s="139" t="s">
        <v>333</v>
      </c>
      <c r="R140" s="128" t="s">
        <v>355</v>
      </c>
      <c r="S140" s="183"/>
      <c r="U140" s="164" t="s">
        <v>375</v>
      </c>
      <c r="V140" s="202" t="s">
        <v>333</v>
      </c>
      <c r="W140" s="166" t="s">
        <v>369</v>
      </c>
      <c r="X140" s="197"/>
    </row>
    <row r="141" spans="3:24" ht="32.5" x14ac:dyDescent="0.85">
      <c r="P141" s="148" t="s">
        <v>354</v>
      </c>
      <c r="Q141" s="144" t="s">
        <v>333</v>
      </c>
      <c r="R141" s="149">
        <f>1/(1/R135+1/R136)</f>
        <v>0.37037037037037035</v>
      </c>
      <c r="S141" s="184" t="s">
        <v>322</v>
      </c>
      <c r="U141" s="169" t="s">
        <v>408</v>
      </c>
      <c r="V141" s="203" t="s">
        <v>333</v>
      </c>
      <c r="W141" s="170">
        <f>W137*W135</f>
        <v>0.64171122994652408</v>
      </c>
      <c r="X141" s="170" t="s">
        <v>321</v>
      </c>
    </row>
    <row r="143" spans="3:24" ht="32.5" x14ac:dyDescent="0.85">
      <c r="U143" s="164" t="s">
        <v>376</v>
      </c>
      <c r="V143" s="202" t="s">
        <v>333</v>
      </c>
      <c r="W143" s="166" t="s">
        <v>371</v>
      </c>
      <c r="X143" s="197"/>
    </row>
    <row r="144" spans="3:24" ht="32.5" x14ac:dyDescent="0.85">
      <c r="U144" s="169" t="s">
        <v>376</v>
      </c>
      <c r="V144" s="203" t="s">
        <v>333</v>
      </c>
      <c r="W144" s="170">
        <f>W137*W136</f>
        <v>3.4652406417112305</v>
      </c>
      <c r="X144" s="170" t="s">
        <v>321</v>
      </c>
    </row>
    <row r="145" spans="21:24" ht="29" thickBot="1" x14ac:dyDescent="0.7">
      <c r="W145" s="157"/>
      <c r="X145" s="136"/>
    </row>
    <row r="146" spans="21:24" ht="33" thickBot="1" x14ac:dyDescent="0.9">
      <c r="U146" s="138" t="s">
        <v>377</v>
      </c>
      <c r="V146" s="206">
        <f>IF(W144+W141=W172,1,-1)</f>
        <v>1</v>
      </c>
    </row>
    <row r="155" spans="21:24" ht="5.15" customHeight="1" x14ac:dyDescent="0.35"/>
    <row r="156" spans="21:24" ht="5.15" customHeight="1" x14ac:dyDescent="0.35"/>
    <row r="157" spans="21:24" ht="5.15" customHeight="1" x14ac:dyDescent="0.35"/>
    <row r="158" spans="21:24" ht="5.15" customHeight="1" x14ac:dyDescent="0.35"/>
    <row r="159" spans="21:24" ht="5.15" customHeight="1" x14ac:dyDescent="0.35"/>
    <row r="160" spans="21:24" ht="5.15" customHeight="1" x14ac:dyDescent="0.35"/>
    <row r="161" spans="3:24" ht="5.15" customHeight="1" x14ac:dyDescent="0.35"/>
    <row r="162" spans="3:24" ht="5.15" customHeight="1" x14ac:dyDescent="0.35"/>
    <row r="163" spans="3:24" ht="5.15" customHeight="1" x14ac:dyDescent="0.35"/>
    <row r="164" spans="3:24" ht="5.15" customHeight="1" x14ac:dyDescent="0.35"/>
    <row r="165" spans="3:24" ht="5.15" customHeight="1" x14ac:dyDescent="0.35"/>
    <row r="166" spans="3:24" ht="5.15" customHeight="1" x14ac:dyDescent="0.35"/>
    <row r="167" spans="3:24" ht="5.15" customHeight="1" x14ac:dyDescent="0.35"/>
    <row r="170" spans="3:24" ht="26" x14ac:dyDescent="0.6">
      <c r="C170" s="33" t="s">
        <v>327</v>
      </c>
    </row>
    <row r="171" spans="3:24" x14ac:dyDescent="0.35">
      <c r="E171" s="172">
        <f>$W$273</f>
        <v>7.8930481283422456</v>
      </c>
    </row>
    <row r="172" spans="3:24" ht="18.649999999999999" customHeight="1" x14ac:dyDescent="0.6">
      <c r="P172" s="124" t="str">
        <f>P10</f>
        <v>R6</v>
      </c>
      <c r="Q172" s="151" t="str">
        <f>Q10</f>
        <v xml:space="preserve"> =</v>
      </c>
      <c r="R172" s="124">
        <f>R10</f>
        <v>2</v>
      </c>
      <c r="S172" s="147" t="str">
        <f>S10</f>
        <v>Ω</v>
      </c>
      <c r="T172" s="132"/>
      <c r="U172" s="167" t="str">
        <f>U226</f>
        <v>U9 = U123456789 = U78 = U123456</v>
      </c>
      <c r="V172" s="205" t="str">
        <f>V226</f>
        <v xml:space="preserve"> =</v>
      </c>
      <c r="W172" s="167">
        <f>W226</f>
        <v>4.1069518716577544</v>
      </c>
      <c r="X172" s="173" t="str">
        <f>X226</f>
        <v>V</v>
      </c>
    </row>
    <row r="173" spans="3:24" ht="26" x14ac:dyDescent="0.6">
      <c r="P173" s="124" t="str">
        <f>P141</f>
        <v>R12345</v>
      </c>
      <c r="Q173" s="151" t="str">
        <f>Q141</f>
        <v xml:space="preserve"> =</v>
      </c>
      <c r="R173" s="124">
        <f>R141</f>
        <v>0.37037037037037035</v>
      </c>
      <c r="S173" s="147" t="str">
        <f>S141</f>
        <v>Ω</v>
      </c>
      <c r="T173" s="132"/>
      <c r="U173" s="1" t="str">
        <f>P180</f>
        <v>R123456</v>
      </c>
      <c r="V173" s="41" t="str">
        <f>Q180</f>
        <v xml:space="preserve"> =</v>
      </c>
      <c r="W173" s="1">
        <f>R180</f>
        <v>2.3703703703703702</v>
      </c>
      <c r="X173" t="str">
        <f>S180</f>
        <v>Ω</v>
      </c>
    </row>
    <row r="174" spans="3:24" x14ac:dyDescent="0.35">
      <c r="U174" s="1" t="str">
        <f>P217</f>
        <v>R789</v>
      </c>
      <c r="V174" s="41" t="str">
        <f>Q217</f>
        <v xml:space="preserve"> =</v>
      </c>
      <c r="W174" s="1">
        <f>R217</f>
        <v>0.66666666666666663</v>
      </c>
      <c r="X174" t="str">
        <f>S217</f>
        <v>Ω</v>
      </c>
    </row>
    <row r="175" spans="3:24" x14ac:dyDescent="0.35">
      <c r="U175" s="1" t="str">
        <f>P267</f>
        <v>R10</v>
      </c>
      <c r="V175" s="41" t="str">
        <f>Q267</f>
        <v xml:space="preserve"> =</v>
      </c>
      <c r="W175" s="1">
        <f>R267</f>
        <v>1</v>
      </c>
      <c r="X175" t="str">
        <f>S267</f>
        <v>Ω</v>
      </c>
    </row>
    <row r="176" spans="3:24" x14ac:dyDescent="0.35">
      <c r="U176" s="6" t="str">
        <f>U217</f>
        <v>I10 = I123456789 = ITot</v>
      </c>
      <c r="V176" s="204" t="str">
        <f>V217</f>
        <v xml:space="preserve"> =</v>
      </c>
      <c r="W176" s="6">
        <f>W217</f>
        <v>7.8930481283422456</v>
      </c>
      <c r="X176" s="172" t="str">
        <f>X217</f>
        <v>A</v>
      </c>
    </row>
    <row r="177" spans="4:24" x14ac:dyDescent="0.35">
      <c r="F177" s="167"/>
    </row>
    <row r="178" spans="4:24" x14ac:dyDescent="0.35">
      <c r="F178" s="167">
        <f>$W$226</f>
        <v>4.1069518716577544</v>
      </c>
      <c r="I178" s="167">
        <f>$W$226</f>
        <v>4.1069518716577544</v>
      </c>
    </row>
    <row r="179" spans="4:24" ht="30" x14ac:dyDescent="0.8">
      <c r="D179" s="173">
        <f>$W$229</f>
        <v>7.8930481283422456</v>
      </c>
      <c r="P179" s="129" t="s">
        <v>356</v>
      </c>
      <c r="Q179" s="139" t="s">
        <v>333</v>
      </c>
      <c r="R179" s="130" t="s">
        <v>357</v>
      </c>
      <c r="S179" s="185"/>
      <c r="U179" s="131" t="s">
        <v>366</v>
      </c>
      <c r="V179" s="202" t="s">
        <v>333</v>
      </c>
      <c r="W179" s="153" t="s">
        <v>365</v>
      </c>
      <c r="X179" s="198"/>
    </row>
    <row r="180" spans="4:24" ht="30" x14ac:dyDescent="0.8">
      <c r="P180" s="155" t="s">
        <v>356</v>
      </c>
      <c r="Q180" s="144" t="s">
        <v>333</v>
      </c>
      <c r="R180" s="156">
        <f>R172+R173</f>
        <v>2.3703703703703702</v>
      </c>
      <c r="S180" s="186" t="s">
        <v>322</v>
      </c>
      <c r="U180" s="159" t="s">
        <v>366</v>
      </c>
      <c r="V180" s="203" t="s">
        <v>333</v>
      </c>
      <c r="W180" s="160">
        <f>W172/W174</f>
        <v>6.1604278074866317</v>
      </c>
      <c r="X180" s="160" t="s">
        <v>39</v>
      </c>
    </row>
    <row r="182" spans="4:24" ht="30" x14ac:dyDescent="0.8">
      <c r="U182" s="131" t="s">
        <v>368</v>
      </c>
      <c r="V182" s="202" t="s">
        <v>333</v>
      </c>
      <c r="W182" s="153" t="s">
        <v>367</v>
      </c>
      <c r="X182" s="198"/>
    </row>
    <row r="183" spans="4:24" ht="30" x14ac:dyDescent="0.8">
      <c r="U183" s="159" t="s">
        <v>412</v>
      </c>
      <c r="V183" s="203" t="s">
        <v>333</v>
      </c>
      <c r="W183" s="160">
        <f>W172/W173</f>
        <v>1.7326203208556152</v>
      </c>
      <c r="X183" s="160" t="s">
        <v>39</v>
      </c>
    </row>
    <row r="185" spans="4:24" ht="16" thickBot="1" x14ac:dyDescent="0.4"/>
    <row r="186" spans="4:24" ht="30.5" thickBot="1" x14ac:dyDescent="0.85">
      <c r="U186" s="134" t="s">
        <v>330</v>
      </c>
      <c r="V186" s="207">
        <f>IF(W180+W183=W273,1,-1)</f>
        <v>1</v>
      </c>
      <c r="W186" s="178"/>
      <c r="X186" s="194"/>
    </row>
    <row r="187" spans="4:24" ht="26" x14ac:dyDescent="0.6">
      <c r="G187" s="172">
        <f>W180</f>
        <v>6.1604278074866317</v>
      </c>
      <c r="I187" s="172">
        <f>$W$183</f>
        <v>1.7326203208556152</v>
      </c>
      <c r="U187" s="193"/>
      <c r="V187" s="208"/>
      <c r="W187" s="194"/>
      <c r="X187" s="194"/>
    </row>
    <row r="188" spans="4:24" ht="26" x14ac:dyDescent="0.6">
      <c r="W188" s="158"/>
      <c r="X188" s="132"/>
    </row>
    <row r="194" ht="8.15" customHeight="1" x14ac:dyDescent="0.35"/>
    <row r="195" ht="8.15" customHeight="1" x14ac:dyDescent="0.35"/>
    <row r="196" ht="8.15" customHeight="1" x14ac:dyDescent="0.35"/>
    <row r="197" ht="8.15" customHeight="1" x14ac:dyDescent="0.35"/>
    <row r="198" ht="8.15" customHeight="1" x14ac:dyDescent="0.35"/>
    <row r="199" ht="8.15" customHeight="1" x14ac:dyDescent="0.35"/>
    <row r="200" ht="8.15" customHeight="1" x14ac:dyDescent="0.35"/>
    <row r="201" ht="8.15" customHeight="1" x14ac:dyDescent="0.35"/>
    <row r="202" ht="8.15" customHeight="1" x14ac:dyDescent="0.35"/>
    <row r="203" ht="8.15" customHeight="1" x14ac:dyDescent="0.35"/>
    <row r="204" ht="8.15" customHeight="1" x14ac:dyDescent="0.35"/>
    <row r="205" ht="8.15" customHeight="1" x14ac:dyDescent="0.35"/>
    <row r="206" ht="8.15" customHeight="1" x14ac:dyDescent="0.35"/>
    <row r="207" ht="8.15" customHeight="1" x14ac:dyDescent="0.35"/>
    <row r="213" spans="3:24" ht="26" x14ac:dyDescent="0.6">
      <c r="C213" s="33" t="s">
        <v>326</v>
      </c>
    </row>
    <row r="217" spans="3:24" x14ac:dyDescent="0.35">
      <c r="P217" s="124" t="str">
        <f>P101</f>
        <v>R789</v>
      </c>
      <c r="Q217" s="151" t="str">
        <f>Q101</f>
        <v xml:space="preserve"> =</v>
      </c>
      <c r="R217" s="124">
        <f>R101</f>
        <v>0.66666666666666663</v>
      </c>
      <c r="S217" s="147" t="str">
        <f>S101</f>
        <v>Ω</v>
      </c>
      <c r="U217" s="6" t="str">
        <f>U273</f>
        <v>I10 = I123456789 = ITot</v>
      </c>
      <c r="V217" s="204" t="str">
        <f>V273</f>
        <v xml:space="preserve"> =</v>
      </c>
      <c r="W217" s="6">
        <f>W273</f>
        <v>7.8930481283422456</v>
      </c>
      <c r="X217" s="172" t="str">
        <f>X273</f>
        <v>A</v>
      </c>
    </row>
    <row r="218" spans="3:24" x14ac:dyDescent="0.35">
      <c r="P218" s="124" t="str">
        <f>P180</f>
        <v>R123456</v>
      </c>
      <c r="Q218" s="151" t="str">
        <f>Q180</f>
        <v xml:space="preserve"> =</v>
      </c>
      <c r="R218" s="124">
        <f>R180</f>
        <v>2.3703703703703702</v>
      </c>
      <c r="S218" s="147" t="str">
        <f>S180</f>
        <v>Ω</v>
      </c>
      <c r="U218" s="1" t="str">
        <f>P226</f>
        <v>R123456789</v>
      </c>
      <c r="V218" s="41" t="str">
        <f>Q226</f>
        <v xml:space="preserve"> =</v>
      </c>
      <c r="W218" s="1">
        <f>R226</f>
        <v>0.52032520325203258</v>
      </c>
      <c r="X218" t="str">
        <f>S226</f>
        <v>Ω</v>
      </c>
    </row>
    <row r="219" spans="3:24" x14ac:dyDescent="0.35">
      <c r="H219" s="172">
        <f>$W$273</f>
        <v>7.8930481283422456</v>
      </c>
      <c r="U219" s="1" t="str">
        <f>P267</f>
        <v>R10</v>
      </c>
      <c r="V219" s="41" t="str">
        <f>Q267</f>
        <v xml:space="preserve"> =</v>
      </c>
      <c r="W219" s="1">
        <f>R267</f>
        <v>1</v>
      </c>
      <c r="X219" t="str">
        <f>S267</f>
        <v>Ω</v>
      </c>
    </row>
    <row r="221" spans="3:24" x14ac:dyDescent="0.35">
      <c r="D221" s="173">
        <f>$W$229</f>
        <v>7.8930481283422456</v>
      </c>
    </row>
    <row r="225" spans="9:24" ht="30" x14ac:dyDescent="0.8">
      <c r="I225" s="167">
        <f>$W$226</f>
        <v>4.1069518716577544</v>
      </c>
      <c r="P225" s="129" t="s">
        <v>358</v>
      </c>
      <c r="Q225" s="139" t="s">
        <v>333</v>
      </c>
      <c r="R225" s="130" t="s">
        <v>359</v>
      </c>
      <c r="S225" s="185"/>
      <c r="T225" s="132"/>
      <c r="U225" s="161" t="s">
        <v>373</v>
      </c>
      <c r="V225" s="202" t="s">
        <v>333</v>
      </c>
      <c r="W225" s="165" t="s">
        <v>363</v>
      </c>
      <c r="X225" s="199"/>
    </row>
    <row r="226" spans="9:24" ht="30" x14ac:dyDescent="0.8">
      <c r="P226" s="155" t="s">
        <v>358</v>
      </c>
      <c r="Q226" s="144" t="s">
        <v>333</v>
      </c>
      <c r="R226" s="156">
        <f>1/(1/R217+1/R218)</f>
        <v>0.52032520325203258</v>
      </c>
      <c r="S226" s="186" t="s">
        <v>322</v>
      </c>
      <c r="T226" s="132"/>
      <c r="U226" s="162" t="s">
        <v>407</v>
      </c>
      <c r="V226" s="203" t="s">
        <v>333</v>
      </c>
      <c r="W226" s="163">
        <f>W218*W217</f>
        <v>4.1069518716577544</v>
      </c>
      <c r="X226" s="163" t="s">
        <v>321</v>
      </c>
    </row>
    <row r="227" spans="9:24" ht="26" x14ac:dyDescent="0.6">
      <c r="P227" s="133"/>
      <c r="Q227" s="178"/>
      <c r="R227" s="132"/>
      <c r="S227" s="150"/>
      <c r="T227" s="132"/>
    </row>
    <row r="228" spans="9:24" ht="30" x14ac:dyDescent="0.8">
      <c r="P228" s="133"/>
      <c r="Q228" s="178"/>
      <c r="R228" s="132"/>
      <c r="S228" s="150"/>
      <c r="T228" s="132"/>
      <c r="U228" s="161" t="s">
        <v>372</v>
      </c>
      <c r="V228" s="202" t="s">
        <v>333</v>
      </c>
      <c r="W228" s="153" t="s">
        <v>364</v>
      </c>
      <c r="X228" s="199"/>
    </row>
    <row r="229" spans="9:24" ht="30" x14ac:dyDescent="0.8">
      <c r="U229" s="162" t="s">
        <v>372</v>
      </c>
      <c r="V229" s="203" t="s">
        <v>333</v>
      </c>
      <c r="W229" s="163">
        <f>W217*W219</f>
        <v>7.8930481283422456</v>
      </c>
      <c r="X229" s="163" t="s">
        <v>321</v>
      </c>
    </row>
    <row r="230" spans="9:24" ht="26" x14ac:dyDescent="0.6">
      <c r="W230" s="158"/>
      <c r="X230" s="132"/>
    </row>
    <row r="231" spans="9:24" ht="16" thickBot="1" x14ac:dyDescent="0.4"/>
    <row r="232" spans="9:24" ht="30.5" thickBot="1" x14ac:dyDescent="0.85">
      <c r="U232" s="134" t="s">
        <v>374</v>
      </c>
      <c r="V232" s="207">
        <f>IF(W226+W229=W267,1,-1)</f>
        <v>1</v>
      </c>
    </row>
    <row r="239" spans="9:24" ht="4" customHeight="1" x14ac:dyDescent="0.35"/>
    <row r="240" spans="9:24" ht="4" customHeight="1" x14ac:dyDescent="0.35"/>
    <row r="241" ht="4" customHeight="1" x14ac:dyDescent="0.35"/>
    <row r="242" ht="4" customHeight="1" x14ac:dyDescent="0.35"/>
    <row r="243" ht="4" customHeight="1" x14ac:dyDescent="0.35"/>
    <row r="244" ht="4" customHeight="1" x14ac:dyDescent="0.35"/>
    <row r="245" ht="4" customHeight="1" x14ac:dyDescent="0.35"/>
    <row r="246" ht="4" customHeight="1" x14ac:dyDescent="0.35"/>
    <row r="247" ht="4" customHeight="1" x14ac:dyDescent="0.35"/>
    <row r="248" ht="4" customHeight="1" x14ac:dyDescent="0.35"/>
    <row r="249" ht="4" customHeight="1" x14ac:dyDescent="0.35"/>
    <row r="250" ht="4" customHeight="1" x14ac:dyDescent="0.35"/>
    <row r="251" ht="4" customHeight="1" x14ac:dyDescent="0.35"/>
    <row r="252" ht="4" customHeight="1" x14ac:dyDescent="0.35"/>
    <row r="253" ht="4" customHeight="1" x14ac:dyDescent="0.35"/>
    <row r="254" ht="4" customHeight="1" x14ac:dyDescent="0.35"/>
    <row r="255" ht="4" customHeight="1" x14ac:dyDescent="0.35"/>
    <row r="257" spans="3:24" ht="26" x14ac:dyDescent="0.6">
      <c r="C257" s="33" t="s">
        <v>325</v>
      </c>
    </row>
    <row r="258" spans="3:24" ht="6.65" customHeight="1" x14ac:dyDescent="0.35"/>
    <row r="259" spans="3:24" ht="6.65" customHeight="1" x14ac:dyDescent="0.35"/>
    <row r="260" spans="3:24" ht="6.65" customHeight="1" x14ac:dyDescent="0.35"/>
    <row r="261" spans="3:24" ht="6.65" customHeight="1" x14ac:dyDescent="0.35"/>
    <row r="262" spans="3:24" ht="6.65" customHeight="1" x14ac:dyDescent="0.35"/>
    <row r="263" spans="3:24" ht="7" customHeight="1" x14ac:dyDescent="0.35"/>
    <row r="264" spans="3:24" ht="7" customHeight="1" x14ac:dyDescent="0.35"/>
    <row r="265" spans="3:24" ht="7" customHeight="1" x14ac:dyDescent="0.35"/>
    <row r="267" spans="3:24" x14ac:dyDescent="0.35">
      <c r="P267" s="124" t="str">
        <f>P14</f>
        <v>R10</v>
      </c>
      <c r="Q267" s="151" t="str">
        <f>Q14</f>
        <v xml:space="preserve"> =</v>
      </c>
      <c r="R267" s="124">
        <f>R14</f>
        <v>1</v>
      </c>
      <c r="S267" s="147" t="str">
        <f>S14</f>
        <v>Ω</v>
      </c>
      <c r="U267" s="167" t="str">
        <f>U15</f>
        <v>UTot</v>
      </c>
      <c r="V267" s="205" t="str">
        <f>V15</f>
        <v xml:space="preserve"> =</v>
      </c>
      <c r="W267" s="167">
        <f>W15</f>
        <v>12</v>
      </c>
      <c r="X267" s="173" t="str">
        <f>X15</f>
        <v>V</v>
      </c>
    </row>
    <row r="268" spans="3:24" x14ac:dyDescent="0.35">
      <c r="H268" s="172">
        <f>$W$273</f>
        <v>7.8930481283422456</v>
      </c>
      <c r="P268" s="124" t="str">
        <f>P226</f>
        <v>R123456789</v>
      </c>
      <c r="Q268" s="151" t="str">
        <f>Q226</f>
        <v xml:space="preserve"> =</v>
      </c>
      <c r="R268" s="124">
        <f>R226</f>
        <v>0.52032520325203258</v>
      </c>
      <c r="S268" s="147" t="str">
        <f>S226</f>
        <v>Ω</v>
      </c>
      <c r="U268" s="1" t="str">
        <f>P273</f>
        <v>RTot</v>
      </c>
      <c r="V268" s="41" t="str">
        <f>Q273</f>
        <v xml:space="preserve"> =</v>
      </c>
      <c r="W268" s="1">
        <f>R273</f>
        <v>1.5203252032520327</v>
      </c>
      <c r="X268" t="str">
        <f>S273</f>
        <v>Ω</v>
      </c>
    </row>
    <row r="272" spans="3:24" ht="30" x14ac:dyDescent="0.8">
      <c r="P272" s="129" t="s">
        <v>362</v>
      </c>
      <c r="Q272" s="139" t="s">
        <v>333</v>
      </c>
      <c r="R272" s="130" t="s">
        <v>360</v>
      </c>
      <c r="S272" s="185"/>
      <c r="U272" s="131" t="s">
        <v>361</v>
      </c>
      <c r="V272" s="202" t="s">
        <v>333</v>
      </c>
      <c r="W272" s="153" t="s">
        <v>370</v>
      </c>
      <c r="X272" s="200"/>
    </row>
    <row r="273" spans="9:24" ht="30" x14ac:dyDescent="0.8">
      <c r="I273" s="168">
        <f>W267</f>
        <v>12</v>
      </c>
      <c r="P273" s="155" t="s">
        <v>362</v>
      </c>
      <c r="Q273" s="144" t="s">
        <v>333</v>
      </c>
      <c r="R273" s="156">
        <f>R267+R268</f>
        <v>1.5203252032520327</v>
      </c>
      <c r="S273" s="186" t="s">
        <v>322</v>
      </c>
      <c r="U273" s="159" t="s">
        <v>411</v>
      </c>
      <c r="V273" s="209" t="s">
        <v>333</v>
      </c>
      <c r="W273" s="160">
        <f>W267/W268</f>
        <v>7.8930481283422456</v>
      </c>
      <c r="X273" s="160" t="s">
        <v>39</v>
      </c>
    </row>
  </sheetData>
  <phoneticPr fontId="37" type="noConversion"/>
  <pageMargins left="0.7" right="0.7" top="0.78740157499999996" bottom="0.78740157499999996" header="0.3" footer="0.3"/>
  <pageSetup paperSize="9" scale="29" fitToHeight="0" orientation="landscape" r:id="rId1"/>
  <rowBreaks count="6" manualBreakCount="6">
    <brk id="42" max="16383" man="1"/>
    <brk id="84" max="16383" man="1"/>
    <brk id="128" max="16383" man="1"/>
    <brk id="168" max="16383" man="1"/>
    <brk id="208" max="16383" man="1"/>
    <brk id="254" max="16383" man="1"/>
  </rowBreaks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2936F2A5-8C1D-40CF-BBEB-88B8D834F6E4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V71</xm:sqref>
        </x14:conditionalFormatting>
        <x14:conditionalFormatting xmlns:xm="http://schemas.microsoft.com/office/excel/2006/main">
          <x14:cfRule type="iconSet" priority="1" id="{682C245C-22CA-4DE8-918D-2E0FF5E833D6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V73</xm:sqref>
        </x14:conditionalFormatting>
        <x14:conditionalFormatting xmlns:xm="http://schemas.microsoft.com/office/excel/2006/main">
          <x14:cfRule type="iconSet" priority="3" id="{F101D5F7-D8FC-46EB-B942-4BC484C320B8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V104</xm:sqref>
        </x14:conditionalFormatting>
        <x14:conditionalFormatting xmlns:xm="http://schemas.microsoft.com/office/excel/2006/main">
          <x14:cfRule type="iconSet" priority="5" id="{32AB14EA-5B3A-42DB-B05D-966679FDE6AD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V146 W145</xm:sqref>
        </x14:conditionalFormatting>
        <x14:conditionalFormatting xmlns:xm="http://schemas.microsoft.com/office/excel/2006/main">
          <x14:cfRule type="iconSet" priority="6" id="{05FC7307-54D5-4D5F-9882-B7C2DE9B3333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V186 W188</xm:sqref>
        </x14:conditionalFormatting>
        <x14:conditionalFormatting xmlns:xm="http://schemas.microsoft.com/office/excel/2006/main">
          <x14:cfRule type="iconSet" priority="4" id="{3AAAB7CD-4632-4DFF-946B-879C4481A55A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W230 V232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95E31-BD52-49B7-B221-15FC507F40B8}">
  <dimension ref="C2"/>
  <sheetViews>
    <sheetView showGridLines="0" workbookViewId="0"/>
  </sheetViews>
  <sheetFormatPr baseColWidth="10" defaultRowHeight="14.5" x14ac:dyDescent="0.35"/>
  <sheetData>
    <row r="2" spans="3:3" ht="23.5" x14ac:dyDescent="0.55000000000000004">
      <c r="C2" s="11" t="s">
        <v>490</v>
      </c>
    </row>
  </sheetData>
  <pageMargins left="0.7" right="0.7" top="0.78740157499999996" bottom="0.78740157499999996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0D7C9-FA96-41B1-AAEB-6B6309042A17}">
  <dimension ref="C2:M89"/>
  <sheetViews>
    <sheetView showGridLines="0" workbookViewId="0"/>
  </sheetViews>
  <sheetFormatPr baseColWidth="10" defaultRowHeight="14.5" x14ac:dyDescent="0.35"/>
  <sheetData>
    <row r="2" spans="3:3" ht="23.5" x14ac:dyDescent="0.55000000000000004">
      <c r="C2" s="11" t="s">
        <v>491</v>
      </c>
    </row>
    <row r="21" spans="3:13" ht="15" thickBot="1" x14ac:dyDescent="0.4"/>
    <row r="22" spans="3:13" ht="16.5" x14ac:dyDescent="0.45">
      <c r="C22" s="265" t="s">
        <v>500</v>
      </c>
      <c r="D22" s="266" t="s">
        <v>416</v>
      </c>
      <c r="E22" s="266" t="s">
        <v>417</v>
      </c>
      <c r="F22" s="266" t="s">
        <v>492</v>
      </c>
      <c r="G22" s="266" t="s">
        <v>493</v>
      </c>
      <c r="H22" s="267" t="s">
        <v>494</v>
      </c>
      <c r="L22" t="s">
        <v>511</v>
      </c>
      <c r="M22" t="s">
        <v>512</v>
      </c>
    </row>
    <row r="23" spans="3:13" x14ac:dyDescent="0.35">
      <c r="C23" s="268" t="s">
        <v>496</v>
      </c>
      <c r="D23" s="4">
        <v>0</v>
      </c>
      <c r="E23" s="4">
        <v>0</v>
      </c>
      <c r="F23" s="81">
        <f>D23*E24</f>
        <v>0</v>
      </c>
      <c r="G23" s="81">
        <f>D24*E23</f>
        <v>0</v>
      </c>
      <c r="H23" s="272">
        <f>F23-G23</f>
        <v>0</v>
      </c>
      <c r="L23">
        <f>D23+D24</f>
        <v>4</v>
      </c>
    </row>
    <row r="24" spans="3:13" x14ac:dyDescent="0.35">
      <c r="C24" s="268" t="s">
        <v>497</v>
      </c>
      <c r="D24" s="4">
        <v>4</v>
      </c>
      <c r="E24" s="4">
        <v>0</v>
      </c>
      <c r="F24" s="81">
        <f>D24*E25</f>
        <v>12</v>
      </c>
      <c r="G24" s="81">
        <f>D25*E24</f>
        <v>0</v>
      </c>
      <c r="H24" s="272">
        <f>F24-G24</f>
        <v>12</v>
      </c>
    </row>
    <row r="25" spans="3:13" x14ac:dyDescent="0.35">
      <c r="C25" s="268" t="s">
        <v>498</v>
      </c>
      <c r="D25" s="4">
        <v>2</v>
      </c>
      <c r="E25" s="4">
        <v>3</v>
      </c>
      <c r="F25" s="81">
        <f t="shared" ref="F25:F36" si="0">D25*E26</f>
        <v>6</v>
      </c>
      <c r="G25" s="81">
        <f t="shared" ref="G25:G36" si="1">D26*E25</f>
        <v>3</v>
      </c>
      <c r="H25" s="272">
        <f t="shared" ref="H25:H36" si="2">F25-G25</f>
        <v>3</v>
      </c>
    </row>
    <row r="26" spans="3:13" x14ac:dyDescent="0.35">
      <c r="C26" s="268" t="s">
        <v>499</v>
      </c>
      <c r="D26" s="4">
        <v>1</v>
      </c>
      <c r="E26" s="4">
        <v>3</v>
      </c>
      <c r="F26" s="81">
        <f t="shared" si="0"/>
        <v>0</v>
      </c>
      <c r="G26" s="81">
        <f t="shared" si="1"/>
        <v>0</v>
      </c>
      <c r="H26" s="272">
        <f t="shared" si="2"/>
        <v>0</v>
      </c>
    </row>
    <row r="27" spans="3:13" x14ac:dyDescent="0.35">
      <c r="C27" s="268" t="s">
        <v>501</v>
      </c>
      <c r="D27" s="4">
        <v>0</v>
      </c>
      <c r="E27" s="4">
        <v>0</v>
      </c>
      <c r="F27" s="81">
        <f t="shared" si="0"/>
        <v>0</v>
      </c>
      <c r="G27" s="81">
        <f t="shared" si="1"/>
        <v>0</v>
      </c>
      <c r="H27" s="272">
        <f t="shared" si="2"/>
        <v>0</v>
      </c>
    </row>
    <row r="28" spans="3:13" x14ac:dyDescent="0.35">
      <c r="C28" s="268" t="s">
        <v>502</v>
      </c>
      <c r="D28" s="4">
        <v>0</v>
      </c>
      <c r="E28" s="4">
        <v>0</v>
      </c>
      <c r="F28" s="81">
        <f t="shared" si="0"/>
        <v>0</v>
      </c>
      <c r="G28" s="81">
        <f t="shared" si="1"/>
        <v>0</v>
      </c>
      <c r="H28" s="272">
        <f t="shared" si="2"/>
        <v>0</v>
      </c>
    </row>
    <row r="29" spans="3:13" x14ac:dyDescent="0.35">
      <c r="C29" s="268" t="s">
        <v>503</v>
      </c>
      <c r="D29" s="4">
        <v>0</v>
      </c>
      <c r="E29" s="4">
        <v>0</v>
      </c>
      <c r="F29" s="81">
        <f t="shared" si="0"/>
        <v>0</v>
      </c>
      <c r="G29" s="81">
        <f t="shared" si="1"/>
        <v>0</v>
      </c>
      <c r="H29" s="272">
        <f t="shared" si="2"/>
        <v>0</v>
      </c>
    </row>
    <row r="30" spans="3:13" x14ac:dyDescent="0.35">
      <c r="C30" s="268" t="s">
        <v>504</v>
      </c>
      <c r="D30" s="4">
        <v>0</v>
      </c>
      <c r="E30" s="4">
        <v>0</v>
      </c>
      <c r="F30" s="81">
        <f t="shared" si="0"/>
        <v>0</v>
      </c>
      <c r="G30" s="81">
        <f t="shared" si="1"/>
        <v>0</v>
      </c>
      <c r="H30" s="272">
        <f t="shared" si="2"/>
        <v>0</v>
      </c>
    </row>
    <row r="31" spans="3:13" x14ac:dyDescent="0.35">
      <c r="C31" s="268" t="s">
        <v>505</v>
      </c>
      <c r="D31" s="4">
        <v>0</v>
      </c>
      <c r="E31" s="4">
        <v>0</v>
      </c>
      <c r="F31" s="81">
        <f t="shared" si="0"/>
        <v>0</v>
      </c>
      <c r="G31" s="81">
        <f t="shared" si="1"/>
        <v>0</v>
      </c>
      <c r="H31" s="272">
        <f t="shared" si="2"/>
        <v>0</v>
      </c>
    </row>
    <row r="32" spans="3:13" x14ac:dyDescent="0.35">
      <c r="C32" s="268" t="s">
        <v>506</v>
      </c>
      <c r="D32" s="4">
        <v>0</v>
      </c>
      <c r="E32" s="4">
        <v>0</v>
      </c>
      <c r="F32" s="81">
        <f t="shared" si="0"/>
        <v>0</v>
      </c>
      <c r="G32" s="81">
        <f t="shared" si="1"/>
        <v>0</v>
      </c>
      <c r="H32" s="272">
        <f t="shared" si="2"/>
        <v>0</v>
      </c>
    </row>
    <row r="33" spans="3:12" x14ac:dyDescent="0.35">
      <c r="C33" s="268" t="s">
        <v>507</v>
      </c>
      <c r="D33" s="4">
        <v>0</v>
      </c>
      <c r="E33" s="4">
        <v>0</v>
      </c>
      <c r="F33" s="81">
        <f t="shared" si="0"/>
        <v>0</v>
      </c>
      <c r="G33" s="81">
        <f t="shared" si="1"/>
        <v>0</v>
      </c>
      <c r="H33" s="272">
        <f t="shared" si="2"/>
        <v>0</v>
      </c>
    </row>
    <row r="34" spans="3:12" x14ac:dyDescent="0.35">
      <c r="C34" s="268" t="s">
        <v>508</v>
      </c>
      <c r="D34" s="4">
        <v>0</v>
      </c>
      <c r="E34" s="4">
        <v>0</v>
      </c>
      <c r="F34" s="81">
        <f t="shared" si="0"/>
        <v>0</v>
      </c>
      <c r="G34" s="81">
        <f t="shared" si="1"/>
        <v>0</v>
      </c>
      <c r="H34" s="272">
        <f t="shared" si="2"/>
        <v>0</v>
      </c>
    </row>
    <row r="35" spans="3:12" x14ac:dyDescent="0.35">
      <c r="C35" s="268" t="s">
        <v>509</v>
      </c>
      <c r="D35" s="4">
        <v>0</v>
      </c>
      <c r="E35" s="4">
        <v>0</v>
      </c>
      <c r="F35" s="81">
        <f t="shared" si="0"/>
        <v>0</v>
      </c>
      <c r="G35" s="81">
        <f t="shared" si="1"/>
        <v>0</v>
      </c>
      <c r="H35" s="272">
        <f t="shared" si="2"/>
        <v>0</v>
      </c>
    </row>
    <row r="36" spans="3:12" x14ac:dyDescent="0.35">
      <c r="C36" s="268" t="s">
        <v>510</v>
      </c>
      <c r="D36" s="4">
        <v>0</v>
      </c>
      <c r="E36" s="4">
        <v>0</v>
      </c>
      <c r="F36" s="81">
        <f t="shared" si="0"/>
        <v>0</v>
      </c>
      <c r="G36" s="81">
        <f t="shared" si="1"/>
        <v>0</v>
      </c>
      <c r="H36" s="272">
        <f t="shared" si="2"/>
        <v>0</v>
      </c>
    </row>
    <row r="37" spans="3:12" ht="19" thickBot="1" x14ac:dyDescent="0.5">
      <c r="C37" s="269" t="s">
        <v>495</v>
      </c>
      <c r="D37" s="270"/>
      <c r="E37" s="270"/>
      <c r="F37" s="270"/>
      <c r="G37" s="270"/>
      <c r="H37" s="271">
        <f>ABS(SUM(H23:H36))/2</f>
        <v>7.5</v>
      </c>
    </row>
    <row r="38" spans="3:12" x14ac:dyDescent="0.35">
      <c r="C38" s="1"/>
    </row>
    <row r="39" spans="3:12" x14ac:dyDescent="0.35">
      <c r="C39" s="1"/>
    </row>
    <row r="40" spans="3:12" x14ac:dyDescent="0.35">
      <c r="C40" s="1"/>
    </row>
    <row r="41" spans="3:12" x14ac:dyDescent="0.35">
      <c r="C41" s="1"/>
    </row>
    <row r="42" spans="3:12" x14ac:dyDescent="0.35">
      <c r="C42" s="1"/>
      <c r="D42" s="274" t="s">
        <v>513</v>
      </c>
      <c r="E42" s="274"/>
      <c r="F42" s="274"/>
      <c r="G42" s="274"/>
      <c r="H42" s="274"/>
      <c r="I42" s="274"/>
      <c r="J42" s="274"/>
      <c r="K42" s="273"/>
      <c r="L42" s="273"/>
    </row>
    <row r="43" spans="3:12" x14ac:dyDescent="0.35">
      <c r="D43" s="274" t="s">
        <v>514</v>
      </c>
      <c r="E43" s="274"/>
      <c r="F43" s="274"/>
      <c r="G43" s="274"/>
      <c r="H43" s="274"/>
      <c r="I43" s="274"/>
      <c r="J43" s="274"/>
      <c r="K43" s="273"/>
      <c r="L43" s="273"/>
    </row>
    <row r="44" spans="3:12" x14ac:dyDescent="0.35">
      <c r="D44" s="274" t="s">
        <v>515</v>
      </c>
      <c r="E44" s="274"/>
      <c r="F44" s="274"/>
      <c r="G44" s="274"/>
      <c r="H44" s="274"/>
      <c r="I44" s="274"/>
      <c r="J44" s="274"/>
      <c r="K44" s="273"/>
      <c r="L44" s="273"/>
    </row>
    <row r="45" spans="3:12" x14ac:dyDescent="0.35">
      <c r="D45" s="274" t="s">
        <v>516</v>
      </c>
      <c r="E45" s="274"/>
      <c r="F45" s="274"/>
      <c r="G45" s="274"/>
      <c r="H45" s="274"/>
      <c r="I45" s="274"/>
      <c r="J45" s="274"/>
      <c r="K45" s="273"/>
      <c r="L45" s="273"/>
    </row>
    <row r="46" spans="3:12" x14ac:dyDescent="0.35">
      <c r="D46" s="274" t="s">
        <v>517</v>
      </c>
      <c r="E46" s="274"/>
      <c r="F46" s="274"/>
      <c r="G46" s="274"/>
      <c r="H46" s="274"/>
      <c r="I46" s="274"/>
      <c r="J46" s="274"/>
      <c r="K46" s="273"/>
      <c r="L46" s="273"/>
    </row>
    <row r="47" spans="3:12" x14ac:dyDescent="0.35">
      <c r="D47" s="274" t="s">
        <v>518</v>
      </c>
      <c r="E47" s="274"/>
      <c r="F47" s="274"/>
      <c r="G47" s="274"/>
      <c r="H47" s="274"/>
      <c r="I47" s="274"/>
      <c r="J47" s="274"/>
      <c r="K47" s="273"/>
      <c r="L47" s="273"/>
    </row>
    <row r="48" spans="3:12" x14ac:dyDescent="0.35">
      <c r="D48" s="274" t="s">
        <v>519</v>
      </c>
      <c r="E48" s="274"/>
      <c r="F48" s="274"/>
      <c r="G48" s="274"/>
      <c r="H48" s="274"/>
      <c r="I48" s="274"/>
      <c r="J48" s="274"/>
      <c r="K48" s="273"/>
      <c r="L48" s="273"/>
    </row>
    <row r="49" spans="4:12" x14ac:dyDescent="0.35">
      <c r="D49" s="274" t="s">
        <v>520</v>
      </c>
      <c r="E49" s="274"/>
      <c r="F49" s="274"/>
      <c r="G49" s="274"/>
      <c r="H49" s="274"/>
      <c r="I49" s="274"/>
      <c r="J49" s="274"/>
      <c r="K49" s="273"/>
      <c r="L49" s="273"/>
    </row>
    <row r="50" spans="4:12" x14ac:dyDescent="0.35">
      <c r="D50" s="274" t="s">
        <v>521</v>
      </c>
      <c r="E50" s="274"/>
      <c r="F50" s="274"/>
      <c r="G50" s="274"/>
      <c r="H50" s="274"/>
      <c r="I50" s="274"/>
      <c r="J50" s="274"/>
      <c r="K50" s="273"/>
      <c r="L50" s="273"/>
    </row>
    <row r="51" spans="4:12" x14ac:dyDescent="0.35">
      <c r="D51" s="274" t="s">
        <v>522</v>
      </c>
      <c r="E51" s="274"/>
      <c r="F51" s="274"/>
      <c r="G51" s="274"/>
      <c r="H51" s="274"/>
      <c r="I51" s="274"/>
      <c r="J51" s="274"/>
      <c r="K51" s="273"/>
      <c r="L51" s="273"/>
    </row>
    <row r="52" spans="4:12" x14ac:dyDescent="0.35">
      <c r="D52" s="274" t="s">
        <v>514</v>
      </c>
      <c r="E52" s="274"/>
      <c r="F52" s="274"/>
      <c r="G52" s="274"/>
      <c r="H52" s="274"/>
      <c r="I52" s="274"/>
      <c r="J52" s="274"/>
      <c r="K52" s="273"/>
      <c r="L52" s="273"/>
    </row>
    <row r="53" spans="4:12" x14ac:dyDescent="0.35">
      <c r="D53" s="274" t="s">
        <v>523</v>
      </c>
      <c r="E53" s="274"/>
      <c r="F53" s="274"/>
      <c r="G53" s="274"/>
      <c r="H53" s="274"/>
      <c r="I53" s="274"/>
      <c r="J53" s="274"/>
      <c r="K53" s="273"/>
      <c r="L53" s="273"/>
    </row>
    <row r="54" spans="4:12" x14ac:dyDescent="0.35">
      <c r="D54" s="274" t="s">
        <v>524</v>
      </c>
      <c r="E54" s="274"/>
      <c r="F54" s="274"/>
      <c r="G54" s="274"/>
      <c r="H54" s="274"/>
      <c r="I54" s="274"/>
      <c r="J54" s="274"/>
      <c r="K54" s="273"/>
      <c r="L54" s="273"/>
    </row>
    <row r="55" spans="4:12" x14ac:dyDescent="0.35">
      <c r="D55" s="274" t="s">
        <v>525</v>
      </c>
      <c r="E55" s="274"/>
      <c r="F55" s="274"/>
      <c r="G55" s="274"/>
      <c r="H55" s="274"/>
      <c r="I55" s="274"/>
      <c r="J55" s="274"/>
      <c r="K55" s="273"/>
      <c r="L55" s="273"/>
    </row>
    <row r="56" spans="4:12" x14ac:dyDescent="0.35">
      <c r="D56" s="274"/>
      <c r="E56" s="274"/>
      <c r="F56" s="274"/>
      <c r="G56" s="274"/>
      <c r="H56" s="274"/>
      <c r="I56" s="274"/>
      <c r="J56" s="274"/>
      <c r="K56" s="273"/>
      <c r="L56" s="273"/>
    </row>
    <row r="57" spans="4:12" x14ac:dyDescent="0.35">
      <c r="D57" s="274" t="s">
        <v>526</v>
      </c>
      <c r="E57" s="274"/>
      <c r="F57" s="274"/>
      <c r="G57" s="274"/>
      <c r="H57" s="274"/>
      <c r="I57" s="274"/>
      <c r="J57" s="274"/>
      <c r="K57" s="273"/>
      <c r="L57" s="273"/>
    </row>
    <row r="58" spans="4:12" x14ac:dyDescent="0.35">
      <c r="D58" s="274" t="s">
        <v>527</v>
      </c>
      <c r="E58" s="274"/>
      <c r="F58" s="274"/>
      <c r="G58" s="274"/>
      <c r="H58" s="274"/>
      <c r="I58" s="274"/>
      <c r="J58" s="274"/>
      <c r="K58" s="273"/>
      <c r="L58" s="273"/>
    </row>
    <row r="59" spans="4:12" x14ac:dyDescent="0.35">
      <c r="D59" s="274"/>
      <c r="E59" s="274"/>
      <c r="F59" s="274"/>
      <c r="G59" s="274"/>
      <c r="H59" s="274"/>
      <c r="I59" s="274"/>
      <c r="J59" s="274"/>
      <c r="K59" s="273"/>
      <c r="L59" s="273"/>
    </row>
    <row r="60" spans="4:12" x14ac:dyDescent="0.35">
      <c r="D60" s="274" t="s">
        <v>528</v>
      </c>
      <c r="E60" s="274"/>
      <c r="F60" s="274"/>
      <c r="G60" s="274"/>
      <c r="H60" s="274"/>
      <c r="I60" s="274"/>
      <c r="J60" s="274"/>
      <c r="K60" s="273"/>
      <c r="L60" s="273"/>
    </row>
    <row r="61" spans="4:12" x14ac:dyDescent="0.35">
      <c r="D61" s="274" t="s">
        <v>529</v>
      </c>
      <c r="E61" s="274"/>
      <c r="F61" s="274"/>
      <c r="G61" s="274"/>
      <c r="H61" s="274"/>
      <c r="I61" s="274"/>
      <c r="J61" s="274"/>
      <c r="K61" s="273"/>
      <c r="L61" s="273"/>
    </row>
    <row r="62" spans="4:12" x14ac:dyDescent="0.35">
      <c r="D62" s="274" t="s">
        <v>530</v>
      </c>
      <c r="E62" s="274"/>
      <c r="F62" s="274"/>
      <c r="G62" s="274"/>
      <c r="H62" s="274"/>
      <c r="I62" s="274"/>
      <c r="J62" s="274"/>
      <c r="K62" s="273"/>
      <c r="L62" s="273"/>
    </row>
    <row r="63" spans="4:12" x14ac:dyDescent="0.35">
      <c r="D63" s="274"/>
      <c r="E63" s="274"/>
      <c r="F63" s="274"/>
      <c r="G63" s="274"/>
      <c r="H63" s="274"/>
      <c r="I63" s="274"/>
      <c r="J63" s="274"/>
      <c r="K63" s="273"/>
      <c r="L63" s="273"/>
    </row>
    <row r="64" spans="4:12" x14ac:dyDescent="0.35">
      <c r="D64" s="274" t="s">
        <v>531</v>
      </c>
      <c r="E64" s="274"/>
      <c r="F64" s="274"/>
      <c r="G64" s="274"/>
      <c r="H64" s="274"/>
      <c r="I64" s="274"/>
      <c r="J64" s="274"/>
      <c r="K64" s="273"/>
      <c r="L64" s="273"/>
    </row>
    <row r="65" spans="4:12" x14ac:dyDescent="0.35">
      <c r="D65" s="274" t="s">
        <v>532</v>
      </c>
      <c r="E65" s="274"/>
      <c r="F65" s="274"/>
      <c r="G65" s="274"/>
      <c r="H65" s="274"/>
      <c r="I65" s="274"/>
      <c r="J65" s="274"/>
      <c r="K65" s="273"/>
      <c r="L65" s="273"/>
    </row>
    <row r="66" spans="4:12" x14ac:dyDescent="0.35">
      <c r="D66" s="274" t="s">
        <v>533</v>
      </c>
      <c r="E66" s="274"/>
      <c r="F66" s="274"/>
      <c r="G66" s="274"/>
      <c r="H66" s="274"/>
      <c r="I66" s="274"/>
      <c r="J66" s="274"/>
      <c r="K66" s="273"/>
      <c r="L66" s="273"/>
    </row>
    <row r="67" spans="4:12" x14ac:dyDescent="0.35">
      <c r="D67" s="274" t="s">
        <v>534</v>
      </c>
      <c r="E67" s="274"/>
      <c r="F67" s="274"/>
      <c r="G67" s="274"/>
      <c r="H67" s="274"/>
      <c r="I67" s="274"/>
      <c r="J67" s="274"/>
      <c r="K67" s="273"/>
      <c r="L67" s="273"/>
    </row>
    <row r="68" spans="4:12" x14ac:dyDescent="0.35">
      <c r="D68" s="274" t="s">
        <v>535</v>
      </c>
      <c r="E68" s="274"/>
      <c r="F68" s="274"/>
      <c r="G68" s="274"/>
      <c r="H68" s="274"/>
      <c r="I68" s="274"/>
      <c r="J68" s="274"/>
      <c r="K68" s="273"/>
      <c r="L68" s="273"/>
    </row>
    <row r="69" spans="4:12" x14ac:dyDescent="0.35">
      <c r="D69" s="274" t="s">
        <v>536</v>
      </c>
      <c r="E69" s="274"/>
      <c r="F69" s="274"/>
      <c r="G69" s="274"/>
      <c r="H69" s="274"/>
      <c r="I69" s="274"/>
      <c r="J69" s="274"/>
      <c r="K69" s="273"/>
      <c r="L69" s="273"/>
    </row>
    <row r="70" spans="4:12" x14ac:dyDescent="0.35">
      <c r="D70" s="274" t="s">
        <v>537</v>
      </c>
      <c r="E70" s="274"/>
      <c r="F70" s="274"/>
      <c r="G70" s="274"/>
      <c r="H70" s="274"/>
      <c r="I70" s="274"/>
      <c r="J70" s="274"/>
      <c r="K70" s="273"/>
      <c r="L70" s="273"/>
    </row>
    <row r="71" spans="4:12" x14ac:dyDescent="0.35">
      <c r="D71" s="274"/>
      <c r="E71" s="274"/>
      <c r="F71" s="274"/>
      <c r="G71" s="274"/>
      <c r="H71" s="274"/>
      <c r="I71" s="274"/>
      <c r="J71" s="274"/>
      <c r="K71" s="273"/>
      <c r="L71" s="273"/>
    </row>
    <row r="72" spans="4:12" x14ac:dyDescent="0.35">
      <c r="D72" s="274" t="s">
        <v>538</v>
      </c>
      <c r="E72" s="274"/>
      <c r="F72" s="274"/>
      <c r="G72" s="274"/>
      <c r="H72" s="274"/>
      <c r="I72" s="274"/>
      <c r="J72" s="274"/>
      <c r="K72" s="273"/>
      <c r="L72" s="273"/>
    </row>
    <row r="73" spans="4:12" x14ac:dyDescent="0.35">
      <c r="D73" s="274" t="s">
        <v>539</v>
      </c>
      <c r="E73" s="274"/>
      <c r="F73" s="274"/>
      <c r="G73" s="274"/>
      <c r="H73" s="274"/>
      <c r="I73" s="274"/>
      <c r="J73" s="274"/>
      <c r="K73" s="273"/>
      <c r="L73" s="273"/>
    </row>
    <row r="74" spans="4:12" x14ac:dyDescent="0.35">
      <c r="D74" s="274" t="s">
        <v>540</v>
      </c>
      <c r="E74" s="274"/>
      <c r="F74" s="274"/>
      <c r="G74" s="274"/>
      <c r="H74" s="274"/>
      <c r="I74" s="274"/>
      <c r="J74" s="274"/>
      <c r="K74" s="273"/>
      <c r="L74" s="273"/>
    </row>
    <row r="75" spans="4:12" x14ac:dyDescent="0.35">
      <c r="D75" s="274" t="s">
        <v>516</v>
      </c>
      <c r="E75" s="274"/>
      <c r="F75" s="274"/>
      <c r="G75" s="274"/>
      <c r="H75" s="274"/>
      <c r="I75" s="274"/>
      <c r="J75" s="274"/>
      <c r="K75" s="273"/>
      <c r="L75" s="273"/>
    </row>
    <row r="76" spans="4:12" x14ac:dyDescent="0.35">
      <c r="D76" s="274" t="s">
        <v>541</v>
      </c>
      <c r="E76" s="274"/>
      <c r="F76" s="274"/>
      <c r="G76" s="274"/>
      <c r="H76" s="274"/>
      <c r="I76" s="274"/>
      <c r="J76" s="274"/>
      <c r="K76" s="273"/>
      <c r="L76" s="273"/>
    </row>
    <row r="77" spans="4:12" x14ac:dyDescent="0.35">
      <c r="D77" s="274" t="s">
        <v>542</v>
      </c>
      <c r="E77" s="274"/>
      <c r="F77" s="274"/>
      <c r="G77" s="274"/>
      <c r="H77" s="274"/>
      <c r="I77" s="274"/>
      <c r="J77" s="274"/>
      <c r="K77" s="273"/>
      <c r="L77" s="273"/>
    </row>
    <row r="78" spans="4:12" x14ac:dyDescent="0.35">
      <c r="D78" s="274"/>
      <c r="E78" s="274"/>
      <c r="F78" s="274"/>
      <c r="G78" s="274"/>
      <c r="H78" s="274"/>
      <c r="I78" s="274"/>
      <c r="J78" s="274"/>
      <c r="K78" s="273"/>
      <c r="L78" s="273"/>
    </row>
    <row r="79" spans="4:12" x14ac:dyDescent="0.35">
      <c r="D79" s="274" t="s">
        <v>543</v>
      </c>
      <c r="E79" s="274"/>
      <c r="F79" s="274"/>
      <c r="G79" s="274"/>
      <c r="H79" s="274"/>
      <c r="I79" s="274"/>
      <c r="J79" s="274"/>
      <c r="K79" s="273"/>
      <c r="L79" s="273"/>
    </row>
    <row r="80" spans="4:12" x14ac:dyDescent="0.35">
      <c r="D80" s="274"/>
      <c r="E80" s="274"/>
      <c r="F80" s="274"/>
      <c r="G80" s="274"/>
      <c r="H80" s="274"/>
      <c r="I80" s="274"/>
      <c r="J80" s="274"/>
      <c r="K80" s="273"/>
      <c r="L80" s="273"/>
    </row>
    <row r="82" spans="4:12" x14ac:dyDescent="0.35">
      <c r="D82" s="274" t="s">
        <v>544</v>
      </c>
      <c r="E82" s="274"/>
      <c r="F82" s="274"/>
      <c r="G82" s="274"/>
      <c r="H82" s="274"/>
      <c r="I82" s="274"/>
      <c r="J82" s="274"/>
      <c r="K82" s="274"/>
      <c r="L82" s="274"/>
    </row>
    <row r="83" spans="4:12" x14ac:dyDescent="0.35">
      <c r="D83" s="274" t="s">
        <v>545</v>
      </c>
      <c r="E83" s="274"/>
      <c r="F83" s="274"/>
      <c r="G83" s="274"/>
      <c r="H83" s="274"/>
      <c r="I83" s="274"/>
      <c r="J83" s="274"/>
      <c r="K83" s="274"/>
      <c r="L83" s="274"/>
    </row>
    <row r="84" spans="4:12" x14ac:dyDescent="0.35">
      <c r="D84" s="274"/>
      <c r="E84" s="274"/>
      <c r="F84" s="274"/>
      <c r="G84" s="274"/>
      <c r="H84" s="274"/>
      <c r="I84" s="274"/>
      <c r="J84" s="274"/>
      <c r="K84" s="274"/>
      <c r="L84" s="274"/>
    </row>
    <row r="85" spans="4:12" x14ac:dyDescent="0.35">
      <c r="D85" s="274" t="s">
        <v>546</v>
      </c>
      <c r="E85" s="274"/>
      <c r="F85" s="274"/>
      <c r="G85" s="274"/>
      <c r="H85" s="274"/>
      <c r="I85" s="274"/>
      <c r="J85" s="274"/>
      <c r="K85" s="274"/>
      <c r="L85" s="274"/>
    </row>
    <row r="86" spans="4:12" x14ac:dyDescent="0.35">
      <c r="D86" s="274" t="s">
        <v>547</v>
      </c>
      <c r="E86" s="274"/>
      <c r="F86" s="274"/>
      <c r="G86" s="274"/>
      <c r="H86" s="274"/>
      <c r="I86" s="274"/>
      <c r="J86" s="274"/>
      <c r="K86" s="274"/>
      <c r="L86" s="274"/>
    </row>
    <row r="88" spans="4:12" x14ac:dyDescent="0.35">
      <c r="D88" s="274" t="s">
        <v>548</v>
      </c>
      <c r="E88" s="273"/>
      <c r="F88" s="273"/>
      <c r="G88" s="273"/>
      <c r="H88" s="273"/>
      <c r="I88" s="273"/>
      <c r="J88" s="273"/>
      <c r="K88" s="273"/>
      <c r="L88" s="273"/>
    </row>
    <row r="89" spans="4:12" x14ac:dyDescent="0.35">
      <c r="D89" s="274" t="s">
        <v>549</v>
      </c>
      <c r="E89" s="273"/>
      <c r="F89" s="273"/>
      <c r="G89" s="273"/>
      <c r="H89" s="273"/>
      <c r="I89" s="273"/>
      <c r="J89" s="273"/>
      <c r="K89" s="273"/>
      <c r="L89" s="273"/>
    </row>
  </sheetData>
  <phoneticPr fontId="37" type="noConversion"/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25</vt:i4>
      </vt:variant>
    </vt:vector>
  </HeadingPairs>
  <TitlesOfParts>
    <vt:vector size="25" baseType="lpstr">
      <vt:lpstr>TOC</vt:lpstr>
      <vt:lpstr>Einheitenvorsätze</vt:lpstr>
      <vt:lpstr>Elektronische Schaltzeichen</vt:lpstr>
      <vt:lpstr>LCR-Glieder</vt:lpstr>
      <vt:lpstr>Quelle mit Innenwiderstand</vt:lpstr>
      <vt:lpstr>Leistung bei Wechselstrom</vt:lpstr>
      <vt:lpstr>Schiefeebene</vt:lpstr>
      <vt:lpstr>Schiefe-Ebene (alt)</vt:lpstr>
      <vt:lpstr>Sinus_Cosinus</vt:lpstr>
      <vt:lpstr>Vektoroperationen</vt:lpstr>
      <vt:lpstr>VektorZeitbereich</vt:lpstr>
      <vt:lpstr>Geburtstagsliste</vt:lpstr>
      <vt:lpstr>Einheiten umrechnen</vt:lpstr>
      <vt:lpstr>Flächenberechnungen</vt:lpstr>
      <vt:lpstr>Kinematik_1</vt:lpstr>
      <vt:lpstr>Kinematik_1 (Weg-Zeit)</vt:lpstr>
      <vt:lpstr>Kinematik_2</vt:lpstr>
      <vt:lpstr>Kinematik_2_Berechnungen</vt:lpstr>
      <vt:lpstr>Kinematik_2 (Weg-Zeit)</vt:lpstr>
      <vt:lpstr>Fourierreihe</vt:lpstr>
      <vt:lpstr>Scheinleistung</vt:lpstr>
      <vt:lpstr>3-Phasenstrom</vt:lpstr>
      <vt:lpstr>Gemischte Schaltung</vt:lpstr>
      <vt:lpstr>Theoreme</vt:lpstr>
      <vt:lpstr>Fläche eines Polygones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Landwirtschaft</dc:creator>
  <cp:lastModifiedBy>Walter Rothlin</cp:lastModifiedBy>
  <cp:lastPrinted>2025-06-12T05:29:37Z</cp:lastPrinted>
  <dcterms:created xsi:type="dcterms:W3CDTF">2015-06-05T18:19:34Z</dcterms:created>
  <dcterms:modified xsi:type="dcterms:W3CDTF">2025-12-11T16:25:11Z</dcterms:modified>
</cp:coreProperties>
</file>