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BerufsschuleUster\Infomatik-Module\100_Daten\Beispiele_Datenfiles\"/>
    </mc:Choice>
  </mc:AlternateContent>
  <bookViews>
    <workbookView xWindow="0" yWindow="0" windowWidth="21570" windowHeight="9660" activeTab="4"/>
  </bookViews>
  <sheets>
    <sheet name="Aufgaben" sheetId="2" r:id="rId1"/>
    <sheet name="FormelnFuerDatenaufbereitung_L" sheetId="7" r:id="rId2"/>
    <sheet name="Potenzen_L" sheetId="8" r:id="rId3"/>
    <sheet name="QuadratischeFunktion_L" sheetId="9" r:id="rId4"/>
    <sheet name="TXT_Daten_L" sheetId="10" r:id="rId5"/>
    <sheet name="VBA_L" sheetId="3" r:id="rId6"/>
    <sheet name="StringOpsFormeln" sheetId="6" r:id="rId7"/>
  </sheets>
  <functionGroups builtInGroupCount="18"/>
  <calcPr calcId="152511"/>
</workbook>
</file>

<file path=xl/calcChain.xml><?xml version="1.0" encoding="utf-8"?>
<calcChain xmlns="http://schemas.openxmlformats.org/spreadsheetml/2006/main">
  <c r="D3" i="9" l="1"/>
  <c r="E3" i="9"/>
  <c r="F3" i="9"/>
  <c r="F5" i="9" s="1"/>
  <c r="G3" i="9"/>
  <c r="H3" i="9" s="1"/>
  <c r="C4" i="9"/>
  <c r="D4" i="9"/>
  <c r="E4" i="9"/>
  <c r="F4" i="9"/>
  <c r="C5" i="9"/>
  <c r="D5" i="9"/>
  <c r="E5" i="9"/>
  <c r="D4" i="8"/>
  <c r="E4" i="8" s="1"/>
  <c r="C5" i="8"/>
  <c r="D5" i="8"/>
  <c r="D2" i="7"/>
  <c r="E2" i="7" s="1"/>
  <c r="F2" i="7"/>
  <c r="G2" i="7"/>
  <c r="L2" i="7"/>
  <c r="M2" i="7" s="1"/>
  <c r="O2" i="7"/>
  <c r="P2" i="7"/>
  <c r="Q2" i="7"/>
  <c r="R2" i="7" s="1"/>
  <c r="U2" i="7"/>
  <c r="V2" i="7"/>
  <c r="W2" i="7"/>
  <c r="X2" i="7" s="1"/>
  <c r="Y2" i="7"/>
  <c r="Z2" i="7"/>
  <c r="AC2" i="7"/>
  <c r="AD2" i="7" s="1"/>
  <c r="AG2" i="7"/>
  <c r="AH2" i="7"/>
  <c r="AI2" i="7"/>
  <c r="AJ2" i="7" s="1"/>
  <c r="AK2" i="7"/>
  <c r="AL2" i="7"/>
  <c r="AN2" i="7"/>
  <c r="AO2" i="7" s="1"/>
  <c r="E3" i="7"/>
  <c r="F3" i="7"/>
  <c r="G3" i="7" s="1"/>
  <c r="L3" i="7"/>
  <c r="M3" i="7"/>
  <c r="O3" i="7"/>
  <c r="P3" i="7" s="1"/>
  <c r="P32" i="7" s="1"/>
  <c r="Q3" i="7"/>
  <c r="R3" i="7"/>
  <c r="U3" i="7"/>
  <c r="V3" i="7" s="1"/>
  <c r="W3" i="7"/>
  <c r="X3" i="7"/>
  <c r="Y3" i="7"/>
  <c r="Z3" i="7" s="1"/>
  <c r="AC3" i="7"/>
  <c r="AD3" i="7"/>
  <c r="AG3" i="7"/>
  <c r="AH3" i="7" s="1"/>
  <c r="AI3" i="7"/>
  <c r="AJ3" i="7"/>
  <c r="AK3" i="7"/>
  <c r="AL3" i="7" s="1"/>
  <c r="AN3" i="7"/>
  <c r="AO3" i="7"/>
  <c r="E4" i="7"/>
  <c r="E31" i="7" s="1"/>
  <c r="F4" i="7"/>
  <c r="G4" i="7"/>
  <c r="L4" i="7"/>
  <c r="M4" i="7"/>
  <c r="O4" i="7"/>
  <c r="P4" i="7"/>
  <c r="Q4" i="7"/>
  <c r="Y4" i="7" s="1"/>
  <c r="Z4" i="7" s="1"/>
  <c r="R4" i="7"/>
  <c r="U4" i="7"/>
  <c r="V4" i="7"/>
  <c r="W4" i="7"/>
  <c r="X4" i="7"/>
  <c r="AC4" i="7"/>
  <c r="AD4" i="7"/>
  <c r="AG4" i="7"/>
  <c r="AH4" i="7"/>
  <c r="AI4" i="7"/>
  <c r="AK4" i="7" s="1"/>
  <c r="AL4" i="7" s="1"/>
  <c r="AJ4" i="7"/>
  <c r="AN4" i="7"/>
  <c r="AO4" i="7"/>
  <c r="E5" i="7"/>
  <c r="F5" i="7"/>
  <c r="G5" i="7"/>
  <c r="L5" i="7"/>
  <c r="M5" i="7" s="1"/>
  <c r="O5" i="7"/>
  <c r="P5" i="7"/>
  <c r="Q5" i="7"/>
  <c r="R5" i="7" s="1"/>
  <c r="U5" i="7"/>
  <c r="V5" i="7"/>
  <c r="W5" i="7"/>
  <c r="X5" i="7" s="1"/>
  <c r="Y5" i="7"/>
  <c r="Z5" i="7"/>
  <c r="AC5" i="7"/>
  <c r="AD5" i="7" s="1"/>
  <c r="AG5" i="7"/>
  <c r="AH5" i="7"/>
  <c r="AI5" i="7"/>
  <c r="AJ5" i="7" s="1"/>
  <c r="AK5" i="7"/>
  <c r="AL5" i="7"/>
  <c r="AN5" i="7"/>
  <c r="AO5" i="7" s="1"/>
  <c r="E6" i="7"/>
  <c r="F6" i="7"/>
  <c r="G6" i="7" s="1"/>
  <c r="L6" i="7"/>
  <c r="M6" i="7"/>
  <c r="O6" i="7"/>
  <c r="P6" i="7" s="1"/>
  <c r="Q6" i="7"/>
  <c r="R6" i="7"/>
  <c r="U6" i="7"/>
  <c r="V6" i="7" s="1"/>
  <c r="W6" i="7"/>
  <c r="X6" i="7"/>
  <c r="Y6" i="7"/>
  <c r="Z6" i="7" s="1"/>
  <c r="AC6" i="7"/>
  <c r="AD6" i="7"/>
  <c r="AG6" i="7"/>
  <c r="AH6" i="7" s="1"/>
  <c r="AI6" i="7"/>
  <c r="AJ6" i="7"/>
  <c r="AK6" i="7"/>
  <c r="AL6" i="7" s="1"/>
  <c r="AN6" i="7"/>
  <c r="AO6" i="7" s="1"/>
  <c r="E7" i="7"/>
  <c r="F7" i="7"/>
  <c r="G7" i="7" s="1"/>
  <c r="L7" i="7"/>
  <c r="M7" i="7"/>
  <c r="O7" i="7"/>
  <c r="P7" i="7" s="1"/>
  <c r="Q7" i="7"/>
  <c r="R7" i="7"/>
  <c r="U7" i="7"/>
  <c r="V7" i="7" s="1"/>
  <c r="W7" i="7"/>
  <c r="X7" i="7"/>
  <c r="Y7" i="7"/>
  <c r="Z7" i="7" s="1"/>
  <c r="AC7" i="7"/>
  <c r="AD7" i="7"/>
  <c r="AG7" i="7"/>
  <c r="AH7" i="7" s="1"/>
  <c r="AI7" i="7"/>
  <c r="AJ7" i="7"/>
  <c r="AN7" i="7"/>
  <c r="AO7" i="7"/>
  <c r="E8" i="7"/>
  <c r="F8" i="7"/>
  <c r="G8" i="7"/>
  <c r="L8" i="7"/>
  <c r="M8" i="7"/>
  <c r="O8" i="7"/>
  <c r="P8" i="7"/>
  <c r="Q8" i="7"/>
  <c r="R8" i="7"/>
  <c r="U8" i="7"/>
  <c r="V8" i="7"/>
  <c r="W8" i="7"/>
  <c r="X8" i="7"/>
  <c r="Y8" i="7"/>
  <c r="Z8" i="7"/>
  <c r="AC8" i="7"/>
  <c r="AD8" i="7"/>
  <c r="AG8" i="7"/>
  <c r="AH8" i="7"/>
  <c r="AI8" i="7"/>
  <c r="AK8" i="7" s="1"/>
  <c r="AL8" i="7" s="1"/>
  <c r="AJ8" i="7"/>
  <c r="AN8" i="7"/>
  <c r="AO8" i="7"/>
  <c r="E9" i="7"/>
  <c r="F9" i="7"/>
  <c r="G9" i="7"/>
  <c r="L9" i="7"/>
  <c r="M9" i="7" s="1"/>
  <c r="O9" i="7"/>
  <c r="P9" i="7"/>
  <c r="Q9" i="7"/>
  <c r="U9" i="7"/>
  <c r="V9" i="7"/>
  <c r="W9" i="7"/>
  <c r="X9" i="7" s="1"/>
  <c r="AC9" i="7"/>
  <c r="AD9" i="7" s="1"/>
  <c r="AG9" i="7"/>
  <c r="AH9" i="7"/>
  <c r="AI9" i="7"/>
  <c r="AJ9" i="7" s="1"/>
  <c r="AK9" i="7"/>
  <c r="AL9" i="7"/>
  <c r="AN9" i="7"/>
  <c r="AO9" i="7" s="1"/>
  <c r="E10" i="7"/>
  <c r="F10" i="7"/>
  <c r="G10" i="7" s="1"/>
  <c r="L10" i="7"/>
  <c r="M10" i="7"/>
  <c r="O10" i="7"/>
  <c r="P10" i="7" s="1"/>
  <c r="Q10" i="7"/>
  <c r="R10" i="7"/>
  <c r="U10" i="7"/>
  <c r="V10" i="7" s="1"/>
  <c r="W10" i="7"/>
  <c r="X10" i="7"/>
  <c r="Y10" i="7"/>
  <c r="Z10" i="7" s="1"/>
  <c r="AC10" i="7"/>
  <c r="AD10" i="7"/>
  <c r="AG10" i="7"/>
  <c r="AH10" i="7" s="1"/>
  <c r="AI10" i="7"/>
  <c r="AJ10" i="7"/>
  <c r="AK10" i="7"/>
  <c r="AL10" i="7" s="1"/>
  <c r="AN10" i="7"/>
  <c r="AO10" i="7"/>
  <c r="E11" i="7"/>
  <c r="F11" i="7"/>
  <c r="G11" i="7" s="1"/>
  <c r="L11" i="7"/>
  <c r="M11" i="7"/>
  <c r="O11" i="7"/>
  <c r="P11" i="7" s="1"/>
  <c r="Q11" i="7"/>
  <c r="R11" i="7"/>
  <c r="U11" i="7"/>
  <c r="V11" i="7" s="1"/>
  <c r="W11" i="7"/>
  <c r="X11" i="7"/>
  <c r="Y11" i="7"/>
  <c r="Z11" i="7" s="1"/>
  <c r="AC11" i="7"/>
  <c r="AD11" i="7"/>
  <c r="AG11" i="7"/>
  <c r="AH11" i="7" s="1"/>
  <c r="AI11" i="7"/>
  <c r="AJ11" i="7"/>
  <c r="AK11" i="7"/>
  <c r="AL11" i="7" s="1"/>
  <c r="AN11" i="7"/>
  <c r="AO11" i="7"/>
  <c r="E12" i="7"/>
  <c r="F12" i="7"/>
  <c r="G12" i="7"/>
  <c r="L12" i="7"/>
  <c r="M12" i="7"/>
  <c r="O12" i="7"/>
  <c r="P12" i="7"/>
  <c r="Q12" i="7"/>
  <c r="R12" i="7"/>
  <c r="U12" i="7"/>
  <c r="V12" i="7"/>
  <c r="W12" i="7"/>
  <c r="X12" i="7"/>
  <c r="Y12" i="7"/>
  <c r="Z12" i="7"/>
  <c r="AC12" i="7"/>
  <c r="AD12" i="7"/>
  <c r="AG12" i="7"/>
  <c r="AH12" i="7"/>
  <c r="AI12" i="7"/>
  <c r="AK12" i="7" s="1"/>
  <c r="AL12" i="7" s="1"/>
  <c r="AJ12" i="7"/>
  <c r="AN12" i="7"/>
  <c r="AO12" i="7" s="1"/>
  <c r="E13" i="7"/>
  <c r="F13" i="7"/>
  <c r="G13" i="7"/>
  <c r="L13" i="7"/>
  <c r="M13" i="7" s="1"/>
  <c r="O13" i="7"/>
  <c r="P13" i="7"/>
  <c r="Q13" i="7"/>
  <c r="R13" i="7" s="1"/>
  <c r="U13" i="7"/>
  <c r="V13" i="7"/>
  <c r="W13" i="7"/>
  <c r="X13" i="7" s="1"/>
  <c r="Y13" i="7"/>
  <c r="Z13" i="7"/>
  <c r="AC13" i="7"/>
  <c r="AD13" i="7" s="1"/>
  <c r="AG13" i="7"/>
  <c r="AH13" i="7"/>
  <c r="AI13" i="7"/>
  <c r="AJ13" i="7" s="1"/>
  <c r="AK13" i="7"/>
  <c r="AL13" i="7"/>
  <c r="AN13" i="7"/>
  <c r="AO13" i="7" s="1"/>
  <c r="E14" i="7"/>
  <c r="F14" i="7"/>
  <c r="G14" i="7"/>
  <c r="L14" i="7"/>
  <c r="M14" i="7"/>
  <c r="O14" i="7"/>
  <c r="P14" i="7"/>
  <c r="Q14" i="7"/>
  <c r="R14" i="7"/>
  <c r="U14" i="7"/>
  <c r="V14" i="7"/>
  <c r="W14" i="7"/>
  <c r="X14" i="7"/>
  <c r="Y14" i="7"/>
  <c r="Z14" i="7"/>
  <c r="AC14" i="7"/>
  <c r="AD14" i="7"/>
  <c r="AG14" i="7"/>
  <c r="AH14" i="7"/>
  <c r="AI14" i="7"/>
  <c r="AJ14" i="7"/>
  <c r="AK14" i="7"/>
  <c r="AL14" i="7"/>
  <c r="AN14" i="7"/>
  <c r="AO14" i="7"/>
  <c r="E15" i="7"/>
  <c r="F15" i="7"/>
  <c r="G15" i="7" s="1"/>
  <c r="L15" i="7"/>
  <c r="M15" i="7"/>
  <c r="O15" i="7"/>
  <c r="P15" i="7" s="1"/>
  <c r="Q15" i="7"/>
  <c r="R15" i="7"/>
  <c r="U15" i="7"/>
  <c r="V15" i="7" s="1"/>
  <c r="W15" i="7"/>
  <c r="X15" i="7"/>
  <c r="Y15" i="7"/>
  <c r="Z15" i="7" s="1"/>
  <c r="AC15" i="7"/>
  <c r="AD15" i="7"/>
  <c r="AG15" i="7"/>
  <c r="AH15" i="7" s="1"/>
  <c r="AI15" i="7"/>
  <c r="AJ15" i="7"/>
  <c r="AN15" i="7"/>
  <c r="AO15" i="7"/>
  <c r="E16" i="7"/>
  <c r="F16" i="7"/>
  <c r="G16" i="7"/>
  <c r="L16" i="7"/>
  <c r="M16" i="7" s="1"/>
  <c r="M32" i="7" s="1"/>
  <c r="O16" i="7"/>
  <c r="P16" i="7"/>
  <c r="Q16" i="7"/>
  <c r="R16" i="7" s="1"/>
  <c r="U16" i="7"/>
  <c r="V16" i="7"/>
  <c r="W16" i="7"/>
  <c r="X16" i="7" s="1"/>
  <c r="Y16" i="7"/>
  <c r="Z16" i="7"/>
  <c r="AC16" i="7"/>
  <c r="AD16" i="7" s="1"/>
  <c r="AG16" i="7"/>
  <c r="AH16" i="7"/>
  <c r="AI16" i="7"/>
  <c r="AK16" i="7" s="1"/>
  <c r="AL16" i="7" s="1"/>
  <c r="AN16" i="7"/>
  <c r="AO16" i="7"/>
  <c r="E17" i="7"/>
  <c r="F17" i="7"/>
  <c r="G17" i="7"/>
  <c r="L17" i="7"/>
  <c r="M17" i="7" s="1"/>
  <c r="O17" i="7"/>
  <c r="P17" i="7"/>
  <c r="Q17" i="7"/>
  <c r="R17" i="7" s="1"/>
  <c r="U17" i="7"/>
  <c r="V17" i="7"/>
  <c r="W17" i="7"/>
  <c r="X17" i="7" s="1"/>
  <c r="Y17" i="7"/>
  <c r="Z17" i="7"/>
  <c r="AC17" i="7"/>
  <c r="AD17" i="7" s="1"/>
  <c r="AG17" i="7"/>
  <c r="AH17" i="7"/>
  <c r="AI17" i="7"/>
  <c r="AJ17" i="7" s="1"/>
  <c r="AK17" i="7"/>
  <c r="AL17" i="7"/>
  <c r="AN17" i="7"/>
  <c r="AO17" i="7" s="1"/>
  <c r="E18" i="7"/>
  <c r="F18" i="7"/>
  <c r="G18" i="7" s="1"/>
  <c r="L18" i="7"/>
  <c r="M18" i="7"/>
  <c r="O18" i="7"/>
  <c r="P18" i="7" s="1"/>
  <c r="Q18" i="7"/>
  <c r="R18" i="7"/>
  <c r="U18" i="7"/>
  <c r="V18" i="7" s="1"/>
  <c r="W18" i="7"/>
  <c r="X18" i="7"/>
  <c r="Y18" i="7"/>
  <c r="Z18" i="7" s="1"/>
  <c r="AC18" i="7"/>
  <c r="AD18" i="7"/>
  <c r="AG18" i="7"/>
  <c r="AH18" i="7" s="1"/>
  <c r="AI18" i="7"/>
  <c r="AJ18" i="7"/>
  <c r="AK18" i="7"/>
  <c r="AL18" i="7" s="1"/>
  <c r="AN18" i="7"/>
  <c r="AO18" i="7"/>
  <c r="E19" i="7"/>
  <c r="F19" i="7"/>
  <c r="G19" i="7" s="1"/>
  <c r="L19" i="7"/>
  <c r="M19" i="7"/>
  <c r="O19" i="7"/>
  <c r="P19" i="7" s="1"/>
  <c r="Q19" i="7"/>
  <c r="R19" i="7"/>
  <c r="U19" i="7"/>
  <c r="V19" i="7" s="1"/>
  <c r="W19" i="7"/>
  <c r="X19" i="7"/>
  <c r="Y19" i="7"/>
  <c r="Z19" i="7" s="1"/>
  <c r="AC19" i="7"/>
  <c r="AD19" i="7"/>
  <c r="AG19" i="7"/>
  <c r="AH19" i="7" s="1"/>
  <c r="AI19" i="7"/>
  <c r="AJ19" i="7"/>
  <c r="AK19" i="7"/>
  <c r="AL19" i="7" s="1"/>
  <c r="AN19" i="7"/>
  <c r="AO19" i="7"/>
  <c r="E20" i="7"/>
  <c r="F20" i="7"/>
  <c r="G20" i="7"/>
  <c r="L20" i="7"/>
  <c r="M20" i="7"/>
  <c r="O20" i="7"/>
  <c r="P20" i="7"/>
  <c r="Q20" i="7"/>
  <c r="R20" i="7"/>
  <c r="U20" i="7"/>
  <c r="V20" i="7"/>
  <c r="W20" i="7"/>
  <c r="X20" i="7"/>
  <c r="Y20" i="7"/>
  <c r="Z20" i="7"/>
  <c r="AC20" i="7"/>
  <c r="AD20" i="7"/>
  <c r="AG20" i="7"/>
  <c r="AH20" i="7"/>
  <c r="AI20" i="7"/>
  <c r="AK20" i="7" s="1"/>
  <c r="AJ20" i="7"/>
  <c r="AL20" i="7"/>
  <c r="AN20" i="7"/>
  <c r="AO20" i="7"/>
  <c r="E21" i="7"/>
  <c r="F21" i="7"/>
  <c r="G21" i="7" s="1"/>
  <c r="L21" i="7"/>
  <c r="M21" i="7" s="1"/>
  <c r="O21" i="7"/>
  <c r="P21" i="7"/>
  <c r="Q21" i="7"/>
  <c r="R21" i="7" s="1"/>
  <c r="U21" i="7"/>
  <c r="V21" i="7"/>
  <c r="W21" i="7"/>
  <c r="X21" i="7" s="1"/>
  <c r="Y21" i="7"/>
  <c r="Z21" i="7"/>
  <c r="AC21" i="7"/>
  <c r="AD21" i="7" s="1"/>
  <c r="AG21" i="7"/>
  <c r="AH21" i="7" s="1"/>
  <c r="AI21" i="7"/>
  <c r="AJ21" i="7" s="1"/>
  <c r="AN21" i="7"/>
  <c r="AO21" i="7" s="1"/>
  <c r="E22" i="7"/>
  <c r="F22" i="7"/>
  <c r="G22" i="7"/>
  <c r="L22" i="7"/>
  <c r="M22" i="7"/>
  <c r="O22" i="7"/>
  <c r="P22" i="7"/>
  <c r="Q22" i="7"/>
  <c r="R22" i="7"/>
  <c r="U22" i="7"/>
  <c r="V22" i="7"/>
  <c r="W22" i="7"/>
  <c r="X22" i="7"/>
  <c r="Y22" i="7"/>
  <c r="Z22" i="7"/>
  <c r="AC22" i="7"/>
  <c r="AD22" i="7"/>
  <c r="AG22" i="7"/>
  <c r="AH22" i="7"/>
  <c r="AI22" i="7"/>
  <c r="AJ22" i="7"/>
  <c r="AK22" i="7"/>
  <c r="AL22" i="7"/>
  <c r="AN22" i="7"/>
  <c r="AO22" i="7"/>
  <c r="E23" i="7"/>
  <c r="F23" i="7"/>
  <c r="G23" i="7" s="1"/>
  <c r="L23" i="7"/>
  <c r="M23" i="7"/>
  <c r="O23" i="7"/>
  <c r="P23" i="7" s="1"/>
  <c r="Q23" i="7"/>
  <c r="R23" i="7" s="1"/>
  <c r="U23" i="7"/>
  <c r="V23" i="7" s="1"/>
  <c r="W23" i="7"/>
  <c r="X23" i="7"/>
  <c r="AC23" i="7"/>
  <c r="AD23" i="7"/>
  <c r="AG23" i="7"/>
  <c r="AH23" i="7" s="1"/>
  <c r="AI23" i="7"/>
  <c r="AJ23" i="7"/>
  <c r="AN23" i="7"/>
  <c r="AO23" i="7" s="1"/>
  <c r="E24" i="7"/>
  <c r="F24" i="7"/>
  <c r="G24" i="7"/>
  <c r="L24" i="7"/>
  <c r="M24" i="7"/>
  <c r="O24" i="7"/>
  <c r="P24" i="7"/>
  <c r="Q24" i="7"/>
  <c r="R24" i="7"/>
  <c r="U24" i="7"/>
  <c r="V24" i="7"/>
  <c r="W24" i="7"/>
  <c r="X24" i="7"/>
  <c r="Y24" i="7"/>
  <c r="Z24" i="7"/>
  <c r="AC24" i="7"/>
  <c r="AD24" i="7"/>
  <c r="AG24" i="7"/>
  <c r="AH24" i="7"/>
  <c r="AI24" i="7"/>
  <c r="AK24" i="7" s="1"/>
  <c r="AJ24" i="7"/>
  <c r="AL24" i="7"/>
  <c r="AN24" i="7"/>
  <c r="AO24" i="7" s="1"/>
  <c r="E25" i="7"/>
  <c r="F25" i="7"/>
  <c r="G25" i="7"/>
  <c r="L25" i="7"/>
  <c r="M25" i="7" s="1"/>
  <c r="O25" i="7"/>
  <c r="P25" i="7"/>
  <c r="Q25" i="7"/>
  <c r="R25" i="7" s="1"/>
  <c r="U25" i="7"/>
  <c r="V25" i="7"/>
  <c r="W25" i="7"/>
  <c r="X25" i="7" s="1"/>
  <c r="Y25" i="7"/>
  <c r="Z25" i="7" s="1"/>
  <c r="AC25" i="7"/>
  <c r="AD25" i="7" s="1"/>
  <c r="AG25" i="7"/>
  <c r="AK25" i="7" s="1"/>
  <c r="AL25" i="7" s="1"/>
  <c r="AH25" i="7"/>
  <c r="AI25" i="7"/>
  <c r="AJ25" i="7" s="1"/>
  <c r="AN25" i="7"/>
  <c r="AO25" i="7" s="1"/>
  <c r="E26" i="7"/>
  <c r="F26" i="7"/>
  <c r="G26" i="7"/>
  <c r="L26" i="7"/>
  <c r="M26" i="7"/>
  <c r="O26" i="7"/>
  <c r="P26" i="7"/>
  <c r="Q26" i="7"/>
  <c r="R26" i="7"/>
  <c r="U26" i="7"/>
  <c r="V26" i="7"/>
  <c r="W26" i="7"/>
  <c r="X26" i="7"/>
  <c r="Y26" i="7"/>
  <c r="Z26" i="7"/>
  <c r="AC26" i="7"/>
  <c r="AD26" i="7"/>
  <c r="AG26" i="7"/>
  <c r="AH26" i="7"/>
  <c r="AI26" i="7"/>
  <c r="AJ26" i="7"/>
  <c r="AK26" i="7"/>
  <c r="AL26" i="7"/>
  <c r="AN26" i="7"/>
  <c r="AO26" i="7"/>
  <c r="E27" i="7"/>
  <c r="F27" i="7"/>
  <c r="G27" i="7" s="1"/>
  <c r="L27" i="7"/>
  <c r="M27" i="7" s="1"/>
  <c r="O27" i="7"/>
  <c r="P27" i="7" s="1"/>
  <c r="Q27" i="7"/>
  <c r="R27" i="7"/>
  <c r="U27" i="7"/>
  <c r="V27" i="7" s="1"/>
  <c r="W27" i="7"/>
  <c r="X27" i="7"/>
  <c r="Y27" i="7"/>
  <c r="Z27" i="7" s="1"/>
  <c r="AC27" i="7"/>
  <c r="AD27" i="7"/>
  <c r="AG27" i="7"/>
  <c r="AH27" i="7" s="1"/>
  <c r="AI27" i="7"/>
  <c r="AJ27" i="7" s="1"/>
  <c r="AN27" i="7"/>
  <c r="AO27" i="7"/>
  <c r="E28" i="7"/>
  <c r="F28" i="7"/>
  <c r="G28" i="7"/>
  <c r="L28" i="7"/>
  <c r="M28" i="7" s="1"/>
  <c r="O28" i="7"/>
  <c r="P28" i="7"/>
  <c r="Q28" i="7"/>
  <c r="R28" i="7" s="1"/>
  <c r="U28" i="7"/>
  <c r="V28" i="7"/>
  <c r="W28" i="7"/>
  <c r="X28" i="7" s="1"/>
  <c r="Y28" i="7"/>
  <c r="Z28" i="7"/>
  <c r="AC28" i="7"/>
  <c r="AD28" i="7" s="1"/>
  <c r="AG28" i="7"/>
  <c r="AH28" i="7"/>
  <c r="AI28" i="7"/>
  <c r="AJ28" i="7" s="1"/>
  <c r="AN28" i="7"/>
  <c r="AO28" i="7" s="1"/>
  <c r="W29" i="7"/>
  <c r="X29" i="7" s="1"/>
  <c r="AA29" i="7"/>
  <c r="AB29" i="7"/>
  <c r="E30" i="7"/>
  <c r="Z29" i="7"/>
  <c r="AH29" i="7"/>
  <c r="H4" i="9" l="1"/>
  <c r="H5" i="9"/>
  <c r="I3" i="9"/>
  <c r="G5" i="9"/>
  <c r="G4" i="9"/>
  <c r="E5" i="8"/>
  <c r="F4" i="8"/>
  <c r="AH32" i="7"/>
  <c r="G32" i="7"/>
  <c r="M30" i="7"/>
  <c r="P31" i="7"/>
  <c r="X30" i="7"/>
  <c r="AO32" i="7"/>
  <c r="AH30" i="7"/>
  <c r="G30" i="7"/>
  <c r="X32" i="7"/>
  <c r="AO30" i="7"/>
  <c r="X31" i="7"/>
  <c r="AO31" i="7"/>
  <c r="M31" i="7"/>
  <c r="P30" i="7"/>
  <c r="AK21" i="7"/>
  <c r="AL21" i="7" s="1"/>
  <c r="R9" i="7"/>
  <c r="R30" i="7" s="1"/>
  <c r="Y9" i="7"/>
  <c r="Z9" i="7" s="1"/>
  <c r="Z32" i="7" s="1"/>
  <c r="AK7" i="7"/>
  <c r="AL7" i="7" s="1"/>
  <c r="R32" i="7"/>
  <c r="E32" i="7"/>
  <c r="AH31" i="7"/>
  <c r="G31" i="7"/>
  <c r="AJ30" i="7"/>
  <c r="U29" i="7"/>
  <c r="V29" i="7" s="1"/>
  <c r="V31" i="7" s="1"/>
  <c r="AK28" i="7"/>
  <c r="AL28" i="7" s="1"/>
  <c r="AK27" i="7"/>
  <c r="AL27" i="7" s="1"/>
  <c r="AK15" i="7"/>
  <c r="AL15" i="7" s="1"/>
  <c r="AL30" i="7" s="1"/>
  <c r="AK23" i="7"/>
  <c r="AL23" i="7" s="1"/>
  <c r="AC29" i="7"/>
  <c r="Y23" i="7"/>
  <c r="Z23" i="7" s="1"/>
  <c r="AJ16" i="7"/>
  <c r="AJ32" i="7" s="1"/>
  <c r="H23" i="6"/>
  <c r="H24" i="6"/>
  <c r="H26" i="6"/>
  <c r="I25" i="6"/>
  <c r="D25" i="6"/>
  <c r="G24" i="6"/>
  <c r="G23" i="6"/>
  <c r="G22" i="6"/>
  <c r="H20" i="6"/>
  <c r="H21" i="6"/>
  <c r="G21" i="6"/>
  <c r="H19" i="6"/>
  <c r="G19" i="6"/>
  <c r="G20" i="6"/>
  <c r="H18" i="6"/>
  <c r="G17" i="6"/>
  <c r="G16" i="6"/>
  <c r="G18" i="6" s="1"/>
  <c r="H14" i="6"/>
  <c r="G14" i="6"/>
  <c r="H13" i="6"/>
  <c r="G13" i="6"/>
  <c r="G12" i="6"/>
  <c r="AD29" i="7"/>
  <c r="C92" i="3"/>
  <c r="C89" i="3"/>
  <c r="C90" i="3"/>
  <c r="C84" i="3"/>
  <c r="C88" i="3"/>
  <c r="C87" i="3"/>
  <c r="C80" i="3"/>
  <c r="C91" i="3"/>
  <c r="C82" i="3"/>
  <c r="C81" i="3"/>
  <c r="C83" i="3"/>
  <c r="J3" i="9" l="1"/>
  <c r="I4" i="9"/>
  <c r="I5" i="9"/>
  <c r="F5" i="8"/>
  <c r="G4" i="8"/>
  <c r="AD32" i="7"/>
  <c r="AD31" i="7"/>
  <c r="AD30" i="7"/>
  <c r="Z30" i="7"/>
  <c r="AL32" i="7"/>
  <c r="V32" i="7"/>
  <c r="V30" i="7"/>
  <c r="AL31" i="7"/>
  <c r="Z31" i="7"/>
  <c r="R31" i="7"/>
  <c r="AJ31" i="7"/>
  <c r="H91" i="3"/>
  <c r="H87" i="3"/>
  <c r="H88" i="3"/>
  <c r="H90" i="3"/>
  <c r="H89" i="3"/>
  <c r="H92" i="3"/>
  <c r="H83" i="3"/>
  <c r="H84" i="3"/>
  <c r="H80" i="3"/>
  <c r="H82" i="3"/>
  <c r="H81" i="3"/>
  <c r="H15" i="6"/>
  <c r="G15" i="6"/>
  <c r="G36" i="3"/>
  <c r="G37" i="3"/>
  <c r="G38" i="3"/>
  <c r="G35" i="3"/>
  <c r="C41" i="3"/>
  <c r="C66" i="3"/>
  <c r="C76" i="3"/>
  <c r="C56" i="3"/>
  <c r="C35" i="3"/>
  <c r="C36" i="3"/>
  <c r="C50" i="3"/>
  <c r="C68" i="3"/>
  <c r="C67" i="3"/>
  <c r="C46" i="3"/>
  <c r="C71" i="3"/>
  <c r="C37" i="3"/>
  <c r="C65" i="3"/>
  <c r="C42" i="3"/>
  <c r="C47" i="3"/>
  <c r="C77" i="3"/>
  <c r="C75" i="3"/>
  <c r="C72" i="3"/>
  <c r="C43" i="3"/>
  <c r="C44" i="3"/>
  <c r="C70" i="3"/>
  <c r="C45" i="3"/>
  <c r="C69" i="3"/>
  <c r="J5" i="9" l="1"/>
  <c r="J4" i="9"/>
  <c r="K3" i="9"/>
  <c r="H4" i="8"/>
  <c r="G5" i="8"/>
  <c r="H50" i="3"/>
  <c r="H77" i="3"/>
  <c r="H72" i="3"/>
  <c r="H75" i="3"/>
  <c r="H76" i="3"/>
  <c r="H68" i="3"/>
  <c r="H65" i="3"/>
  <c r="H71" i="3"/>
  <c r="H66" i="3"/>
  <c r="H70" i="3"/>
  <c r="H67" i="3"/>
  <c r="H69" i="3"/>
  <c r="H37" i="3"/>
  <c r="H36" i="3"/>
  <c r="H35" i="3"/>
  <c r="H41" i="3"/>
  <c r="H44" i="3"/>
  <c r="C38" i="3"/>
  <c r="C60" i="3"/>
  <c r="C57" i="3"/>
  <c r="I44" i="3"/>
  <c r="C51" i="3"/>
  <c r="I43" i="3"/>
  <c r="C53" i="3"/>
  <c r="H43" i="3"/>
  <c r="I46" i="3"/>
  <c r="I45" i="3"/>
  <c r="C61" i="3"/>
  <c r="H46" i="3"/>
  <c r="I42" i="3"/>
  <c r="H45" i="3"/>
  <c r="C52" i="3"/>
  <c r="H47" i="3"/>
  <c r="I41" i="3"/>
  <c r="I47" i="3"/>
  <c r="H42" i="3"/>
  <c r="C59" i="3"/>
  <c r="C62" i="3"/>
  <c r="C58" i="3"/>
  <c r="I35" i="3"/>
  <c r="L3" i="9" l="1"/>
  <c r="K4" i="9"/>
  <c r="K5" i="9"/>
  <c r="H5" i="8"/>
  <c r="I4" i="8"/>
  <c r="H52" i="3"/>
  <c r="H53" i="3"/>
  <c r="H51" i="3"/>
  <c r="H38" i="3"/>
  <c r="H61" i="3"/>
  <c r="H62" i="3"/>
  <c r="H59" i="3"/>
  <c r="H56" i="3"/>
  <c r="H60" i="3"/>
  <c r="H58" i="3"/>
  <c r="H57" i="3"/>
  <c r="I36" i="3"/>
  <c r="I38" i="3"/>
  <c r="I61" i="3"/>
  <c r="I51" i="3"/>
  <c r="I57" i="3"/>
  <c r="I56" i="3"/>
  <c r="I59" i="3"/>
  <c r="I62" i="3"/>
  <c r="I58" i="3"/>
  <c r="I37" i="3"/>
  <c r="I53" i="3"/>
  <c r="I52" i="3"/>
  <c r="I50" i="3"/>
  <c r="I60" i="3"/>
  <c r="M3" i="9" l="1"/>
  <c r="L5" i="9"/>
  <c r="L4" i="9"/>
  <c r="I5" i="8"/>
  <c r="J4" i="8"/>
  <c r="G5" i="3"/>
  <c r="G4" i="3"/>
  <c r="G7" i="3" l="1"/>
  <c r="N3" i="9"/>
  <c r="M4" i="9"/>
  <c r="M5" i="9"/>
  <c r="J5" i="8"/>
  <c r="K4" i="8"/>
  <c r="N5" i="9" l="1"/>
  <c r="O3" i="9"/>
  <c r="N4" i="9"/>
  <c r="L4" i="8"/>
  <c r="K5" i="8"/>
  <c r="P3" i="9" l="1"/>
  <c r="O4" i="9"/>
  <c r="O5" i="9"/>
  <c r="L5" i="8"/>
  <c r="M4" i="8"/>
  <c r="P4" i="9" l="1"/>
  <c r="P5" i="9"/>
  <c r="Q3" i="9"/>
  <c r="M5" i="8"/>
  <c r="N4" i="8"/>
  <c r="R3" i="9" l="1"/>
  <c r="Q4" i="9"/>
  <c r="Q5" i="9"/>
  <c r="N5" i="8"/>
  <c r="O4" i="8"/>
  <c r="R5" i="9" l="1"/>
  <c r="S3" i="9"/>
  <c r="R4" i="9"/>
  <c r="P4" i="8"/>
  <c r="P5" i="8" s="1"/>
  <c r="O5" i="8"/>
  <c r="T3" i="9" l="1"/>
  <c r="S4" i="9"/>
  <c r="S5" i="9"/>
  <c r="T4" i="9" l="1"/>
  <c r="T5" i="9"/>
  <c r="U3" i="9"/>
  <c r="V3" i="9" l="1"/>
  <c r="U4" i="9"/>
  <c r="U5" i="9"/>
  <c r="V5" i="9" l="1"/>
  <c r="W3" i="9"/>
  <c r="V4" i="9"/>
  <c r="W4" i="9" l="1"/>
  <c r="W5" i="9"/>
</calcChain>
</file>

<file path=xl/comments1.xml><?xml version="1.0" encoding="utf-8"?>
<comments xmlns="http://schemas.openxmlformats.org/spreadsheetml/2006/main">
  <authors>
    <author>admin</author>
  </authors>
  <commentList>
    <comment ref="D1" authorId="0" shapeId="0">
      <text>
        <r>
          <rPr>
            <sz val="9"/>
            <color indexed="81"/>
            <rFont val="Segoe UI"/>
            <family val="2"/>
          </rPr>
          <t xml:space="preserve">Dem ersten Anfangsbuchstaben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F1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1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1" authorId="0" shapeId="0">
      <text>
        <r>
          <rPr>
            <sz val="9"/>
            <color indexed="81"/>
            <rFont val="Segoe UI"/>
            <family val="2"/>
          </rPr>
          <t xml:space="preserve">Domain dem Domain-Name  (Teil nach dem @) von </t>
        </r>
        <r>
          <rPr>
            <b/>
            <sz val="9"/>
            <color indexed="81"/>
            <rFont val="Segoe UI"/>
            <family val="2"/>
          </rPr>
          <t xml:space="preserve">EmailP
</t>
        </r>
      </text>
    </comment>
    <comment ref="Q1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</text>
    </comment>
    <comment ref="U1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1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Y1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C1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AG1" authorId="0" shapeId="0">
      <text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Spalte in der Form: 
Sehr geehrte Frau  Müller, 
Sehr geehrter Herr Rothlin, 
Sehr geehrte Familie Meier,    
abhängig vom Geschlecht und Nachname Spalte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1" authorId="0" shapeId="0">
      <text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 in der Form: 
Lieber Kurt, 
Liebe Berta, 
Liebe Familie Meier, 
abhängig vom Geschlecht und Vorname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K1" authorId="0" shapeId="0">
      <text>
        <r>
          <rPr>
            <b/>
            <sz val="9"/>
            <color indexed="81"/>
            <rFont val="Segoe UI"/>
            <family val="2"/>
          </rPr>
          <t>Spalte  AnredePerSie und AnredePerDu müssen zuerst gelöst werden!
Anrede</t>
        </r>
        <r>
          <rPr>
            <sz val="9"/>
            <color indexed="81"/>
            <rFont val="Segoe UI"/>
            <family val="2"/>
          </rPr>
          <t xml:space="preserve"> Spalte in der Form:  
Lieber Kurt, 
Sehr geehrte Frau  Müller, 
Liebe Familie Meier,        
abhängig vom </t>
        </r>
        <r>
          <rPr>
            <b/>
            <sz val="9"/>
            <color indexed="81"/>
            <rFont val="Segoe UI"/>
            <family val="2"/>
          </rPr>
          <t>PerDu,</t>
        </r>
        <r>
          <rPr>
            <sz val="9"/>
            <color indexed="81"/>
            <rFont val="Segoe UI"/>
            <family val="2"/>
          </rPr>
          <t xml:space="preserve"> </t>
        </r>
        <r>
          <rPr>
            <b/>
            <sz val="9"/>
            <color indexed="81"/>
            <rFont val="Segoe UI"/>
            <family val="2"/>
          </rPr>
          <t>AnredePerSie</t>
        </r>
        <r>
          <rPr>
            <sz val="9"/>
            <color indexed="81"/>
            <rFont val="Segoe UI"/>
            <family val="2"/>
          </rPr>
          <t xml:space="preserve"> und </t>
        </r>
        <r>
          <rPr>
            <b/>
            <sz val="9"/>
            <color indexed="81"/>
            <rFont val="Segoe UI"/>
            <family val="2"/>
          </rPr>
          <t>AnredePerDu</t>
        </r>
        <r>
          <rPr>
            <sz val="9"/>
            <color indexed="81"/>
            <rFont val="Segoe UI"/>
            <family val="2"/>
          </rPr>
          <t xml:space="preserve"> Spalte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AN1" authorId="0" shapeId="0">
      <text>
        <r>
          <rPr>
            <b/>
            <sz val="9"/>
            <color indexed="81"/>
            <rFont val="Segoe UI"/>
            <family val="2"/>
          </rPr>
          <t>Platzhalter</t>
        </r>
        <r>
          <rPr>
            <sz val="9"/>
            <color indexed="81"/>
            <rFont val="Segoe UI"/>
            <family val="2"/>
          </rPr>
          <t xml:space="preserve"> in dem Sie das Wort zwischen den geschweiften Klammer aus der TextVorlage extrahieren (ausschneiden)
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29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W29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A29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AB29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 BZU</t>
        </r>
        <r>
          <rPr>
            <sz val="11"/>
            <color indexed="81"/>
            <rFont val="Segoe UI"/>
            <family val="2"/>
          </rPr>
          <t>" zurück. 
Falls ein Parameter übergeben wird, gibt die Fct "</t>
        </r>
        <r>
          <rPr>
            <b/>
            <sz val="11"/>
            <color indexed="81"/>
            <rFont val="Segoe UI"/>
            <family val="2"/>
          </rPr>
          <t>Hello {Name}</t>
        </r>
        <r>
          <rPr>
            <sz val="11"/>
            <color indexed="81"/>
            <rFont val="Segoe UI"/>
            <family val="2"/>
          </rPr>
          <t>"</t>
        </r>
        <r>
          <rPr>
            <b/>
            <sz val="11"/>
            <color indexed="81"/>
            <rFont val="Segoe UI"/>
            <family val="2"/>
          </rPr>
          <t xml:space="preserve"> </t>
        </r>
        <r>
          <rPr>
            <sz val="11"/>
            <color indexed="81"/>
            <rFont val="Segoe UI"/>
            <family val="2"/>
          </rPr>
          <t>zurück.</t>
        </r>
      </text>
    </comment>
    <comment ref="B41" authorId="0" shapeId="0">
      <text>
        <r>
          <rPr>
            <sz val="11"/>
            <color indexed="81"/>
            <rFont val="Segoe UI"/>
            <family val="2"/>
          </rPr>
          <t>Die Fct berechnet das Volumen eines Zylinders mit der Formel:
V=(</t>
        </r>
        <r>
          <rPr>
            <b/>
            <sz val="11"/>
            <color indexed="81"/>
            <rFont val="Segoe UI"/>
            <family val="2"/>
          </rPr>
          <t>Durchmesser</t>
        </r>
        <r>
          <rPr>
            <sz val="11"/>
            <color indexed="81"/>
            <rFont val="Segoe UI"/>
            <family val="2"/>
          </rPr>
          <t xml:space="preserve">^2 * c_pi * </t>
        </r>
        <r>
          <rPr>
            <b/>
            <sz val="11"/>
            <color indexed="81"/>
            <rFont val="Segoe UI"/>
            <family val="2"/>
          </rPr>
          <t>Hoehe</t>
        </r>
        <r>
          <rPr>
            <sz val="11"/>
            <color indexed="81"/>
            <rFont val="Segoe UI"/>
            <family val="2"/>
          </rPr>
          <t xml:space="preserve"> / 4)
Falls Durchmesser oder Hoehe &lt;0 sind, wird Wert 0 zurückgegeben.</t>
        </r>
      </text>
    </comment>
    <comment ref="B50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56" authorId="0" shapeId="0">
      <text>
        <r>
          <rPr>
            <sz val="11"/>
            <color indexed="81"/>
            <rFont val="Segoe UI"/>
            <family val="2"/>
          </rPr>
          <t xml:space="preserve">Die Fct gibt die Summe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</t>
        </r>
      </text>
    </comment>
    <comment ref="B65" authorId="0" shapeId="0">
      <text>
        <r>
          <rPr>
            <sz val="11"/>
            <color indexed="81"/>
            <rFont val="Segoe UI"/>
            <family val="2"/>
          </rPr>
          <t xml:space="preserve">Die Fct gibt das Produkt der Zahlen von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 bis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zurück. Falls </t>
        </r>
        <r>
          <rPr>
            <b/>
            <sz val="11"/>
            <color indexed="81"/>
            <rFont val="Segoe UI"/>
            <family val="2"/>
          </rPr>
          <t>Ende</t>
        </r>
        <r>
          <rPr>
            <sz val="11"/>
            <color indexed="81"/>
            <rFont val="Segoe UI"/>
            <family val="2"/>
          </rPr>
          <t xml:space="preserve"> nicht spezifiziert wird, wird die Fakultät(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 xml:space="preserve">) berechnet (Produkt der Zahlen von 2 bis </t>
        </r>
        <r>
          <rPr>
            <b/>
            <sz val="11"/>
            <color indexed="81"/>
            <rFont val="Segoe UI"/>
            <family val="2"/>
          </rPr>
          <t>Start</t>
        </r>
        <r>
          <rPr>
            <sz val="11"/>
            <color indexed="81"/>
            <rFont val="Segoe UI"/>
            <family val="2"/>
          </rPr>
          <t>)</t>
        </r>
      </text>
    </comment>
    <comment ref="B75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  <comment ref="B80" authorId="0" shapeId="0">
      <text>
        <r>
          <rPr>
            <sz val="11"/>
            <color indexed="81"/>
            <rFont val="Segoe UI"/>
            <family val="2"/>
          </rPr>
          <t>Die Fct von einem Wort den 1.Buchstaben in Uppercase zurück.</t>
        </r>
      </text>
    </comment>
    <comment ref="B87" authorId="0" shapeId="0">
      <text>
        <r>
          <rPr>
            <sz val="11"/>
            <color indexed="81"/>
            <rFont val="Segoe UI"/>
            <family val="2"/>
          </rPr>
          <t xml:space="preserve">Die Fct gibt 0 zurück, falls </t>
        </r>
        <r>
          <rPr>
            <b/>
            <sz val="11"/>
            <color indexed="81"/>
            <rFont val="Segoe UI"/>
            <family val="2"/>
          </rPr>
          <t>IstVal</t>
        </r>
        <r>
          <rPr>
            <sz val="11"/>
            <color indexed="81"/>
            <rFont val="Segoe UI"/>
            <family val="2"/>
          </rPr>
          <t xml:space="preserve"> innerhalb der </t>
        </r>
        <r>
          <rPr>
            <b/>
            <sz val="11"/>
            <color indexed="81"/>
            <rFont val="Segoe UI"/>
            <family val="2"/>
          </rPr>
          <t>Tolerance</t>
        </r>
        <r>
          <rPr>
            <sz val="11"/>
            <color indexed="81"/>
            <rFont val="Segoe UI"/>
            <family val="2"/>
          </rPr>
          <t xml:space="preserve"> vom </t>
        </r>
        <r>
          <rPr>
            <b/>
            <sz val="11"/>
            <color indexed="81"/>
            <rFont val="Segoe UI"/>
            <family val="2"/>
          </rPr>
          <t>SollVal</t>
        </r>
        <r>
          <rPr>
            <sz val="11"/>
            <color indexed="81"/>
            <rFont val="Segoe UI"/>
            <family val="2"/>
          </rPr>
          <t xml:space="preserve"> abweicht, sonst die Abweichung in Prozent. SollVal ist Grundwert (=100%)
</t>
        </r>
      </text>
    </comment>
  </commentList>
</comments>
</file>

<file path=xl/sharedStrings.xml><?xml version="1.0" encoding="utf-8"?>
<sst xmlns="http://schemas.openxmlformats.org/spreadsheetml/2006/main" count="507" uniqueCount="279">
  <si>
    <t>Aufgabenstellung</t>
  </si>
  <si>
    <t>Hello()</t>
  </si>
  <si>
    <t>Walti</t>
  </si>
  <si>
    <t>Function-Test</t>
  </si>
  <si>
    <t>Param 3</t>
  </si>
  <si>
    <t>Function</t>
  </si>
  <si>
    <t>GetCylinderVolume()</t>
  </si>
  <si>
    <t>Richtig / Falsch</t>
  </si>
  <si>
    <t>Fritz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</si>
  <si>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</si>
  <si>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</si>
  <si>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</si>
  <si>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</si>
  <si>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</si>
  <si>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</si>
  <si>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</si>
  <si>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</si>
  <si>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</si>
  <si>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</si>
  <si>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</si>
  <si>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AddFigureRange</t>
  </si>
  <si>
    <t>Name</t>
  </si>
  <si>
    <t>Durchmesser</t>
  </si>
  <si>
    <t>Hoehe</t>
  </si>
  <si>
    <t>Vorname</t>
  </si>
  <si>
    <t>Nachname</t>
  </si>
  <si>
    <t>Start</t>
  </si>
  <si>
    <t>Ende</t>
  </si>
  <si>
    <t>MulFigureRange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</si>
  <si>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</si>
  <si>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</si>
  <si>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</si>
  <si>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</si>
  <si>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</si>
  <si>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</si>
  <si>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</si>
  <si>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</si>
  <si>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</si>
  <si>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</si>
  <si>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Berufsschule CH-8610 Uster</t>
  </si>
  <si>
    <t>Case-Sensitive</t>
  </si>
  <si>
    <t>Bemerkung</t>
  </si>
  <si>
    <t>Remove unsichtbare Zeichen</t>
  </si>
  <si>
    <t>CH-8855 &lt;U&gt;Wangen&lt;/U&gt;</t>
  </si>
  <si>
    <t>DE-69115 &lt;U&gt;Heidelberg&lt;/U&gt;</t>
  </si>
  <si>
    <t>FR-75000 &lt;U&gt;Paris&lt;/U&gt;</t>
  </si>
  <si>
    <t>len</t>
  </si>
  <si>
    <t>left</t>
  </si>
  <si>
    <t>links</t>
  </si>
  <si>
    <t>rechts</t>
  </si>
  <si>
    <t>right</t>
  </si>
  <si>
    <t>klein</t>
  </si>
  <si>
    <t>lower</t>
  </si>
  <si>
    <t>gross</t>
  </si>
  <si>
    <t>upper</t>
  </si>
  <si>
    <t>gross2</t>
  </si>
  <si>
    <t>proper</t>
  </si>
  <si>
    <t>teil</t>
  </si>
  <si>
    <t>mid</t>
  </si>
  <si>
    <t>finden</t>
  </si>
  <si>
    <t>find</t>
  </si>
  <si>
    <t>ersetzen</t>
  </si>
  <si>
    <t>replace</t>
  </si>
  <si>
    <t>wechseln</t>
  </si>
  <si>
    <t>substitute</t>
  </si>
  <si>
    <t>trim</t>
  </si>
  <si>
    <t>glätten</t>
  </si>
  <si>
    <t>wiederholen</t>
  </si>
  <si>
    <t>rept</t>
  </si>
  <si>
    <t>länge</t>
  </si>
  <si>
    <t>verketten</t>
  </si>
  <si>
    <t>concatenate</t>
  </si>
  <si>
    <t>suchen</t>
  </si>
  <si>
    <t>search</t>
  </si>
  <si>
    <t>säubern</t>
  </si>
  <si>
    <t>Excel Formel-Name (DE)</t>
  </si>
  <si>
    <t>Excel Formel-Name (EN)</t>
  </si>
  <si>
    <t>Resultat</t>
  </si>
  <si>
    <t>Resultat_1</t>
  </si>
  <si>
    <t>Positionen</t>
  </si>
  <si>
    <t>Schule ch-8610 :Wangen</t>
  </si>
  <si>
    <t xml:space="preserve">      Schule ch-8610  Nuolen     </t>
  </si>
  <si>
    <t>Original in formeln_2020_09_18.xlsm and later!</t>
  </si>
  <si>
    <t>Satz</t>
  </si>
  <si>
    <t>otto schlosser</t>
  </si>
  <si>
    <t>Otto Schlosser</t>
  </si>
  <si>
    <t>MyProper</t>
  </si>
  <si>
    <t>otto Schlosser</t>
  </si>
  <si>
    <t>Otto schlosser</t>
  </si>
  <si>
    <t>Otto schlosser uster</t>
  </si>
  <si>
    <t>Otto Schlosser Uster</t>
  </si>
  <si>
    <t>Toleranz (default=3%)</t>
  </si>
  <si>
    <t>IstVal</t>
  </si>
  <si>
    <t>SollVal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</si>
  <si>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</si>
  <si>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</si>
  <si>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</si>
  <si>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</si>
  <si>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</si>
  <si>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</si>
  <si>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</si>
  <si>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</si>
  <si>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</si>
  <si>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Case-Insensitive</t>
  </si>
  <si>
    <t>VBA</t>
  </si>
  <si>
    <t>aName = WorksheetFunction.Proper(aName)
lName = StrConv(lName, vbProperCase)</t>
  </si>
  <si>
    <t>EqualsWithinTolerance</t>
  </si>
  <si>
    <t>Funktionen in VBA programmieren</t>
  </si>
  <si>
    <t>V2.0</t>
  </si>
  <si>
    <r>
      <t>Die Lieferung wird nach {</t>
    </r>
    <r>
      <rPr>
        <b/>
        <sz val="11"/>
        <color theme="1"/>
        <rFont val="Calibri"/>
        <family val="2"/>
        <scheme val="minor"/>
      </rPr>
      <t>Ort</t>
    </r>
    <r>
      <rPr>
        <sz val="11"/>
        <color theme="1"/>
        <rFont val="Calibri"/>
        <family val="2"/>
        <scheme val="minor"/>
      </rPr>
      <t>} gesendet.</t>
    </r>
  </si>
  <si>
    <t>Ja</t>
  </si>
  <si>
    <t>Herr</t>
  </si>
  <si>
    <t>055 442 30 14</t>
  </si>
  <si>
    <t>peter.marty@gmail.ch</t>
  </si>
  <si>
    <t>Altendorf</t>
  </si>
  <si>
    <t>Foehnloch 5</t>
  </si>
  <si>
    <t>P.</t>
  </si>
  <si>
    <t>Peter</t>
  </si>
  <si>
    <t>Marty</t>
  </si>
  <si>
    <r>
      <t>Der Rechnungsbetrag von {</t>
    </r>
    <r>
      <rPr>
        <b/>
        <sz val="11"/>
        <color theme="1"/>
        <rFont val="Calibri"/>
        <family val="2"/>
        <scheme val="minor"/>
      </rPr>
      <t>Rechnungsbetrag</t>
    </r>
    <r>
      <rPr>
        <sz val="11"/>
        <color theme="1"/>
        <rFont val="Calibri"/>
        <family val="2"/>
        <scheme val="minor"/>
      </rPr>
      <t>} ist noch offen</t>
    </r>
  </si>
  <si>
    <t>Nein</t>
  </si>
  <si>
    <t>055 442 16 29</t>
  </si>
  <si>
    <t>Lachen</t>
  </si>
  <si>
    <t>Fluelastrasse 31a</t>
  </si>
  <si>
    <t>Philippe</t>
  </si>
  <si>
    <r>
      <t>Bitte bezahlen Sie {</t>
    </r>
    <r>
      <rPr>
        <b/>
        <sz val="11"/>
        <color theme="1"/>
        <rFont val="Calibri"/>
        <family val="2"/>
        <scheme val="minor"/>
      </rPr>
      <t>Offener Betrag</t>
    </r>
    <r>
      <rPr>
        <sz val="11"/>
        <color theme="1"/>
        <rFont val="Calibri"/>
        <family val="2"/>
        <scheme val="minor"/>
      </rPr>
      <t>} noch heute</t>
    </r>
  </si>
  <si>
    <t>Familie</t>
  </si>
  <si>
    <t>044 790 22 00</t>
  </si>
  <si>
    <t>pia.mannhart@novatrend.ch</t>
  </si>
  <si>
    <t>Maennedorf</t>
  </si>
  <si>
    <t>Felsenstrasse 20</t>
  </si>
  <si>
    <t>M.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</si>
  <si>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</si>
  <si>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</si>
  <si>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</si>
  <si>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</si>
  <si>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</si>
  <si>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</si>
  <si>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</si>
  <si>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</si>
  <si>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</si>
  <si>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</si>
  <si>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</si>
  <si>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</si>
  <si>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</si>
  <si>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</si>
  <si>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</si>
  <si>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</si>
  <si>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</si>
  <si>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</si>
  <si>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</si>
  <si>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</si>
  <si>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L.</t>
  </si>
  <si>
    <t>Luisa</t>
  </si>
  <si>
    <t>Maechler</t>
  </si>
  <si>
    <t>055 442 17 58</t>
  </si>
  <si>
    <t>Feldstrasse 11</t>
  </si>
  <si>
    <t>R.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</si>
  <si>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</si>
  <si>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</si>
  <si>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</si>
  <si>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</si>
  <si>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</si>
  <si>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</si>
  <si>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</si>
  <si>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</si>
  <si>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</si>
  <si>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</si>
  <si>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</si>
  <si>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</si>
  <si>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</si>
  <si>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</si>
  <si>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</si>
  <si>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</si>
  <si>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</si>
  <si>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</si>
  <si>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</si>
  <si>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</si>
  <si>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</si>
  <si>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</si>
  <si>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</si>
  <si>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</si>
  <si>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</si>
  <si>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</si>
  <si>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</si>
  <si>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</si>
  <si>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</si>
  <si>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</si>
  <si>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</si>
  <si>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</si>
  <si>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</si>
  <si>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</si>
  <si>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</si>
  <si>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</si>
  <si>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</si>
  <si>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</si>
  <si>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</si>
  <si>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</si>
  <si>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</si>
  <si>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</si>
  <si>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</si>
  <si>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</si>
  <si>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</si>
  <si>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</si>
  <si>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</si>
  <si>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H.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</si>
  <si>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</si>
  <si>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</si>
  <si>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</si>
  <si>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</si>
  <si>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</si>
  <si>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</si>
  <si>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</si>
  <si>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</si>
  <si>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</si>
  <si>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</si>
  <si>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</si>
  <si>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</si>
  <si>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</si>
  <si>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</si>
  <si>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</si>
  <si>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</si>
  <si>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</si>
  <si>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</si>
  <si>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</si>
  <si>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W.</t>
  </si>
  <si>
    <t>Walter</t>
  </si>
  <si>
    <t>King</t>
  </si>
  <si>
    <t>079 456 3421</t>
  </si>
  <si>
    <t>ruedi.juengling@hotmail.com</t>
  </si>
  <si>
    <t>Bonn</t>
  </si>
  <si>
    <t>Churerstrasse 21</t>
  </si>
  <si>
    <t>C.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</si>
  <si>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</si>
  <si>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</si>
  <si>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</si>
  <si>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</si>
  <si>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</si>
  <si>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</si>
  <si>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</si>
  <si>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</si>
  <si>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</si>
  <si>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</si>
  <si>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</si>
  <si>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</si>
  <si>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</si>
  <si>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</si>
  <si>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</si>
  <si>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</si>
  <si>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</si>
  <si>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Platzhalter</t>
  </si>
  <si>
    <t>TextVorlage</t>
  </si>
  <si>
    <t>Anrede</t>
  </si>
  <si>
    <t>AnredePerDu</t>
  </si>
  <si>
    <t>AnredePerSie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</si>
  <si>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</si>
  <si>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</si>
  <si>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</si>
  <si>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</si>
  <si>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</si>
  <si>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</si>
  <si>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</si>
  <si>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</si>
  <si>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</si>
  <si>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</si>
  <si>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</si>
  <si>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Domain</t>
  </si>
  <si>
    <t>EmailP</t>
  </si>
  <si>
    <t>OrtsAnschrift</t>
  </si>
  <si>
    <t>Strasse</t>
  </si>
  <si>
    <t>FullName</t>
  </si>
  <si>
    <t>FirstInital</t>
  </si>
  <si>
    <t>Hash</t>
  </si>
  <si>
    <t>y</t>
  </si>
  <si>
    <t>x</t>
  </si>
  <si>
    <t>y2 = x^2 -10x - 8</t>
  </si>
  <si>
    <t>y1 = 0.5x^2 - 3x + 5</t>
  </si>
  <si>
    <t>http://hwz.peterliwiese.ch/examples/Adressliste.txt</t>
  </si>
  <si>
    <t>Walter Rothlin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</si>
</sst>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16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9" fillId="0" borderId="0" applyNumberFormat="0" applyFill="0" applyBorder="0" applyAlignment="0" applyProtection="0"/>
  </cellStyleXfs>
  <cellXfs count="104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0" xfId="0" applyFill="1" applyBorder="1" applyAlignment="1">
      <alignment horizontal="right"/>
    </xf>
    <xf numFmtId="0" fontId="0" fillId="35" borderId="0" xfId="0" applyFill="1" applyBorder="1" applyAlignment="1">
      <alignment horizontal="lef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35" borderId="14" xfId="0" applyFill="1" applyBorder="1" applyAlignment="1">
      <alignment horizontal="right"/>
    </xf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3" xfId="0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33" borderId="30" xfId="0" applyFill="1" applyBorder="1"/>
    <xf numFmtId="0" fontId="0" fillId="0" borderId="25" xfId="0" applyFill="1" applyBorder="1"/>
    <xf numFmtId="0" fontId="0" fillId="0" borderId="26" xfId="0" applyFill="1" applyBorder="1"/>
    <xf numFmtId="0" fontId="0" fillId="0" borderId="0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24" fillId="0" borderId="0" xfId="0" applyFont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0" xfId="0" applyFill="1" applyBorder="1"/>
    <xf numFmtId="0" fontId="25" fillId="0" borderId="10" xfId="0" applyFont="1" applyBorder="1" applyAlignment="1">
      <alignment wrapText="1"/>
    </xf>
    <xf numFmtId="0" fontId="0" fillId="37" borderId="10" xfId="0" applyFill="1" applyBorder="1"/>
    <xf numFmtId="0" fontId="0" fillId="37" borderId="35" xfId="0" applyFill="1" applyBorder="1"/>
    <xf numFmtId="0" fontId="0" fillId="0" borderId="36" xfId="0" applyFill="1" applyBorder="1"/>
    <xf numFmtId="0" fontId="0" fillId="0" borderId="0" xfId="0" applyFill="1"/>
    <xf numFmtId="0" fontId="0" fillId="0" borderId="35" xfId="0" applyFill="1" applyBorder="1"/>
    <xf numFmtId="4" fontId="0" fillId="36" borderId="37" xfId="0" applyNumberFormat="1" applyFill="1" applyBorder="1"/>
    <xf numFmtId="4" fontId="0" fillId="36" borderId="38" xfId="0" applyNumberFormat="1" applyFill="1" applyBorder="1"/>
    <xf numFmtId="0" fontId="0" fillId="36" borderId="39" xfId="0" applyFill="1" applyBorder="1"/>
    <xf numFmtId="0" fontId="0" fillId="36" borderId="38" xfId="0" applyFill="1" applyBorder="1"/>
    <xf numFmtId="0" fontId="0" fillId="37" borderId="34" xfId="0" applyFill="1" applyBorder="1"/>
    <xf numFmtId="0" fontId="0" fillId="36" borderId="37" xfId="0" applyFill="1" applyBorder="1"/>
    <xf numFmtId="0" fontId="0" fillId="37" borderId="37" xfId="0" applyFill="1" applyBorder="1"/>
    <xf numFmtId="0" fontId="0" fillId="36" borderId="40" xfId="0" applyFill="1" applyBorder="1"/>
    <xf numFmtId="0" fontId="0" fillId="37" borderId="40" xfId="0" applyFill="1" applyBorder="1"/>
    <xf numFmtId="0" fontId="0" fillId="0" borderId="40" xfId="0" applyBorder="1"/>
    <xf numFmtId="0" fontId="0" fillId="0" borderId="25" xfId="0" applyBorder="1"/>
    <xf numFmtId="4" fontId="0" fillId="0" borderId="26" xfId="0" applyNumberFormat="1" applyBorder="1"/>
    <xf numFmtId="4" fontId="0" fillId="0" borderId="25" xfId="0" applyNumberFormat="1" applyBorder="1"/>
    <xf numFmtId="0" fontId="0" fillId="37" borderId="38" xfId="0" applyFill="1" applyBorder="1"/>
    <xf numFmtId="0" fontId="0" fillId="37" borderId="39" xfId="0" applyFill="1" applyBorder="1"/>
    <xf numFmtId="0" fontId="0" fillId="0" borderId="41" xfId="0" applyBorder="1"/>
    <xf numFmtId="0" fontId="0" fillId="0" borderId="42" xfId="0" applyBorder="1"/>
    <xf numFmtId="0" fontId="0" fillId="36" borderId="43" xfId="0" applyFill="1" applyBorder="1"/>
    <xf numFmtId="0" fontId="0" fillId="0" borderId="23" xfId="0" applyFill="1" applyBorder="1"/>
    <xf numFmtId="0" fontId="0" fillId="37" borderId="43" xfId="0" applyFill="1" applyBorder="1"/>
    <xf numFmtId="0" fontId="0" fillId="36" borderId="35" xfId="0" applyFill="1" applyBorder="1"/>
    <xf numFmtId="4" fontId="0" fillId="0" borderId="10" xfId="0" applyNumberFormat="1" applyBorder="1"/>
    <xf numFmtId="4" fontId="0" fillId="0" borderId="23" xfId="0" applyNumberFormat="1" applyBorder="1"/>
    <xf numFmtId="0" fontId="0" fillId="36" borderId="44" xfId="0" applyFill="1" applyBorder="1"/>
    <xf numFmtId="0" fontId="0" fillId="37" borderId="44" xfId="0" applyFill="1" applyBorder="1"/>
    <xf numFmtId="0" fontId="0" fillId="36" borderId="45" xfId="0" applyFill="1" applyBorder="1"/>
    <xf numFmtId="0" fontId="0" fillId="37" borderId="45" xfId="0" applyFill="1" applyBorder="1"/>
    <xf numFmtId="0" fontId="0" fillId="0" borderId="46" xfId="0" applyBorder="1"/>
    <xf numFmtId="0" fontId="0" fillId="0" borderId="35" xfId="0" applyBorder="1"/>
    <xf numFmtId="0" fontId="0" fillId="0" borderId="44" xfId="0" applyFill="1" applyBorder="1"/>
    <xf numFmtId="0" fontId="0" fillId="0" borderId="44" xfId="0" applyBorder="1"/>
    <xf numFmtId="0" fontId="0" fillId="37" borderId="22" xfId="0" applyFill="1" applyBorder="1"/>
    <xf numFmtId="0" fontId="0" fillId="36" borderId="21" xfId="0" applyFill="1" applyBorder="1"/>
    <xf numFmtId="4" fontId="0" fillId="0" borderId="21" xfId="0" applyNumberFormat="1" applyBorder="1"/>
    <xf numFmtId="4" fontId="0" fillId="0" borderId="20" xfId="0" applyNumberFormat="1" applyBorder="1"/>
    <xf numFmtId="0" fontId="0" fillId="37" borderId="20" xfId="0" applyFill="1" applyBorder="1"/>
    <xf numFmtId="0" fontId="0" fillId="37" borderId="47" xfId="0" applyFill="1" applyBorder="1"/>
    <xf numFmtId="0" fontId="0" fillId="0" borderId="47" xfId="0" applyBorder="1"/>
    <xf numFmtId="0" fontId="0" fillId="33" borderId="48" xfId="0" applyFill="1" applyBorder="1"/>
    <xf numFmtId="0" fontId="0" fillId="33" borderId="49" xfId="0" applyFill="1" applyBorder="1"/>
    <xf numFmtId="0" fontId="0" fillId="33" borderId="19" xfId="0" applyFill="1" applyBorder="1"/>
    <xf numFmtId="0" fontId="0" fillId="33" borderId="50" xfId="0" applyFill="1" applyBorder="1"/>
    <xf numFmtId="0" fontId="0" fillId="33" borderId="31" xfId="0" applyFill="1" applyBorder="1"/>
    <xf numFmtId="0" fontId="0" fillId="0" borderId="51" xfId="0" applyBorder="1"/>
    <xf numFmtId="0" fontId="0" fillId="33" borderId="41" xfId="0" applyFill="1" applyBorder="1"/>
    <xf numFmtId="0" fontId="0" fillId="0" borderId="52" xfId="0" applyBorder="1"/>
    <xf numFmtId="0" fontId="0" fillId="33" borderId="47" xfId="0" applyFill="1" applyBorder="1"/>
    <xf numFmtId="0" fontId="0" fillId="38" borderId="41" xfId="0" applyFill="1" applyBorder="1"/>
    <xf numFmtId="0" fontId="0" fillId="39" borderId="45" xfId="0" applyFill="1" applyBorder="1"/>
    <xf numFmtId="0" fontId="29" fillId="0" borderId="0" xfId="42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7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4"/>
      <tableStyleElement type="headerRow" dxfId="7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Ausstehender Mitgliederbeitrag </a:t>
            </a:r>
          </a:p>
        </c:rich>
      </c:tx>
      <c:layout>
        <c:manualLayout>
          <c:xMode val="edge"/>
          <c:yMode val="edge"/>
          <c:x val="0.16882205355593075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FormelnFuerDatenaufbereitung_L!$T$1</c:f>
              <c:strCache>
                <c:ptCount val="1"/>
                <c:pt idx="0">
                  <c:v>Beitrag bezahlt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FormelnFuerDatenaufbereitung_L!$U$29:$W$29</c:f>
              <c:numCache>
                <c:formatCode>General</c:formatCode>
                <c:ptCount val="3"/>
                <c:pt idx="0">
                  <c:v>17</c:v>
                </c:pt>
                <c:pt idx="1">
                  <c:v>0</c:v>
                </c:pt>
                <c:pt idx="2">
                  <c:v>10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AdressRohdaten!#REF!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Ausstehender Mitgliederbeitrag </a:t>
            </a:r>
          </a:p>
        </c:rich>
      </c:tx>
      <c:layout>
        <c:manualLayout>
          <c:xMode val="edge"/>
          <c:yMode val="edge"/>
          <c:x val="0.16882205355593075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FormelnFuerDatenaufbereitung_L!$AC$1</c:f>
              <c:strCache>
                <c:ptCount val="1"/>
                <c:pt idx="0">
                  <c:v>Offener Betrag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rgbClr val="00B050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FormelnFuerDatenaufbereitung_L!$AB$29:$AC$29</c:f>
              <c:numCache>
                <c:formatCode>#,##0.00</c:formatCode>
                <c:ptCount val="2"/>
                <c:pt idx="0">
                  <c:v>1524.3</c:v>
                </c:pt>
                <c:pt idx="1">
                  <c:v>3074.52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AdressRohdaten!#REF!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Potenzen_L!$C$4:$P$4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Potenzen_L!$C$5:$P$5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660040"/>
        <c:axId val="404660432"/>
      </c:scatterChart>
      <c:valAx>
        <c:axId val="404660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04660432"/>
        <c:crosses val="autoZero"/>
        <c:crossBetween val="midCat"/>
      </c:valAx>
      <c:valAx>
        <c:axId val="40466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04660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Quadratische Funktion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QuadratischeFunktion_L!$B$4</c:f>
              <c:strCache>
                <c:ptCount val="1"/>
                <c:pt idx="0">
                  <c:v>y1 = 0.5x^2 - 3x + 5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QuadratischeFunktion_L!$C$3:$W$3</c:f>
              <c:numCache>
                <c:formatCode>General</c:formatCode>
                <c:ptCount val="21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</c:numCache>
            </c:numRef>
          </c:xVal>
          <c:yVal>
            <c:numRef>
              <c:f>QuadratischeFunktion_L!$C$4:$W$4</c:f>
              <c:numCache>
                <c:formatCode>General</c:formatCode>
                <c:ptCount val="21"/>
                <c:pt idx="0">
                  <c:v>22.5</c:v>
                </c:pt>
                <c:pt idx="1">
                  <c:v>15</c:v>
                </c:pt>
                <c:pt idx="2">
                  <c:v>8.5</c:v>
                </c:pt>
                <c:pt idx="3">
                  <c:v>3</c:v>
                </c:pt>
                <c:pt idx="4">
                  <c:v>-1.5</c:v>
                </c:pt>
                <c:pt idx="5">
                  <c:v>-5</c:v>
                </c:pt>
                <c:pt idx="6">
                  <c:v>-7.5</c:v>
                </c:pt>
                <c:pt idx="7">
                  <c:v>-9</c:v>
                </c:pt>
                <c:pt idx="8">
                  <c:v>-9.5</c:v>
                </c:pt>
                <c:pt idx="9">
                  <c:v>-9</c:v>
                </c:pt>
                <c:pt idx="10">
                  <c:v>-7.5</c:v>
                </c:pt>
                <c:pt idx="11">
                  <c:v>-5</c:v>
                </c:pt>
                <c:pt idx="12">
                  <c:v>-1.5</c:v>
                </c:pt>
                <c:pt idx="13">
                  <c:v>3</c:v>
                </c:pt>
                <c:pt idx="14">
                  <c:v>8.5</c:v>
                </c:pt>
                <c:pt idx="15">
                  <c:v>15</c:v>
                </c:pt>
                <c:pt idx="16">
                  <c:v>22.5</c:v>
                </c:pt>
                <c:pt idx="17">
                  <c:v>31</c:v>
                </c:pt>
                <c:pt idx="18">
                  <c:v>40.5</c:v>
                </c:pt>
                <c:pt idx="19">
                  <c:v>51</c:v>
                </c:pt>
                <c:pt idx="20">
                  <c:v>62.5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QuadratischeFunktion_L!$B$5</c:f>
              <c:strCache>
                <c:ptCount val="1"/>
                <c:pt idx="0">
                  <c:v>y2 = x^2 -10x - 8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QuadratischeFunktion_L!$C$3:$W$3</c:f>
              <c:numCache>
                <c:formatCode>General</c:formatCode>
                <c:ptCount val="21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-2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</c:numCache>
            </c:numRef>
          </c:xVal>
          <c:yVal>
            <c:numRef>
              <c:f>QuadratischeFunktion_L!$C$5:$W$5</c:f>
              <c:numCache>
                <c:formatCode>General</c:formatCode>
                <c:ptCount val="21"/>
                <c:pt idx="0">
                  <c:v>67</c:v>
                </c:pt>
                <c:pt idx="1">
                  <c:v>48</c:v>
                </c:pt>
                <c:pt idx="2">
                  <c:v>31</c:v>
                </c:pt>
                <c:pt idx="3">
                  <c:v>16</c:v>
                </c:pt>
                <c:pt idx="4">
                  <c:v>3</c:v>
                </c:pt>
                <c:pt idx="5">
                  <c:v>-8</c:v>
                </c:pt>
                <c:pt idx="6">
                  <c:v>-17</c:v>
                </c:pt>
                <c:pt idx="7">
                  <c:v>-24</c:v>
                </c:pt>
                <c:pt idx="8">
                  <c:v>-29</c:v>
                </c:pt>
                <c:pt idx="9">
                  <c:v>-32</c:v>
                </c:pt>
                <c:pt idx="10">
                  <c:v>-33</c:v>
                </c:pt>
                <c:pt idx="11">
                  <c:v>-32</c:v>
                </c:pt>
                <c:pt idx="12">
                  <c:v>-29</c:v>
                </c:pt>
                <c:pt idx="13">
                  <c:v>-24</c:v>
                </c:pt>
                <c:pt idx="14">
                  <c:v>-17</c:v>
                </c:pt>
                <c:pt idx="15">
                  <c:v>-8</c:v>
                </c:pt>
                <c:pt idx="16">
                  <c:v>3</c:v>
                </c:pt>
                <c:pt idx="17">
                  <c:v>16</c:v>
                </c:pt>
                <c:pt idx="18">
                  <c:v>31</c:v>
                </c:pt>
                <c:pt idx="19">
                  <c:v>48</c:v>
                </c:pt>
                <c:pt idx="20">
                  <c:v>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661608"/>
        <c:axId val="489263528"/>
      </c:scatterChart>
      <c:valAx>
        <c:axId val="404661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89263528"/>
        <c:crosses val="autoZero"/>
        <c:crossBetween val="midCat"/>
      </c:valAx>
      <c:valAx>
        <c:axId val="489263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04661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VBA_L!$G$4:$G$5</c:f>
              <c:numCache>
                <c:formatCode>General</c:formatCode>
                <c:ptCount val="2"/>
                <c:pt idx="0">
                  <c:v>30</c:v>
                </c:pt>
                <c:pt idx="1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7</xdr:row>
      <xdr:rowOff>76200</xdr:rowOff>
    </xdr:from>
    <xdr:to>
      <xdr:col>4</xdr:col>
      <xdr:colOff>76200</xdr:colOff>
      <xdr:row>9</xdr:row>
      <xdr:rowOff>180975</xdr:rowOff>
    </xdr:to>
    <xdr:sp macro="[0]!Show_UserLoginFm" textlink="">
      <xdr:nvSpPr>
        <xdr:cNvPr id="3" name="Rechteck 2"/>
        <xdr:cNvSpPr/>
      </xdr:nvSpPr>
      <xdr:spPr>
        <a:xfrm>
          <a:off x="1019175" y="1514475"/>
          <a:ext cx="2105025" cy="485775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324971</xdr:colOff>
      <xdr:row>12</xdr:row>
      <xdr:rowOff>0</xdr:rowOff>
    </xdr:from>
    <xdr:ext cx="9704292" cy="2409263"/>
    <xdr:sp macro="" textlink="">
      <xdr:nvSpPr>
        <xdr:cNvPr id="4" name="Textfeld 3"/>
        <xdr:cNvSpPr txBox="1"/>
      </xdr:nvSpPr>
      <xdr:spPr>
        <a:xfrm>
          <a:off x="324971" y="2409265"/>
          <a:ext cx="9704292" cy="2409263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keinen Fall Test-Daten.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379882</xdr:colOff>
      <xdr:row>33</xdr:row>
      <xdr:rowOff>139514</xdr:rowOff>
    </xdr:from>
    <xdr:to>
      <xdr:col>24</xdr:col>
      <xdr:colOff>1094256</xdr:colOff>
      <xdr:row>48</xdr:row>
      <xdr:rowOff>25214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410137</xdr:colOff>
      <xdr:row>49</xdr:row>
      <xdr:rowOff>17930</xdr:rowOff>
    </xdr:from>
    <xdr:to>
      <xdr:col>24</xdr:col>
      <xdr:colOff>1187824</xdr:colOff>
      <xdr:row>63</xdr:row>
      <xdr:rowOff>94130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44824</xdr:colOff>
      <xdr:row>33</xdr:row>
      <xdr:rowOff>56029</xdr:rowOff>
    </xdr:from>
    <xdr:ext cx="10948147" cy="4964205"/>
    <xdr:sp macro="" textlink="">
      <xdr:nvSpPr>
        <xdr:cNvPr id="4" name="Textfeld 3"/>
        <xdr:cNvSpPr txBox="1"/>
      </xdr:nvSpPr>
      <xdr:spPr>
        <a:xfrm>
          <a:off x="806824" y="6342529"/>
          <a:ext cx="10948147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2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anschliessend die Formel  auf die restlichen Felder dieser  Spalte bis Zeile 28.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solletn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</a:t>
          </a:r>
        </a:p>
        <a:p>
          <a:pPr marL="1143000" lvl="2" indent="-228600">
            <a:buFont typeface="+mj-lt"/>
            <a:buAutoNum type="arabicPeriod"/>
          </a:pPr>
          <a:endParaRPr lang="de-CH" sz="1800" baseline="0"/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28574</xdr:colOff>
      <xdr:row>9</xdr:row>
      <xdr:rowOff>104775</xdr:rowOff>
    </xdr:from>
    <xdr:to>
      <xdr:col>13</xdr:col>
      <xdr:colOff>609599</xdr:colOff>
      <xdr:row>26</xdr:row>
      <xdr:rowOff>28575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15</xdr:col>
      <xdr:colOff>0</xdr:colOff>
      <xdr:row>8</xdr:row>
      <xdr:rowOff>0</xdr:rowOff>
    </xdr:from>
    <xdr:ext cx="17156205" cy="11630025"/>
    <xdr:sp macro="" textlink="">
      <xdr:nvSpPr>
        <xdr:cNvPr id="3" name="Textfeld 2"/>
        <xdr:cNvSpPr txBox="1"/>
      </xdr:nvSpPr>
      <xdr:spPr>
        <a:xfrm>
          <a:off x="11430000" y="1524000"/>
          <a:ext cx="17156205" cy="116300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Mathematische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/>
            <a:t>Erstellen Sie einen zusätzliches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einen zusätzliches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 (in einem separaten Feld) </a:t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  <a:p>
          <a:pPr marL="1143000" lvl="2" indent="-228600">
            <a:buFont typeface="+mj-lt"/>
            <a:buAutoNum type="arabicPeriod"/>
          </a:pPr>
          <a:endParaRPr lang="de-CH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228600" lvl="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 </a:t>
          </a:r>
          <a:r>
            <a:rPr lang="de-CH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Worksheet mit dem Namen </a:t>
          </a:r>
          <a:r>
            <a:rPr lang="de-CH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TXT_Daten</a:t>
          </a:r>
          <a:endParaRPr lang="de-CH" sz="1100" b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 </a:t>
          </a:r>
        </a:p>
        <a:p>
          <a:pPr marL="685800" lvl="1" indent="-228600">
            <a:buFont typeface="+mj-lt"/>
            <a:buAutoNum type="arabicPeriod"/>
          </a:pP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  <a:endParaRPr lang="de-CH" b="1">
            <a:effectLst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695325</xdr:colOff>
      <xdr:row>6</xdr:row>
      <xdr:rowOff>38100</xdr:rowOff>
    </xdr:from>
    <xdr:to>
      <xdr:col>17</xdr:col>
      <xdr:colOff>657225</xdr:colOff>
      <xdr:row>34</xdr:row>
      <xdr:rowOff>171450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358589</xdr:colOff>
      <xdr:row>1</xdr:row>
      <xdr:rowOff>134468</xdr:rowOff>
    </xdr:from>
    <xdr:to>
      <xdr:col>7</xdr:col>
      <xdr:colOff>302559</xdr:colOff>
      <xdr:row>9</xdr:row>
      <xdr:rowOff>123265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3" name="Textfeld 2"/>
        <xdr:cNvSpPr txBox="1"/>
      </xdr:nvSpPr>
      <xdr:spPr>
        <a:xfrm>
          <a:off x="268942" y="2734234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hwz.peterliwiese.ch/examples/Adressliste.txt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F23"/>
  <sheetViews>
    <sheetView showGridLines="0" zoomScale="85" zoomScaleNormal="85" workbookViewId="0">
      <selection activeCell="J10" sqref="J10"/>
    </sheetView>
  </sheetViews>
  <sheetFormatPr baseColWidth="10" defaultRowHeight="15" x14ac:dyDescent="0.25"/>
  <sheetData>
    <row r="2" spans="2:6" ht="23.25" x14ac:dyDescent="0.35">
      <c r="B2" s="1" t="s">
        <v>0</v>
      </c>
      <c r="F2" t="s">
        <v>108</v>
      </c>
    </row>
    <row r="4" spans="2:6" ht="15.75" thickBot="1" x14ac:dyDescent="0.3"/>
    <row r="5" spans="2:6" ht="15.75" thickBot="1" x14ac:dyDescent="0.3">
      <c r="B5" s="43" t="s">
        <v>278</v>
      </c>
      <c r="C5" s="44"/>
    </row>
    <row r="6" spans="2:6" x14ac:dyDescent="0.25">
      <c r="B6" s="45"/>
      <c r="C6" s="46"/>
    </row>
    <row r="22" spans="2:2" x14ac:dyDescent="0.25">
      <c r="B22" s="20"/>
    </row>
    <row r="23" spans="2:2" x14ac:dyDescent="0.25">
      <c r="B23" s="20"/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tabColor rgb="FFFF0000"/>
    <pageSetUpPr fitToPage="1"/>
  </sheetPr>
  <dimension ref="A1:AO32"/>
  <sheetViews>
    <sheetView topLeftCell="E1" zoomScale="85" zoomScaleNormal="85" workbookViewId="0">
      <selection activeCell="Q48" sqref="Q48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customWidth="1"/>
    <col min="6" max="6" width="15.42578125" customWidth="1"/>
    <col min="7" max="7" width="8.140625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customWidth="1"/>
    <col min="14" max="14" width="28.5703125" customWidth="1"/>
    <col min="15" max="15" width="13.140625" customWidth="1"/>
    <col min="16" max="16" width="8.140625" customWidth="1"/>
    <col min="17" max="17" width="32.140625" customWidth="1"/>
    <col min="18" max="18" width="8.140625" customWidth="1"/>
    <col min="19" max="19" width="17" customWidth="1"/>
    <col min="20" max="20" width="14.85546875" customWidth="1"/>
    <col min="21" max="21" width="12.28515625" customWidth="1"/>
    <col min="22" max="22" width="8.140625" customWidth="1"/>
    <col min="23" max="23" width="13.28515625" customWidth="1"/>
    <col min="24" max="24" width="8.140625" customWidth="1"/>
    <col min="25" max="25" width="32.140625" customWidth="1"/>
    <col min="26" max="26" width="8.140625" customWidth="1"/>
    <col min="27" max="27" width="17.5703125" customWidth="1"/>
    <col min="28" max="28" width="23.140625" customWidth="1"/>
    <col min="29" max="29" width="20.5703125" customWidth="1"/>
    <col min="30" max="30" width="8.140625" customWidth="1"/>
    <col min="33" max="33" width="33.42578125" customWidth="1"/>
    <col min="34" max="34" width="8.140625" customWidth="1"/>
    <col min="35" max="35" width="27.7109375" customWidth="1"/>
    <col min="36" max="36" width="8.140625" customWidth="1"/>
    <col min="37" max="37" width="29.85546875" customWidth="1"/>
    <col min="38" max="38" width="8.140625" customWidth="1"/>
    <col min="39" max="39" width="58.85546875" customWidth="1"/>
    <col min="40" max="40" width="17.140625" customWidth="1"/>
    <col min="41" max="41" width="8.140625" customWidth="1"/>
  </cols>
  <sheetData>
    <row r="1" spans="1:41" ht="15.75" thickBot="1" x14ac:dyDescent="0.3">
      <c r="A1" s="96" t="s">
        <v>272</v>
      </c>
      <c r="B1" s="33" t="s">
        <v>25</v>
      </c>
      <c r="C1" s="34" t="s">
        <v>24</v>
      </c>
      <c r="D1" s="34" t="s">
        <v>271</v>
      </c>
      <c r="E1" s="34" t="s">
        <v>249</v>
      </c>
      <c r="F1" s="34" t="s">
        <v>270</v>
      </c>
      <c r="G1" s="35" t="s">
        <v>249</v>
      </c>
      <c r="H1" s="95" t="s">
        <v>269</v>
      </c>
      <c r="I1" s="33" t="s">
        <v>30</v>
      </c>
      <c r="J1" s="34" t="s">
        <v>31</v>
      </c>
      <c r="K1" s="34" t="s">
        <v>29</v>
      </c>
      <c r="L1" s="35" t="s">
        <v>268</v>
      </c>
      <c r="M1" s="95" t="s">
        <v>249</v>
      </c>
      <c r="N1" s="33" t="s">
        <v>267</v>
      </c>
      <c r="O1" s="35" t="s">
        <v>266</v>
      </c>
      <c r="P1" s="95" t="s">
        <v>249</v>
      </c>
      <c r="Q1" s="94" t="s">
        <v>265</v>
      </c>
      <c r="R1" s="92" t="s">
        <v>249</v>
      </c>
      <c r="S1" s="93" t="s">
        <v>264</v>
      </c>
      <c r="T1" s="33" t="s">
        <v>263</v>
      </c>
      <c r="U1" s="34" t="s">
        <v>262</v>
      </c>
      <c r="V1" s="34" t="s">
        <v>249</v>
      </c>
      <c r="W1" s="34" t="s">
        <v>261</v>
      </c>
      <c r="X1" s="35" t="s">
        <v>249</v>
      </c>
      <c r="Y1" s="33" t="s">
        <v>260</v>
      </c>
      <c r="Z1" s="35" t="s">
        <v>249</v>
      </c>
      <c r="AA1" s="92" t="s">
        <v>259</v>
      </c>
      <c r="AB1" s="34" t="s">
        <v>258</v>
      </c>
      <c r="AC1" s="34" t="s">
        <v>257</v>
      </c>
      <c r="AD1" s="93" t="s">
        <v>249</v>
      </c>
      <c r="AE1" s="33" t="s">
        <v>256</v>
      </c>
      <c r="AF1" s="34" t="s">
        <v>255</v>
      </c>
      <c r="AG1" s="34" t="s">
        <v>254</v>
      </c>
      <c r="AH1" s="34" t="s">
        <v>249</v>
      </c>
      <c r="AI1" s="34" t="s">
        <v>253</v>
      </c>
      <c r="AJ1" s="34" t="s">
        <v>249</v>
      </c>
      <c r="AK1" s="34" t="s">
        <v>252</v>
      </c>
      <c r="AL1" s="35" t="s">
        <v>249</v>
      </c>
      <c r="AM1" s="33" t="s">
        <v>251</v>
      </c>
      <c r="AN1" s="35" t="s">
        <v>250</v>
      </c>
      <c r="AO1" s="92" t="s">
        <v>249</v>
      </c>
    </row>
    <row r="2" spans="1:41" x14ac:dyDescent="0.25">
      <c r="A2" s="45">
        <v>1</v>
      </c>
      <c r="B2" s="84" t="s">
        <v>248</v>
      </c>
      <c r="C2" s="82" t="s">
        <v>247</v>
      </c>
      <c r="D2" s="74" t="str">
        <f>PROPER(CONCATENATE(LEFT(C2,1),"."))</f>
        <v>R.</v>
      </c>
      <c r="E2" s="50" t="str">
        <f t="shared" ref="E2:E28" si="0">IF(D2=PROPER(CONCATENATE(LEFT(C2,1),".")),"ok",IF(D2="","--","nok"))</f>
        <v>ok</v>
      </c>
      <c r="F2" s="74" t="str">
        <f t="shared" ref="F2:F28" si="1">PROPER(CONCATENATE(D2,B2))</f>
        <v>R.Hollenstein</v>
      </c>
      <c r="G2" s="73" t="str">
        <f t="shared" ref="G2:G28" si="2">IF(F2=PROPER(CONCATENATE(D2,B2)),"ok",IF(F2="","--","nok"))</f>
        <v>ok</v>
      </c>
      <c r="H2" s="91" t="s">
        <v>246</v>
      </c>
      <c r="I2" s="84">
        <v>8853</v>
      </c>
      <c r="J2" s="82" t="s">
        <v>122</v>
      </c>
      <c r="K2" s="82" t="s">
        <v>33</v>
      </c>
      <c r="L2" s="71" t="str">
        <f t="shared" ref="L2:L28" si="3">CONCATENATE(K2,"-",I2," ",J2)</f>
        <v>CH-8853 Lachen</v>
      </c>
      <c r="M2" s="90" t="str">
        <f t="shared" ref="M2:M28" si="4">IF(L2=CONCATENATE(K2,"-",I2," ",J2),"ok",IF(L2="","--","nok"))</f>
        <v>ok</v>
      </c>
      <c r="N2" s="84" t="s">
        <v>245</v>
      </c>
      <c r="O2" s="71" t="str">
        <f t="shared" ref="O2:O28" si="5">IF(N2="","Keine",RIGHT(N2,LEN(N2)-SEARCH("@",N2,1)))</f>
        <v>gmail.ch</v>
      </c>
      <c r="P2" s="90" t="str">
        <f t="shared" ref="P2:P28" si="6">IF(O2=IF(N2="","Keine",RIGHT(N2,LEN(N2)-SEARCH("@",N2,1))),"ok",IF(O2="","--","nok"))</f>
        <v>ok</v>
      </c>
      <c r="Q2" s="79" t="str">
        <f t="shared" ref="Q2:Q28" si="7">CONCATENATE(LOWER(C2),".",LOWER(B2),"@","bzu.ch")</f>
        <v>ruth.hollenstein@bzu.ch</v>
      </c>
      <c r="R2" s="89" t="str">
        <f t="shared" ref="R2:R28" si="8">IF(Q2=CONCATENATE(LOWER(C2),".",LOWER(B2),"@","bzu.ch"),"ok",IF(Q2="","--","nok"))</f>
        <v>ok</v>
      </c>
      <c r="S2" s="41" t="s">
        <v>244</v>
      </c>
      <c r="T2" s="84" t="s">
        <v>110</v>
      </c>
      <c r="U2" s="74">
        <f t="shared" ref="U2:U28" si="9">IF(T2="Ja",1,0)</f>
        <v>1</v>
      </c>
      <c r="V2" s="50" t="str">
        <f t="shared" ref="V2:V28" si="10">IF(U2="","--",IF(U2=IF(T2="Ja",1,0),"ok","nok"))</f>
        <v>ok</v>
      </c>
      <c r="W2" s="74">
        <f t="shared" ref="W2:W28" si="11">IF(T2="Ja",0,1)</f>
        <v>0</v>
      </c>
      <c r="X2" s="73" t="str">
        <f t="shared" ref="X2:X28" si="12">IF(W2="","--",IF(W2=IF(T2="Ja",0,1),"ok","nok"))</f>
        <v>ok</v>
      </c>
      <c r="Y2" s="77" t="str">
        <f t="shared" ref="Y2:Y28" si="13">IF(T2="Nein",IF(N2&lt;&gt;"",N2,Q2),"")</f>
        <v/>
      </c>
      <c r="Z2" s="73" t="str">
        <f t="shared" ref="Z2:Z28" si="14">IF(Y2=IF(T2="Nein",IF(N2&lt;&gt;"",N2,Q2),""),"ok",IF(Y2="","--","nok"))</f>
        <v>ok</v>
      </c>
      <c r="AA2" s="88">
        <v>50</v>
      </c>
      <c r="AB2" s="87">
        <v>50</v>
      </c>
      <c r="AC2" s="86">
        <f t="shared" ref="AC2:AC28" si="15">AA2-AB2</f>
        <v>0</v>
      </c>
      <c r="AD2" s="85" t="str">
        <f t="shared" ref="AD2:AD28" si="16">IF(AC2=AA2-AB2,"ok",IF(AC2="","--","nok"))</f>
        <v>ok</v>
      </c>
      <c r="AE2" s="84" t="s">
        <v>126</v>
      </c>
      <c r="AF2" s="82" t="s">
        <v>110</v>
      </c>
      <c r="AG2" s="74" t="str">
        <f t="shared" ref="AG2:AG28" si="17">IF(AE2="Familie",CONCATENATE("Sehr geehrte Familie ",B2),IF(AE2="Herr",CONCATENATE("Sehr geehrter Herr ",B2),CONCATENATE("Sehr geehrte Frau ",B2)))</f>
        <v>Sehr geehrte Familie Hollenstein</v>
      </c>
      <c r="AH2" s="50" t="str">
        <f t="shared" ref="AH2:AH28" si="18">IF(AG2=IF(AE2="Familie",CONCATENATE("Sehr geehrte Familie ",B2),IF(AE2="Herr",CONCATENATE("Sehr geehrter Herr ",B2),CONCATENATE("Sehr geehrte Frau ",B2))),"ok",IF(AG2="","--","nok"))</f>
        <v>ok</v>
      </c>
      <c r="AI2" s="74" t="str">
        <f t="shared" ref="AI2:AI28" si="19">IF(AE2="Familie",CONCATENATE("Liebe Familie ",B2),IF(AE2="Herr",CONCATENATE("Lieber ",C2),CONCATENATE("Liebe ",C2)))</f>
        <v>Liebe Familie Hollenstein</v>
      </c>
      <c r="AJ2" s="50" t="str">
        <f t="shared" ref="AJ2:AJ28" si="20">IF(AI2=IF(AE2="Familie",CONCATENATE("Liebe Familie ",B2),IF(AE2="Herr",CONCATENATE("Lieber ",C2),CONCATENATE("Liebe ",C2))),"ok",IF(AI2="","--","nok"))</f>
        <v>ok</v>
      </c>
      <c r="AK2" s="74" t="str">
        <f t="shared" ref="AK2:AK28" si="21">IF(AF2="Ja",AI2,AG2)</f>
        <v>Liebe Familie Hollenstein</v>
      </c>
      <c r="AL2" s="73" t="str">
        <f>IF(AK2=IF(AF2="Ja",AI2,AG2),"ok",IF(AK2="","--","nok"))</f>
        <v>ok</v>
      </c>
      <c r="AM2" s="83" t="s">
        <v>125</v>
      </c>
      <c r="AN2" s="71" t="str">
        <f t="shared" ref="AN2:AN28" si="22">MID(AM2,SEARCH("{",AM2) + 1,SEARCH("}",AM2) - SEARCH("{",AM2) - 1)</f>
        <v>Offener Betrag</v>
      </c>
      <c r="AO2" s="58" t="str">
        <f t="shared" ref="AO2:AO28" si="23">IF(AN2=MID(AM2,SEARCH("{",AM2) + 1,SEARCH("}",AM2) - SEARCH("{",AM2) - 1),"ok",IF(AN2="","--","nok"))</f>
        <v>ok</v>
      </c>
    </row>
    <row r="3" spans="1:41" x14ac:dyDescent="0.25">
      <c r="A3" s="70">
        <v>2</v>
      </c>
      <c r="B3" s="28" t="s">
        <v>243</v>
      </c>
      <c r="C3" s="4" t="s">
        <v>242</v>
      </c>
      <c r="D3" s="74" t="s">
        <v>157</v>
      </c>
      <c r="E3" s="50" t="str">
        <f t="shared" si="0"/>
        <v>ok</v>
      </c>
      <c r="F3" s="74" t="str">
        <f t="shared" si="1"/>
        <v>R.Mueller</v>
      </c>
      <c r="G3" s="73" t="str">
        <f t="shared" si="2"/>
        <v>ok</v>
      </c>
      <c r="H3" s="81" t="s">
        <v>241</v>
      </c>
      <c r="I3" s="28">
        <v>8853</v>
      </c>
      <c r="J3" s="4" t="s">
        <v>122</v>
      </c>
      <c r="K3" s="4" t="s">
        <v>33</v>
      </c>
      <c r="L3" s="71" t="str">
        <f t="shared" si="3"/>
        <v>CH-8853 Lachen</v>
      </c>
      <c r="M3" s="80" t="str">
        <f t="shared" si="4"/>
        <v>ok</v>
      </c>
      <c r="N3" s="28" t="s">
        <v>240</v>
      </c>
      <c r="O3" s="71" t="str">
        <f t="shared" si="5"/>
        <v>gmail.ch</v>
      </c>
      <c r="P3" s="80" t="str">
        <f t="shared" si="6"/>
        <v>ok</v>
      </c>
      <c r="Q3" s="79" t="str">
        <f t="shared" si="7"/>
        <v>ruedi.mueller@bzu.ch</v>
      </c>
      <c r="R3" s="78" t="str">
        <f t="shared" si="8"/>
        <v>ok</v>
      </c>
      <c r="S3" s="29" t="s">
        <v>239</v>
      </c>
      <c r="T3" s="28" t="s">
        <v>120</v>
      </c>
      <c r="U3" s="74">
        <f t="shared" si="9"/>
        <v>0</v>
      </c>
      <c r="V3" s="50" t="str">
        <f t="shared" si="10"/>
        <v>ok</v>
      </c>
      <c r="W3" s="74">
        <f t="shared" si="11"/>
        <v>1</v>
      </c>
      <c r="X3" s="73" t="str">
        <f t="shared" si="12"/>
        <v>ok</v>
      </c>
      <c r="Y3" s="77" t="str">
        <f t="shared" si="13"/>
        <v>ruedi.hollenstein@gmail.ch</v>
      </c>
      <c r="Z3" s="73" t="str">
        <f t="shared" si="14"/>
        <v>ok</v>
      </c>
      <c r="AA3" s="76">
        <v>68</v>
      </c>
      <c r="AB3" s="75">
        <v>30</v>
      </c>
      <c r="AC3" s="74">
        <f t="shared" si="15"/>
        <v>38</v>
      </c>
      <c r="AD3" s="73" t="str">
        <f t="shared" si="16"/>
        <v>ok</v>
      </c>
      <c r="AE3" s="28" t="s">
        <v>126</v>
      </c>
      <c r="AF3" s="4" t="s">
        <v>120</v>
      </c>
      <c r="AG3" s="74" t="str">
        <f t="shared" si="17"/>
        <v>Sehr geehrte Familie Mueller</v>
      </c>
      <c r="AH3" s="50" t="str">
        <f t="shared" si="18"/>
        <v>ok</v>
      </c>
      <c r="AI3" s="74" t="str">
        <f t="shared" si="19"/>
        <v>Liebe Familie Mueller</v>
      </c>
      <c r="AJ3" s="50" t="str">
        <f t="shared" si="20"/>
        <v>ok</v>
      </c>
      <c r="AK3" s="74" t="str">
        <f t="shared" si="21"/>
        <v>Sehr geehrte Familie Mueller</v>
      </c>
      <c r="AL3" s="73" t="str">
        <f t="shared" ref="AL3:AL28" si="24">IF(AK3="","--",IF(AK3=IF(AF3="Ja",AI3,AG3),"ok","nok"))</f>
        <v>ok</v>
      </c>
      <c r="AM3" s="72" t="s">
        <v>119</v>
      </c>
      <c r="AN3" s="71" t="str">
        <f t="shared" si="22"/>
        <v>Rechnungsbetrag</v>
      </c>
      <c r="AO3" s="58" t="str">
        <f t="shared" si="23"/>
        <v>ok</v>
      </c>
    </row>
    <row r="4" spans="1:41" x14ac:dyDescent="0.25">
      <c r="A4" s="70">
        <v>3</v>
      </c>
      <c r="B4" s="28" t="s">
        <v>238</v>
      </c>
      <c r="C4" s="4" t="s">
        <v>237</v>
      </c>
      <c r="D4" s="74" t="s">
        <v>131</v>
      </c>
      <c r="E4" s="50" t="str">
        <f t="shared" si="0"/>
        <v>ok</v>
      </c>
      <c r="F4" s="74" t="str">
        <f t="shared" si="1"/>
        <v>M.Janser</v>
      </c>
      <c r="G4" s="73" t="str">
        <f t="shared" si="2"/>
        <v>ok</v>
      </c>
      <c r="H4" s="81" t="s">
        <v>236</v>
      </c>
      <c r="I4" s="28">
        <v>8853</v>
      </c>
      <c r="J4" s="4" t="s">
        <v>122</v>
      </c>
      <c r="K4" s="4" t="s">
        <v>33</v>
      </c>
      <c r="L4" s="71" t="str">
        <f t="shared" si="3"/>
        <v>CH-8853 Lachen</v>
      </c>
      <c r="M4" s="80" t="str">
        <f t="shared" si="4"/>
        <v>ok</v>
      </c>
      <c r="N4" s="28"/>
      <c r="O4" s="71" t="str">
        <f t="shared" si="5"/>
        <v>Keine</v>
      </c>
      <c r="P4" s="80" t="str">
        <f t="shared" si="6"/>
        <v>ok</v>
      </c>
      <c r="Q4" s="79" t="str">
        <f t="shared" si="7"/>
        <v>maria.janser@bzu.ch</v>
      </c>
      <c r="R4" s="78" t="str">
        <f t="shared" si="8"/>
        <v>ok</v>
      </c>
      <c r="S4" s="29" t="s">
        <v>235</v>
      </c>
      <c r="T4" s="28" t="s">
        <v>120</v>
      </c>
      <c r="U4" s="74">
        <f t="shared" si="9"/>
        <v>0</v>
      </c>
      <c r="V4" s="50" t="str">
        <f t="shared" si="10"/>
        <v>ok</v>
      </c>
      <c r="W4" s="74">
        <f t="shared" si="11"/>
        <v>1</v>
      </c>
      <c r="X4" s="73" t="str">
        <f t="shared" si="12"/>
        <v>ok</v>
      </c>
      <c r="Y4" s="77" t="str">
        <f t="shared" si="13"/>
        <v>maria.janser@bzu.ch</v>
      </c>
      <c r="Z4" s="73" t="str">
        <f t="shared" si="14"/>
        <v>ok</v>
      </c>
      <c r="AA4" s="76">
        <v>123</v>
      </c>
      <c r="AB4" s="75">
        <v>100</v>
      </c>
      <c r="AC4" s="74">
        <f t="shared" si="15"/>
        <v>23</v>
      </c>
      <c r="AD4" s="73" t="str">
        <f t="shared" si="16"/>
        <v>ok</v>
      </c>
      <c r="AE4" s="28" t="s">
        <v>138</v>
      </c>
      <c r="AF4" s="82" t="s">
        <v>110</v>
      </c>
      <c r="AG4" s="74" t="str">
        <f t="shared" si="17"/>
        <v>Sehr geehrte Frau janser</v>
      </c>
      <c r="AH4" s="50" t="str">
        <f t="shared" si="18"/>
        <v>ok</v>
      </c>
      <c r="AI4" s="74" t="str">
        <f t="shared" si="19"/>
        <v>Liebe Maria</v>
      </c>
      <c r="AJ4" s="50" t="str">
        <f t="shared" si="20"/>
        <v>ok</v>
      </c>
      <c r="AK4" s="74" t="str">
        <f t="shared" si="21"/>
        <v>Liebe Maria</v>
      </c>
      <c r="AL4" s="73" t="str">
        <f t="shared" si="24"/>
        <v>ok</v>
      </c>
      <c r="AM4" s="72" t="s">
        <v>109</v>
      </c>
      <c r="AN4" s="71" t="str">
        <f t="shared" si="22"/>
        <v>Ort</v>
      </c>
      <c r="AO4" s="58" t="str">
        <f t="shared" si="23"/>
        <v>ok</v>
      </c>
    </row>
    <row r="5" spans="1:41" x14ac:dyDescent="0.25">
      <c r="A5" s="70">
        <v>4</v>
      </c>
      <c r="B5" s="28" t="s">
        <v>234</v>
      </c>
      <c r="C5" s="4" t="s">
        <v>233</v>
      </c>
      <c r="D5" s="74" t="s">
        <v>232</v>
      </c>
      <c r="E5" s="50" t="str">
        <f t="shared" si="0"/>
        <v>ok</v>
      </c>
      <c r="F5" s="74" t="str">
        <f t="shared" si="1"/>
        <v>C.Meier</v>
      </c>
      <c r="G5" s="73" t="str">
        <f t="shared" si="2"/>
        <v>ok</v>
      </c>
      <c r="H5" s="81" t="s">
        <v>231</v>
      </c>
      <c r="I5" s="28">
        <v>53175</v>
      </c>
      <c r="J5" s="4" t="s">
        <v>230</v>
      </c>
      <c r="K5" s="4" t="s">
        <v>35</v>
      </c>
      <c r="L5" s="71" t="str">
        <f t="shared" si="3"/>
        <v>DE-53175 Bonn</v>
      </c>
      <c r="M5" s="80" t="str">
        <f t="shared" si="4"/>
        <v>ok</v>
      </c>
      <c r="N5" s="28" t="s">
        <v>229</v>
      </c>
      <c r="O5" s="71" t="str">
        <f t="shared" si="5"/>
        <v>hotmail.com</v>
      </c>
      <c r="P5" s="80" t="str">
        <f t="shared" si="6"/>
        <v>ok</v>
      </c>
      <c r="Q5" s="79" t="str">
        <f t="shared" si="7"/>
        <v>claudia.meier@bzu.ch</v>
      </c>
      <c r="R5" s="78" t="str">
        <f t="shared" si="8"/>
        <v>ok</v>
      </c>
      <c r="S5" s="29" t="s">
        <v>228</v>
      </c>
      <c r="T5" s="28" t="s">
        <v>110</v>
      </c>
      <c r="U5" s="74">
        <f t="shared" si="9"/>
        <v>1</v>
      </c>
      <c r="V5" s="50" t="str">
        <f t="shared" si="10"/>
        <v>ok</v>
      </c>
      <c r="W5" s="74">
        <f t="shared" si="11"/>
        <v>0</v>
      </c>
      <c r="X5" s="73" t="str">
        <f t="shared" si="12"/>
        <v>ok</v>
      </c>
      <c r="Y5" s="77" t="str">
        <f t="shared" si="13"/>
        <v/>
      </c>
      <c r="Z5" s="73" t="str">
        <f t="shared" si="14"/>
        <v>ok</v>
      </c>
      <c r="AA5" s="76">
        <v>45.3</v>
      </c>
      <c r="AB5" s="75">
        <v>45.3</v>
      </c>
      <c r="AC5" s="74">
        <f t="shared" si="15"/>
        <v>0</v>
      </c>
      <c r="AD5" s="73" t="str">
        <f t="shared" si="16"/>
        <v>ok</v>
      </c>
      <c r="AE5" s="28" t="s">
        <v>138</v>
      </c>
      <c r="AF5" s="4" t="s">
        <v>120</v>
      </c>
      <c r="AG5" s="74" t="str">
        <f t="shared" si="17"/>
        <v>Sehr geehrte Frau Meier</v>
      </c>
      <c r="AH5" s="50" t="str">
        <f t="shared" si="18"/>
        <v>ok</v>
      </c>
      <c r="AI5" s="74" t="str">
        <f t="shared" si="19"/>
        <v>Liebe Claudia</v>
      </c>
      <c r="AJ5" s="50" t="str">
        <f t="shared" si="20"/>
        <v>ok</v>
      </c>
      <c r="AK5" s="74" t="str">
        <f t="shared" si="21"/>
        <v>Sehr geehrte Frau Meier</v>
      </c>
      <c r="AL5" s="73" t="str">
        <f t="shared" si="24"/>
        <v>ok</v>
      </c>
      <c r="AM5" s="72" t="s">
        <v>125</v>
      </c>
      <c r="AN5" s="71" t="str">
        <f t="shared" si="22"/>
        <v>Offener Betrag</v>
      </c>
      <c r="AO5" s="58" t="str">
        <f t="shared" si="23"/>
        <v>ok</v>
      </c>
    </row>
    <row r="6" spans="1:41" x14ac:dyDescent="0.25">
      <c r="A6" s="70">
        <v>5</v>
      </c>
      <c r="B6" s="28" t="s">
        <v>227</v>
      </c>
      <c r="C6" s="4" t="s">
        <v>226</v>
      </c>
      <c r="D6" s="74" t="s">
        <v>225</v>
      </c>
      <c r="E6" s="50" t="str">
        <f t="shared" si="0"/>
        <v>ok</v>
      </c>
      <c r="F6" s="74" t="str">
        <f t="shared" si="1"/>
        <v>W.King</v>
      </c>
      <c r="G6" s="73" t="str">
        <f t="shared" si="2"/>
        <v>ok</v>
      </c>
      <c r="H6" s="81" t="s">
        <v>224</v>
      </c>
      <c r="I6" s="28">
        <v>78713</v>
      </c>
      <c r="J6" s="4" t="s">
        <v>189</v>
      </c>
      <c r="K6" s="4" t="s">
        <v>35</v>
      </c>
      <c r="L6" s="71" t="str">
        <f t="shared" si="3"/>
        <v xml:space="preserve">DE-78713 Schramberg </v>
      </c>
      <c r="M6" s="80" t="str">
        <f t="shared" si="4"/>
        <v>ok</v>
      </c>
      <c r="N6" s="28"/>
      <c r="O6" s="71" t="str">
        <f t="shared" si="5"/>
        <v>Keine</v>
      </c>
      <c r="P6" s="80" t="str">
        <f t="shared" si="6"/>
        <v>ok</v>
      </c>
      <c r="Q6" s="79" t="str">
        <f t="shared" si="7"/>
        <v>walter.king@bzu.ch</v>
      </c>
      <c r="R6" s="78" t="str">
        <f t="shared" si="8"/>
        <v>ok</v>
      </c>
      <c r="S6" s="29" t="s">
        <v>223</v>
      </c>
      <c r="T6" s="28" t="s">
        <v>120</v>
      </c>
      <c r="U6" s="74">
        <f t="shared" si="9"/>
        <v>0</v>
      </c>
      <c r="V6" s="50" t="str">
        <f t="shared" si="10"/>
        <v>ok</v>
      </c>
      <c r="W6" s="74">
        <f t="shared" si="11"/>
        <v>1</v>
      </c>
      <c r="X6" s="73" t="str">
        <f t="shared" si="12"/>
        <v>ok</v>
      </c>
      <c r="Y6" s="77" t="str">
        <f t="shared" si="13"/>
        <v>walter.king@bzu.ch</v>
      </c>
      <c r="Z6" s="73" t="str">
        <f t="shared" si="14"/>
        <v>ok</v>
      </c>
      <c r="AA6" s="76">
        <v>312.56</v>
      </c>
      <c r="AB6" s="75">
        <v>50</v>
      </c>
      <c r="AC6" s="74">
        <f t="shared" si="15"/>
        <v>262.56</v>
      </c>
      <c r="AD6" s="73" t="str">
        <f t="shared" si="16"/>
        <v>ok</v>
      </c>
      <c r="AE6" s="28" t="s">
        <v>111</v>
      </c>
      <c r="AF6" s="82" t="s">
        <v>110</v>
      </c>
      <c r="AG6" s="74" t="str">
        <f t="shared" si="17"/>
        <v>Sehr geehrter Herr King</v>
      </c>
      <c r="AH6" s="50" t="str">
        <f t="shared" si="18"/>
        <v>ok</v>
      </c>
      <c r="AI6" s="74" t="str">
        <f t="shared" si="19"/>
        <v>Lieber Walter</v>
      </c>
      <c r="AJ6" s="50" t="str">
        <f t="shared" si="20"/>
        <v>ok</v>
      </c>
      <c r="AK6" s="74" t="str">
        <f t="shared" si="21"/>
        <v>Lieber Walter</v>
      </c>
      <c r="AL6" s="73" t="str">
        <f t="shared" si="24"/>
        <v>ok</v>
      </c>
      <c r="AM6" s="72" t="s">
        <v>119</v>
      </c>
      <c r="AN6" s="71" t="str">
        <f t="shared" si="22"/>
        <v>Rechnungsbetrag</v>
      </c>
      <c r="AO6" s="58" t="str">
        <f t="shared" si="23"/>
        <v>ok</v>
      </c>
    </row>
    <row r="7" spans="1:41" x14ac:dyDescent="0.25">
      <c r="A7" s="70">
        <v>6</v>
      </c>
      <c r="B7" s="28" t="s">
        <v>222</v>
      </c>
      <c r="C7" s="4" t="s">
        <v>221</v>
      </c>
      <c r="D7" s="74" t="s">
        <v>157</v>
      </c>
      <c r="E7" s="50" t="str">
        <f t="shared" si="0"/>
        <v>ok</v>
      </c>
      <c r="F7" s="74" t="str">
        <f t="shared" si="1"/>
        <v>R.Koch</v>
      </c>
      <c r="G7" s="73" t="str">
        <f t="shared" si="2"/>
        <v>ok</v>
      </c>
      <c r="H7" s="81" t="s">
        <v>220</v>
      </c>
      <c r="I7" s="28">
        <v>8808</v>
      </c>
      <c r="J7" s="4" t="s">
        <v>219</v>
      </c>
      <c r="K7" s="4" t="s">
        <v>33</v>
      </c>
      <c r="L7" s="71" t="str">
        <f t="shared" si="3"/>
        <v>CH-8808 Pfaeffikon</v>
      </c>
      <c r="M7" s="80" t="str">
        <f t="shared" si="4"/>
        <v>ok</v>
      </c>
      <c r="N7" s="28" t="s">
        <v>218</v>
      </c>
      <c r="O7" s="71" t="str">
        <f t="shared" si="5"/>
        <v>gmail.ch</v>
      </c>
      <c r="P7" s="80" t="str">
        <f t="shared" si="6"/>
        <v>ok</v>
      </c>
      <c r="Q7" s="79" t="str">
        <f t="shared" si="7"/>
        <v>roman.koch@bzu.ch</v>
      </c>
      <c r="R7" s="78" t="str">
        <f t="shared" si="8"/>
        <v>ok</v>
      </c>
      <c r="S7" s="29" t="s">
        <v>217</v>
      </c>
      <c r="T7" s="28" t="s">
        <v>110</v>
      </c>
      <c r="U7" s="74">
        <f t="shared" si="9"/>
        <v>1</v>
      </c>
      <c r="V7" s="50" t="str">
        <f t="shared" si="10"/>
        <v>ok</v>
      </c>
      <c r="W7" s="74">
        <f t="shared" si="11"/>
        <v>0</v>
      </c>
      <c r="X7" s="73" t="str">
        <f t="shared" si="12"/>
        <v>ok</v>
      </c>
      <c r="Y7" s="77" t="str">
        <f t="shared" si="13"/>
        <v/>
      </c>
      <c r="Z7" s="73" t="str">
        <f t="shared" si="14"/>
        <v>ok</v>
      </c>
      <c r="AA7" s="76">
        <v>21.3</v>
      </c>
      <c r="AB7" s="75">
        <v>10</v>
      </c>
      <c r="AC7" s="74">
        <f t="shared" si="15"/>
        <v>11.3</v>
      </c>
      <c r="AD7" s="73" t="str">
        <f t="shared" si="16"/>
        <v>ok</v>
      </c>
      <c r="AE7" s="28" t="s">
        <v>111</v>
      </c>
      <c r="AF7" s="4" t="s">
        <v>120</v>
      </c>
      <c r="AG7" s="74" t="str">
        <f t="shared" si="17"/>
        <v>Sehr geehrter Herr Koch</v>
      </c>
      <c r="AH7" s="50" t="str">
        <f t="shared" si="18"/>
        <v>ok</v>
      </c>
      <c r="AI7" s="74" t="str">
        <f t="shared" si="19"/>
        <v>Lieber Roman</v>
      </c>
      <c r="AJ7" s="50" t="str">
        <f t="shared" si="20"/>
        <v>ok</v>
      </c>
      <c r="AK7" s="74" t="str">
        <f t="shared" si="21"/>
        <v>Sehr geehrter Herr Koch</v>
      </c>
      <c r="AL7" s="73" t="str">
        <f t="shared" si="24"/>
        <v>ok</v>
      </c>
      <c r="AM7" s="72" t="s">
        <v>109</v>
      </c>
      <c r="AN7" s="71" t="str">
        <f t="shared" si="22"/>
        <v>Ort</v>
      </c>
      <c r="AO7" s="58" t="str">
        <f t="shared" si="23"/>
        <v>ok</v>
      </c>
    </row>
    <row r="8" spans="1:41" x14ac:dyDescent="0.25">
      <c r="A8" s="70">
        <v>7</v>
      </c>
      <c r="B8" s="28" t="s">
        <v>216</v>
      </c>
      <c r="C8" s="4" t="s">
        <v>215</v>
      </c>
      <c r="D8" s="74" t="s">
        <v>157</v>
      </c>
      <c r="E8" s="50" t="str">
        <f t="shared" si="0"/>
        <v>ok</v>
      </c>
      <c r="F8" s="74" t="str">
        <f t="shared" si="1"/>
        <v>R.Koller</v>
      </c>
      <c r="G8" s="73" t="str">
        <f t="shared" si="2"/>
        <v>ok</v>
      </c>
      <c r="H8" s="81" t="s">
        <v>214</v>
      </c>
      <c r="I8" s="28">
        <v>8854</v>
      </c>
      <c r="J8" s="4" t="s">
        <v>151</v>
      </c>
      <c r="K8" s="4" t="s">
        <v>33</v>
      </c>
      <c r="L8" s="71" t="str">
        <f t="shared" si="3"/>
        <v>CH-8854 Siebnen</v>
      </c>
      <c r="M8" s="80" t="str">
        <f t="shared" si="4"/>
        <v>ok</v>
      </c>
      <c r="N8" s="28" t="s">
        <v>213</v>
      </c>
      <c r="O8" s="71" t="str">
        <f t="shared" si="5"/>
        <v>gmail.ch</v>
      </c>
      <c r="P8" s="80" t="str">
        <f t="shared" si="6"/>
        <v>ok</v>
      </c>
      <c r="Q8" s="79" t="str">
        <f t="shared" si="7"/>
        <v>rasi.koller@bzu.ch</v>
      </c>
      <c r="R8" s="78" t="str">
        <f t="shared" si="8"/>
        <v>ok</v>
      </c>
      <c r="S8" s="29" t="s">
        <v>212</v>
      </c>
      <c r="T8" s="28" t="s">
        <v>110</v>
      </c>
      <c r="U8" s="74">
        <f t="shared" si="9"/>
        <v>1</v>
      </c>
      <c r="V8" s="50" t="str">
        <f t="shared" si="10"/>
        <v>ok</v>
      </c>
      <c r="W8" s="74">
        <f t="shared" si="11"/>
        <v>0</v>
      </c>
      <c r="X8" s="73" t="str">
        <f t="shared" si="12"/>
        <v>ok</v>
      </c>
      <c r="Y8" s="77" t="str">
        <f t="shared" si="13"/>
        <v/>
      </c>
      <c r="Z8" s="73" t="str">
        <f t="shared" si="14"/>
        <v>ok</v>
      </c>
      <c r="AA8" s="76">
        <v>45.7</v>
      </c>
      <c r="AB8" s="75">
        <v>0</v>
      </c>
      <c r="AC8" s="74">
        <f t="shared" si="15"/>
        <v>45.7</v>
      </c>
      <c r="AD8" s="73" t="str">
        <f t="shared" si="16"/>
        <v>ok</v>
      </c>
      <c r="AE8" s="28" t="s">
        <v>138</v>
      </c>
      <c r="AF8" s="82" t="s">
        <v>110</v>
      </c>
      <c r="AG8" s="74" t="str">
        <f t="shared" si="17"/>
        <v>Sehr geehrte Frau Koller</v>
      </c>
      <c r="AH8" s="50" t="str">
        <f t="shared" si="18"/>
        <v>ok</v>
      </c>
      <c r="AI8" s="74" t="str">
        <f t="shared" si="19"/>
        <v>Liebe Rasi</v>
      </c>
      <c r="AJ8" s="50" t="str">
        <f t="shared" si="20"/>
        <v>ok</v>
      </c>
      <c r="AK8" s="74" t="str">
        <f t="shared" si="21"/>
        <v>Liebe Rasi</v>
      </c>
      <c r="AL8" s="73" t="str">
        <f t="shared" si="24"/>
        <v>ok</v>
      </c>
      <c r="AM8" s="72" t="s">
        <v>125</v>
      </c>
      <c r="AN8" s="71" t="str">
        <f t="shared" si="22"/>
        <v>Offener Betrag</v>
      </c>
      <c r="AO8" s="58" t="str">
        <f t="shared" si="23"/>
        <v>ok</v>
      </c>
    </row>
    <row r="9" spans="1:41" x14ac:dyDescent="0.25">
      <c r="A9" s="70">
        <v>8</v>
      </c>
      <c r="B9" s="28" t="s">
        <v>211</v>
      </c>
      <c r="C9" s="4" t="s">
        <v>210</v>
      </c>
      <c r="D9" s="74" t="s">
        <v>131</v>
      </c>
      <c r="E9" s="50" t="str">
        <f t="shared" si="0"/>
        <v>ok</v>
      </c>
      <c r="F9" s="74" t="str">
        <f t="shared" si="1"/>
        <v>M.Koepfli</v>
      </c>
      <c r="G9" s="73" t="str">
        <f t="shared" si="2"/>
        <v>ok</v>
      </c>
      <c r="H9" s="81" t="s">
        <v>209</v>
      </c>
      <c r="I9" s="28">
        <v>8045</v>
      </c>
      <c r="J9" s="4" t="s">
        <v>208</v>
      </c>
      <c r="K9" s="4" t="s">
        <v>33</v>
      </c>
      <c r="L9" s="71" t="str">
        <f t="shared" si="3"/>
        <v>CH-8045 Zuerich</v>
      </c>
      <c r="M9" s="80" t="str">
        <f t="shared" si="4"/>
        <v>ok</v>
      </c>
      <c r="N9" s="28"/>
      <c r="O9" s="71" t="str">
        <f t="shared" si="5"/>
        <v>Keine</v>
      </c>
      <c r="P9" s="80" t="str">
        <f t="shared" si="6"/>
        <v>ok</v>
      </c>
      <c r="Q9" s="79" t="str">
        <f t="shared" si="7"/>
        <v>melanie.koepfli@bzu.ch</v>
      </c>
      <c r="R9" s="78" t="str">
        <f t="shared" si="8"/>
        <v>ok</v>
      </c>
      <c r="S9" s="29" t="s">
        <v>207</v>
      </c>
      <c r="T9" s="28" t="s">
        <v>120</v>
      </c>
      <c r="U9" s="74">
        <f t="shared" si="9"/>
        <v>0</v>
      </c>
      <c r="V9" s="50" t="str">
        <f t="shared" si="10"/>
        <v>ok</v>
      </c>
      <c r="W9" s="74">
        <f t="shared" si="11"/>
        <v>1</v>
      </c>
      <c r="X9" s="73" t="str">
        <f t="shared" si="12"/>
        <v>ok</v>
      </c>
      <c r="Y9" s="77" t="str">
        <f t="shared" si="13"/>
        <v>melanie.koepfli@bzu.ch</v>
      </c>
      <c r="Z9" s="73" t="str">
        <f t="shared" si="14"/>
        <v>ok</v>
      </c>
      <c r="AA9" s="76">
        <v>427.8</v>
      </c>
      <c r="AB9" s="75">
        <v>250</v>
      </c>
      <c r="AC9" s="74">
        <f t="shared" si="15"/>
        <v>177.8</v>
      </c>
      <c r="AD9" s="73" t="str">
        <f t="shared" si="16"/>
        <v>ok</v>
      </c>
      <c r="AE9" s="28" t="s">
        <v>138</v>
      </c>
      <c r="AF9" s="4" t="s">
        <v>120</v>
      </c>
      <c r="AG9" s="74" t="str">
        <f t="shared" si="17"/>
        <v>Sehr geehrte Frau Koepfli</v>
      </c>
      <c r="AH9" s="50" t="str">
        <f t="shared" si="18"/>
        <v>ok</v>
      </c>
      <c r="AI9" s="74" t="str">
        <f t="shared" si="19"/>
        <v>Liebe Melanie</v>
      </c>
      <c r="AJ9" s="50" t="str">
        <f t="shared" si="20"/>
        <v>ok</v>
      </c>
      <c r="AK9" s="74" t="str">
        <f t="shared" si="21"/>
        <v>Sehr geehrte Frau Koepfli</v>
      </c>
      <c r="AL9" s="73" t="str">
        <f t="shared" si="24"/>
        <v>ok</v>
      </c>
      <c r="AM9" s="72" t="s">
        <v>119</v>
      </c>
      <c r="AN9" s="71" t="str">
        <f t="shared" si="22"/>
        <v>Rechnungsbetrag</v>
      </c>
      <c r="AO9" s="58" t="str">
        <f t="shared" si="23"/>
        <v>ok</v>
      </c>
    </row>
    <row r="10" spans="1:41" x14ac:dyDescent="0.25">
      <c r="A10" s="70">
        <v>9</v>
      </c>
      <c r="B10" s="28" t="s">
        <v>200</v>
      </c>
      <c r="C10" s="4" t="s">
        <v>206</v>
      </c>
      <c r="D10" s="74" t="s">
        <v>205</v>
      </c>
      <c r="E10" s="50" t="str">
        <f t="shared" si="0"/>
        <v>ok</v>
      </c>
      <c r="F10" s="74" t="str">
        <f t="shared" si="1"/>
        <v>H.Krieg</v>
      </c>
      <c r="G10" s="73" t="str">
        <f t="shared" si="2"/>
        <v>ok</v>
      </c>
      <c r="H10" s="81" t="s">
        <v>204</v>
      </c>
      <c r="I10" s="28">
        <v>8853</v>
      </c>
      <c r="J10" s="4" t="s">
        <v>122</v>
      </c>
      <c r="K10" s="4" t="s">
        <v>33</v>
      </c>
      <c r="L10" s="71" t="str">
        <f t="shared" si="3"/>
        <v>CH-8853 Lachen</v>
      </c>
      <c r="M10" s="80" t="str">
        <f t="shared" si="4"/>
        <v>ok</v>
      </c>
      <c r="N10" s="28" t="s">
        <v>203</v>
      </c>
      <c r="O10" s="71" t="str">
        <f t="shared" si="5"/>
        <v>gmail.ch</v>
      </c>
      <c r="P10" s="80" t="str">
        <f t="shared" si="6"/>
        <v>ok</v>
      </c>
      <c r="Q10" s="79" t="str">
        <f t="shared" si="7"/>
        <v>hans.krieg@bzu.ch</v>
      </c>
      <c r="R10" s="78" t="str">
        <f t="shared" si="8"/>
        <v>ok</v>
      </c>
      <c r="S10" s="29" t="s">
        <v>197</v>
      </c>
      <c r="T10" s="28" t="s">
        <v>120</v>
      </c>
      <c r="U10" s="74">
        <f t="shared" si="9"/>
        <v>0</v>
      </c>
      <c r="V10" s="50" t="str">
        <f t="shared" si="10"/>
        <v>ok</v>
      </c>
      <c r="W10" s="74">
        <f t="shared" si="11"/>
        <v>1</v>
      </c>
      <c r="X10" s="73" t="str">
        <f t="shared" si="12"/>
        <v>ok</v>
      </c>
      <c r="Y10" s="77" t="str">
        <f t="shared" si="13"/>
        <v>roes.krieg@gmail.ch</v>
      </c>
      <c r="Z10" s="73" t="str">
        <f t="shared" si="14"/>
        <v>ok</v>
      </c>
      <c r="AA10" s="76">
        <v>34.700000000000003</v>
      </c>
      <c r="AB10" s="75">
        <v>0</v>
      </c>
      <c r="AC10" s="74">
        <f t="shared" si="15"/>
        <v>34.700000000000003</v>
      </c>
      <c r="AD10" s="73" t="str">
        <f t="shared" si="16"/>
        <v>ok</v>
      </c>
      <c r="AE10" s="28" t="s">
        <v>111</v>
      </c>
      <c r="AF10" s="82" t="s">
        <v>110</v>
      </c>
      <c r="AG10" s="74" t="str">
        <f t="shared" si="17"/>
        <v>Sehr geehrter Herr Krieg</v>
      </c>
      <c r="AH10" s="50" t="str">
        <f t="shared" si="18"/>
        <v>ok</v>
      </c>
      <c r="AI10" s="74" t="str">
        <f t="shared" si="19"/>
        <v>Lieber Hans</v>
      </c>
      <c r="AJ10" s="50" t="str">
        <f t="shared" si="20"/>
        <v>ok</v>
      </c>
      <c r="AK10" s="74" t="str">
        <f t="shared" si="21"/>
        <v>Lieber Hans</v>
      </c>
      <c r="AL10" s="73" t="str">
        <f t="shared" si="24"/>
        <v>ok</v>
      </c>
      <c r="AM10" s="72" t="s">
        <v>109</v>
      </c>
      <c r="AN10" s="71" t="str">
        <f t="shared" si="22"/>
        <v>Ort</v>
      </c>
      <c r="AO10" s="58" t="str">
        <f t="shared" si="23"/>
        <v>ok</v>
      </c>
    </row>
    <row r="11" spans="1:41" x14ac:dyDescent="0.25">
      <c r="A11" s="70">
        <v>10</v>
      </c>
      <c r="B11" s="28" t="s">
        <v>200</v>
      </c>
      <c r="C11" s="4" t="s">
        <v>186</v>
      </c>
      <c r="D11" s="74" t="s">
        <v>157</v>
      </c>
      <c r="E11" s="50" t="str">
        <f t="shared" si="0"/>
        <v>ok</v>
      </c>
      <c r="F11" s="74" t="str">
        <f t="shared" si="1"/>
        <v>R.Krieg</v>
      </c>
      <c r="G11" s="73" t="str">
        <f t="shared" si="2"/>
        <v>ok</v>
      </c>
      <c r="H11" s="81" t="s">
        <v>202</v>
      </c>
      <c r="I11" s="28">
        <v>8853</v>
      </c>
      <c r="J11" s="4" t="s">
        <v>122</v>
      </c>
      <c r="K11" s="4" t="s">
        <v>33</v>
      </c>
      <c r="L11" s="71" t="str">
        <f t="shared" si="3"/>
        <v>CH-8853 Lachen</v>
      </c>
      <c r="M11" s="80" t="str">
        <f t="shared" si="4"/>
        <v>ok</v>
      </c>
      <c r="N11" s="28" t="s">
        <v>201</v>
      </c>
      <c r="O11" s="71" t="str">
        <f t="shared" si="5"/>
        <v>gmail.ch</v>
      </c>
      <c r="P11" s="80" t="str">
        <f t="shared" si="6"/>
        <v>ok</v>
      </c>
      <c r="Q11" s="79" t="str">
        <f t="shared" si="7"/>
        <v>rita.krieg@bzu.ch</v>
      </c>
      <c r="R11" s="78" t="str">
        <f t="shared" si="8"/>
        <v>ok</v>
      </c>
      <c r="S11" s="29" t="s">
        <v>197</v>
      </c>
      <c r="T11" s="28" t="s">
        <v>120</v>
      </c>
      <c r="U11" s="74">
        <f t="shared" si="9"/>
        <v>0</v>
      </c>
      <c r="V11" s="50" t="str">
        <f t="shared" si="10"/>
        <v>ok</v>
      </c>
      <c r="W11" s="74">
        <f t="shared" si="11"/>
        <v>1</v>
      </c>
      <c r="X11" s="73" t="str">
        <f t="shared" si="12"/>
        <v>ok</v>
      </c>
      <c r="Y11" s="77" t="str">
        <f t="shared" si="13"/>
        <v>rita.krieg@gmail.ch</v>
      </c>
      <c r="Z11" s="73" t="str">
        <f t="shared" si="14"/>
        <v>ok</v>
      </c>
      <c r="AA11" s="76">
        <v>35.9</v>
      </c>
      <c r="AB11" s="75">
        <v>0</v>
      </c>
      <c r="AC11" s="74">
        <f t="shared" si="15"/>
        <v>35.9</v>
      </c>
      <c r="AD11" s="73" t="str">
        <f t="shared" si="16"/>
        <v>ok</v>
      </c>
      <c r="AE11" s="28" t="s">
        <v>138</v>
      </c>
      <c r="AF11" s="4" t="s">
        <v>120</v>
      </c>
      <c r="AG11" s="74" t="str">
        <f t="shared" si="17"/>
        <v>Sehr geehrte Frau Krieg</v>
      </c>
      <c r="AH11" s="50" t="str">
        <f t="shared" si="18"/>
        <v>ok</v>
      </c>
      <c r="AI11" s="74" t="str">
        <f t="shared" si="19"/>
        <v>Liebe Rita</v>
      </c>
      <c r="AJ11" s="50" t="str">
        <f t="shared" si="20"/>
        <v>ok</v>
      </c>
      <c r="AK11" s="74" t="str">
        <f t="shared" si="21"/>
        <v>Sehr geehrte Frau Krieg</v>
      </c>
      <c r="AL11" s="73" t="str">
        <f t="shared" si="24"/>
        <v>ok</v>
      </c>
      <c r="AM11" s="72" t="s">
        <v>125</v>
      </c>
      <c r="AN11" s="71" t="str">
        <f t="shared" si="22"/>
        <v>Offener Betrag</v>
      </c>
      <c r="AO11" s="58" t="str">
        <f t="shared" si="23"/>
        <v>ok</v>
      </c>
    </row>
    <row r="12" spans="1:41" x14ac:dyDescent="0.25">
      <c r="A12" s="70">
        <v>11</v>
      </c>
      <c r="B12" s="28" t="s">
        <v>200</v>
      </c>
      <c r="C12" s="4" t="s">
        <v>199</v>
      </c>
      <c r="D12" s="74" t="s">
        <v>157</v>
      </c>
      <c r="E12" s="50" t="str">
        <f t="shared" si="0"/>
        <v>ok</v>
      </c>
      <c r="F12" s="74" t="str">
        <f t="shared" si="1"/>
        <v>R.Krieg</v>
      </c>
      <c r="G12" s="73" t="str">
        <f t="shared" si="2"/>
        <v>ok</v>
      </c>
      <c r="H12" s="81" t="s">
        <v>198</v>
      </c>
      <c r="I12" s="28">
        <v>8853</v>
      </c>
      <c r="J12" s="4" t="s">
        <v>122</v>
      </c>
      <c r="K12" s="4" t="s">
        <v>33</v>
      </c>
      <c r="L12" s="71" t="str">
        <f t="shared" si="3"/>
        <v>CH-8853 Lachen</v>
      </c>
      <c r="M12" s="80" t="str">
        <f t="shared" si="4"/>
        <v>ok</v>
      </c>
      <c r="N12" s="28"/>
      <c r="O12" s="71" t="str">
        <f t="shared" si="5"/>
        <v>Keine</v>
      </c>
      <c r="P12" s="80" t="str">
        <f t="shared" si="6"/>
        <v>ok</v>
      </c>
      <c r="Q12" s="79" t="str">
        <f t="shared" si="7"/>
        <v>roberta.krieg@bzu.ch</v>
      </c>
      <c r="R12" s="78" t="str">
        <f t="shared" si="8"/>
        <v>ok</v>
      </c>
      <c r="S12" s="29" t="s">
        <v>197</v>
      </c>
      <c r="T12" s="28" t="s">
        <v>110</v>
      </c>
      <c r="U12" s="74">
        <f t="shared" si="9"/>
        <v>1</v>
      </c>
      <c r="V12" s="50" t="str">
        <f t="shared" si="10"/>
        <v>ok</v>
      </c>
      <c r="W12" s="74">
        <f t="shared" si="11"/>
        <v>0</v>
      </c>
      <c r="X12" s="73" t="str">
        <f t="shared" si="12"/>
        <v>ok</v>
      </c>
      <c r="Y12" s="77" t="str">
        <f t="shared" si="13"/>
        <v/>
      </c>
      <c r="Z12" s="73" t="str">
        <f t="shared" si="14"/>
        <v>ok</v>
      </c>
      <c r="AA12" s="76">
        <v>17.8</v>
      </c>
      <c r="AB12" s="75">
        <v>0</v>
      </c>
      <c r="AC12" s="74">
        <f t="shared" si="15"/>
        <v>17.8</v>
      </c>
      <c r="AD12" s="73" t="str">
        <f t="shared" si="16"/>
        <v>ok</v>
      </c>
      <c r="AE12" s="28" t="s">
        <v>126</v>
      </c>
      <c r="AF12" s="82" t="s">
        <v>110</v>
      </c>
      <c r="AG12" s="74" t="str">
        <f t="shared" si="17"/>
        <v>Sehr geehrte Familie Krieg</v>
      </c>
      <c r="AH12" s="50" t="str">
        <f t="shared" si="18"/>
        <v>ok</v>
      </c>
      <c r="AI12" s="74" t="str">
        <f t="shared" si="19"/>
        <v>Liebe Familie Krieg</v>
      </c>
      <c r="AJ12" s="50" t="str">
        <f t="shared" si="20"/>
        <v>ok</v>
      </c>
      <c r="AK12" s="74" t="str">
        <f t="shared" si="21"/>
        <v>Liebe Familie Krieg</v>
      </c>
      <c r="AL12" s="73" t="str">
        <f t="shared" si="24"/>
        <v>ok</v>
      </c>
      <c r="AM12" s="72" t="s">
        <v>119</v>
      </c>
      <c r="AN12" s="71" t="str">
        <f t="shared" si="22"/>
        <v>Rechnungsbetrag</v>
      </c>
      <c r="AO12" s="58" t="str">
        <f t="shared" si="23"/>
        <v>ok</v>
      </c>
    </row>
    <row r="13" spans="1:41" x14ac:dyDescent="0.25">
      <c r="A13" s="70">
        <v>12</v>
      </c>
      <c r="B13" s="28" t="s">
        <v>196</v>
      </c>
      <c r="C13" s="4" t="s">
        <v>195</v>
      </c>
      <c r="D13" s="74" t="s">
        <v>157</v>
      </c>
      <c r="E13" s="50" t="str">
        <f t="shared" si="0"/>
        <v>ok</v>
      </c>
      <c r="F13" s="74" t="str">
        <f t="shared" si="1"/>
        <v>R.Krieger</v>
      </c>
      <c r="G13" s="73" t="str">
        <f t="shared" si="2"/>
        <v>ok</v>
      </c>
      <c r="H13" s="81" t="s">
        <v>194</v>
      </c>
      <c r="I13" s="28">
        <v>8853</v>
      </c>
      <c r="J13" s="4" t="s">
        <v>122</v>
      </c>
      <c r="K13" s="4" t="s">
        <v>33</v>
      </c>
      <c r="L13" s="71" t="str">
        <f t="shared" si="3"/>
        <v>CH-8853 Lachen</v>
      </c>
      <c r="M13" s="80" t="str">
        <f t="shared" si="4"/>
        <v>ok</v>
      </c>
      <c r="N13" s="28" t="s">
        <v>193</v>
      </c>
      <c r="O13" s="71" t="str">
        <f t="shared" si="5"/>
        <v>gmail.ch</v>
      </c>
      <c r="P13" s="80" t="str">
        <f t="shared" si="6"/>
        <v>ok</v>
      </c>
      <c r="Q13" s="79" t="str">
        <f t="shared" si="7"/>
        <v>ricarda.krieger@bzu.ch</v>
      </c>
      <c r="R13" s="78" t="str">
        <f t="shared" si="8"/>
        <v>ok</v>
      </c>
      <c r="S13" s="29" t="s">
        <v>169</v>
      </c>
      <c r="T13" s="28" t="s">
        <v>120</v>
      </c>
      <c r="U13" s="74">
        <f t="shared" si="9"/>
        <v>0</v>
      </c>
      <c r="V13" s="50" t="str">
        <f t="shared" si="10"/>
        <v>ok</v>
      </c>
      <c r="W13" s="74">
        <f t="shared" si="11"/>
        <v>1</v>
      </c>
      <c r="X13" s="73" t="str">
        <f t="shared" si="12"/>
        <v>ok</v>
      </c>
      <c r="Y13" s="77" t="str">
        <f t="shared" si="13"/>
        <v>richi.krieger@gmail.ch</v>
      </c>
      <c r="Z13" s="73" t="str">
        <f t="shared" si="14"/>
        <v>ok</v>
      </c>
      <c r="AA13" s="76">
        <v>68</v>
      </c>
      <c r="AB13" s="75">
        <v>20</v>
      </c>
      <c r="AC13" s="74">
        <f t="shared" si="15"/>
        <v>48</v>
      </c>
      <c r="AD13" s="73" t="str">
        <f t="shared" si="16"/>
        <v>ok</v>
      </c>
      <c r="AE13" s="28" t="s">
        <v>138</v>
      </c>
      <c r="AF13" s="4" t="s">
        <v>120</v>
      </c>
      <c r="AG13" s="74" t="str">
        <f t="shared" si="17"/>
        <v>Sehr geehrte Frau Krieger</v>
      </c>
      <c r="AH13" s="50" t="str">
        <f t="shared" si="18"/>
        <v>ok</v>
      </c>
      <c r="AI13" s="74" t="str">
        <f t="shared" si="19"/>
        <v>Liebe Ricarda</v>
      </c>
      <c r="AJ13" s="50" t="str">
        <f t="shared" si="20"/>
        <v>ok</v>
      </c>
      <c r="AK13" s="74" t="str">
        <f t="shared" si="21"/>
        <v>Sehr geehrte Frau Krieger</v>
      </c>
      <c r="AL13" s="73" t="str">
        <f t="shared" si="24"/>
        <v>ok</v>
      </c>
      <c r="AM13" s="72" t="s">
        <v>109</v>
      </c>
      <c r="AN13" s="71" t="str">
        <f t="shared" si="22"/>
        <v>Ort</v>
      </c>
      <c r="AO13" s="58" t="str">
        <f t="shared" si="23"/>
        <v>ok</v>
      </c>
    </row>
    <row r="14" spans="1:41" x14ac:dyDescent="0.25">
      <c r="A14" s="70">
        <v>13</v>
      </c>
      <c r="B14" s="28" t="s">
        <v>192</v>
      </c>
      <c r="C14" s="4" t="s">
        <v>191</v>
      </c>
      <c r="D14" s="74" t="s">
        <v>157</v>
      </c>
      <c r="E14" s="50" t="str">
        <f t="shared" si="0"/>
        <v>ok</v>
      </c>
      <c r="F14" s="74" t="str">
        <f t="shared" si="1"/>
        <v>R.Kussberger</v>
      </c>
      <c r="G14" s="73" t="str">
        <f t="shared" si="2"/>
        <v>ok</v>
      </c>
      <c r="H14" s="81" t="s">
        <v>190</v>
      </c>
      <c r="I14" s="28">
        <v>78713</v>
      </c>
      <c r="J14" s="4" t="s">
        <v>189</v>
      </c>
      <c r="K14" s="4" t="s">
        <v>35</v>
      </c>
      <c r="L14" s="71" t="str">
        <f t="shared" si="3"/>
        <v xml:space="preserve">DE-78713 Schramberg </v>
      </c>
      <c r="M14" s="80" t="str">
        <f t="shared" si="4"/>
        <v>ok</v>
      </c>
      <c r="N14" s="28"/>
      <c r="O14" s="71" t="str">
        <f t="shared" si="5"/>
        <v>Keine</v>
      </c>
      <c r="P14" s="80" t="str">
        <f t="shared" si="6"/>
        <v>ok</v>
      </c>
      <c r="Q14" s="79" t="str">
        <f t="shared" si="7"/>
        <v>richard.kussberger@bzu.ch</v>
      </c>
      <c r="R14" s="78" t="str">
        <f t="shared" si="8"/>
        <v>ok</v>
      </c>
      <c r="S14" s="29" t="s">
        <v>188</v>
      </c>
      <c r="T14" s="28" t="s">
        <v>110</v>
      </c>
      <c r="U14" s="74">
        <f t="shared" si="9"/>
        <v>1</v>
      </c>
      <c r="V14" s="50" t="str">
        <f t="shared" si="10"/>
        <v>ok</v>
      </c>
      <c r="W14" s="74">
        <f t="shared" si="11"/>
        <v>0</v>
      </c>
      <c r="X14" s="73" t="str">
        <f t="shared" si="12"/>
        <v>ok</v>
      </c>
      <c r="Y14" s="77" t="str">
        <f t="shared" si="13"/>
        <v/>
      </c>
      <c r="Z14" s="73" t="str">
        <f t="shared" si="14"/>
        <v>ok</v>
      </c>
      <c r="AA14" s="76">
        <v>32</v>
      </c>
      <c r="AB14" s="75">
        <v>0</v>
      </c>
      <c r="AC14" s="74">
        <f t="shared" si="15"/>
        <v>32</v>
      </c>
      <c r="AD14" s="73" t="str">
        <f t="shared" si="16"/>
        <v>ok</v>
      </c>
      <c r="AE14" s="28" t="s">
        <v>111</v>
      </c>
      <c r="AF14" s="82" t="s">
        <v>110</v>
      </c>
      <c r="AG14" s="74" t="str">
        <f t="shared" si="17"/>
        <v>Sehr geehrter Herr Kussberger</v>
      </c>
      <c r="AH14" s="50" t="str">
        <f t="shared" si="18"/>
        <v>ok</v>
      </c>
      <c r="AI14" s="74" t="str">
        <f t="shared" si="19"/>
        <v>Lieber Richard</v>
      </c>
      <c r="AJ14" s="50" t="str">
        <f t="shared" si="20"/>
        <v>ok</v>
      </c>
      <c r="AK14" s="74" t="str">
        <f t="shared" si="21"/>
        <v>Lieber Richard</v>
      </c>
      <c r="AL14" s="73" t="str">
        <f t="shared" si="24"/>
        <v>ok</v>
      </c>
      <c r="AM14" s="72" t="s">
        <v>125</v>
      </c>
      <c r="AN14" s="71" t="str">
        <f t="shared" si="22"/>
        <v>Offener Betrag</v>
      </c>
      <c r="AO14" s="58" t="str">
        <f t="shared" si="23"/>
        <v>ok</v>
      </c>
    </row>
    <row r="15" spans="1:41" x14ac:dyDescent="0.25">
      <c r="A15" s="70">
        <v>14</v>
      </c>
      <c r="B15" s="28" t="s">
        <v>187</v>
      </c>
      <c r="C15" s="4" t="s">
        <v>186</v>
      </c>
      <c r="D15" s="74" t="s">
        <v>157</v>
      </c>
      <c r="E15" s="50" t="str">
        <f t="shared" si="0"/>
        <v>ok</v>
      </c>
      <c r="F15" s="74" t="str">
        <f t="shared" si="1"/>
        <v>R.Kuettel</v>
      </c>
      <c r="G15" s="73" t="str">
        <f t="shared" si="2"/>
        <v>ok</v>
      </c>
      <c r="H15" s="81" t="s">
        <v>185</v>
      </c>
      <c r="I15" s="28">
        <v>8832</v>
      </c>
      <c r="J15" s="4" t="s">
        <v>184</v>
      </c>
      <c r="K15" s="4" t="s">
        <v>33</v>
      </c>
      <c r="L15" s="71" t="str">
        <f t="shared" si="3"/>
        <v>CH-8832 Wollerau</v>
      </c>
      <c r="M15" s="80" t="str">
        <f t="shared" si="4"/>
        <v>ok</v>
      </c>
      <c r="N15" s="28" t="s">
        <v>183</v>
      </c>
      <c r="O15" s="71" t="str">
        <f t="shared" si="5"/>
        <v>gmail.ch</v>
      </c>
      <c r="P15" s="80" t="str">
        <f t="shared" si="6"/>
        <v>ok</v>
      </c>
      <c r="Q15" s="79" t="str">
        <f t="shared" si="7"/>
        <v>rita.kuettel@bzu.ch</v>
      </c>
      <c r="R15" s="78" t="str">
        <f t="shared" si="8"/>
        <v>ok</v>
      </c>
      <c r="S15" s="29" t="s">
        <v>182</v>
      </c>
      <c r="T15" s="28" t="s">
        <v>110</v>
      </c>
      <c r="U15" s="74">
        <f t="shared" si="9"/>
        <v>1</v>
      </c>
      <c r="V15" s="50" t="str">
        <f t="shared" si="10"/>
        <v>ok</v>
      </c>
      <c r="W15" s="74">
        <f t="shared" si="11"/>
        <v>0</v>
      </c>
      <c r="X15" s="73" t="str">
        <f t="shared" si="12"/>
        <v>ok</v>
      </c>
      <c r="Y15" s="77" t="str">
        <f t="shared" si="13"/>
        <v/>
      </c>
      <c r="Z15" s="73" t="str">
        <f t="shared" si="14"/>
        <v>ok</v>
      </c>
      <c r="AA15" s="76">
        <v>123</v>
      </c>
      <c r="AB15" s="75">
        <v>50</v>
      </c>
      <c r="AC15" s="74">
        <f t="shared" si="15"/>
        <v>73</v>
      </c>
      <c r="AD15" s="73" t="str">
        <f t="shared" si="16"/>
        <v>ok</v>
      </c>
      <c r="AE15" s="28" t="s">
        <v>138</v>
      </c>
      <c r="AF15" s="4" t="s">
        <v>120</v>
      </c>
      <c r="AG15" s="74" t="str">
        <f t="shared" si="17"/>
        <v>Sehr geehrte Frau Kuettel</v>
      </c>
      <c r="AH15" s="50" t="str">
        <f t="shared" si="18"/>
        <v>ok</v>
      </c>
      <c r="AI15" s="74" t="str">
        <f t="shared" si="19"/>
        <v>Liebe Rita</v>
      </c>
      <c r="AJ15" s="50" t="str">
        <f t="shared" si="20"/>
        <v>ok</v>
      </c>
      <c r="AK15" s="74" t="str">
        <f t="shared" si="21"/>
        <v>Sehr geehrte Frau Kuettel</v>
      </c>
      <c r="AL15" s="73" t="str">
        <f t="shared" si="24"/>
        <v>ok</v>
      </c>
      <c r="AM15" s="72" t="s">
        <v>119</v>
      </c>
      <c r="AN15" s="71" t="str">
        <f t="shared" si="22"/>
        <v>Rechnungsbetrag</v>
      </c>
      <c r="AO15" s="58" t="str">
        <f t="shared" si="23"/>
        <v>ok</v>
      </c>
    </row>
    <row r="16" spans="1:41" x14ac:dyDescent="0.25">
      <c r="A16" s="70">
        <v>15</v>
      </c>
      <c r="B16" s="28" t="s">
        <v>181</v>
      </c>
      <c r="C16" s="4" t="s">
        <v>180</v>
      </c>
      <c r="D16" s="74" t="s">
        <v>157</v>
      </c>
      <c r="E16" s="50" t="str">
        <f t="shared" si="0"/>
        <v>ok</v>
      </c>
      <c r="F16" s="74" t="str">
        <f t="shared" si="1"/>
        <v>R.Laib</v>
      </c>
      <c r="G16" s="73" t="str">
        <f t="shared" si="2"/>
        <v>ok</v>
      </c>
      <c r="H16" s="81" t="s">
        <v>175</v>
      </c>
      <c r="I16" s="28">
        <v>8855</v>
      </c>
      <c r="J16" s="4" t="s">
        <v>179</v>
      </c>
      <c r="K16" s="4" t="s">
        <v>33</v>
      </c>
      <c r="L16" s="71" t="str">
        <f t="shared" si="3"/>
        <v>CH-8855 Nuolen</v>
      </c>
      <c r="M16" s="80" t="str">
        <f t="shared" si="4"/>
        <v>ok</v>
      </c>
      <c r="N16" s="28" t="s">
        <v>178</v>
      </c>
      <c r="O16" s="71" t="str">
        <f t="shared" si="5"/>
        <v>gmail.ch</v>
      </c>
      <c r="P16" s="80" t="str">
        <f t="shared" si="6"/>
        <v>ok</v>
      </c>
      <c r="Q16" s="79" t="str">
        <f t="shared" si="7"/>
        <v>rene.laib@bzu.ch</v>
      </c>
      <c r="R16" s="78" t="str">
        <f t="shared" si="8"/>
        <v>ok</v>
      </c>
      <c r="S16" s="29" t="s">
        <v>177</v>
      </c>
      <c r="T16" s="28" t="s">
        <v>110</v>
      </c>
      <c r="U16" s="74">
        <f t="shared" si="9"/>
        <v>1</v>
      </c>
      <c r="V16" s="50" t="str">
        <f t="shared" si="10"/>
        <v>ok</v>
      </c>
      <c r="W16" s="74">
        <f t="shared" si="11"/>
        <v>0</v>
      </c>
      <c r="X16" s="73" t="str">
        <f t="shared" si="12"/>
        <v>ok</v>
      </c>
      <c r="Y16" s="77" t="str">
        <f t="shared" si="13"/>
        <v/>
      </c>
      <c r="Z16" s="73" t="str">
        <f t="shared" si="14"/>
        <v>ok</v>
      </c>
      <c r="AA16" s="76">
        <v>45.3</v>
      </c>
      <c r="AB16" s="75">
        <v>0</v>
      </c>
      <c r="AC16" s="74">
        <f t="shared" si="15"/>
        <v>45.3</v>
      </c>
      <c r="AD16" s="73" t="str">
        <f t="shared" si="16"/>
        <v>ok</v>
      </c>
      <c r="AE16" s="28" t="s">
        <v>138</v>
      </c>
      <c r="AF16" s="82" t="s">
        <v>110</v>
      </c>
      <c r="AG16" s="74" t="str">
        <f t="shared" si="17"/>
        <v>Sehr geehrte Frau Laib</v>
      </c>
      <c r="AH16" s="50" t="str">
        <f t="shared" si="18"/>
        <v>ok</v>
      </c>
      <c r="AI16" s="74" t="str">
        <f t="shared" si="19"/>
        <v>Liebe Rene</v>
      </c>
      <c r="AJ16" s="50" t="str">
        <f t="shared" si="20"/>
        <v>ok</v>
      </c>
      <c r="AK16" s="74" t="str">
        <f t="shared" si="21"/>
        <v>Liebe Rene</v>
      </c>
      <c r="AL16" s="73" t="str">
        <f t="shared" si="24"/>
        <v>ok</v>
      </c>
      <c r="AM16" s="72" t="s">
        <v>109</v>
      </c>
      <c r="AN16" s="71" t="str">
        <f t="shared" si="22"/>
        <v>Ort</v>
      </c>
      <c r="AO16" s="58" t="str">
        <f t="shared" si="23"/>
        <v>ok</v>
      </c>
    </row>
    <row r="17" spans="1:41" x14ac:dyDescent="0.25">
      <c r="A17" s="70">
        <v>16</v>
      </c>
      <c r="B17" s="28" t="s">
        <v>95</v>
      </c>
      <c r="C17" s="4" t="s">
        <v>176</v>
      </c>
      <c r="D17" s="74" t="s">
        <v>131</v>
      </c>
      <c r="E17" s="50" t="str">
        <f t="shared" si="0"/>
        <v>ok</v>
      </c>
      <c r="F17" s="74" t="str">
        <f t="shared" si="1"/>
        <v>M.Landolt</v>
      </c>
      <c r="G17" s="73" t="str">
        <f t="shared" si="2"/>
        <v>ok</v>
      </c>
      <c r="H17" s="81" t="s">
        <v>175</v>
      </c>
      <c r="I17" s="28">
        <v>8807</v>
      </c>
      <c r="J17" s="4" t="s">
        <v>141</v>
      </c>
      <c r="K17" s="4" t="s">
        <v>33</v>
      </c>
      <c r="L17" s="71" t="str">
        <f t="shared" si="3"/>
        <v>CH-8807 Freienbach</v>
      </c>
      <c r="M17" s="80" t="str">
        <f t="shared" si="4"/>
        <v>ok</v>
      </c>
      <c r="N17" s="28" t="s">
        <v>174</v>
      </c>
      <c r="O17" s="71" t="str">
        <f t="shared" si="5"/>
        <v>hotmail.com</v>
      </c>
      <c r="P17" s="80" t="str">
        <f t="shared" si="6"/>
        <v>ok</v>
      </c>
      <c r="Q17" s="79" t="str">
        <f t="shared" si="7"/>
        <v>margrith.landolt@bzu.ch</v>
      </c>
      <c r="R17" s="78" t="str">
        <f t="shared" si="8"/>
        <v>ok</v>
      </c>
      <c r="S17" s="29" t="s">
        <v>173</v>
      </c>
      <c r="T17" s="28" t="s">
        <v>110</v>
      </c>
      <c r="U17" s="74">
        <f t="shared" si="9"/>
        <v>1</v>
      </c>
      <c r="V17" s="50" t="str">
        <f t="shared" si="10"/>
        <v>ok</v>
      </c>
      <c r="W17" s="74">
        <f t="shared" si="11"/>
        <v>0</v>
      </c>
      <c r="X17" s="73" t="str">
        <f t="shared" si="12"/>
        <v>ok</v>
      </c>
      <c r="Y17" s="77" t="str">
        <f t="shared" si="13"/>
        <v/>
      </c>
      <c r="Z17" s="73" t="str">
        <f t="shared" si="14"/>
        <v>ok</v>
      </c>
      <c r="AA17" s="76">
        <v>312.56</v>
      </c>
      <c r="AB17" s="75">
        <v>0</v>
      </c>
      <c r="AC17" s="74">
        <f t="shared" si="15"/>
        <v>312.56</v>
      </c>
      <c r="AD17" s="73" t="str">
        <f t="shared" si="16"/>
        <v>ok</v>
      </c>
      <c r="AE17" s="28" t="s">
        <v>138</v>
      </c>
      <c r="AF17" s="4" t="s">
        <v>120</v>
      </c>
      <c r="AG17" s="74" t="str">
        <f t="shared" si="17"/>
        <v>Sehr geehrte Frau Landolt</v>
      </c>
      <c r="AH17" s="50" t="str">
        <f t="shared" si="18"/>
        <v>ok</v>
      </c>
      <c r="AI17" s="74" t="str">
        <f t="shared" si="19"/>
        <v>Liebe Margrith</v>
      </c>
      <c r="AJ17" s="50" t="str">
        <f t="shared" si="20"/>
        <v>ok</v>
      </c>
      <c r="AK17" s="74" t="str">
        <f t="shared" si="21"/>
        <v>Sehr geehrte Frau Landolt</v>
      </c>
      <c r="AL17" s="73" t="str">
        <f t="shared" si="24"/>
        <v>ok</v>
      </c>
      <c r="AM17" s="72" t="s">
        <v>125</v>
      </c>
      <c r="AN17" s="71" t="str">
        <f t="shared" si="22"/>
        <v>Offener Betrag</v>
      </c>
      <c r="AO17" s="58" t="str">
        <f t="shared" si="23"/>
        <v>ok</v>
      </c>
    </row>
    <row r="18" spans="1:41" x14ac:dyDescent="0.25">
      <c r="A18" s="70">
        <v>17</v>
      </c>
      <c r="B18" s="28" t="s">
        <v>172</v>
      </c>
      <c r="C18" s="4" t="s">
        <v>171</v>
      </c>
      <c r="D18" s="74" t="s">
        <v>157</v>
      </c>
      <c r="E18" s="50" t="str">
        <f t="shared" si="0"/>
        <v>ok</v>
      </c>
      <c r="F18" s="74" t="str">
        <f t="shared" si="1"/>
        <v>R.Lang</v>
      </c>
      <c r="G18" s="73" t="str">
        <f t="shared" si="2"/>
        <v>ok</v>
      </c>
      <c r="H18" s="81" t="s">
        <v>170</v>
      </c>
      <c r="I18" s="28">
        <v>8853</v>
      </c>
      <c r="J18" s="4" t="s">
        <v>122</v>
      </c>
      <c r="K18" s="4" t="s">
        <v>33</v>
      </c>
      <c r="L18" s="71" t="str">
        <f t="shared" si="3"/>
        <v>CH-8853 Lachen</v>
      </c>
      <c r="M18" s="80" t="str">
        <f t="shared" si="4"/>
        <v>ok</v>
      </c>
      <c r="N18" s="28"/>
      <c r="O18" s="71" t="str">
        <f t="shared" si="5"/>
        <v>Keine</v>
      </c>
      <c r="P18" s="80" t="str">
        <f t="shared" si="6"/>
        <v>ok</v>
      </c>
      <c r="Q18" s="79" t="str">
        <f t="shared" si="7"/>
        <v>reinhard.lang@bzu.ch</v>
      </c>
      <c r="R18" s="78" t="str">
        <f t="shared" si="8"/>
        <v>ok</v>
      </c>
      <c r="S18" s="29" t="s">
        <v>169</v>
      </c>
      <c r="T18" s="28" t="s">
        <v>110</v>
      </c>
      <c r="U18" s="74">
        <f t="shared" si="9"/>
        <v>1</v>
      </c>
      <c r="V18" s="50" t="str">
        <f t="shared" si="10"/>
        <v>ok</v>
      </c>
      <c r="W18" s="74">
        <f t="shared" si="11"/>
        <v>0</v>
      </c>
      <c r="X18" s="73" t="str">
        <f t="shared" si="12"/>
        <v>ok</v>
      </c>
      <c r="Y18" s="77" t="str">
        <f t="shared" si="13"/>
        <v/>
      </c>
      <c r="Z18" s="73" t="str">
        <f t="shared" si="14"/>
        <v>ok</v>
      </c>
      <c r="AA18" s="76">
        <v>84</v>
      </c>
      <c r="AB18" s="75">
        <v>24</v>
      </c>
      <c r="AC18" s="74">
        <f t="shared" si="15"/>
        <v>60</v>
      </c>
      <c r="AD18" s="73" t="str">
        <f t="shared" si="16"/>
        <v>ok</v>
      </c>
      <c r="AE18" s="28" t="s">
        <v>111</v>
      </c>
      <c r="AF18" s="82" t="s">
        <v>110</v>
      </c>
      <c r="AG18" s="74" t="str">
        <f t="shared" si="17"/>
        <v>Sehr geehrter Herr Lang</v>
      </c>
      <c r="AH18" s="50" t="str">
        <f t="shared" si="18"/>
        <v>ok</v>
      </c>
      <c r="AI18" s="74" t="str">
        <f t="shared" si="19"/>
        <v>Lieber Reinhard</v>
      </c>
      <c r="AJ18" s="50" t="str">
        <f t="shared" si="20"/>
        <v>ok</v>
      </c>
      <c r="AK18" s="74" t="str">
        <f t="shared" si="21"/>
        <v>Lieber Reinhard</v>
      </c>
      <c r="AL18" s="73" t="str">
        <f t="shared" si="24"/>
        <v>ok</v>
      </c>
      <c r="AM18" s="72" t="s">
        <v>119</v>
      </c>
      <c r="AN18" s="71" t="str">
        <f t="shared" si="22"/>
        <v>Rechnungsbetrag</v>
      </c>
      <c r="AO18" s="58" t="str">
        <f t="shared" si="23"/>
        <v>ok</v>
      </c>
    </row>
    <row r="19" spans="1:41" x14ac:dyDescent="0.25">
      <c r="A19" s="70">
        <v>18</v>
      </c>
      <c r="B19" s="28" t="s">
        <v>168</v>
      </c>
      <c r="C19" s="4" t="s">
        <v>167</v>
      </c>
      <c r="D19" s="74" t="s">
        <v>157</v>
      </c>
      <c r="E19" s="50" t="str">
        <f t="shared" si="0"/>
        <v>ok</v>
      </c>
      <c r="F19" s="74" t="str">
        <f t="shared" si="1"/>
        <v>R.Laeubli</v>
      </c>
      <c r="G19" s="73" t="str">
        <f t="shared" si="2"/>
        <v>ok</v>
      </c>
      <c r="H19" s="81" t="s">
        <v>166</v>
      </c>
      <c r="I19" s="28">
        <v>8808</v>
      </c>
      <c r="J19" s="4" t="s">
        <v>165</v>
      </c>
      <c r="K19" s="4" t="s">
        <v>33</v>
      </c>
      <c r="L19" s="71" t="str">
        <f t="shared" si="3"/>
        <v>CH-8808 Pfäffikon</v>
      </c>
      <c r="M19" s="80" t="str">
        <f t="shared" si="4"/>
        <v>ok</v>
      </c>
      <c r="N19" s="28" t="s">
        <v>164</v>
      </c>
      <c r="O19" s="71" t="str">
        <f t="shared" si="5"/>
        <v>gmail.ch</v>
      </c>
      <c r="P19" s="80" t="str">
        <f t="shared" si="6"/>
        <v>ok</v>
      </c>
      <c r="Q19" s="79" t="str">
        <f t="shared" si="7"/>
        <v>raphaela.laeubli@bzu.ch</v>
      </c>
      <c r="R19" s="78" t="str">
        <f t="shared" si="8"/>
        <v>ok</v>
      </c>
      <c r="S19" s="29" t="s">
        <v>163</v>
      </c>
      <c r="T19" s="28" t="s">
        <v>120</v>
      </c>
      <c r="U19" s="74">
        <f t="shared" si="9"/>
        <v>0</v>
      </c>
      <c r="V19" s="50" t="str">
        <f t="shared" si="10"/>
        <v>ok</v>
      </c>
      <c r="W19" s="74">
        <f t="shared" si="11"/>
        <v>1</v>
      </c>
      <c r="X19" s="73" t="str">
        <f t="shared" si="12"/>
        <v>ok</v>
      </c>
      <c r="Y19" s="77" t="str">
        <f t="shared" si="13"/>
        <v>raphael.laeubli@gmail.ch</v>
      </c>
      <c r="Z19" s="73" t="str">
        <f t="shared" si="14"/>
        <v>ok</v>
      </c>
      <c r="AA19" s="76">
        <v>45.7</v>
      </c>
      <c r="AB19" s="75">
        <v>25</v>
      </c>
      <c r="AC19" s="74">
        <f t="shared" si="15"/>
        <v>20.700000000000003</v>
      </c>
      <c r="AD19" s="73" t="str">
        <f t="shared" si="16"/>
        <v>ok</v>
      </c>
      <c r="AE19" s="28" t="s">
        <v>138</v>
      </c>
      <c r="AF19" s="4" t="s">
        <v>120</v>
      </c>
      <c r="AG19" s="74" t="str">
        <f t="shared" si="17"/>
        <v>Sehr geehrte Frau Laeubli</v>
      </c>
      <c r="AH19" s="50" t="str">
        <f t="shared" si="18"/>
        <v>ok</v>
      </c>
      <c r="AI19" s="74" t="str">
        <f t="shared" si="19"/>
        <v>Liebe Raphaela</v>
      </c>
      <c r="AJ19" s="50" t="str">
        <f t="shared" si="20"/>
        <v>ok</v>
      </c>
      <c r="AK19" s="74" t="str">
        <f t="shared" si="21"/>
        <v>Sehr geehrte Frau Laeubli</v>
      </c>
      <c r="AL19" s="73" t="str">
        <f t="shared" si="24"/>
        <v>ok</v>
      </c>
      <c r="AM19" s="72" t="s">
        <v>109</v>
      </c>
      <c r="AN19" s="71" t="str">
        <f t="shared" si="22"/>
        <v>Ort</v>
      </c>
      <c r="AO19" s="58" t="str">
        <f t="shared" si="23"/>
        <v>ok</v>
      </c>
    </row>
    <row r="20" spans="1:41" x14ac:dyDescent="0.25">
      <c r="A20" s="70">
        <v>19</v>
      </c>
      <c r="B20" s="28" t="s">
        <v>162</v>
      </c>
      <c r="C20" s="4" t="s">
        <v>158</v>
      </c>
      <c r="D20" s="74" t="s">
        <v>157</v>
      </c>
      <c r="E20" s="50" t="str">
        <f t="shared" si="0"/>
        <v>ok</v>
      </c>
      <c r="F20" s="74" t="str">
        <f t="shared" si="1"/>
        <v>R.Lurati</v>
      </c>
      <c r="G20" s="73" t="str">
        <f t="shared" si="2"/>
        <v>ok</v>
      </c>
      <c r="H20" s="81" t="s">
        <v>156</v>
      </c>
      <c r="I20" s="28">
        <v>8634</v>
      </c>
      <c r="J20" s="4" t="s">
        <v>161</v>
      </c>
      <c r="K20" s="4" t="s">
        <v>33</v>
      </c>
      <c r="L20" s="71" t="str">
        <f t="shared" si="3"/>
        <v>CH-8634 Hombrechtikon</v>
      </c>
      <c r="M20" s="80" t="str">
        <f t="shared" si="4"/>
        <v>ok</v>
      </c>
      <c r="N20" s="28" t="s">
        <v>160</v>
      </c>
      <c r="O20" s="71" t="str">
        <f t="shared" si="5"/>
        <v>gmail.ch</v>
      </c>
      <c r="P20" s="80" t="str">
        <f t="shared" si="6"/>
        <v>ok</v>
      </c>
      <c r="Q20" s="79" t="str">
        <f t="shared" si="7"/>
        <v>ramona.lurati@bzu.ch</v>
      </c>
      <c r="R20" s="78" t="str">
        <f t="shared" si="8"/>
        <v>ok</v>
      </c>
      <c r="S20" s="29" t="s">
        <v>159</v>
      </c>
      <c r="T20" s="28" t="s">
        <v>110</v>
      </c>
      <c r="U20" s="74">
        <f t="shared" si="9"/>
        <v>1</v>
      </c>
      <c r="V20" s="50" t="str">
        <f t="shared" si="10"/>
        <v>ok</v>
      </c>
      <c r="W20" s="74">
        <f t="shared" si="11"/>
        <v>0</v>
      </c>
      <c r="X20" s="73" t="str">
        <f t="shared" si="12"/>
        <v>ok</v>
      </c>
      <c r="Y20" s="77" t="str">
        <f t="shared" si="13"/>
        <v/>
      </c>
      <c r="Z20" s="73" t="str">
        <f t="shared" si="14"/>
        <v>ok</v>
      </c>
      <c r="AA20" s="76">
        <v>1427.8</v>
      </c>
      <c r="AB20" s="75"/>
      <c r="AC20" s="74">
        <f t="shared" si="15"/>
        <v>1427.8</v>
      </c>
      <c r="AD20" s="73" t="str">
        <f t="shared" si="16"/>
        <v>ok</v>
      </c>
      <c r="AE20" s="28" t="s">
        <v>138</v>
      </c>
      <c r="AF20" s="82" t="s">
        <v>110</v>
      </c>
      <c r="AG20" s="74" t="str">
        <f t="shared" si="17"/>
        <v>Sehr geehrte Frau Lurati</v>
      </c>
      <c r="AH20" s="50" t="str">
        <f t="shared" si="18"/>
        <v>ok</v>
      </c>
      <c r="AI20" s="74" t="str">
        <f t="shared" si="19"/>
        <v>Liebe Ramona</v>
      </c>
      <c r="AJ20" s="50" t="str">
        <f t="shared" si="20"/>
        <v>ok</v>
      </c>
      <c r="AK20" s="74" t="str">
        <f t="shared" si="21"/>
        <v>Liebe Ramona</v>
      </c>
      <c r="AL20" s="73" t="str">
        <f t="shared" si="24"/>
        <v>ok</v>
      </c>
      <c r="AM20" s="72" t="s">
        <v>125</v>
      </c>
      <c r="AN20" s="71" t="str">
        <f t="shared" si="22"/>
        <v>Offener Betrag</v>
      </c>
      <c r="AO20" s="58" t="str">
        <f t="shared" si="23"/>
        <v>ok</v>
      </c>
    </row>
    <row r="21" spans="1:41" x14ac:dyDescent="0.25">
      <c r="A21" s="70">
        <v>20</v>
      </c>
      <c r="B21" s="28" t="s">
        <v>154</v>
      </c>
      <c r="C21" s="4" t="s">
        <v>158</v>
      </c>
      <c r="D21" s="74" t="s">
        <v>157</v>
      </c>
      <c r="E21" s="50" t="str">
        <f t="shared" si="0"/>
        <v>ok</v>
      </c>
      <c r="F21" s="74" t="str">
        <f t="shared" si="1"/>
        <v>R.Maechler</v>
      </c>
      <c r="G21" s="73" t="str">
        <f t="shared" si="2"/>
        <v>ok</v>
      </c>
      <c r="H21" s="81" t="s">
        <v>156</v>
      </c>
      <c r="I21" s="28">
        <v>8853</v>
      </c>
      <c r="J21" s="4" t="s">
        <v>122</v>
      </c>
      <c r="K21" s="4" t="s">
        <v>33</v>
      </c>
      <c r="L21" s="71" t="str">
        <f t="shared" si="3"/>
        <v>CH-8853 Lachen</v>
      </c>
      <c r="M21" s="80" t="str">
        <f t="shared" si="4"/>
        <v>ok</v>
      </c>
      <c r="N21" s="28"/>
      <c r="O21" s="71" t="str">
        <f t="shared" si="5"/>
        <v>Keine</v>
      </c>
      <c r="P21" s="80" t="str">
        <f t="shared" si="6"/>
        <v>ok</v>
      </c>
      <c r="Q21" s="79" t="str">
        <f t="shared" si="7"/>
        <v>ramona.maechler@bzu.ch</v>
      </c>
      <c r="R21" s="78" t="str">
        <f t="shared" si="8"/>
        <v>ok</v>
      </c>
      <c r="S21" s="29" t="s">
        <v>155</v>
      </c>
      <c r="T21" s="28" t="s">
        <v>110</v>
      </c>
      <c r="U21" s="74">
        <f t="shared" si="9"/>
        <v>1</v>
      </c>
      <c r="V21" s="50" t="str">
        <f t="shared" si="10"/>
        <v>ok</v>
      </c>
      <c r="W21" s="74">
        <f t="shared" si="11"/>
        <v>0</v>
      </c>
      <c r="X21" s="73" t="str">
        <f t="shared" si="12"/>
        <v>ok</v>
      </c>
      <c r="Y21" s="77" t="str">
        <f t="shared" si="13"/>
        <v/>
      </c>
      <c r="Z21" s="73" t="str">
        <f t="shared" si="14"/>
        <v>ok</v>
      </c>
      <c r="AA21" s="76">
        <v>439</v>
      </c>
      <c r="AB21" s="75">
        <v>400</v>
      </c>
      <c r="AC21" s="74">
        <f t="shared" si="15"/>
        <v>39</v>
      </c>
      <c r="AD21" s="73" t="str">
        <f t="shared" si="16"/>
        <v>ok</v>
      </c>
      <c r="AE21" s="28" t="s">
        <v>138</v>
      </c>
      <c r="AF21" s="4" t="s">
        <v>120</v>
      </c>
      <c r="AG21" s="74" t="str">
        <f t="shared" si="17"/>
        <v>Sehr geehrte Frau Maechler</v>
      </c>
      <c r="AH21" s="50" t="str">
        <f t="shared" si="18"/>
        <v>ok</v>
      </c>
      <c r="AI21" s="74" t="str">
        <f t="shared" si="19"/>
        <v>Liebe Ramona</v>
      </c>
      <c r="AJ21" s="50" t="str">
        <f t="shared" si="20"/>
        <v>ok</v>
      </c>
      <c r="AK21" s="74" t="str">
        <f t="shared" si="21"/>
        <v>Sehr geehrte Frau Maechler</v>
      </c>
      <c r="AL21" s="73" t="str">
        <f t="shared" si="24"/>
        <v>ok</v>
      </c>
      <c r="AM21" s="72" t="s">
        <v>119</v>
      </c>
      <c r="AN21" s="71" t="str">
        <f t="shared" si="22"/>
        <v>Rechnungsbetrag</v>
      </c>
      <c r="AO21" s="58" t="str">
        <f t="shared" si="23"/>
        <v>ok</v>
      </c>
    </row>
    <row r="22" spans="1:41" x14ac:dyDescent="0.25">
      <c r="A22" s="70">
        <v>21</v>
      </c>
      <c r="B22" s="28" t="s">
        <v>154</v>
      </c>
      <c r="C22" s="4" t="s">
        <v>153</v>
      </c>
      <c r="D22" s="74" t="s">
        <v>152</v>
      </c>
      <c r="E22" s="50" t="str">
        <f t="shared" si="0"/>
        <v>ok</v>
      </c>
      <c r="F22" s="74" t="str">
        <f t="shared" si="1"/>
        <v>L.Maechler</v>
      </c>
      <c r="G22" s="73" t="str">
        <f t="shared" si="2"/>
        <v>ok</v>
      </c>
      <c r="H22" s="81" t="s">
        <v>147</v>
      </c>
      <c r="I22" s="28">
        <v>8854</v>
      </c>
      <c r="J22" s="4" t="s">
        <v>151</v>
      </c>
      <c r="K22" s="4" t="s">
        <v>33</v>
      </c>
      <c r="L22" s="71" t="str">
        <f t="shared" si="3"/>
        <v>CH-8854 Siebnen</v>
      </c>
      <c r="M22" s="80" t="str">
        <f t="shared" si="4"/>
        <v>ok</v>
      </c>
      <c r="N22" s="28"/>
      <c r="O22" s="71" t="str">
        <f t="shared" si="5"/>
        <v>Keine</v>
      </c>
      <c r="P22" s="80" t="str">
        <f t="shared" si="6"/>
        <v>ok</v>
      </c>
      <c r="Q22" s="79" t="str">
        <f t="shared" si="7"/>
        <v>luisa.maechler@bzu.ch</v>
      </c>
      <c r="R22" s="78" t="str">
        <f t="shared" si="8"/>
        <v>ok</v>
      </c>
      <c r="S22" s="29" t="s">
        <v>150</v>
      </c>
      <c r="T22" s="28" t="s">
        <v>110</v>
      </c>
      <c r="U22" s="74">
        <f t="shared" si="9"/>
        <v>1</v>
      </c>
      <c r="V22" s="50" t="str">
        <f t="shared" si="10"/>
        <v>ok</v>
      </c>
      <c r="W22" s="74">
        <f t="shared" si="11"/>
        <v>0</v>
      </c>
      <c r="X22" s="73" t="str">
        <f t="shared" si="12"/>
        <v>ok</v>
      </c>
      <c r="Y22" s="77" t="str">
        <f t="shared" si="13"/>
        <v/>
      </c>
      <c r="Z22" s="73" t="str">
        <f t="shared" si="14"/>
        <v>ok</v>
      </c>
      <c r="AA22" s="76">
        <v>32.5</v>
      </c>
      <c r="AB22" s="75">
        <v>0</v>
      </c>
      <c r="AC22" s="74">
        <f t="shared" si="15"/>
        <v>32.5</v>
      </c>
      <c r="AD22" s="73" t="str">
        <f t="shared" si="16"/>
        <v>ok</v>
      </c>
      <c r="AE22" s="28" t="s">
        <v>138</v>
      </c>
      <c r="AF22" s="82" t="s">
        <v>110</v>
      </c>
      <c r="AG22" s="74" t="str">
        <f t="shared" si="17"/>
        <v>Sehr geehrte Frau Maechler</v>
      </c>
      <c r="AH22" s="50" t="str">
        <f t="shared" si="18"/>
        <v>ok</v>
      </c>
      <c r="AI22" s="74" t="str">
        <f t="shared" si="19"/>
        <v>Liebe Luisa</v>
      </c>
      <c r="AJ22" s="50" t="str">
        <f t="shared" si="20"/>
        <v>ok</v>
      </c>
      <c r="AK22" s="74" t="str">
        <f t="shared" si="21"/>
        <v>Liebe Luisa</v>
      </c>
      <c r="AL22" s="73" t="str">
        <f t="shared" si="24"/>
        <v>ok</v>
      </c>
      <c r="AM22" s="72" t="s">
        <v>109</v>
      </c>
      <c r="AN22" s="71" t="str">
        <f t="shared" si="22"/>
        <v>Ort</v>
      </c>
      <c r="AO22" s="58" t="str">
        <f t="shared" si="23"/>
        <v>ok</v>
      </c>
    </row>
    <row r="23" spans="1:41" x14ac:dyDescent="0.25">
      <c r="A23" s="70">
        <v>22</v>
      </c>
      <c r="B23" s="28" t="s">
        <v>149</v>
      </c>
      <c r="C23" s="4" t="s">
        <v>148</v>
      </c>
      <c r="D23" s="74" t="s">
        <v>116</v>
      </c>
      <c r="E23" s="50" t="str">
        <f t="shared" si="0"/>
        <v>ok</v>
      </c>
      <c r="F23" s="74" t="str">
        <f t="shared" si="1"/>
        <v>P.Diethelm</v>
      </c>
      <c r="G23" s="73" t="str">
        <f t="shared" si="2"/>
        <v>ok</v>
      </c>
      <c r="H23" s="81" t="s">
        <v>147</v>
      </c>
      <c r="I23" s="28">
        <v>8863</v>
      </c>
      <c r="J23" s="4" t="s">
        <v>146</v>
      </c>
      <c r="K23" s="4" t="s">
        <v>33</v>
      </c>
      <c r="L23" s="71" t="str">
        <f t="shared" si="3"/>
        <v>CH-8863 Buttikon</v>
      </c>
      <c r="M23" s="80" t="str">
        <f t="shared" si="4"/>
        <v>ok</v>
      </c>
      <c r="N23" s="28"/>
      <c r="O23" s="71" t="str">
        <f t="shared" si="5"/>
        <v>Keine</v>
      </c>
      <c r="P23" s="80" t="str">
        <f t="shared" si="6"/>
        <v>ok</v>
      </c>
      <c r="Q23" s="79" t="str">
        <f t="shared" si="7"/>
        <v>paula.diethelm@bzu.ch</v>
      </c>
      <c r="R23" s="78" t="str">
        <f t="shared" si="8"/>
        <v>ok</v>
      </c>
      <c r="S23" s="29" t="s">
        <v>145</v>
      </c>
      <c r="T23" s="28" t="s">
        <v>120</v>
      </c>
      <c r="U23" s="74">
        <f t="shared" si="9"/>
        <v>0</v>
      </c>
      <c r="V23" s="50" t="str">
        <f t="shared" si="10"/>
        <v>ok</v>
      </c>
      <c r="W23" s="74">
        <f t="shared" si="11"/>
        <v>1</v>
      </c>
      <c r="X23" s="73" t="str">
        <f t="shared" si="12"/>
        <v>ok</v>
      </c>
      <c r="Y23" s="77" t="str">
        <f t="shared" si="13"/>
        <v>paula.diethelm@bzu.ch</v>
      </c>
      <c r="Z23" s="73" t="str">
        <f t="shared" si="14"/>
        <v>ok</v>
      </c>
      <c r="AA23" s="76">
        <v>53</v>
      </c>
      <c r="AB23" s="75">
        <v>0</v>
      </c>
      <c r="AC23" s="74">
        <f t="shared" si="15"/>
        <v>53</v>
      </c>
      <c r="AD23" s="73" t="str">
        <f t="shared" si="16"/>
        <v>ok</v>
      </c>
      <c r="AE23" s="28" t="s">
        <v>138</v>
      </c>
      <c r="AF23" s="4" t="s">
        <v>120</v>
      </c>
      <c r="AG23" s="74" t="str">
        <f t="shared" si="17"/>
        <v>Sehr geehrte Frau Diethelm</v>
      </c>
      <c r="AH23" s="50" t="str">
        <f t="shared" si="18"/>
        <v>ok</v>
      </c>
      <c r="AI23" s="74" t="str">
        <f t="shared" si="19"/>
        <v>Liebe Paula</v>
      </c>
      <c r="AJ23" s="50" t="str">
        <f t="shared" si="20"/>
        <v>ok</v>
      </c>
      <c r="AK23" s="74" t="str">
        <f t="shared" si="21"/>
        <v>Sehr geehrte Frau Diethelm</v>
      </c>
      <c r="AL23" s="73" t="str">
        <f t="shared" si="24"/>
        <v>ok</v>
      </c>
      <c r="AM23" s="72" t="s">
        <v>125</v>
      </c>
      <c r="AN23" s="71" t="str">
        <f t="shared" si="22"/>
        <v>Offener Betrag</v>
      </c>
      <c r="AO23" s="58" t="str">
        <f t="shared" si="23"/>
        <v>ok</v>
      </c>
    </row>
    <row r="24" spans="1:41" x14ac:dyDescent="0.25">
      <c r="A24" s="70">
        <v>23</v>
      </c>
      <c r="B24" s="28" t="s">
        <v>144</v>
      </c>
      <c r="C24" s="4" t="s">
        <v>143</v>
      </c>
      <c r="D24" s="74" t="s">
        <v>116</v>
      </c>
      <c r="E24" s="50" t="str">
        <f t="shared" si="0"/>
        <v>ok</v>
      </c>
      <c r="F24" s="74" t="str">
        <f t="shared" si="1"/>
        <v>P.Maeder</v>
      </c>
      <c r="G24" s="73" t="str">
        <f t="shared" si="2"/>
        <v>ok</v>
      </c>
      <c r="H24" s="81" t="s">
        <v>142</v>
      </c>
      <c r="I24" s="28">
        <v>8807</v>
      </c>
      <c r="J24" s="4" t="s">
        <v>141</v>
      </c>
      <c r="K24" s="4" t="s">
        <v>33</v>
      </c>
      <c r="L24" s="71" t="str">
        <f t="shared" si="3"/>
        <v>CH-8807 Freienbach</v>
      </c>
      <c r="M24" s="80" t="str">
        <f t="shared" si="4"/>
        <v>ok</v>
      </c>
      <c r="N24" s="28" t="s">
        <v>140</v>
      </c>
      <c r="O24" s="71" t="str">
        <f t="shared" si="5"/>
        <v>gmail.ch</v>
      </c>
      <c r="P24" s="80" t="str">
        <f t="shared" si="6"/>
        <v>ok</v>
      </c>
      <c r="Q24" s="79" t="str">
        <f t="shared" si="7"/>
        <v>pia.maeder@bzu.ch</v>
      </c>
      <c r="R24" s="78" t="str">
        <f t="shared" si="8"/>
        <v>ok</v>
      </c>
      <c r="S24" s="29" t="s">
        <v>139</v>
      </c>
      <c r="T24" s="28" t="s">
        <v>120</v>
      </c>
      <c r="U24" s="74">
        <f t="shared" si="9"/>
        <v>0</v>
      </c>
      <c r="V24" s="50" t="str">
        <f t="shared" si="10"/>
        <v>ok</v>
      </c>
      <c r="W24" s="74">
        <f t="shared" si="11"/>
        <v>1</v>
      </c>
      <c r="X24" s="73" t="str">
        <f t="shared" si="12"/>
        <v>ok</v>
      </c>
      <c r="Y24" s="77" t="str">
        <f t="shared" si="13"/>
        <v>pia.maeder@gmail.ch</v>
      </c>
      <c r="Z24" s="73" t="str">
        <f t="shared" si="14"/>
        <v>ok</v>
      </c>
      <c r="AA24" s="76">
        <v>15.7</v>
      </c>
      <c r="AB24" s="75">
        <v>0</v>
      </c>
      <c r="AC24" s="74">
        <f t="shared" si="15"/>
        <v>15.7</v>
      </c>
      <c r="AD24" s="73" t="str">
        <f t="shared" si="16"/>
        <v>ok</v>
      </c>
      <c r="AE24" s="28" t="s">
        <v>138</v>
      </c>
      <c r="AF24" s="82" t="s">
        <v>110</v>
      </c>
      <c r="AG24" s="74" t="str">
        <f t="shared" si="17"/>
        <v>Sehr geehrte Frau Maeder</v>
      </c>
      <c r="AH24" s="50" t="str">
        <f t="shared" si="18"/>
        <v>ok</v>
      </c>
      <c r="AI24" s="74" t="str">
        <f t="shared" si="19"/>
        <v>Liebe pia</v>
      </c>
      <c r="AJ24" s="50" t="str">
        <f t="shared" si="20"/>
        <v>ok</v>
      </c>
      <c r="AK24" s="74" t="str">
        <f t="shared" si="21"/>
        <v>Liebe pia</v>
      </c>
      <c r="AL24" s="73" t="str">
        <f t="shared" si="24"/>
        <v>ok</v>
      </c>
      <c r="AM24" s="72" t="s">
        <v>119</v>
      </c>
      <c r="AN24" s="71" t="str">
        <f t="shared" si="22"/>
        <v>Rechnungsbetrag</v>
      </c>
      <c r="AO24" s="58" t="str">
        <f t="shared" si="23"/>
        <v>ok</v>
      </c>
    </row>
    <row r="25" spans="1:41" x14ac:dyDescent="0.25">
      <c r="A25" s="70">
        <v>24</v>
      </c>
      <c r="B25" s="28" t="s">
        <v>133</v>
      </c>
      <c r="C25" s="4" t="s">
        <v>137</v>
      </c>
      <c r="D25" s="74" t="s">
        <v>116</v>
      </c>
      <c r="E25" s="50" t="str">
        <f t="shared" si="0"/>
        <v>ok</v>
      </c>
      <c r="F25" s="74" t="str">
        <f t="shared" si="1"/>
        <v>P.Mannhart</v>
      </c>
      <c r="G25" s="73" t="str">
        <f t="shared" si="2"/>
        <v>ok</v>
      </c>
      <c r="H25" s="81" t="s">
        <v>136</v>
      </c>
      <c r="I25" s="28">
        <v>8708</v>
      </c>
      <c r="J25" s="4" t="s">
        <v>135</v>
      </c>
      <c r="K25" s="4" t="s">
        <v>33</v>
      </c>
      <c r="L25" s="71" t="str">
        <f t="shared" si="3"/>
        <v>CH-8708 Männedorf</v>
      </c>
      <c r="M25" s="80" t="str">
        <f t="shared" si="4"/>
        <v>ok</v>
      </c>
      <c r="N25" s="28" t="s">
        <v>134</v>
      </c>
      <c r="O25" s="71" t="str">
        <f t="shared" si="5"/>
        <v>gmail.ch</v>
      </c>
      <c r="P25" s="80" t="str">
        <f t="shared" si="6"/>
        <v>ok</v>
      </c>
      <c r="Q25" s="79" t="str">
        <f t="shared" si="7"/>
        <v>pius.mannhart@bzu.ch</v>
      </c>
      <c r="R25" s="78" t="str">
        <f t="shared" si="8"/>
        <v>ok</v>
      </c>
      <c r="S25" s="29" t="s">
        <v>127</v>
      </c>
      <c r="T25" s="28" t="s">
        <v>110</v>
      </c>
      <c r="U25" s="74">
        <f t="shared" si="9"/>
        <v>1</v>
      </c>
      <c r="V25" s="50" t="str">
        <f t="shared" si="10"/>
        <v>ok</v>
      </c>
      <c r="W25" s="74">
        <f t="shared" si="11"/>
        <v>0</v>
      </c>
      <c r="X25" s="73" t="str">
        <f t="shared" si="12"/>
        <v>ok</v>
      </c>
      <c r="Y25" s="77" t="str">
        <f t="shared" si="13"/>
        <v/>
      </c>
      <c r="Z25" s="73" t="str">
        <f t="shared" si="14"/>
        <v>ok</v>
      </c>
      <c r="AA25" s="76">
        <v>68</v>
      </c>
      <c r="AB25" s="75">
        <v>0</v>
      </c>
      <c r="AC25" s="74">
        <f t="shared" si="15"/>
        <v>68</v>
      </c>
      <c r="AD25" s="73" t="str">
        <f t="shared" si="16"/>
        <v>ok</v>
      </c>
      <c r="AE25" s="28" t="s">
        <v>111</v>
      </c>
      <c r="AF25" s="4" t="s">
        <v>120</v>
      </c>
      <c r="AG25" s="74" t="str">
        <f t="shared" si="17"/>
        <v>Sehr geehrter Herr Mannhart</v>
      </c>
      <c r="AH25" s="50" t="str">
        <f t="shared" si="18"/>
        <v>ok</v>
      </c>
      <c r="AI25" s="74" t="str">
        <f t="shared" si="19"/>
        <v>Lieber Pius</v>
      </c>
      <c r="AJ25" s="50" t="str">
        <f t="shared" si="20"/>
        <v>ok</v>
      </c>
      <c r="AK25" s="74" t="str">
        <f t="shared" si="21"/>
        <v>Sehr geehrter Herr Mannhart</v>
      </c>
      <c r="AL25" s="73" t="str">
        <f t="shared" si="24"/>
        <v>ok</v>
      </c>
      <c r="AM25" s="72" t="s">
        <v>109</v>
      </c>
      <c r="AN25" s="71" t="str">
        <f t="shared" si="22"/>
        <v>Ort</v>
      </c>
      <c r="AO25" s="58" t="str">
        <f t="shared" si="23"/>
        <v>ok</v>
      </c>
    </row>
    <row r="26" spans="1:41" x14ac:dyDescent="0.25">
      <c r="A26" s="70">
        <v>25</v>
      </c>
      <c r="B26" s="28" t="s">
        <v>133</v>
      </c>
      <c r="C26" s="4" t="s">
        <v>132</v>
      </c>
      <c r="D26" s="74" t="s">
        <v>131</v>
      </c>
      <c r="E26" s="50" t="str">
        <f t="shared" si="0"/>
        <v>ok</v>
      </c>
      <c r="F26" s="74" t="str">
        <f t="shared" si="1"/>
        <v>M.Mannhart</v>
      </c>
      <c r="G26" s="73" t="str">
        <f t="shared" si="2"/>
        <v>ok</v>
      </c>
      <c r="H26" s="81" t="s">
        <v>130</v>
      </c>
      <c r="I26" s="28">
        <v>8708</v>
      </c>
      <c r="J26" s="4" t="s">
        <v>129</v>
      </c>
      <c r="K26" s="4" t="s">
        <v>33</v>
      </c>
      <c r="L26" s="71" t="str">
        <f t="shared" si="3"/>
        <v>CH-8708 Maennedorf</v>
      </c>
      <c r="M26" s="80" t="str">
        <f t="shared" si="4"/>
        <v>ok</v>
      </c>
      <c r="N26" s="28" t="s">
        <v>128</v>
      </c>
      <c r="O26" s="71" t="str">
        <f t="shared" si="5"/>
        <v>novatrend.ch</v>
      </c>
      <c r="P26" s="80" t="str">
        <f t="shared" si="6"/>
        <v>ok</v>
      </c>
      <c r="Q26" s="79" t="str">
        <f t="shared" si="7"/>
        <v>mia.mannhart@bzu.ch</v>
      </c>
      <c r="R26" s="78" t="str">
        <f t="shared" si="8"/>
        <v>ok</v>
      </c>
      <c r="S26" s="29" t="s">
        <v>127</v>
      </c>
      <c r="T26" s="28" t="s">
        <v>110</v>
      </c>
      <c r="U26" s="74">
        <f t="shared" si="9"/>
        <v>1</v>
      </c>
      <c r="V26" s="50" t="str">
        <f t="shared" si="10"/>
        <v>ok</v>
      </c>
      <c r="W26" s="74">
        <f t="shared" si="11"/>
        <v>0</v>
      </c>
      <c r="X26" s="73" t="str">
        <f t="shared" si="12"/>
        <v>ok</v>
      </c>
      <c r="Y26" s="77" t="str">
        <f t="shared" si="13"/>
        <v/>
      </c>
      <c r="Z26" s="73" t="str">
        <f t="shared" si="14"/>
        <v>ok</v>
      </c>
      <c r="AA26" s="76">
        <v>658</v>
      </c>
      <c r="AB26" s="75">
        <v>470</v>
      </c>
      <c r="AC26" s="74">
        <f t="shared" si="15"/>
        <v>188</v>
      </c>
      <c r="AD26" s="73" t="str">
        <f t="shared" si="16"/>
        <v>ok</v>
      </c>
      <c r="AE26" s="28" t="s">
        <v>126</v>
      </c>
      <c r="AF26" s="82" t="s">
        <v>110</v>
      </c>
      <c r="AG26" s="74" t="str">
        <f t="shared" si="17"/>
        <v>Sehr geehrte Familie Mannhart</v>
      </c>
      <c r="AH26" s="50" t="str">
        <f t="shared" si="18"/>
        <v>ok</v>
      </c>
      <c r="AI26" s="74" t="str">
        <f t="shared" si="19"/>
        <v>Liebe Familie Mannhart</v>
      </c>
      <c r="AJ26" s="50" t="str">
        <f t="shared" si="20"/>
        <v>ok</v>
      </c>
      <c r="AK26" s="74" t="str">
        <f t="shared" si="21"/>
        <v>Liebe Familie Mannhart</v>
      </c>
      <c r="AL26" s="73" t="str">
        <f t="shared" si="24"/>
        <v>ok</v>
      </c>
      <c r="AM26" s="72" t="s">
        <v>125</v>
      </c>
      <c r="AN26" s="71" t="str">
        <f t="shared" si="22"/>
        <v>Offener Betrag</v>
      </c>
      <c r="AO26" s="58" t="str">
        <f t="shared" si="23"/>
        <v>ok</v>
      </c>
    </row>
    <row r="27" spans="1:41" x14ac:dyDescent="0.25">
      <c r="A27" s="70">
        <v>26</v>
      </c>
      <c r="B27" s="28" t="s">
        <v>118</v>
      </c>
      <c r="C27" s="4" t="s">
        <v>124</v>
      </c>
      <c r="D27" s="74" t="s">
        <v>116</v>
      </c>
      <c r="E27" s="50" t="str">
        <f t="shared" si="0"/>
        <v>ok</v>
      </c>
      <c r="F27" s="74" t="str">
        <f t="shared" si="1"/>
        <v>P.Marty</v>
      </c>
      <c r="G27" s="73" t="str">
        <f t="shared" si="2"/>
        <v>ok</v>
      </c>
      <c r="H27" s="81" t="s">
        <v>123</v>
      </c>
      <c r="I27" s="28">
        <v>8853</v>
      </c>
      <c r="J27" s="4" t="s">
        <v>122</v>
      </c>
      <c r="K27" s="4" t="s">
        <v>33</v>
      </c>
      <c r="L27" s="71" t="str">
        <f t="shared" si="3"/>
        <v>CH-8853 Lachen</v>
      </c>
      <c r="M27" s="80" t="str">
        <f t="shared" si="4"/>
        <v>ok</v>
      </c>
      <c r="N27" s="28"/>
      <c r="O27" s="71" t="str">
        <f t="shared" si="5"/>
        <v>Keine</v>
      </c>
      <c r="P27" s="80" t="str">
        <f t="shared" si="6"/>
        <v>ok</v>
      </c>
      <c r="Q27" s="79" t="str">
        <f t="shared" si="7"/>
        <v>philippe.marty@bzu.ch</v>
      </c>
      <c r="R27" s="78" t="str">
        <f t="shared" si="8"/>
        <v>ok</v>
      </c>
      <c r="S27" s="29" t="s">
        <v>121</v>
      </c>
      <c r="T27" s="28" t="s">
        <v>110</v>
      </c>
      <c r="U27" s="74">
        <f t="shared" si="9"/>
        <v>1</v>
      </c>
      <c r="V27" s="50" t="str">
        <f t="shared" si="10"/>
        <v>ok</v>
      </c>
      <c r="W27" s="74">
        <f t="shared" si="11"/>
        <v>0</v>
      </c>
      <c r="X27" s="73" t="str">
        <f t="shared" si="12"/>
        <v>ok</v>
      </c>
      <c r="Y27" s="77" t="str">
        <f t="shared" si="13"/>
        <v/>
      </c>
      <c r="Z27" s="73" t="str">
        <f t="shared" si="14"/>
        <v>ok</v>
      </c>
      <c r="AA27" s="76">
        <v>7.4</v>
      </c>
      <c r="AB27" s="75">
        <v>0</v>
      </c>
      <c r="AC27" s="74">
        <f t="shared" si="15"/>
        <v>7.4</v>
      </c>
      <c r="AD27" s="73" t="str">
        <f t="shared" si="16"/>
        <v>ok</v>
      </c>
      <c r="AE27" s="28" t="s">
        <v>111</v>
      </c>
      <c r="AF27" s="4" t="s">
        <v>120</v>
      </c>
      <c r="AG27" s="74" t="str">
        <f t="shared" si="17"/>
        <v>Sehr geehrter Herr Marty</v>
      </c>
      <c r="AH27" s="50" t="str">
        <f t="shared" si="18"/>
        <v>ok</v>
      </c>
      <c r="AI27" s="74" t="str">
        <f t="shared" si="19"/>
        <v>Lieber Philippe</v>
      </c>
      <c r="AJ27" s="50" t="str">
        <f t="shared" si="20"/>
        <v>ok</v>
      </c>
      <c r="AK27" s="74" t="str">
        <f t="shared" si="21"/>
        <v>Sehr geehrter Herr Marty</v>
      </c>
      <c r="AL27" s="73" t="str">
        <f t="shared" si="24"/>
        <v>ok</v>
      </c>
      <c r="AM27" s="72" t="s">
        <v>119</v>
      </c>
      <c r="AN27" s="71" t="str">
        <f t="shared" si="22"/>
        <v>Rechnungsbetrag</v>
      </c>
      <c r="AO27" s="58" t="str">
        <f t="shared" si="23"/>
        <v>ok</v>
      </c>
    </row>
    <row r="28" spans="1:41" ht="15.75" thickBot="1" x14ac:dyDescent="0.3">
      <c r="A28" s="70">
        <v>27</v>
      </c>
      <c r="B28" s="64" t="s">
        <v>118</v>
      </c>
      <c r="C28" s="30" t="s">
        <v>117</v>
      </c>
      <c r="D28" s="61" t="s">
        <v>116</v>
      </c>
      <c r="E28" s="62" t="str">
        <f t="shared" si="0"/>
        <v>ok</v>
      </c>
      <c r="F28" s="61" t="str">
        <f t="shared" si="1"/>
        <v>P.Marty</v>
      </c>
      <c r="G28" s="60" t="str">
        <f t="shared" si="2"/>
        <v>ok</v>
      </c>
      <c r="H28" s="69" t="s">
        <v>115</v>
      </c>
      <c r="I28" s="64">
        <v>8852</v>
      </c>
      <c r="J28" s="30" t="s">
        <v>114</v>
      </c>
      <c r="K28" s="30" t="s">
        <v>33</v>
      </c>
      <c r="L28" s="59" t="str">
        <f t="shared" si="3"/>
        <v>CH-8852 Altendorf</v>
      </c>
      <c r="M28" s="68" t="str">
        <f t="shared" si="4"/>
        <v>ok</v>
      </c>
      <c r="N28" s="64" t="s">
        <v>113</v>
      </c>
      <c r="O28" s="59" t="str">
        <f t="shared" si="5"/>
        <v>gmail.ch</v>
      </c>
      <c r="P28" s="68" t="str">
        <f t="shared" si="6"/>
        <v>ok</v>
      </c>
      <c r="Q28" s="56" t="str">
        <f t="shared" si="7"/>
        <v>peter.marty@bzu.ch</v>
      </c>
      <c r="R28" s="67" t="str">
        <f t="shared" si="8"/>
        <v>ok</v>
      </c>
      <c r="S28" s="31" t="s">
        <v>112</v>
      </c>
      <c r="T28" s="64" t="s">
        <v>110</v>
      </c>
      <c r="U28" s="61">
        <f t="shared" si="9"/>
        <v>1</v>
      </c>
      <c r="V28" s="62" t="str">
        <f t="shared" si="10"/>
        <v>ok</v>
      </c>
      <c r="W28" s="61">
        <f t="shared" si="11"/>
        <v>0</v>
      </c>
      <c r="X28" s="60" t="str">
        <f t="shared" si="12"/>
        <v>ok</v>
      </c>
      <c r="Y28" s="57" t="str">
        <f t="shared" si="13"/>
        <v/>
      </c>
      <c r="Z28" s="60" t="str">
        <f t="shared" si="14"/>
        <v>ok</v>
      </c>
      <c r="AA28" s="66">
        <v>4.8</v>
      </c>
      <c r="AB28" s="65">
        <v>0</v>
      </c>
      <c r="AC28" s="61">
        <f t="shared" si="15"/>
        <v>4.8</v>
      </c>
      <c r="AD28" s="60" t="str">
        <f t="shared" si="16"/>
        <v>ok</v>
      </c>
      <c r="AE28" s="64" t="s">
        <v>111</v>
      </c>
      <c r="AF28" s="63" t="s">
        <v>110</v>
      </c>
      <c r="AG28" s="61" t="str">
        <f t="shared" si="17"/>
        <v>Sehr geehrter Herr Marty</v>
      </c>
      <c r="AH28" s="62" t="str">
        <f t="shared" si="18"/>
        <v>ok</v>
      </c>
      <c r="AI28" s="61" t="str">
        <f t="shared" si="19"/>
        <v>Lieber Peter</v>
      </c>
      <c r="AJ28" s="62" t="str">
        <f t="shared" si="20"/>
        <v>ok</v>
      </c>
      <c r="AK28" s="61" t="str">
        <f t="shared" si="21"/>
        <v>Lieber Peter</v>
      </c>
      <c r="AL28" s="60" t="str">
        <f t="shared" si="24"/>
        <v>ok</v>
      </c>
      <c r="AM28" s="36" t="s">
        <v>109</v>
      </c>
      <c r="AN28" s="59" t="str">
        <f t="shared" si="22"/>
        <v>Ort</v>
      </c>
      <c r="AO28" s="58" t="str">
        <f t="shared" si="23"/>
        <v>ok</v>
      </c>
    </row>
    <row r="29" spans="1:41" ht="15.75" thickBot="1" x14ac:dyDescent="0.3">
      <c r="P29" s="47"/>
      <c r="U29" s="57">
        <f>SUM(U2:U28)</f>
        <v>17</v>
      </c>
      <c r="V29" s="50" t="str">
        <f>IF(U29="","--",IF(U29=17,"ok","nok"))</f>
        <v>ok</v>
      </c>
      <c r="W29" s="56">
        <f>SUM(W2:W28)</f>
        <v>10</v>
      </c>
      <c r="X29" s="50" t="str">
        <f>IF(W29="","--",IF(W29=10,"ok","nok"))</f>
        <v>ok</v>
      </c>
      <c r="Z29" s="50" t="str">
        <f>IF(AA29="","--",IF(EqualsWithinTolerance(AA29,4598.82,1),"ok","nok"))</f>
        <v>ok</v>
      </c>
      <c r="AA29" s="55">
        <f>SUM(AA2:AA28)</f>
        <v>4598.82</v>
      </c>
      <c r="AB29" s="54">
        <f>SUM(AB2:AB28)</f>
        <v>1524.3</v>
      </c>
      <c r="AC29" s="54">
        <f>SUM(AC2:AC28)</f>
        <v>3074.52</v>
      </c>
      <c r="AD29" s="50" t="str">
        <f>IF(AC29="","--",IF(EqualsWithinTolerance(AC29,3074.52,1),"ok","nok"))</f>
        <v>ok</v>
      </c>
      <c r="AG29" s="52"/>
      <c r="AH29" s="50" t="str">
        <f>IF(AB29="","--",IF(EqualsWithinTolerance(AB29,1524.3,1),"ok","nok"))</f>
        <v>ok</v>
      </c>
      <c r="AI29" s="52"/>
      <c r="AJ29" s="53"/>
      <c r="AK29" s="52"/>
      <c r="AL29" s="53"/>
      <c r="AM29" s="52"/>
    </row>
    <row r="30" spans="1:41" x14ac:dyDescent="0.25">
      <c r="E30" s="49">
        <f>COUNTIFS(E2:E28,"ok")</f>
        <v>27</v>
      </c>
      <c r="G30" s="49">
        <f>COUNTIFS(G2:G28,"ok")</f>
        <v>27</v>
      </c>
      <c r="M30" s="49">
        <f>COUNTIFS(M2:M28,"ok")</f>
        <v>27</v>
      </c>
      <c r="P30" s="49">
        <f>COUNTIFS(P2:P28,"ok")</f>
        <v>27</v>
      </c>
      <c r="R30" s="49">
        <f>COUNTIFS(R2:R28,"ok")</f>
        <v>27</v>
      </c>
      <c r="U30" s="51"/>
      <c r="V30" s="50">
        <f>COUNTIFS(V2:V29,"ok")</f>
        <v>28</v>
      </c>
      <c r="X30" s="50">
        <f>COUNTIFS(X2:X29,"ok")</f>
        <v>28</v>
      </c>
      <c r="Z30" s="50">
        <f>COUNTIFS(Z2:Z29,"ok")</f>
        <v>28</v>
      </c>
      <c r="AD30" s="50">
        <f>COUNTIFS(AD2:AD29,"ok")</f>
        <v>28</v>
      </c>
      <c r="AH30" s="50">
        <f>COUNTIFS(AH2:AH29,"ok")</f>
        <v>28</v>
      </c>
      <c r="AJ30" s="50">
        <f>COUNTIFS(AJ2:AJ29,"ok")</f>
        <v>27</v>
      </c>
      <c r="AL30" s="50">
        <f>COUNTIFS(AL2:AL29,"ok")</f>
        <v>27</v>
      </c>
      <c r="AO30" s="49">
        <f>COUNTIFS(AO2:AO28,"ok")</f>
        <v>27</v>
      </c>
    </row>
    <row r="31" spans="1:41" x14ac:dyDescent="0.25">
      <c r="E31" s="49">
        <f>COUNTIFS(E2:E28,"nok")</f>
        <v>0</v>
      </c>
      <c r="G31" s="49">
        <f>COUNTIFS(G2:G28,"nok")</f>
        <v>0</v>
      </c>
      <c r="M31" s="49">
        <f>COUNTIFS(M2:M28,"nok")</f>
        <v>0</v>
      </c>
      <c r="P31" s="49">
        <f>COUNTIFS(P2:P28,"nok")</f>
        <v>0</v>
      </c>
      <c r="R31" s="49">
        <f>COUNTIFS(R2:R28,"nok")</f>
        <v>0</v>
      </c>
      <c r="V31" s="49">
        <f>COUNTIFS(V2:V29,"nok")</f>
        <v>0</v>
      </c>
      <c r="X31" s="49">
        <f>COUNTIFS(X2:X29,"nok")</f>
        <v>0</v>
      </c>
      <c r="Z31" s="49">
        <f>COUNTIFS(Z2:Z29,"nok")</f>
        <v>0</v>
      </c>
      <c r="AD31" s="49">
        <f>COUNTIFS(AD2:AD29,"nok")</f>
        <v>0</v>
      </c>
      <c r="AH31" s="49">
        <f>COUNTIFS(AH2:AH29,"nok")</f>
        <v>0</v>
      </c>
      <c r="AJ31" s="49">
        <f>COUNTIFS(AJ2:AJ29,"nok")</f>
        <v>0</v>
      </c>
      <c r="AL31" s="49">
        <f>COUNTIFS(AL2:AL29,"nok")</f>
        <v>0</v>
      </c>
      <c r="AO31" s="49">
        <f>COUNTIFS(AO2:AO28,"nok")</f>
        <v>0</v>
      </c>
    </row>
    <row r="32" spans="1:41" x14ac:dyDescent="0.25">
      <c r="E32" s="49">
        <f>COUNTIFS(E2:E28,"--")</f>
        <v>0</v>
      </c>
      <c r="G32" s="49">
        <f>COUNTIFS(G2:G28,"--")</f>
        <v>0</v>
      </c>
      <c r="M32" s="49">
        <f>COUNTIFS(M2:M28,"--")</f>
        <v>0</v>
      </c>
      <c r="P32" s="49">
        <f>COUNTIFS(P2:P28,"--")</f>
        <v>0</v>
      </c>
      <c r="R32" s="49">
        <f>COUNTIFS(R2:R28,"--")</f>
        <v>0</v>
      </c>
      <c r="V32" s="49">
        <f>COUNTIFS(V2:V29,"--")</f>
        <v>0</v>
      </c>
      <c r="X32" s="49">
        <f>COUNTIFS(X2:X29,"--")</f>
        <v>0</v>
      </c>
      <c r="Z32" s="49">
        <f>COUNTIFS(Z2:Z29,"--")</f>
        <v>0</v>
      </c>
      <c r="AD32" s="49">
        <f>COUNTIFS(AD2:AD29,"--")</f>
        <v>0</v>
      </c>
      <c r="AH32" s="49">
        <f>COUNTIFS(AH2:AH29,"--")</f>
        <v>0</v>
      </c>
      <c r="AJ32" s="49">
        <f>COUNTIFS(AJ2:AJ29,"--")</f>
        <v>0</v>
      </c>
      <c r="AL32" s="49">
        <f>COUNTIFS(AL2:AL29,"--")</f>
        <v>0</v>
      </c>
      <c r="AO32" s="49">
        <f>COUNTIFS(AO2:AO28,"--")</f>
        <v>0</v>
      </c>
    </row>
  </sheetData>
  <conditionalFormatting sqref="AG2:AG28">
    <cfRule type="expression" dxfId="72" priority="37">
      <formula>AH2="nok"</formula>
    </cfRule>
    <cfRule type="expression" dxfId="71" priority="38">
      <formula>AH2="ok"</formula>
    </cfRule>
    <cfRule type="expression" dxfId="70" priority="39">
      <formula>AH2="--"</formula>
    </cfRule>
  </conditionalFormatting>
  <conditionalFormatting sqref="AI2:AI28">
    <cfRule type="expression" dxfId="69" priority="34">
      <formula>AJ2="nok"</formula>
    </cfRule>
    <cfRule type="expression" dxfId="68" priority="35">
      <formula>AJ2="ok"</formula>
    </cfRule>
    <cfRule type="expression" dxfId="67" priority="36">
      <formula>AJ2="--"</formula>
    </cfRule>
  </conditionalFormatting>
  <conditionalFormatting sqref="AK2:AK28">
    <cfRule type="expression" dxfId="66" priority="31">
      <formula>AL2="nok"</formula>
    </cfRule>
    <cfRule type="expression" dxfId="65" priority="32">
      <formula>AL2="ok"</formula>
    </cfRule>
    <cfRule type="expression" dxfId="64" priority="33">
      <formula>AL2="--"</formula>
    </cfRule>
  </conditionalFormatting>
  <conditionalFormatting sqref="D2:D28">
    <cfRule type="expression" dxfId="63" priority="28">
      <formula>E2="nok"</formula>
    </cfRule>
    <cfRule type="expression" dxfId="62" priority="29">
      <formula>E2="ok"</formula>
    </cfRule>
    <cfRule type="expression" dxfId="61" priority="30">
      <formula>E2="--"</formula>
    </cfRule>
  </conditionalFormatting>
  <conditionalFormatting sqref="F2:F28">
    <cfRule type="expression" dxfId="60" priority="25">
      <formula>G2="nok"</formula>
    </cfRule>
    <cfRule type="expression" dxfId="59" priority="26">
      <formula>G2="ok"</formula>
    </cfRule>
    <cfRule type="expression" dxfId="58" priority="27">
      <formula>G2="--"</formula>
    </cfRule>
  </conditionalFormatting>
  <conditionalFormatting sqref="L2:L28">
    <cfRule type="expression" dxfId="57" priority="22">
      <formula>M2="nok"</formula>
    </cfRule>
    <cfRule type="expression" dxfId="56" priority="23">
      <formula>M2="ok"</formula>
    </cfRule>
    <cfRule type="expression" dxfId="55" priority="24">
      <formula>M2="--"</formula>
    </cfRule>
  </conditionalFormatting>
  <conditionalFormatting sqref="O2:O28">
    <cfRule type="expression" dxfId="54" priority="19">
      <formula>P2="nok"</formula>
    </cfRule>
    <cfRule type="expression" dxfId="53" priority="20">
      <formula>P2="ok"</formula>
    </cfRule>
    <cfRule type="expression" dxfId="52" priority="21">
      <formula>P2="--"</formula>
    </cfRule>
  </conditionalFormatting>
  <conditionalFormatting sqref="Q2:Q28">
    <cfRule type="expression" dxfId="51" priority="16">
      <formula>R2="nok"</formula>
    </cfRule>
    <cfRule type="expression" dxfId="50" priority="17">
      <formula>R2="ok"</formula>
    </cfRule>
    <cfRule type="expression" dxfId="49" priority="18">
      <formula>R2="--"</formula>
    </cfRule>
  </conditionalFormatting>
  <conditionalFormatting sqref="U2:U28">
    <cfRule type="expression" dxfId="48" priority="13">
      <formula>V2="nok"</formula>
    </cfRule>
    <cfRule type="expression" dxfId="47" priority="14">
      <formula>V2="ok"</formula>
    </cfRule>
    <cfRule type="expression" dxfId="46" priority="15">
      <formula>V2="--"</formula>
    </cfRule>
  </conditionalFormatting>
  <conditionalFormatting sqref="W2:W28">
    <cfRule type="expression" dxfId="45" priority="10">
      <formula>X2="nok"</formula>
    </cfRule>
    <cfRule type="expression" dxfId="44" priority="11">
      <formula>X2="ok"</formula>
    </cfRule>
    <cfRule type="expression" dxfId="43" priority="12">
      <formula>X2="--"</formula>
    </cfRule>
  </conditionalFormatting>
  <conditionalFormatting sqref="AC2:AC28">
    <cfRule type="expression" dxfId="42" priority="7">
      <formula>AD2="nok"</formula>
    </cfRule>
    <cfRule type="expression" dxfId="41" priority="8">
      <formula>AD2="ok"</formula>
    </cfRule>
    <cfRule type="expression" dxfId="40" priority="9">
      <formula>AD2="--"</formula>
    </cfRule>
  </conditionalFormatting>
  <conditionalFormatting sqref="AN2:AN28">
    <cfRule type="expression" dxfId="39" priority="4">
      <formula>AO2="nok"</formula>
    </cfRule>
    <cfRule type="expression" dxfId="38" priority="5">
      <formula>AO2="ok"</formula>
    </cfRule>
    <cfRule type="expression" dxfId="37" priority="6">
      <formula>AO2="--"</formula>
    </cfRule>
  </conditionalFormatting>
  <conditionalFormatting sqref="Y2:Y28">
    <cfRule type="expression" dxfId="36" priority="1">
      <formula>Z2="nok"</formula>
    </cfRule>
    <cfRule type="expression" dxfId="35" priority="2">
      <formula>Z2="ok"</formula>
    </cfRule>
    <cfRule type="expression" dxfId="34" priority="3">
      <formula>Z2="--"</formula>
    </cfRule>
  </conditionalFormatting>
  <conditionalFormatting sqref="U30">
    <cfRule type="expression" dxfId="33" priority="40">
      <formula>V31="nok"</formula>
    </cfRule>
    <cfRule type="expression" dxfId="32" priority="41">
      <formula>V31="ok"</formula>
    </cfRule>
    <cfRule type="expression" dxfId="31" priority="42">
      <formula>V31="--"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FF0000"/>
  </sheetPr>
  <dimension ref="B2:P5"/>
  <sheetViews>
    <sheetView workbookViewId="0">
      <selection activeCell="P9" sqref="P9"/>
    </sheetView>
  </sheetViews>
  <sheetFormatPr baseColWidth="10" defaultRowHeight="15" x14ac:dyDescent="0.25"/>
  <cols>
    <col min="3" max="3" width="12" bestFit="1" customWidth="1"/>
  </cols>
  <sheetData>
    <row r="2" spans="2:16" x14ac:dyDescent="0.25">
      <c r="C2">
        <v>1</v>
      </c>
    </row>
    <row r="3" spans="2:16" ht="15.75" thickBot="1" x14ac:dyDescent="0.3"/>
    <row r="4" spans="2:16" x14ac:dyDescent="0.25">
      <c r="B4" s="100" t="s">
        <v>274</v>
      </c>
      <c r="C4" s="99">
        <v>0</v>
      </c>
      <c r="D4" s="40">
        <f t="shared" ref="D4:P4" si="0">C4+$C$2</f>
        <v>1</v>
      </c>
      <c r="E4" s="40">
        <f t="shared" si="0"/>
        <v>2</v>
      </c>
      <c r="F4" s="40">
        <f t="shared" si="0"/>
        <v>3</v>
      </c>
      <c r="G4" s="40">
        <f t="shared" si="0"/>
        <v>4</v>
      </c>
      <c r="H4" s="40">
        <f t="shared" si="0"/>
        <v>5</v>
      </c>
      <c r="I4" s="40">
        <f t="shared" si="0"/>
        <v>6</v>
      </c>
      <c r="J4" s="40">
        <f t="shared" si="0"/>
        <v>7</v>
      </c>
      <c r="K4" s="40">
        <f t="shared" si="0"/>
        <v>8</v>
      </c>
      <c r="L4" s="40">
        <f t="shared" si="0"/>
        <v>9</v>
      </c>
      <c r="M4" s="40">
        <f t="shared" si="0"/>
        <v>10</v>
      </c>
      <c r="N4" s="40">
        <f t="shared" si="0"/>
        <v>11</v>
      </c>
      <c r="O4" s="40">
        <f t="shared" si="0"/>
        <v>12</v>
      </c>
      <c r="P4" s="41">
        <f t="shared" si="0"/>
        <v>13</v>
      </c>
    </row>
    <row r="5" spans="2:16" ht="15.75" thickBot="1" x14ac:dyDescent="0.3">
      <c r="B5" s="98" t="s">
        <v>273</v>
      </c>
      <c r="C5" s="97">
        <f t="shared" ref="C5:P5" si="1">2^C4</f>
        <v>1</v>
      </c>
      <c r="D5" s="30">
        <f t="shared" si="1"/>
        <v>2</v>
      </c>
      <c r="E5" s="30">
        <f t="shared" si="1"/>
        <v>4</v>
      </c>
      <c r="F5" s="30">
        <f t="shared" si="1"/>
        <v>8</v>
      </c>
      <c r="G5" s="30">
        <f t="shared" si="1"/>
        <v>16</v>
      </c>
      <c r="H5" s="30">
        <f t="shared" si="1"/>
        <v>32</v>
      </c>
      <c r="I5" s="30">
        <f t="shared" si="1"/>
        <v>64</v>
      </c>
      <c r="J5" s="30">
        <f t="shared" si="1"/>
        <v>128</v>
      </c>
      <c r="K5" s="30">
        <f t="shared" si="1"/>
        <v>256</v>
      </c>
      <c r="L5" s="30">
        <f t="shared" si="1"/>
        <v>512</v>
      </c>
      <c r="M5" s="30">
        <f t="shared" si="1"/>
        <v>1024</v>
      </c>
      <c r="N5" s="30">
        <f t="shared" si="1"/>
        <v>2048</v>
      </c>
      <c r="O5" s="30">
        <f t="shared" si="1"/>
        <v>4096</v>
      </c>
      <c r="P5" s="31">
        <f t="shared" si="1"/>
        <v>8192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rgb="FFFF0000"/>
  </sheetPr>
  <dimension ref="B2:W5"/>
  <sheetViews>
    <sheetView workbookViewId="0">
      <selection activeCell="C3" sqref="C3"/>
    </sheetView>
  </sheetViews>
  <sheetFormatPr baseColWidth="10" defaultRowHeight="15" x14ac:dyDescent="0.25"/>
  <cols>
    <col min="2" max="2" width="18.42578125" customWidth="1"/>
  </cols>
  <sheetData>
    <row r="2" spans="2:23" ht="15.75" thickBot="1" x14ac:dyDescent="0.3"/>
    <row r="3" spans="2:23" ht="15.75" thickBot="1" x14ac:dyDescent="0.3">
      <c r="B3" s="94" t="s">
        <v>274</v>
      </c>
      <c r="C3" s="92">
        <v>-5</v>
      </c>
      <c r="D3" s="34">
        <f t="shared" ref="D3:W3" si="0">C3+1</f>
        <v>-4</v>
      </c>
      <c r="E3" s="34">
        <f t="shared" si="0"/>
        <v>-3</v>
      </c>
      <c r="F3" s="34">
        <f t="shared" si="0"/>
        <v>-2</v>
      </c>
      <c r="G3" s="34">
        <f t="shared" si="0"/>
        <v>-1</v>
      </c>
      <c r="H3" s="34">
        <f t="shared" si="0"/>
        <v>0</v>
      </c>
      <c r="I3" s="34">
        <f t="shared" si="0"/>
        <v>1</v>
      </c>
      <c r="J3" s="34">
        <f t="shared" si="0"/>
        <v>2</v>
      </c>
      <c r="K3" s="34">
        <f t="shared" si="0"/>
        <v>3</v>
      </c>
      <c r="L3" s="34">
        <f t="shared" si="0"/>
        <v>4</v>
      </c>
      <c r="M3" s="34">
        <f t="shared" si="0"/>
        <v>5</v>
      </c>
      <c r="N3" s="34">
        <f t="shared" si="0"/>
        <v>6</v>
      </c>
      <c r="O3" s="34">
        <f t="shared" si="0"/>
        <v>7</v>
      </c>
      <c r="P3" s="34">
        <f t="shared" si="0"/>
        <v>8</v>
      </c>
      <c r="Q3" s="34">
        <f t="shared" si="0"/>
        <v>9</v>
      </c>
      <c r="R3" s="34">
        <f t="shared" si="0"/>
        <v>10</v>
      </c>
      <c r="S3" s="34">
        <f t="shared" si="0"/>
        <v>11</v>
      </c>
      <c r="T3" s="34">
        <f t="shared" si="0"/>
        <v>12</v>
      </c>
      <c r="U3" s="34">
        <f t="shared" si="0"/>
        <v>13</v>
      </c>
      <c r="V3" s="34">
        <f t="shared" si="0"/>
        <v>14</v>
      </c>
      <c r="W3" s="34">
        <f t="shared" si="0"/>
        <v>15</v>
      </c>
    </row>
    <row r="4" spans="2:23" x14ac:dyDescent="0.25">
      <c r="B4" s="102" t="s">
        <v>276</v>
      </c>
      <c r="C4" s="46">
        <f t="shared" ref="C4:W4" si="1">0.5*C3^2 - 3*C3-5</f>
        <v>22.5</v>
      </c>
      <c r="D4" s="46">
        <f t="shared" si="1"/>
        <v>15</v>
      </c>
      <c r="E4" s="46">
        <f t="shared" si="1"/>
        <v>8.5</v>
      </c>
      <c r="F4" s="46">
        <f t="shared" si="1"/>
        <v>3</v>
      </c>
      <c r="G4" s="46">
        <f t="shared" si="1"/>
        <v>-1.5</v>
      </c>
      <c r="H4" s="46">
        <f t="shared" si="1"/>
        <v>-5</v>
      </c>
      <c r="I4" s="46">
        <f t="shared" si="1"/>
        <v>-7.5</v>
      </c>
      <c r="J4" s="46">
        <f t="shared" si="1"/>
        <v>-9</v>
      </c>
      <c r="K4" s="46">
        <f t="shared" si="1"/>
        <v>-9.5</v>
      </c>
      <c r="L4" s="46">
        <f t="shared" si="1"/>
        <v>-9</v>
      </c>
      <c r="M4" s="46">
        <f t="shared" si="1"/>
        <v>-7.5</v>
      </c>
      <c r="N4" s="46">
        <f t="shared" si="1"/>
        <v>-5</v>
      </c>
      <c r="O4" s="46">
        <f t="shared" si="1"/>
        <v>-1.5</v>
      </c>
      <c r="P4" s="46">
        <f t="shared" si="1"/>
        <v>3</v>
      </c>
      <c r="Q4" s="46">
        <f t="shared" si="1"/>
        <v>8.5</v>
      </c>
      <c r="R4" s="46">
        <f t="shared" si="1"/>
        <v>15</v>
      </c>
      <c r="S4" s="46">
        <f t="shared" si="1"/>
        <v>22.5</v>
      </c>
      <c r="T4" s="46">
        <f t="shared" si="1"/>
        <v>31</v>
      </c>
      <c r="U4" s="46">
        <f t="shared" si="1"/>
        <v>40.5</v>
      </c>
      <c r="V4" s="46">
        <f t="shared" si="1"/>
        <v>51</v>
      </c>
      <c r="W4" s="46">
        <f t="shared" si="1"/>
        <v>62.5</v>
      </c>
    </row>
    <row r="5" spans="2:23" ht="15.75" thickBot="1" x14ac:dyDescent="0.3">
      <c r="B5" s="101" t="s">
        <v>275</v>
      </c>
      <c r="C5" s="97">
        <f t="shared" ref="C5:W5" si="2">C3^2 - 10*C3 - 8</f>
        <v>67</v>
      </c>
      <c r="D5" s="30">
        <f t="shared" si="2"/>
        <v>48</v>
      </c>
      <c r="E5" s="30">
        <f t="shared" si="2"/>
        <v>31</v>
      </c>
      <c r="F5" s="30">
        <f t="shared" si="2"/>
        <v>16</v>
      </c>
      <c r="G5" s="30">
        <f t="shared" si="2"/>
        <v>3</v>
      </c>
      <c r="H5" s="30">
        <f t="shared" si="2"/>
        <v>-8</v>
      </c>
      <c r="I5" s="30">
        <f t="shared" si="2"/>
        <v>-17</v>
      </c>
      <c r="J5" s="30">
        <f t="shared" si="2"/>
        <v>-24</v>
      </c>
      <c r="K5" s="30">
        <f t="shared" si="2"/>
        <v>-29</v>
      </c>
      <c r="L5" s="30">
        <f t="shared" si="2"/>
        <v>-32</v>
      </c>
      <c r="M5" s="30">
        <f t="shared" si="2"/>
        <v>-33</v>
      </c>
      <c r="N5" s="30">
        <f t="shared" si="2"/>
        <v>-32</v>
      </c>
      <c r="O5" s="30">
        <f t="shared" si="2"/>
        <v>-29</v>
      </c>
      <c r="P5" s="30">
        <f t="shared" si="2"/>
        <v>-24</v>
      </c>
      <c r="Q5" s="30">
        <f t="shared" si="2"/>
        <v>-17</v>
      </c>
      <c r="R5" s="30">
        <f t="shared" si="2"/>
        <v>-8</v>
      </c>
      <c r="S5" s="30">
        <f t="shared" si="2"/>
        <v>3</v>
      </c>
      <c r="T5" s="30">
        <f t="shared" si="2"/>
        <v>16</v>
      </c>
      <c r="U5" s="30">
        <f t="shared" si="2"/>
        <v>31</v>
      </c>
      <c r="V5" s="30">
        <f t="shared" si="2"/>
        <v>48</v>
      </c>
      <c r="W5" s="31">
        <f t="shared" si="2"/>
        <v>67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rgb="FFFF0000"/>
  </sheetPr>
  <dimension ref="A1"/>
  <sheetViews>
    <sheetView tabSelected="1" workbookViewId="0">
      <selection activeCell="K32" sqref="K32"/>
    </sheetView>
  </sheetViews>
  <sheetFormatPr baseColWidth="10" defaultRowHeight="15" x14ac:dyDescent="0.25"/>
  <sheetData>
    <row r="1" spans="1:1" x14ac:dyDescent="0.25">
      <c r="A1" s="103" t="s">
        <v>277</v>
      </c>
    </row>
  </sheetData>
  <hyperlinks>
    <hyperlink ref="A1" r:id="rId1"/>
  </hyperlink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tabColor rgb="FFFF0000"/>
    <pageSetUpPr fitToPage="1"/>
  </sheetPr>
  <dimension ref="B1:J92"/>
  <sheetViews>
    <sheetView zoomScale="85" zoomScaleNormal="85" workbookViewId="0">
      <selection activeCell="E2" sqref="E2:H11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6" width="16.140625" customWidth="1"/>
    <col min="7" max="7" width="3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x14ac:dyDescent="0.25">
      <c r="E2" s="7"/>
      <c r="F2" s="8"/>
      <c r="G2" s="8"/>
      <c r="H2" s="9"/>
    </row>
    <row r="3" spans="2:10" x14ac:dyDescent="0.25">
      <c r="E3" s="13" t="s">
        <v>17</v>
      </c>
      <c r="F3" s="11"/>
      <c r="G3" s="11"/>
      <c r="H3" s="12"/>
      <c r="J3" s="20"/>
    </row>
    <row r="4" spans="2:10" ht="23.25" x14ac:dyDescent="0.35">
      <c r="B4" s="1" t="s">
        <v>107</v>
      </c>
      <c r="E4" s="10"/>
      <c r="F4" s="14" t="s">
        <v>15</v>
      </c>
      <c r="G4" s="15">
        <f>COUNTIF(H34:I72,"=ok")</f>
        <v>30</v>
      </c>
      <c r="H4" s="12"/>
    </row>
    <row r="5" spans="2:10" x14ac:dyDescent="0.25">
      <c r="E5" s="10"/>
      <c r="F5" s="14" t="s">
        <v>16</v>
      </c>
      <c r="G5" s="15">
        <f>COUNTIF(H34:I72,"=Not ok")</f>
        <v>0</v>
      </c>
      <c r="H5" s="12"/>
    </row>
    <row r="6" spans="2:10" x14ac:dyDescent="0.25">
      <c r="E6" s="10"/>
      <c r="F6" s="11"/>
      <c r="G6" s="11"/>
      <c r="H6" s="12"/>
    </row>
    <row r="7" spans="2:10" x14ac:dyDescent="0.25">
      <c r="E7" s="10"/>
      <c r="F7" s="19" t="s">
        <v>18</v>
      </c>
      <c r="G7" s="15">
        <f>IF(G4+G5&gt;0,ROUNDDOWN(((5*G4)/(G4+G5))+1,1),"Not defined")</f>
        <v>6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6"/>
      <c r="F11" s="17"/>
      <c r="G11" s="17"/>
      <c r="H11" s="18"/>
    </row>
    <row r="12" spans="2:10" x14ac:dyDescent="0.25">
      <c r="E12" s="47"/>
      <c r="F12" s="47"/>
      <c r="G12" s="47"/>
      <c r="H12" s="47"/>
    </row>
    <row r="13" spans="2:10" x14ac:dyDescent="0.25">
      <c r="E13" s="47"/>
      <c r="F13" s="47"/>
      <c r="G13" s="47"/>
      <c r="H13" s="47"/>
    </row>
    <row r="14" spans="2:10" x14ac:dyDescent="0.25">
      <c r="E14" s="47"/>
      <c r="F14" s="47"/>
      <c r="G14" s="47"/>
      <c r="H14" s="47"/>
    </row>
    <row r="15" spans="2:10" x14ac:dyDescent="0.25">
      <c r="E15" s="47"/>
      <c r="F15" s="47"/>
      <c r="G15" s="47"/>
      <c r="H15" s="47"/>
    </row>
    <row r="16" spans="2:10" x14ac:dyDescent="0.25">
      <c r="E16" s="47"/>
      <c r="F16" s="47"/>
      <c r="G16" s="47"/>
      <c r="H16" s="47"/>
    </row>
    <row r="17" spans="5:8" x14ac:dyDescent="0.25">
      <c r="E17" s="47"/>
      <c r="F17" s="47"/>
      <c r="G17" s="47"/>
      <c r="H17" s="47"/>
    </row>
    <row r="18" spans="5:8" x14ac:dyDescent="0.25">
      <c r="E18" s="47"/>
      <c r="F18" s="47"/>
      <c r="G18" s="47"/>
      <c r="H18" s="47"/>
    </row>
    <row r="19" spans="5:8" x14ac:dyDescent="0.25">
      <c r="E19" s="47"/>
      <c r="F19" s="47"/>
      <c r="G19" s="47"/>
      <c r="H19" s="47"/>
    </row>
    <row r="20" spans="5:8" x14ac:dyDescent="0.25">
      <c r="E20" s="47"/>
      <c r="F20" s="47"/>
      <c r="G20" s="47"/>
      <c r="H20" s="47"/>
    </row>
    <row r="21" spans="5:8" x14ac:dyDescent="0.25">
      <c r="E21" s="47"/>
      <c r="F21" s="47"/>
      <c r="G21" s="47"/>
      <c r="H21" s="47"/>
    </row>
    <row r="22" spans="5:8" x14ac:dyDescent="0.25">
      <c r="E22" s="47"/>
      <c r="F22" s="47"/>
      <c r="G22" s="47"/>
      <c r="H22" s="47"/>
    </row>
    <row r="23" spans="5:8" x14ac:dyDescent="0.25">
      <c r="E23" s="47"/>
      <c r="F23" s="47"/>
      <c r="G23" s="47"/>
      <c r="H23" s="47"/>
    </row>
    <row r="24" spans="5:8" x14ac:dyDescent="0.25">
      <c r="E24" s="47"/>
      <c r="F24" s="47"/>
      <c r="G24" s="47"/>
      <c r="H24" s="47"/>
    </row>
    <row r="25" spans="5:8" x14ac:dyDescent="0.25">
      <c r="E25" s="47"/>
      <c r="F25" s="47"/>
      <c r="G25" s="47"/>
      <c r="H25" s="47"/>
    </row>
    <row r="26" spans="5:8" x14ac:dyDescent="0.25">
      <c r="E26" s="47"/>
      <c r="F26" s="47"/>
      <c r="G26" s="47"/>
      <c r="H26" s="47"/>
    </row>
    <row r="27" spans="5:8" x14ac:dyDescent="0.25">
      <c r="E27" s="47"/>
      <c r="F27" s="47"/>
      <c r="G27" s="47"/>
      <c r="H27" s="47"/>
    </row>
    <row r="28" spans="5:8" x14ac:dyDescent="0.25">
      <c r="E28" s="47"/>
      <c r="F28" s="47"/>
      <c r="G28" s="47"/>
      <c r="H28" s="47"/>
    </row>
    <row r="29" spans="5:8" x14ac:dyDescent="0.25">
      <c r="E29" s="47"/>
      <c r="F29" s="47"/>
      <c r="G29" s="47"/>
      <c r="H29" s="47"/>
    </row>
    <row r="30" spans="5:8" x14ac:dyDescent="0.25">
      <c r="E30" s="47"/>
      <c r="F30" s="47"/>
      <c r="G30" s="47"/>
      <c r="H30" s="47"/>
    </row>
    <row r="31" spans="5:8" x14ac:dyDescent="0.25">
      <c r="E31" s="47"/>
      <c r="F31" s="47"/>
      <c r="G31" s="47"/>
      <c r="H31" s="47"/>
    </row>
    <row r="32" spans="5:8" x14ac:dyDescent="0.25">
      <c r="E32" s="47"/>
      <c r="F32" s="47"/>
      <c r="G32" s="47"/>
      <c r="H32" s="47"/>
    </row>
    <row r="34" spans="2:9" x14ac:dyDescent="0.25">
      <c r="B34" s="2" t="s">
        <v>5</v>
      </c>
      <c r="C34" s="2" t="s">
        <v>3</v>
      </c>
      <c r="D34" s="24" t="s">
        <v>21</v>
      </c>
      <c r="E34" s="24"/>
      <c r="F34" s="24"/>
      <c r="G34" s="22" t="s">
        <v>12</v>
      </c>
      <c r="H34" s="3" t="s">
        <v>7</v>
      </c>
      <c r="I34" s="3" t="s">
        <v>13</v>
      </c>
    </row>
    <row r="35" spans="2:9" x14ac:dyDescent="0.25">
      <c r="B35" s="4" t="s">
        <v>1</v>
      </c>
      <c r="C35" s="5" t="str">
        <f>Hello()</f>
        <v>Hallo BZU</v>
      </c>
      <c r="D35" s="25"/>
      <c r="E35" s="25"/>
      <c r="F35" s="25"/>
      <c r="G35" s="21" t="str">
        <f>IF(D35="","Hallo BZU",CONCATENATE("Hallo ",D35,"!"))</f>
        <v>Hallo BZU</v>
      </c>
      <c r="H35" s="6" t="str">
        <f>IF(G35=C35,"ok","Not ok")</f>
        <v>ok</v>
      </c>
      <c r="I35" s="4" t="b">
        <f>IF(C35=L_Hello(D35),TRUE,FALSE)</f>
        <v>1</v>
      </c>
    </row>
    <row r="36" spans="2:9" x14ac:dyDescent="0.25">
      <c r="B36" s="4"/>
      <c r="C36" s="5" t="str">
        <f>Hello(D36)</f>
        <v>Hallo Walti!</v>
      </c>
      <c r="D36" s="25" t="s">
        <v>2</v>
      </c>
      <c r="E36" s="25"/>
      <c r="F36" s="25"/>
      <c r="G36" s="21" t="str">
        <f t="shared" ref="G36:G38" si="0">IF(D36="","Hallo BZU",CONCATENATE("Hallo ",D36,"!"))</f>
        <v>Hallo Walti!</v>
      </c>
      <c r="H36" s="6" t="str">
        <f>IF(G36=C36,"ok","Not ok")</f>
        <v>ok</v>
      </c>
      <c r="I36" s="4" t="b">
        <f>IF(C36=L_Hello(D36),TRUE,FALSE)</f>
        <v>1</v>
      </c>
    </row>
    <row r="37" spans="2:9" x14ac:dyDescent="0.25">
      <c r="B37" s="4"/>
      <c r="C37" s="5" t="str">
        <f>Hello(D37)</f>
        <v>Hallo Fritz!</v>
      </c>
      <c r="D37" s="25" t="s">
        <v>8</v>
      </c>
      <c r="E37" s="25"/>
      <c r="F37" s="25"/>
      <c r="G37" s="21" t="str">
        <f t="shared" si="0"/>
        <v>Hallo Fritz!</v>
      </c>
      <c r="H37" s="6" t="str">
        <f>IF(G37=C37,"ok","Not ok")</f>
        <v>ok</v>
      </c>
      <c r="I37" s="4" t="b">
        <f>IF(C37=L_Hello(D37),TRUE,FALSE)</f>
        <v>1</v>
      </c>
    </row>
    <row r="38" spans="2:9" x14ac:dyDescent="0.25">
      <c r="B38" s="4"/>
      <c r="C38" s="5" t="str">
        <f t="shared" ref="C38" si="1">Hello(D38)</f>
        <v>Hallo Max und Moritz!</v>
      </c>
      <c r="D38" s="25" t="s">
        <v>9</v>
      </c>
      <c r="E38" s="25"/>
      <c r="F38" s="25"/>
      <c r="G38" s="21" t="str">
        <f t="shared" si="0"/>
        <v>Hallo Max und Moritz!</v>
      </c>
      <c r="H38" s="6" t="str">
        <f t="shared" ref="H38" si="2">IF(G38=C38,"ok","Not ok")</f>
        <v>ok</v>
      </c>
      <c r="I38" s="4" t="b">
        <f>IF(C38=L_Hello(D38),TRUE,FALSE)</f>
        <v>1</v>
      </c>
    </row>
    <row r="39" spans="2:9" x14ac:dyDescent="0.25">
      <c r="D39" s="26"/>
      <c r="E39" s="26"/>
      <c r="F39" s="26"/>
      <c r="G39" s="23"/>
    </row>
    <row r="40" spans="2:9" x14ac:dyDescent="0.25">
      <c r="B40" s="2" t="s">
        <v>5</v>
      </c>
      <c r="C40" s="2" t="s">
        <v>3</v>
      </c>
      <c r="D40" s="24" t="s">
        <v>22</v>
      </c>
      <c r="E40" s="24" t="s">
        <v>23</v>
      </c>
      <c r="F40" s="24"/>
      <c r="G40" s="22" t="s">
        <v>12</v>
      </c>
      <c r="H40" s="3" t="s">
        <v>7</v>
      </c>
      <c r="I40" s="3" t="s">
        <v>13</v>
      </c>
    </row>
    <row r="41" spans="2:9" x14ac:dyDescent="0.25">
      <c r="B41" s="4" t="s">
        <v>6</v>
      </c>
      <c r="C41" s="5">
        <f>GetCylinderVolume(D41,E41)</f>
        <v>0.78537500000000005</v>
      </c>
      <c r="D41" s="25">
        <v>1</v>
      </c>
      <c r="E41" s="25">
        <v>1</v>
      </c>
      <c r="F41" s="25"/>
      <c r="G41" s="21">
        <v>0.78537000000000001</v>
      </c>
      <c r="H41" s="6" t="str">
        <f>IF(EqualsWithinTolerance(G41,C41,1),"ok","Not ok")</f>
        <v>ok</v>
      </c>
      <c r="I41" s="4" t="b">
        <f>IF(C41=L_GetCylinderVolume(D41,E41),TRUE,FALSE)</f>
        <v>1</v>
      </c>
    </row>
    <row r="42" spans="2:9" x14ac:dyDescent="0.25">
      <c r="B42" s="4"/>
      <c r="C42" s="5">
        <f t="shared" ref="C42:C45" si="3">GetCylinderVolume(D42,E42)</f>
        <v>10.404648</v>
      </c>
      <c r="D42" s="25">
        <v>2.4</v>
      </c>
      <c r="E42" s="25">
        <v>2.2999999999999998</v>
      </c>
      <c r="F42" s="25"/>
      <c r="G42" s="21">
        <v>10.4</v>
      </c>
      <c r="H42" s="6" t="str">
        <f t="shared" ref="H42:H47" si="4">IF(EqualsWithinTolerance(G42,C42),"ok","Not ok")</f>
        <v>ok</v>
      </c>
      <c r="I42" s="4" t="b">
        <f>IF(C42=L_GetCylinderVolume(D42,E42),TRUE,FALSE)</f>
        <v>1</v>
      </c>
    </row>
    <row r="43" spans="2:9" x14ac:dyDescent="0.25">
      <c r="B43" s="4"/>
      <c r="C43" s="5">
        <f t="shared" si="3"/>
        <v>10.052800000000001</v>
      </c>
      <c r="D43" s="25">
        <v>2</v>
      </c>
      <c r="E43" s="25">
        <v>3.2</v>
      </c>
      <c r="F43" s="25"/>
      <c r="G43" s="21">
        <v>10.050000000000001</v>
      </c>
      <c r="H43" s="6" t="str">
        <f t="shared" si="4"/>
        <v>ok</v>
      </c>
      <c r="I43" s="4" t="b">
        <f>IF(C43=L_GetCylinderVolume(D43,E43),TRUE,FALSE)</f>
        <v>1</v>
      </c>
    </row>
    <row r="44" spans="2:9" x14ac:dyDescent="0.25">
      <c r="B44" s="4"/>
      <c r="C44" s="5">
        <f t="shared" si="3"/>
        <v>18.157869999999999</v>
      </c>
      <c r="D44" s="25">
        <v>3.4</v>
      </c>
      <c r="E44" s="25">
        <v>2</v>
      </c>
      <c r="F44" s="25"/>
      <c r="G44" s="21">
        <v>18.100000000000001</v>
      </c>
      <c r="H44" s="6" t="str">
        <f t="shared" si="4"/>
        <v>ok</v>
      </c>
      <c r="I44" s="4" t="b">
        <f>IF(C44=L_GetCylinderVolume(D44,E44),TRUE,FALSE)</f>
        <v>1</v>
      </c>
    </row>
    <row r="45" spans="2:9" x14ac:dyDescent="0.25">
      <c r="B45" s="4"/>
      <c r="C45" s="5">
        <f t="shared" si="3"/>
        <v>0</v>
      </c>
      <c r="D45" s="25">
        <v>-5.2</v>
      </c>
      <c r="E45" s="25">
        <v>-1</v>
      </c>
      <c r="F45" s="25"/>
      <c r="G45" s="21">
        <v>0</v>
      </c>
      <c r="H45" s="6" t="str">
        <f>IF(EqualsWithinTolerance(G45,C45),"ok","Not ok")</f>
        <v>ok</v>
      </c>
      <c r="I45" s="4" t="b">
        <f>IF(C45=L_GetCylinderVolume(D45,E45),TRUE,FALSE)</f>
        <v>1</v>
      </c>
    </row>
    <row r="46" spans="2:9" x14ac:dyDescent="0.25">
      <c r="B46" s="4"/>
      <c r="C46" s="5">
        <f t="shared" ref="C46:C47" si="5">GetCylinderVolume(D46,E46)</f>
        <v>0</v>
      </c>
      <c r="D46" s="25">
        <v>12.4</v>
      </c>
      <c r="E46" s="25">
        <v>-9.3000000000000007</v>
      </c>
      <c r="F46" s="25"/>
      <c r="G46" s="21">
        <v>0</v>
      </c>
      <c r="H46" s="6" t="str">
        <f t="shared" si="4"/>
        <v>ok</v>
      </c>
      <c r="I46" s="4" t="b">
        <f>IF(C46=L_GetCylinderVolume(D46,E46),TRUE,FALSE)</f>
        <v>1</v>
      </c>
    </row>
    <row r="47" spans="2:9" x14ac:dyDescent="0.25">
      <c r="B47" s="4"/>
      <c r="C47" s="5">
        <f t="shared" si="5"/>
        <v>0</v>
      </c>
      <c r="D47" s="25">
        <v>-15.45</v>
      </c>
      <c r="E47" s="25">
        <v>5.4</v>
      </c>
      <c r="F47" s="25"/>
      <c r="G47" s="21">
        <v>0</v>
      </c>
      <c r="H47" s="6" t="str">
        <f t="shared" si="4"/>
        <v>ok</v>
      </c>
      <c r="I47" s="4" t="b">
        <f>IF(C47=L_GetCylinderVolume(D47,E47),TRUE,FALSE)</f>
        <v>1</v>
      </c>
    </row>
    <row r="48" spans="2:9" x14ac:dyDescent="0.25">
      <c r="D48" s="26"/>
      <c r="E48" s="26"/>
      <c r="F48" s="26"/>
      <c r="G48" s="23"/>
    </row>
    <row r="49" spans="2:9" x14ac:dyDescent="0.25">
      <c r="B49" s="2" t="s">
        <v>5</v>
      </c>
      <c r="C49" s="2" t="s">
        <v>3</v>
      </c>
      <c r="D49" s="24" t="s">
        <v>24</v>
      </c>
      <c r="E49" s="24" t="s">
        <v>25</v>
      </c>
      <c r="F49" s="24"/>
      <c r="G49" s="22" t="s">
        <v>12</v>
      </c>
      <c r="H49" s="3" t="s">
        <v>7</v>
      </c>
      <c r="I49" s="3" t="s">
        <v>13</v>
      </c>
    </row>
    <row r="50" spans="2:9" x14ac:dyDescent="0.25">
      <c r="B50" s="4" t="s">
        <v>19</v>
      </c>
      <c r="C50" s="5" t="str">
        <f>GetAnrede(D50,E50)</f>
        <v>O. Schlosser</v>
      </c>
      <c r="D50" s="25" t="s">
        <v>10</v>
      </c>
      <c r="E50" s="25" t="s">
        <v>11</v>
      </c>
      <c r="F50" s="25"/>
      <c r="G50" s="21" t="s">
        <v>14</v>
      </c>
      <c r="H50" s="6" t="str">
        <f>IF(EXACT(G50,C50),"ok","Not ok")</f>
        <v>ok</v>
      </c>
      <c r="I50" s="4" t="b">
        <f>IF(C50=L_GetAnrede(D50,E50),TRUE,FALSE)</f>
        <v>1</v>
      </c>
    </row>
    <row r="51" spans="2:9" x14ac:dyDescent="0.25">
      <c r="B51" s="4"/>
      <c r="C51" s="5" t="str">
        <f>GetAnrede(D51,E51)</f>
        <v>S. Goeldin</v>
      </c>
      <c r="D51" s="25" t="s">
        <v>94</v>
      </c>
      <c r="E51" s="25" t="s">
        <v>98</v>
      </c>
      <c r="F51" s="25"/>
      <c r="G51" s="21" t="s">
        <v>100</v>
      </c>
      <c r="H51" s="6" t="str">
        <f t="shared" ref="H51:H53" si="6">IF(EXACT(G51,C51),"ok","Not ok")</f>
        <v>ok</v>
      </c>
      <c r="I51" s="4" t="b">
        <f>IF(C51=L_GetAnrede(D51,E51),TRUE,FALSE)</f>
        <v>1</v>
      </c>
    </row>
    <row r="52" spans="2:9" x14ac:dyDescent="0.25">
      <c r="B52" s="4"/>
      <c r="C52" s="5" t="str">
        <f t="shared" ref="C52:C53" si="7">GetAnrede(D52,E52)</f>
        <v>M. Landolt</v>
      </c>
      <c r="D52" s="25" t="s">
        <v>99</v>
      </c>
      <c r="E52" s="25" t="s">
        <v>95</v>
      </c>
      <c r="F52" s="25"/>
      <c r="G52" s="21" t="s">
        <v>101</v>
      </c>
      <c r="H52" s="6" t="str">
        <f t="shared" si="6"/>
        <v>ok</v>
      </c>
      <c r="I52" s="4" t="b">
        <f>IF(C52=L_GetAnrede(D52,E52),TRUE,FALSE)</f>
        <v>1</v>
      </c>
    </row>
    <row r="53" spans="2:9" x14ac:dyDescent="0.25">
      <c r="B53" s="4"/>
      <c r="C53" s="5" t="str">
        <f t="shared" si="7"/>
        <v>F. Loretan</v>
      </c>
      <c r="D53" s="25" t="s">
        <v>97</v>
      </c>
      <c r="E53" s="25" t="s">
        <v>96</v>
      </c>
      <c r="F53" s="25"/>
      <c r="G53" s="21" t="s">
        <v>102</v>
      </c>
      <c r="H53" s="6" t="str">
        <f t="shared" si="6"/>
        <v>ok</v>
      </c>
      <c r="I53" s="4" t="b">
        <f>IF(C53=L_GetAnrede(D53,E53),TRUE,FALSE)</f>
        <v>1</v>
      </c>
    </row>
    <row r="54" spans="2:9" x14ac:dyDescent="0.25">
      <c r="D54" s="26"/>
      <c r="E54" s="26"/>
      <c r="F54" s="26"/>
      <c r="G54" s="23"/>
    </row>
    <row r="55" spans="2:9" x14ac:dyDescent="0.25">
      <c r="B55" s="2" t="s">
        <v>5</v>
      </c>
      <c r="C55" s="2" t="s">
        <v>3</v>
      </c>
      <c r="D55" s="24" t="s">
        <v>26</v>
      </c>
      <c r="E55" s="24" t="s">
        <v>27</v>
      </c>
      <c r="F55" s="24"/>
      <c r="G55" s="22" t="s">
        <v>12</v>
      </c>
      <c r="H55" s="3" t="s">
        <v>7</v>
      </c>
      <c r="I55" s="3" t="s">
        <v>13</v>
      </c>
    </row>
    <row r="56" spans="2:9" x14ac:dyDescent="0.25">
      <c r="B56" s="4" t="s">
        <v>20</v>
      </c>
      <c r="C56" s="5">
        <f>AddFigureRange(D56,E56)</f>
        <v>5050</v>
      </c>
      <c r="D56" s="25">
        <v>0</v>
      </c>
      <c r="E56" s="25">
        <v>100</v>
      </c>
      <c r="F56" s="25"/>
      <c r="G56" s="21">
        <v>5050</v>
      </c>
      <c r="H56" s="6" t="str">
        <f t="shared" ref="H56:H62" si="8">IF(G56=C56,"ok","Not ok")</f>
        <v>ok</v>
      </c>
      <c r="I56" s="4" t="b">
        <f>IF(C56=L_AddFigureRange(D56,E56),TRUE,FALSE)</f>
        <v>1</v>
      </c>
    </row>
    <row r="57" spans="2:9" x14ac:dyDescent="0.25">
      <c r="B57" s="4"/>
      <c r="C57" s="5">
        <f t="shared" ref="C57:C62" si="9">AddFigureRange(D57,E57)</f>
        <v>3825</v>
      </c>
      <c r="D57" s="25">
        <v>50</v>
      </c>
      <c r="E57" s="25">
        <v>100</v>
      </c>
      <c r="F57" s="25"/>
      <c r="G57" s="21">
        <v>3825</v>
      </c>
      <c r="H57" s="6" t="str">
        <f t="shared" si="8"/>
        <v>ok</v>
      </c>
      <c r="I57" s="4" t="b">
        <f>IF(C57=L_AddFigureRange(D57,E57),TRUE,FALSE)</f>
        <v>1</v>
      </c>
    </row>
    <row r="58" spans="2:9" x14ac:dyDescent="0.25">
      <c r="B58" s="4"/>
      <c r="C58" s="5">
        <f t="shared" si="9"/>
        <v>1275</v>
      </c>
      <c r="D58" s="25">
        <v>0</v>
      </c>
      <c r="E58" s="25">
        <v>50</v>
      </c>
      <c r="F58" s="25"/>
      <c r="G58" s="21">
        <v>1275</v>
      </c>
      <c r="H58" s="6" t="str">
        <f t="shared" si="8"/>
        <v>ok</v>
      </c>
      <c r="I58" s="4" t="b">
        <f>IF(C58=L_AddFigureRange(D58,E58),TRUE,FALSE)</f>
        <v>1</v>
      </c>
    </row>
    <row r="59" spans="2:9" x14ac:dyDescent="0.25">
      <c r="B59" s="4"/>
      <c r="C59" s="5">
        <f t="shared" si="9"/>
        <v>22</v>
      </c>
      <c r="D59" s="25">
        <v>4</v>
      </c>
      <c r="E59" s="25">
        <v>7</v>
      </c>
      <c r="F59" s="25"/>
      <c r="G59" s="21">
        <v>22</v>
      </c>
      <c r="H59" s="6" t="str">
        <f t="shared" si="8"/>
        <v>ok</v>
      </c>
      <c r="I59" s="4" t="b">
        <f>IF(C59=L_AddFigureRange(D59,E59),TRUE,FALSE)</f>
        <v>1</v>
      </c>
    </row>
    <row r="60" spans="2:9" x14ac:dyDescent="0.25">
      <c r="B60" s="4"/>
      <c r="C60" s="5">
        <f t="shared" si="9"/>
        <v>5049</v>
      </c>
      <c r="D60" s="25">
        <v>-1</v>
      </c>
      <c r="E60" s="25">
        <v>100</v>
      </c>
      <c r="F60" s="25"/>
      <c r="G60" s="21">
        <v>5049</v>
      </c>
      <c r="H60" s="6" t="str">
        <f t="shared" si="8"/>
        <v>ok</v>
      </c>
      <c r="I60" s="4" t="b">
        <f>IF(C60=L_AddFigureRange(D60,E60),TRUE,FALSE)</f>
        <v>1</v>
      </c>
    </row>
    <row r="61" spans="2:9" x14ac:dyDescent="0.25">
      <c r="B61" s="4"/>
      <c r="C61" s="5">
        <f t="shared" si="9"/>
        <v>5050</v>
      </c>
      <c r="D61" s="25">
        <v>0</v>
      </c>
      <c r="E61" s="25">
        <v>100</v>
      </c>
      <c r="F61" s="25"/>
      <c r="G61" s="21">
        <v>5050</v>
      </c>
      <c r="H61" s="6" t="str">
        <f t="shared" si="8"/>
        <v>ok</v>
      </c>
      <c r="I61" s="4" t="b">
        <f>IF(C61=L_AddFigureRange(D61,E61),TRUE,FALSE)</f>
        <v>1</v>
      </c>
    </row>
    <row r="62" spans="2:9" x14ac:dyDescent="0.25">
      <c r="B62" s="4"/>
      <c r="C62" s="5">
        <f t="shared" si="9"/>
        <v>0</v>
      </c>
      <c r="D62" s="25">
        <v>200</v>
      </c>
      <c r="E62" s="25">
        <v>100</v>
      </c>
      <c r="F62" s="25"/>
      <c r="G62" s="21">
        <v>0</v>
      </c>
      <c r="H62" s="6" t="str">
        <f t="shared" si="8"/>
        <v>ok</v>
      </c>
      <c r="I62" s="4" t="b">
        <f>IF(C62=L_AddFigureRange(D62,E62),TRUE,FALSE)</f>
        <v>1</v>
      </c>
    </row>
    <row r="64" spans="2:9" x14ac:dyDescent="0.25">
      <c r="B64" s="2" t="s">
        <v>5</v>
      </c>
      <c r="C64" s="2" t="s">
        <v>3</v>
      </c>
      <c r="D64" s="24" t="s">
        <v>26</v>
      </c>
      <c r="E64" s="24" t="s">
        <v>27</v>
      </c>
      <c r="F64" s="24" t="s">
        <v>4</v>
      </c>
      <c r="G64" s="22" t="s">
        <v>12</v>
      </c>
      <c r="H64" s="3" t="s">
        <v>7</v>
      </c>
    </row>
    <row r="65" spans="2:8" x14ac:dyDescent="0.25">
      <c r="B65" s="4" t="s">
        <v>28</v>
      </c>
      <c r="C65" s="5">
        <f>MulFigureRange(D65,E65)</f>
        <v>120</v>
      </c>
      <c r="D65" s="25">
        <v>1</v>
      </c>
      <c r="E65" s="25">
        <v>5</v>
      </c>
      <c r="F65" s="25"/>
      <c r="G65" s="21">
        <v>120</v>
      </c>
      <c r="H65" s="6" t="str">
        <f t="shared" ref="H65:H71" si="10">IF(G65=C65,"ok","Not ok")</f>
        <v>ok</v>
      </c>
    </row>
    <row r="66" spans="2:8" x14ac:dyDescent="0.25">
      <c r="B66" s="4"/>
      <c r="C66" s="5">
        <f>MulFigureRange(D66,E66)</f>
        <v>1320</v>
      </c>
      <c r="D66" s="25">
        <v>10</v>
      </c>
      <c r="E66" s="25">
        <v>12</v>
      </c>
      <c r="F66" s="25"/>
      <c r="G66" s="21">
        <v>1320</v>
      </c>
      <c r="H66" s="6" t="str">
        <f t="shared" si="10"/>
        <v>ok</v>
      </c>
    </row>
    <row r="67" spans="2:8" x14ac:dyDescent="0.25">
      <c r="B67" s="4"/>
      <c r="C67" s="5">
        <f>MulFigureRange(D67)</f>
        <v>120</v>
      </c>
      <c r="D67" s="25">
        <v>5</v>
      </c>
      <c r="E67" s="25"/>
      <c r="F67" s="25"/>
      <c r="G67" s="21">
        <v>120</v>
      </c>
      <c r="H67" s="6" t="str">
        <f t="shared" si="10"/>
        <v>ok</v>
      </c>
    </row>
    <row r="68" spans="2:8" x14ac:dyDescent="0.25">
      <c r="B68" s="4"/>
      <c r="C68" s="5">
        <f>MulFigureRange(D68,E68)</f>
        <v>479001600</v>
      </c>
      <c r="D68" s="25">
        <v>1</v>
      </c>
      <c r="E68" s="25">
        <v>12</v>
      </c>
      <c r="F68" s="25"/>
      <c r="G68" s="21">
        <v>479001600</v>
      </c>
      <c r="H68" s="6" t="str">
        <f t="shared" si="10"/>
        <v>ok</v>
      </c>
    </row>
    <row r="69" spans="2:8" x14ac:dyDescent="0.25">
      <c r="B69" s="4"/>
      <c r="C69" s="5">
        <f>MulFigureRange(D69,E69)</f>
        <v>0</v>
      </c>
      <c r="D69" s="25">
        <v>-1</v>
      </c>
      <c r="E69" s="25">
        <v>100</v>
      </c>
      <c r="F69" s="25"/>
      <c r="G69" s="21">
        <v>0</v>
      </c>
      <c r="H69" s="6" t="str">
        <f t="shared" si="10"/>
        <v>ok</v>
      </c>
    </row>
    <row r="70" spans="2:8" x14ac:dyDescent="0.25">
      <c r="B70" s="4"/>
      <c r="C70" s="5">
        <f t="shared" ref="C70:C71" si="11">MulFigureRange(D70,E70)</f>
        <v>0</v>
      </c>
      <c r="D70" s="25">
        <v>0</v>
      </c>
      <c r="E70" s="25">
        <v>100</v>
      </c>
      <c r="F70" s="25"/>
      <c r="G70" s="21">
        <v>0</v>
      </c>
      <c r="H70" s="6" t="str">
        <f t="shared" si="10"/>
        <v>ok</v>
      </c>
    </row>
    <row r="71" spans="2:8" x14ac:dyDescent="0.25">
      <c r="B71" s="4"/>
      <c r="C71" s="5">
        <f t="shared" si="11"/>
        <v>20</v>
      </c>
      <c r="D71" s="25">
        <v>4</v>
      </c>
      <c r="E71" s="25">
        <v>5</v>
      </c>
      <c r="F71" s="25"/>
      <c r="G71" s="21">
        <v>20</v>
      </c>
      <c r="H71" s="6" t="str">
        <f t="shared" si="10"/>
        <v>ok</v>
      </c>
    </row>
    <row r="72" spans="2:8" x14ac:dyDescent="0.25">
      <c r="B72" s="4"/>
      <c r="C72" s="5">
        <f t="shared" ref="C72" si="12">MulFigureRange(D72,E72)</f>
        <v>1</v>
      </c>
      <c r="D72" s="25">
        <v>5</v>
      </c>
      <c r="E72" s="25">
        <v>4</v>
      </c>
      <c r="F72" s="25"/>
      <c r="G72" s="21">
        <v>1</v>
      </c>
      <c r="H72" s="6" t="str">
        <f t="shared" ref="H72" si="13">IF(G72=C72,"ok","Not ok")</f>
        <v>ok</v>
      </c>
    </row>
    <row r="74" spans="2:8" x14ac:dyDescent="0.25">
      <c r="B74" s="2" t="s">
        <v>5</v>
      </c>
      <c r="C74" s="2" t="s">
        <v>3</v>
      </c>
      <c r="D74" s="24" t="s">
        <v>29</v>
      </c>
      <c r="E74" s="24" t="s">
        <v>30</v>
      </c>
      <c r="F74" s="24" t="s">
        <v>31</v>
      </c>
      <c r="G74" s="22" t="s">
        <v>12</v>
      </c>
      <c r="H74" s="3" t="s">
        <v>7</v>
      </c>
    </row>
    <row r="75" spans="2:8" x14ac:dyDescent="0.25">
      <c r="B75" s="4" t="s">
        <v>32</v>
      </c>
      <c r="C75" s="32" t="str">
        <f>GetOrtsAnschrift(D75,E75,F75)</f>
        <v>CH-8855 &lt;U&gt;Wangen&lt;/U&gt;</v>
      </c>
      <c r="D75" s="25" t="s">
        <v>33</v>
      </c>
      <c r="E75" s="25">
        <v>8855</v>
      </c>
      <c r="F75" s="25" t="s">
        <v>34</v>
      </c>
      <c r="G75" s="21" t="s">
        <v>43</v>
      </c>
      <c r="H75" s="6" t="str">
        <f t="shared" ref="H75:H77" si="14">IF(G75=C75,"ok","Not ok")</f>
        <v>ok</v>
      </c>
    </row>
    <row r="76" spans="2:8" x14ac:dyDescent="0.25">
      <c r="B76" s="4"/>
      <c r="C76" s="5" t="str">
        <f>GetOrtsAnschrift(D76,E76,F76)</f>
        <v>DE-69115 &lt;U&gt;Heidelberg&lt;/U&gt;</v>
      </c>
      <c r="D76" s="25" t="s">
        <v>35</v>
      </c>
      <c r="E76" s="25">
        <v>69115</v>
      </c>
      <c r="F76" s="25" t="s">
        <v>36</v>
      </c>
      <c r="G76" s="21" t="s">
        <v>44</v>
      </c>
      <c r="H76" s="6" t="str">
        <f t="shared" si="14"/>
        <v>ok</v>
      </c>
    </row>
    <row r="77" spans="2:8" x14ac:dyDescent="0.25">
      <c r="B77" s="4"/>
      <c r="C77" s="32" t="str">
        <f>GetOrtsAnschrift(D77,E77,F77)</f>
        <v>FR-75000 &lt;U&gt;Paris&lt;/U&gt;</v>
      </c>
      <c r="D77" s="25" t="s">
        <v>37</v>
      </c>
      <c r="E77" s="25">
        <v>75000</v>
      </c>
      <c r="F77" s="25" t="s">
        <v>38</v>
      </c>
      <c r="G77" s="21" t="s">
        <v>45</v>
      </c>
      <c r="H77" s="6" t="str">
        <f t="shared" si="14"/>
        <v>ok</v>
      </c>
    </row>
    <row r="79" spans="2:8" x14ac:dyDescent="0.25">
      <c r="B79" s="2" t="s">
        <v>5</v>
      </c>
      <c r="C79" s="2" t="s">
        <v>3</v>
      </c>
      <c r="D79" s="24" t="s">
        <v>83</v>
      </c>
      <c r="E79" s="24"/>
      <c r="F79" s="24"/>
      <c r="G79" s="22" t="s">
        <v>12</v>
      </c>
      <c r="H79" s="3" t="s">
        <v>7</v>
      </c>
    </row>
    <row r="80" spans="2:8" x14ac:dyDescent="0.25">
      <c r="B80" s="4" t="s">
        <v>86</v>
      </c>
      <c r="C80" s="32" t="str">
        <f>MyProper(D80)</f>
        <v>Otto Schlosser</v>
      </c>
      <c r="D80" s="25" t="s">
        <v>84</v>
      </c>
      <c r="E80" s="25"/>
      <c r="F80" s="25"/>
      <c r="G80" s="21" t="s">
        <v>85</v>
      </c>
      <c r="H80" s="6" t="str">
        <f t="shared" ref="H80:H82" si="15">IF(G80=C80,"ok","Not ok")</f>
        <v>ok</v>
      </c>
    </row>
    <row r="81" spans="2:8" x14ac:dyDescent="0.25">
      <c r="B81" s="4"/>
      <c r="C81" s="32" t="str">
        <f t="shared" ref="C81:C83" si="16">MyProper(D81)</f>
        <v>Otto Schlosser</v>
      </c>
      <c r="D81" s="25" t="s">
        <v>87</v>
      </c>
      <c r="E81" s="25"/>
      <c r="F81" s="25"/>
      <c r="G81" s="21" t="s">
        <v>85</v>
      </c>
      <c r="H81" s="6" t="str">
        <f t="shared" si="15"/>
        <v>ok</v>
      </c>
    </row>
    <row r="82" spans="2:8" x14ac:dyDescent="0.25">
      <c r="B82" s="4"/>
      <c r="C82" s="32" t="str">
        <f t="shared" si="16"/>
        <v>Otto Schlosser</v>
      </c>
      <c r="D82" s="25" t="s">
        <v>88</v>
      </c>
      <c r="E82" s="25"/>
      <c r="F82" s="25"/>
      <c r="G82" s="21" t="s">
        <v>85</v>
      </c>
      <c r="H82" s="6" t="str">
        <f t="shared" si="15"/>
        <v>ok</v>
      </c>
    </row>
    <row r="83" spans="2:8" x14ac:dyDescent="0.25">
      <c r="B83" s="4"/>
      <c r="C83" s="32" t="str">
        <f t="shared" si="16"/>
        <v>Otto Schlosser</v>
      </c>
      <c r="D83" s="25" t="s">
        <v>85</v>
      </c>
      <c r="E83" s="25"/>
      <c r="F83" s="25"/>
      <c r="G83" s="21" t="s">
        <v>85</v>
      </c>
      <c r="H83" s="6" t="str">
        <f t="shared" ref="H83:H84" si="17">IF(G83=C83,"ok","Not ok")</f>
        <v>ok</v>
      </c>
    </row>
    <row r="84" spans="2:8" x14ac:dyDescent="0.25">
      <c r="B84" s="4"/>
      <c r="C84" s="32" t="str">
        <f>MyProper(D84)</f>
        <v>Otto Schlosser Uster</v>
      </c>
      <c r="D84" s="25" t="s">
        <v>89</v>
      </c>
      <c r="E84" s="25"/>
      <c r="F84" s="25"/>
      <c r="G84" s="21" t="s">
        <v>90</v>
      </c>
      <c r="H84" s="6" t="str">
        <f t="shared" si="17"/>
        <v>ok</v>
      </c>
    </row>
    <row r="86" spans="2:8" x14ac:dyDescent="0.25">
      <c r="B86" s="2" t="s">
        <v>5</v>
      </c>
      <c r="C86" s="2" t="s">
        <v>3</v>
      </c>
      <c r="D86" s="24" t="s">
        <v>92</v>
      </c>
      <c r="E86" s="24" t="s">
        <v>93</v>
      </c>
      <c r="F86" s="24" t="s">
        <v>91</v>
      </c>
      <c r="G86" s="22" t="s">
        <v>12</v>
      </c>
      <c r="H86" s="3" t="s">
        <v>7</v>
      </c>
    </row>
    <row r="87" spans="2:8" x14ac:dyDescent="0.25">
      <c r="B87" s="4" t="s">
        <v>106</v>
      </c>
      <c r="C87" s="32" t="b">
        <f>EqualsWithinTolerance(D87,E87,F87)</f>
        <v>1</v>
      </c>
      <c r="D87" s="25">
        <v>101</v>
      </c>
      <c r="E87" s="25">
        <v>100</v>
      </c>
      <c r="F87" s="25">
        <v>3</v>
      </c>
      <c r="G87" s="21" t="b">
        <v>1</v>
      </c>
      <c r="H87" s="6" t="str">
        <f t="shared" ref="H87:H91" si="18">IF(G87=C87,"ok","Not ok")</f>
        <v>ok</v>
      </c>
    </row>
    <row r="88" spans="2:8" x14ac:dyDescent="0.25">
      <c r="B88" s="4"/>
      <c r="C88" s="32" t="b">
        <f t="shared" ref="C88:C91" si="19">EqualsWithinTolerance(D88,E88,F88)</f>
        <v>0</v>
      </c>
      <c r="D88" s="25">
        <v>105</v>
      </c>
      <c r="E88" s="25">
        <v>100</v>
      </c>
      <c r="F88" s="25">
        <v>3</v>
      </c>
      <c r="G88" s="21" t="b">
        <v>0</v>
      </c>
      <c r="H88" s="6" t="str">
        <f t="shared" si="18"/>
        <v>ok</v>
      </c>
    </row>
    <row r="89" spans="2:8" x14ac:dyDescent="0.25">
      <c r="B89" s="4"/>
      <c r="C89" s="32" t="b">
        <f t="shared" si="19"/>
        <v>1</v>
      </c>
      <c r="D89" s="25">
        <v>98</v>
      </c>
      <c r="E89" s="25">
        <v>100</v>
      </c>
      <c r="F89" s="25">
        <v>3</v>
      </c>
      <c r="G89" s="21" t="b">
        <v>1</v>
      </c>
      <c r="H89" s="6" t="str">
        <f t="shared" si="18"/>
        <v>ok</v>
      </c>
    </row>
    <row r="90" spans="2:8" x14ac:dyDescent="0.25">
      <c r="B90" s="4"/>
      <c r="C90" s="32" t="b">
        <f t="shared" si="19"/>
        <v>0</v>
      </c>
      <c r="D90" s="25">
        <v>5</v>
      </c>
      <c r="E90" s="25">
        <v>10</v>
      </c>
      <c r="F90" s="25">
        <v>3</v>
      </c>
      <c r="G90" s="21" t="b">
        <v>0</v>
      </c>
      <c r="H90" s="6" t="str">
        <f t="shared" si="18"/>
        <v>ok</v>
      </c>
    </row>
    <row r="91" spans="2:8" x14ac:dyDescent="0.25">
      <c r="B91" s="4"/>
      <c r="C91" s="32" t="b">
        <f t="shared" si="19"/>
        <v>0</v>
      </c>
      <c r="D91" s="25">
        <v>10</v>
      </c>
      <c r="E91" s="25">
        <v>200</v>
      </c>
      <c r="F91" s="25">
        <v>5</v>
      </c>
      <c r="G91" s="21" t="b">
        <v>0</v>
      </c>
      <c r="H91" s="6" t="str">
        <f t="shared" si="18"/>
        <v>ok</v>
      </c>
    </row>
    <row r="92" spans="2:8" x14ac:dyDescent="0.25">
      <c r="B92" s="4"/>
      <c r="C92" s="32" t="b">
        <f>EqualsWithinTolerance(D92,E92)</f>
        <v>0</v>
      </c>
      <c r="D92" s="25">
        <v>101.1</v>
      </c>
      <c r="E92" s="25">
        <v>100</v>
      </c>
      <c r="F92" s="25"/>
      <c r="G92" s="21" t="b">
        <v>0</v>
      </c>
      <c r="H92" s="6" t="str">
        <f t="shared" ref="H92" si="20">IF(G92=C92,"ok","Not ok")</f>
        <v>ok</v>
      </c>
    </row>
  </sheetData>
  <conditionalFormatting sqref="H35:H38">
    <cfRule type="cellIs" dxfId="30" priority="41" operator="equal">
      <formula>"Not ok"</formula>
    </cfRule>
    <cfRule type="cellIs" dxfId="29" priority="42" operator="equal">
      <formula>"ok"</formula>
    </cfRule>
  </conditionalFormatting>
  <conditionalFormatting sqref="H41:H47">
    <cfRule type="cellIs" dxfId="28" priority="39" operator="equal">
      <formula>"Not ok"</formula>
    </cfRule>
    <cfRule type="cellIs" dxfId="27" priority="40" operator="equal">
      <formula>"ok"</formula>
    </cfRule>
  </conditionalFormatting>
  <conditionalFormatting sqref="H50:H53">
    <cfRule type="cellIs" dxfId="26" priority="37" operator="equal">
      <formula>"Not ok"</formula>
    </cfRule>
    <cfRule type="cellIs" dxfId="25" priority="38" operator="equal">
      <formula>"ok"</formula>
    </cfRule>
  </conditionalFormatting>
  <conditionalFormatting sqref="H56:H62">
    <cfRule type="cellIs" dxfId="24" priority="35" operator="equal">
      <formula>"Not ok"</formula>
    </cfRule>
    <cfRule type="cellIs" dxfId="23" priority="36" operator="equal">
      <formula>"ok"</formula>
    </cfRule>
  </conditionalFormatting>
  <conditionalFormatting sqref="H65:H71">
    <cfRule type="cellIs" dxfId="22" priority="26" operator="equal">
      <formula>"Not ok"</formula>
    </cfRule>
    <cfRule type="cellIs" dxfId="21" priority="27" operator="equal">
      <formula>"ok"</formula>
    </cfRule>
  </conditionalFormatting>
  <conditionalFormatting sqref="H72">
    <cfRule type="cellIs" dxfId="20" priority="22" operator="equal">
      <formula>"Not ok"</formula>
    </cfRule>
    <cfRule type="cellIs" dxfId="19" priority="23" operator="equal">
      <formula>"ok"</formula>
    </cfRule>
  </conditionalFormatting>
  <conditionalFormatting sqref="H75:H77">
    <cfRule type="cellIs" dxfId="18" priority="20" operator="equal">
      <formula>"Not ok"</formula>
    </cfRule>
    <cfRule type="cellIs" dxfId="17" priority="21" operator="equal">
      <formula>"ok"</formula>
    </cfRule>
  </conditionalFormatting>
  <conditionalFormatting sqref="H80:H82">
    <cfRule type="cellIs" dxfId="16" priority="16" operator="equal">
      <formula>"Not ok"</formula>
    </cfRule>
    <cfRule type="cellIs" dxfId="15" priority="17" operator="equal">
      <formula>"ok"</formula>
    </cfRule>
  </conditionalFormatting>
  <conditionalFormatting sqref="H83:H84">
    <cfRule type="cellIs" dxfId="14" priority="14" operator="equal">
      <formula>"Not ok"</formula>
    </cfRule>
    <cfRule type="cellIs" dxfId="13" priority="15" operator="equal">
      <formula>"ok"</formula>
    </cfRule>
  </conditionalFormatting>
  <conditionalFormatting sqref="H87:H89">
    <cfRule type="cellIs" dxfId="12" priority="12" operator="equal">
      <formula>"Not ok"</formula>
    </cfRule>
    <cfRule type="cellIs" dxfId="11" priority="13" operator="equal">
      <formula>"ok"</formula>
    </cfRule>
  </conditionalFormatting>
  <conditionalFormatting sqref="H90:H91">
    <cfRule type="cellIs" dxfId="10" priority="10" operator="equal">
      <formula>"Not ok"</formula>
    </cfRule>
    <cfRule type="cellIs" dxfId="9" priority="11" operator="equal">
      <formula>"ok"</formula>
    </cfRule>
  </conditionalFormatting>
  <conditionalFormatting sqref="H92">
    <cfRule type="cellIs" dxfId="8" priority="8" operator="equal">
      <formula>"Not ok"</formula>
    </cfRule>
    <cfRule type="cellIs" dxfId="7" priority="9" operator="equal">
      <formula>"ok"</formula>
    </cfRule>
  </conditionalFormatting>
  <conditionalFormatting sqref="G7">
    <cfRule type="cellIs" dxfId="6" priority="1" stopIfTrue="1" operator="equal">
      <formula>"Not defined"</formula>
    </cfRule>
    <cfRule type="cellIs" dxfId="5" priority="2" stopIfTrue="1" operator="greaterThan">
      <formula>5.7</formula>
    </cfRule>
    <cfRule type="cellIs" dxfId="4" priority="3" stopIfTrue="1" operator="greaterThan">
      <formula>5</formula>
    </cfRule>
    <cfRule type="cellIs" dxfId="3" priority="4" stopIfTrue="1" operator="greaterThan">
      <formula>4.5</formula>
    </cfRule>
    <cfRule type="cellIs" dxfId="2" priority="5" stopIfTrue="1" operator="greaterThanOrEqual">
      <formula>4</formula>
    </cfRule>
    <cfRule type="cellIs" dxfId="1" priority="6" stopIfTrue="1" operator="greaterThanOrEqual">
      <formula>3</formula>
    </cfRule>
    <cfRule type="cellIs" dxfId="0" priority="7" stopIfTrue="1" operator="greaterThanOrEqual">
      <formula>1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FF0000"/>
  </sheetPr>
  <dimension ref="A1:I27"/>
  <sheetViews>
    <sheetView workbookViewId="0">
      <selection activeCell="C34" sqref="C34"/>
    </sheetView>
  </sheetViews>
  <sheetFormatPr baseColWidth="10" defaultRowHeight="15" x14ac:dyDescent="0.25"/>
  <cols>
    <col min="3" max="3" width="30.5703125" customWidth="1"/>
    <col min="4" max="4" width="24.28515625" customWidth="1"/>
    <col min="5" max="6" width="33.28515625" customWidth="1"/>
    <col min="7" max="7" width="31.28515625" customWidth="1"/>
    <col min="8" max="8" width="33.85546875" customWidth="1"/>
  </cols>
  <sheetData>
    <row r="1" spans="1:8" x14ac:dyDescent="0.25">
      <c r="A1" s="20"/>
    </row>
    <row r="3" spans="1:8" ht="21" x14ac:dyDescent="0.35">
      <c r="C3" s="42" t="s">
        <v>82</v>
      </c>
    </row>
    <row r="6" spans="1:8" ht="15.75" thickBot="1" x14ac:dyDescent="0.3"/>
    <row r="7" spans="1:8" ht="15.75" thickBot="1" x14ac:dyDescent="0.3">
      <c r="C7" s="27" t="s">
        <v>39</v>
      </c>
      <c r="E7" s="27" t="s">
        <v>80</v>
      </c>
      <c r="F7" s="47"/>
      <c r="H7" s="27" t="s">
        <v>81</v>
      </c>
    </row>
    <row r="10" spans="1:8" ht="15.75" thickBot="1" x14ac:dyDescent="0.3"/>
    <row r="11" spans="1:8" ht="15.75" thickBot="1" x14ac:dyDescent="0.3">
      <c r="C11" s="33" t="s">
        <v>75</v>
      </c>
      <c r="D11" s="34" t="s">
        <v>76</v>
      </c>
      <c r="E11" s="34" t="s">
        <v>41</v>
      </c>
      <c r="F11" s="34" t="s">
        <v>104</v>
      </c>
      <c r="G11" s="34" t="s">
        <v>77</v>
      </c>
      <c r="H11" s="35" t="s">
        <v>78</v>
      </c>
    </row>
    <row r="12" spans="1:8" x14ac:dyDescent="0.25">
      <c r="C12" s="39" t="s">
        <v>69</v>
      </c>
      <c r="D12" s="40" t="s">
        <v>46</v>
      </c>
      <c r="E12" s="40"/>
      <c r="F12" s="40"/>
      <c r="G12" s="40">
        <f>LEN(C7)</f>
        <v>26</v>
      </c>
      <c r="H12" s="41"/>
    </row>
    <row r="13" spans="1:8" x14ac:dyDescent="0.25">
      <c r="C13" s="28" t="s">
        <v>48</v>
      </c>
      <c r="D13" s="4" t="s">
        <v>47</v>
      </c>
      <c r="E13" s="4"/>
      <c r="F13" s="4"/>
      <c r="G13" s="4" t="str">
        <f>LEFT(C7)</f>
        <v>B</v>
      </c>
      <c r="H13" s="29" t="str">
        <f>LEFT(C7,4)</f>
        <v>Beru</v>
      </c>
    </row>
    <row r="14" spans="1:8" x14ac:dyDescent="0.25">
      <c r="C14" s="28" t="s">
        <v>49</v>
      </c>
      <c r="D14" s="4" t="s">
        <v>50</v>
      </c>
      <c r="E14" s="4"/>
      <c r="F14" s="4"/>
      <c r="G14" s="4" t="str">
        <f>RIGHT(C7)</f>
        <v>r</v>
      </c>
      <c r="H14" s="29" t="str">
        <f>RIGHT(C7,4)</f>
        <v>ster</v>
      </c>
    </row>
    <row r="15" spans="1:8" x14ac:dyDescent="0.25">
      <c r="C15" s="28" t="s">
        <v>70</v>
      </c>
      <c r="D15" s="4" t="s">
        <v>71</v>
      </c>
      <c r="E15" s="4"/>
      <c r="F15" s="4"/>
      <c r="G15" s="4" t="str">
        <f>CONCATENATE(H13," ",H14)</f>
        <v>Beru ster</v>
      </c>
      <c r="H15" s="29" t="str">
        <f>H13 &amp; " " &amp; H14</f>
        <v>Beru ster</v>
      </c>
    </row>
    <row r="16" spans="1:8" x14ac:dyDescent="0.25">
      <c r="C16" s="28" t="s">
        <v>51</v>
      </c>
      <c r="D16" s="4" t="s">
        <v>52</v>
      </c>
      <c r="E16" s="4"/>
      <c r="F16" s="4"/>
      <c r="G16" s="4" t="str">
        <f>LOWER(C7)</f>
        <v>berufsschule ch-8610 uster</v>
      </c>
      <c r="H16" s="29"/>
    </row>
    <row r="17" spans="3:9" x14ac:dyDescent="0.25">
      <c r="C17" s="28" t="s">
        <v>53</v>
      </c>
      <c r="D17" s="4" t="s">
        <v>54</v>
      </c>
      <c r="E17" s="4"/>
      <c r="F17" s="4"/>
      <c r="G17" s="4" t="str">
        <f>UPPER(C7)</f>
        <v>BERUFSSCHULE CH-8610 USTER</v>
      </c>
      <c r="H17" s="29"/>
    </row>
    <row r="18" spans="3:9" ht="23.25" x14ac:dyDescent="0.25">
      <c r="C18" s="28" t="s">
        <v>55</v>
      </c>
      <c r="D18" s="4" t="s">
        <v>56</v>
      </c>
      <c r="E18" s="4"/>
      <c r="F18" s="48" t="s">
        <v>105</v>
      </c>
      <c r="G18" s="4" t="str">
        <f>PROPER(G16)</f>
        <v>Berufsschule Ch-8610 Uster</v>
      </c>
      <c r="H18" s="29" t="str">
        <f>PROPER(E7)</f>
        <v>Schule Ch-8610 :Wangen</v>
      </c>
    </row>
    <row r="19" spans="3:9" x14ac:dyDescent="0.25">
      <c r="C19" s="28" t="s">
        <v>57</v>
      </c>
      <c r="D19" s="4" t="s">
        <v>58</v>
      </c>
      <c r="E19" s="4"/>
      <c r="F19" s="4"/>
      <c r="G19" s="4" t="str">
        <f>MID(C7,14,7)</f>
        <v>CH-8610</v>
      </c>
      <c r="H19" s="29" t="str">
        <f>MID(E7,14,7)</f>
        <v>0 :Wang</v>
      </c>
    </row>
    <row r="20" spans="3:9" x14ac:dyDescent="0.25">
      <c r="C20" s="28" t="s">
        <v>59</v>
      </c>
      <c r="D20" s="4" t="s">
        <v>60</v>
      </c>
      <c r="E20" s="4" t="s">
        <v>40</v>
      </c>
      <c r="F20" s="4"/>
      <c r="G20" s="4">
        <f>FIND("CH-",C7)</f>
        <v>14</v>
      </c>
      <c r="H20" s="29" t="str">
        <f>MID(E7,FIND("ch-",E7)+3,4)</f>
        <v>8610</v>
      </c>
    </row>
    <row r="21" spans="3:9" x14ac:dyDescent="0.25">
      <c r="C21" s="28" t="s">
        <v>72</v>
      </c>
      <c r="D21" s="4" t="s">
        <v>73</v>
      </c>
      <c r="E21" s="4" t="s">
        <v>103</v>
      </c>
      <c r="F21" s="4"/>
      <c r="G21" s="4">
        <f>SEARCH("ch-",C7)</f>
        <v>14</v>
      </c>
      <c r="H21" s="29">
        <f>SEARCH("cH-",E7)</f>
        <v>8</v>
      </c>
    </row>
    <row r="22" spans="3:9" x14ac:dyDescent="0.25">
      <c r="C22" s="28" t="s">
        <v>61</v>
      </c>
      <c r="D22" s="4" t="s">
        <v>62</v>
      </c>
      <c r="E22" s="4" t="s">
        <v>79</v>
      </c>
      <c r="F22" s="4"/>
      <c r="G22" s="4" t="str">
        <f>REPLACE(C7,17,4,8855)</f>
        <v>Berufsschule CH-8855 Uster</v>
      </c>
      <c r="H22" s="29"/>
    </row>
    <row r="23" spans="3:9" x14ac:dyDescent="0.25">
      <c r="C23" s="28" t="s">
        <v>63</v>
      </c>
      <c r="D23" s="4" t="s">
        <v>64</v>
      </c>
      <c r="E23" s="4"/>
      <c r="F23" s="4"/>
      <c r="G23" s="4" t="str">
        <f>SUBSTITUTE(C7,8610,8855)</f>
        <v>Berufsschule CH-8855 Uster</v>
      </c>
      <c r="H23" s="29" t="str">
        <f>"--&gt;"&amp;H7&amp;"&lt;--"</f>
        <v>--&gt;      Schule ch-8610  Nuolen     &lt;--</v>
      </c>
    </row>
    <row r="24" spans="3:9" x14ac:dyDescent="0.25">
      <c r="C24" s="28" t="s">
        <v>66</v>
      </c>
      <c r="D24" s="4" t="s">
        <v>65</v>
      </c>
      <c r="E24" s="4"/>
      <c r="F24" s="4"/>
      <c r="G24" s="4" t="str">
        <f>TRIM(E7)</f>
        <v>Schule ch-8610 :Wangen</v>
      </c>
      <c r="H24" s="29" t="str">
        <f>"--&gt;"&amp;TRIM(H7)&amp;"&lt;--"</f>
        <v>--&gt;Schule ch-8610 Nuolen&lt;--</v>
      </c>
    </row>
    <row r="25" spans="3:9" x14ac:dyDescent="0.25">
      <c r="C25" s="28" t="s">
        <v>74</v>
      </c>
      <c r="D25" s="4" t="str">
        <f>CLEAN($B$6)</f>
        <v/>
      </c>
      <c r="E25" s="4" t="s">
        <v>42</v>
      </c>
      <c r="F25" s="4"/>
      <c r="G25" s="4"/>
      <c r="H25" s="29"/>
      <c r="I25" s="38" t="str">
        <f>CLEAN($B$6)</f>
        <v/>
      </c>
    </row>
    <row r="26" spans="3:9" ht="15.75" thickBot="1" x14ac:dyDescent="0.3">
      <c r="C26" s="36" t="s">
        <v>67</v>
      </c>
      <c r="D26" s="37" t="s">
        <v>68</v>
      </c>
      <c r="E26" s="30"/>
      <c r="F26" s="30"/>
      <c r="G26" s="30"/>
      <c r="H26" s="31" t="str">
        <f>REPT("-",3)</f>
        <v>---</v>
      </c>
      <c r="I26" s="38"/>
    </row>
    <row r="27" spans="3:9" x14ac:dyDescent="0.25">
      <c r="C27" s="38"/>
      <c r="D27" s="38"/>
      <c r="E27" s="38"/>
      <c r="F27" s="38"/>
      <c r="G27" s="38"/>
      <c r="H27" s="38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Aufgaben</vt:lpstr>
      <vt:lpstr>FormelnFuerDatenaufbereitung_L</vt:lpstr>
      <vt:lpstr>Potenzen_L</vt:lpstr>
      <vt:lpstr>QuadratischeFunktion_L</vt:lpstr>
      <vt:lpstr>TXT_Daten_L</vt:lpstr>
      <vt:lpstr>VBA_L</vt:lpstr>
      <vt:lpstr>StringOpsFormeln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2020-10-04T10:54:21Z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