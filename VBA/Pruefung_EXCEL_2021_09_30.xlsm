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1570" windowHeight="966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TXT_Daten!$A$22:$J$279</definedName>
  </definedNames>
  <calcPr calcId="152511"/>
</workbook>
</file>

<file path=xl/calcChain.xml><?xml version="1.0" encoding="utf-8"?>
<calcChain xmlns="http://schemas.openxmlformats.org/spreadsheetml/2006/main">
  <c r="P37" i="46" l="1"/>
  <c r="P38" i="46"/>
  <c r="P39" i="46"/>
  <c r="P40" i="46"/>
  <c r="P41" i="46"/>
  <c r="P42" i="46"/>
  <c r="P43" i="46"/>
  <c r="P44" i="46"/>
  <c r="P45" i="46"/>
  <c r="P46" i="46"/>
  <c r="P47" i="46"/>
  <c r="P48" i="46"/>
  <c r="P49" i="46"/>
  <c r="P50" i="46"/>
  <c r="P51" i="46"/>
  <c r="P52" i="46"/>
  <c r="P53" i="46"/>
  <c r="P54" i="46"/>
  <c r="P55" i="46"/>
  <c r="P56" i="46"/>
  <c r="P57" i="46"/>
  <c r="P58" i="46"/>
  <c r="P59" i="46"/>
  <c r="P60" i="46"/>
  <c r="P61" i="46"/>
  <c r="P62" i="46"/>
  <c r="P63" i="46"/>
  <c r="E37" i="46"/>
  <c r="E39" i="46" l="1"/>
  <c r="E40" i="46"/>
  <c r="E41" i="46"/>
  <c r="E42" i="46"/>
  <c r="E43" i="46"/>
  <c r="E44" i="46"/>
  <c r="E45" i="46"/>
  <c r="E46" i="46"/>
  <c r="E47" i="46"/>
  <c r="E48" i="46"/>
  <c r="E49" i="46"/>
  <c r="E50" i="46"/>
  <c r="E51" i="46"/>
  <c r="E52" i="46"/>
  <c r="E53" i="46"/>
  <c r="E54" i="46"/>
  <c r="E55" i="46"/>
  <c r="E56" i="46"/>
  <c r="E57" i="46"/>
  <c r="E58" i="46"/>
  <c r="E59" i="46"/>
  <c r="E60" i="46"/>
  <c r="E61" i="46"/>
  <c r="E62" i="46"/>
  <c r="E63" i="46"/>
  <c r="E38" i="46"/>
  <c r="B27" i="2" l="1"/>
  <c r="Z64" i="46"/>
  <c r="Y64" i="46"/>
  <c r="AB63" i="46"/>
  <c r="X63" i="46"/>
  <c r="V63" i="46"/>
  <c r="T63" i="46"/>
  <c r="M63" i="46"/>
  <c r="G63" i="46"/>
  <c r="AB62" i="46"/>
  <c r="X62" i="46"/>
  <c r="V62" i="46"/>
  <c r="T62" i="46"/>
  <c r="M62" i="46"/>
  <c r="G62" i="46"/>
  <c r="AB61" i="46"/>
  <c r="X61" i="46"/>
  <c r="V61" i="46"/>
  <c r="T61" i="46"/>
  <c r="M61" i="46"/>
  <c r="G61" i="46"/>
  <c r="AB60" i="46"/>
  <c r="X60" i="46"/>
  <c r="V60" i="46"/>
  <c r="T60" i="46"/>
  <c r="M60" i="46"/>
  <c r="G60" i="46"/>
  <c r="AB59" i="46"/>
  <c r="X59" i="46"/>
  <c r="V59" i="46"/>
  <c r="T59" i="46"/>
  <c r="M59" i="46"/>
  <c r="AB58" i="46"/>
  <c r="V58" i="46"/>
  <c r="T58" i="46"/>
  <c r="X58" i="46"/>
  <c r="M58" i="46"/>
  <c r="AB57" i="46"/>
  <c r="X57" i="46"/>
  <c r="V57" i="46"/>
  <c r="T57" i="46"/>
  <c r="M57" i="46"/>
  <c r="G57" i="46"/>
  <c r="AB56" i="46"/>
  <c r="X56" i="46"/>
  <c r="V56" i="46"/>
  <c r="T56" i="46"/>
  <c r="M56" i="46"/>
  <c r="G56" i="46"/>
  <c r="AB55" i="46"/>
  <c r="X55" i="46"/>
  <c r="V55" i="46"/>
  <c r="T55" i="46"/>
  <c r="M55" i="46"/>
  <c r="G55" i="46"/>
  <c r="AB54" i="46"/>
  <c r="X54" i="46"/>
  <c r="V54" i="46"/>
  <c r="T54" i="46"/>
  <c r="M54" i="46"/>
  <c r="G54" i="46"/>
  <c r="AB53" i="46"/>
  <c r="X53" i="46"/>
  <c r="V53" i="46"/>
  <c r="T53" i="46"/>
  <c r="M53" i="46"/>
  <c r="AB52" i="46"/>
  <c r="X52" i="46"/>
  <c r="V52" i="46"/>
  <c r="T52" i="46"/>
  <c r="M52" i="46"/>
  <c r="G52" i="46"/>
  <c r="AB51" i="46"/>
  <c r="X51" i="46"/>
  <c r="V51" i="46"/>
  <c r="T51" i="46"/>
  <c r="M51" i="46"/>
  <c r="AB50" i="46"/>
  <c r="X50" i="46"/>
  <c r="V50" i="46"/>
  <c r="T50" i="46"/>
  <c r="M50" i="46"/>
  <c r="G50" i="46"/>
  <c r="AB49" i="46"/>
  <c r="X49" i="46"/>
  <c r="V49" i="46"/>
  <c r="T49" i="46"/>
  <c r="M49" i="46"/>
  <c r="AB48" i="46"/>
  <c r="X48" i="46"/>
  <c r="V48" i="46"/>
  <c r="T48" i="46"/>
  <c r="M48" i="46"/>
  <c r="AB47" i="46"/>
  <c r="X47" i="46"/>
  <c r="V47" i="46"/>
  <c r="T47" i="46"/>
  <c r="M47" i="46"/>
  <c r="AB46" i="46"/>
  <c r="X46" i="46"/>
  <c r="V46" i="46"/>
  <c r="T46" i="46"/>
  <c r="M46" i="46"/>
  <c r="G46" i="46"/>
  <c r="AB45" i="46"/>
  <c r="X45" i="46"/>
  <c r="V45" i="46"/>
  <c r="T45" i="46"/>
  <c r="M45" i="46"/>
  <c r="AB44" i="46"/>
  <c r="V44" i="46"/>
  <c r="T44" i="46"/>
  <c r="X44" i="46"/>
  <c r="M44" i="46"/>
  <c r="G44" i="46"/>
  <c r="AB43" i="46"/>
  <c r="X43" i="46"/>
  <c r="V43" i="46"/>
  <c r="T43" i="46"/>
  <c r="M43" i="46"/>
  <c r="G43" i="46"/>
  <c r="AB42" i="46"/>
  <c r="X42" i="46"/>
  <c r="V42" i="46"/>
  <c r="T42" i="46"/>
  <c r="M42" i="46"/>
  <c r="G42" i="46"/>
  <c r="AB41" i="46"/>
  <c r="V41" i="46"/>
  <c r="T41" i="46"/>
  <c r="X41" i="46"/>
  <c r="M41" i="46"/>
  <c r="G41" i="46"/>
  <c r="AB40" i="46"/>
  <c r="X40" i="46"/>
  <c r="V40" i="46"/>
  <c r="T40" i="46"/>
  <c r="M40" i="46"/>
  <c r="G40" i="46"/>
  <c r="AB39" i="46"/>
  <c r="V39" i="46"/>
  <c r="T39" i="46"/>
  <c r="X39" i="46"/>
  <c r="M39" i="46"/>
  <c r="G39" i="46"/>
  <c r="AB38" i="46"/>
  <c r="X38" i="46"/>
  <c r="V38" i="46"/>
  <c r="T38" i="46"/>
  <c r="M38" i="46"/>
  <c r="G38" i="46"/>
  <c r="AA64" i="46"/>
  <c r="X37" i="46"/>
  <c r="U64" i="46"/>
  <c r="V64" i="46" s="1"/>
  <c r="M37" i="46"/>
  <c r="G37" i="46"/>
  <c r="W16" i="46"/>
  <c r="W15" i="46"/>
  <c r="X64" i="46"/>
  <c r="AB64" i="46"/>
  <c r="AB37" i="46" l="1"/>
  <c r="G49" i="46"/>
  <c r="M65" i="46"/>
  <c r="M67" i="46"/>
  <c r="M66" i="46"/>
  <c r="G48" i="46"/>
  <c r="V37" i="46"/>
  <c r="W17" i="46"/>
  <c r="X67" i="46"/>
  <c r="X66" i="46"/>
  <c r="X65" i="46"/>
  <c r="S64" i="46"/>
  <c r="T64" i="46" s="1"/>
  <c r="G51" i="46"/>
  <c r="G58" i="46"/>
  <c r="G47" i="46"/>
  <c r="T37" i="46"/>
  <c r="G45" i="46"/>
  <c r="G53" i="46"/>
  <c r="G59" i="46"/>
  <c r="H30" i="40"/>
  <c r="B32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47" i="44"/>
  <c r="C56" i="44"/>
  <c r="I25" i="40"/>
  <c r="C46" i="44"/>
  <c r="C53" i="44"/>
  <c r="C36" i="44"/>
  <c r="C37" i="44"/>
  <c r="C61" i="44"/>
  <c r="C63" i="44"/>
  <c r="I23" i="40"/>
  <c r="C55" i="44"/>
  <c r="C69" i="44"/>
  <c r="C51" i="44"/>
  <c r="I24" i="40"/>
  <c r="C48" i="44"/>
  <c r="C54" i="44"/>
  <c r="C35" i="44"/>
  <c r="C67" i="44"/>
  <c r="C62" i="44"/>
  <c r="C57" i="44"/>
  <c r="C52" i="44"/>
  <c r="C42" i="44"/>
  <c r="C43" i="44"/>
  <c r="C45" i="44"/>
  <c r="C39" i="44"/>
  <c r="I26" i="40"/>
  <c r="C38" i="44"/>
  <c r="C60" i="44"/>
  <c r="C44" i="44"/>
  <c r="C68" i="44"/>
  <c r="V27" i="41" l="1"/>
  <c r="H29" i="2" s="1"/>
  <c r="J29" i="2" s="1"/>
  <c r="I68" i="44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5" i="44"/>
  <c r="H54" i="44"/>
  <c r="H56" i="44"/>
  <c r="H53" i="44"/>
  <c r="H44" i="44"/>
  <c r="H52" i="44"/>
  <c r="H57" i="44"/>
  <c r="H45" i="44"/>
  <c r="H47" i="44"/>
  <c r="H42" i="44"/>
  <c r="H43" i="44"/>
  <c r="H46" i="44"/>
  <c r="H48" i="44"/>
  <c r="H51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2" i="2" l="1"/>
  <c r="J32" i="2" l="1"/>
  <c r="J27" i="2"/>
  <c r="J34" i="2" l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</t>
        </r>
        <r>
          <rPr>
            <sz val="9"/>
            <color indexed="81"/>
            <rFont val="Segoe UI"/>
            <family val="2"/>
          </rPr>
          <t>Domain kann hardcodiert in der Formel sein!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Alles Kleinbuchstaben!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<sst xmlns="http://schemas.openxmlformats.org/spreadsheetml/2006/main" count="826" uniqueCount="431">
  <si>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</si>
  <si>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</si>
  <si>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</si>
  <si>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</si>
  <si>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</si>
  <si>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</si>
  <si>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</si>
  <si>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</si>
  <si>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</si>
  <si>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</si>
  <si>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</si>
  <si>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</si>
  <si>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</si>
  <si>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</si>
  <si>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</si>
  <si>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</si>
  <si>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</si>
  <si>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</si>
  <si>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</si>
  <si>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</si>
  <si>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</si>
  <si>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</si>
  <si>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</si>
  <si>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</si>
  <si>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</si>
  <si>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</si>
  <si>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</si>
  <si>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</si>
  <si>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</si>
  <si>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</si>
  <si>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</si>
  <si>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</si>
  <si>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</si>
  <si>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</si>
  <si>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</si>
  <si>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</si>
  <si>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</si>
  <si>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</si>
  <si>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</si>
  <si>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</si>
  <si>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</si>
  <si>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</si>
  <si>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</si>
  <si>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</si>
  <si>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</si>
  <si>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</si>
  <si>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</si>
  <si>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</si>
  <si>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</si>
  <si>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</si>
  <si>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</si>
  <si>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</si>
  <si>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</si>
  <si>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</si>
  <si>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</si>
  <si>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</si>
  <si>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</si>
  <si>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</si>
  <si>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</si>
  <si>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</si>
  <si>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</si>
  <si>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</si>
  <si>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</si>
  <si>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</si>
  <si>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</si>
  <si>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</si>
  <si>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</si>
  <si>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</si>
  <si>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</si>
  <si>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</si>
  <si>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</si>
  <si>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</si>
  <si>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</si>
  <si>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</si>
  <si>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</si>
  <si>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</si>
  <si>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</si>
  <si>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</si>
  <si>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</si>
  <si>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</si>
  <si>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</si>
  <si>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</si>
  <si>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</si>
  <si>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</si>
  <si>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</si>
  <si>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</si>
  <si>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</si>
  <si>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</si>
  <si>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</si>
  <si>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</si>
  <si>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</si>
  <si>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</si>
  <si>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</si>
  <si>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</si>
  <si>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</si>
  <si>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</si>
  <si>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</si>
  <si>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</si>
  <si>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</si>
  <si>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</si>
  <si>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</si>
  <si>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</si>
  <si>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</si>
  <si>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</si>
  <si>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</si>
  <si>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</si>
  <si>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</si>
  <si>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</si>
  <si>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</si>
  <si>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</si>
  <si>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</si>
  <si>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</si>
  <si>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</si>
  <si>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</si>
  <si>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</si>
  <si>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</si>
  <si>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</si>
  <si>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</si>
  <si>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</si>
  <si>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</si>
  <si>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</si>
  <si>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</si>
  <si>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</si>
  <si>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</si>
  <si>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</si>
  <si>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</si>
  <si>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</si>
  <si>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</si>
  <si>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</si>
  <si>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</si>
  <si>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</si>
  <si>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</si>
  <si>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</si>
  <si>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</si>
  <si>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</si>
  <si>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</si>
  <si>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</si>
  <si>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</si>
  <si>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</si>
  <si>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</si>
  <si>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</si>
  <si>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</si>
  <si>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</si>
  <si>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</si>
  <si>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</si>
  <si>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</si>
  <si>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</si>
  <si>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</si>
  <si>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</si>
  <si>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</si>
  <si>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</si>
  <si>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</si>
  <si>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</si>
  <si>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</si>
  <si>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</si>
  <si>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</si>
  <si>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</si>
  <si>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</si>
  <si>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</si>
  <si>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</si>
  <si>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</si>
  <si>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</si>
  <si>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</si>
  <si>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</si>
  <si>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</si>
  <si>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</si>
  <si>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</si>
  <si>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</si>
  <si>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</si>
  <si>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</si>
  <si>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</si>
  <si>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</si>
  <si>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</si>
  <si>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</si>
  <si>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</si>
  <si>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</si>
  <si>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</si>
  <si>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</si>
  <si>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</si>
  <si>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</si>
  <si>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</si>
  <si>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</si>
  <si>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</si>
  <si>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</si>
  <si>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</si>
  <si>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</si>
  <si>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</si>
  <si>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</si>
  <si>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</si>
  <si>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</si>
  <si>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</si>
  <si>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</si>
  <si>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</si>
  <si>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</si>
  <si>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</si>
  <si>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</si>
  <si>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</si>
  <si>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</si>
  <si>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</si>
  <si>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</si>
  <si>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</si>
  <si>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</si>
  <si>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</si>
  <si>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</si>
  <si>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</si>
  <si>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</si>
  <si>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</si>
  <si>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</si>
  <si>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</si>
  <si>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</si>
  <si>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</si>
  <si>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</si>
  <si>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</si>
  <si>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</si>
  <si>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</si>
  <si>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</si>
  <si>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</si>
  <si>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</si>
  <si>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</si>
  <si>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</si>
  <si>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</si>
  <si>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</si>
  <si>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</si>
  <si>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</si>
  <si>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</si>
  <si>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</si>
  <si>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</si>
  <si>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</si>
  <si>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</si>
  <si>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</si>
  <si>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</si>
  <si>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</si>
  <si>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</si>
  <si>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</si>
  <si>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</si>
  <si>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</si>
  <si>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</si>
  <si>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</si>
  <si>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</si>
  <si>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</si>
  <si>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</si>
  <si>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</si>
  <si>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</si>
  <si>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</si>
  <si>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</si>
  <si>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</si>
  <si>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</si>
  <si>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</si>
  <si>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</si>
  <si>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</si>
  <si>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</si>
  <si>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</si>
  <si>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</si>
  <si>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</si>
  <si>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</si>
  <si>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</si>
  <si>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</si>
  <si>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</si>
  <si>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</si>
  <si>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</si>
  <si>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</si>
  <si>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</si>
  <si>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</si>
  <si>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</si>
  <si>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</si>
  <si>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</si>
  <si>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</si>
  <si>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</si>
  <si>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</si>
  <si>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</si>
  <si>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</si>
  <si>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</si>
  <si>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</si>
  <si>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</si>
  <si>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</si>
  <si>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</si>
  <si>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</si>
  <si>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</si>
  <si>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</si>
  <si>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</si>
  <si>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</si>
  <si>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</si>
  <si>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</si>
  <si>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</si>
  <si>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</si>
  <si>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</si>
  <si>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</si>
  <si>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</si>
  <si>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</si>
  <si>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</si>
  <si>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</si>
  <si>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</si>
  <si>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</si>
  <si>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</si>
  <si>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</si>
  <si>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</si>
  <si>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</si>
  <si>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</si>
  <si>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</si>
  <si>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</si>
  <si>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</si>
  <si>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</si>
  <si>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</si>
  <si>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</si>
  <si>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</si>
  <si>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</si>
  <si>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</si>
  <si>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</si>
  <si>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</si>
  <si>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</si>
  <si>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</si>
  <si>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</si>
  <si>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</si>
  <si>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</si>
  <si>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</si>
  <si>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</si>
  <si>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</si>
  <si>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</si>
  <si>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</si>
  <si>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</si>
  <si>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</si>
  <si>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</si>
  <si>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</si>
  <si>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</si>
  <si>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</si>
  <si>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</si>
  <si>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</si>
  <si>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</si>
  <si>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</si>
  <si>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AddFractions</t>
  </si>
  <si>
    <t>n</t>
  </si>
  <si>
    <t>Notenberechnung</t>
  </si>
  <si>
    <t>Austehende Zahlungsbeträge richtig dargestellt</t>
  </si>
  <si>
    <t>Anzahl austehende Mitgliederbeiträge richtig dargestellt</t>
  </si>
  <si>
    <t>Teilnoten</t>
  </si>
  <si>
    <t>Gewichtung</t>
  </si>
  <si>
    <t>R.</t>
  </si>
  <si>
    <t>M.</t>
  </si>
  <si>
    <t>C.</t>
  </si>
  <si>
    <t>W.</t>
  </si>
  <si>
    <t>H.</t>
  </si>
  <si>
    <t>L.</t>
  </si>
  <si>
    <t>P.</t>
  </si>
  <si>
    <t>R.Mueller</t>
  </si>
  <si>
    <t>M.Janser</t>
  </si>
  <si>
    <t>C.Meier</t>
  </si>
  <si>
    <t>W.King</t>
  </si>
  <si>
    <t>R.Koch</t>
  </si>
  <si>
    <t>R.Koller</t>
  </si>
  <si>
    <t>M.Koepfli</t>
  </si>
  <si>
    <t>H.Krieg</t>
  </si>
  <si>
    <t>R.Krieg</t>
  </si>
  <si>
    <t>R.Krieger</t>
  </si>
  <si>
    <t>R.Kussberger</t>
  </si>
  <si>
    <t>R.Kuettel</t>
  </si>
  <si>
    <t>R.Laib</t>
  </si>
  <si>
    <t>M.Landolt</t>
  </si>
  <si>
    <t>R.Lang</t>
  </si>
  <si>
    <t>R.Laeubli</t>
  </si>
  <si>
    <t>R.Lurati</t>
  </si>
  <si>
    <t>R.Maechler</t>
  </si>
  <si>
    <t>L.Maechler</t>
  </si>
  <si>
    <t>P.Diethelm</t>
  </si>
  <si>
    <t>P.Maeder</t>
  </si>
  <si>
    <t>P.Mannhart</t>
  </si>
  <si>
    <t>M.Mannhart</t>
  </si>
  <si>
    <t>P.Marty</t>
  </si>
  <si>
    <t>CH-8853 Lachen</t>
  </si>
  <si>
    <t>DE-53175 Bonn</t>
  </si>
  <si>
    <t xml:space="preserve">DE-78713 Schramberg </t>
  </si>
  <si>
    <t>CH-8808 Pfaeffikon</t>
  </si>
  <si>
    <t>CH-8854 Siebnen</t>
  </si>
  <si>
    <t>CH-8045 Zuerich</t>
  </si>
  <si>
    <t>CH-8832 Wollerau</t>
  </si>
  <si>
    <t>CH-8855 Nuolen</t>
  </si>
  <si>
    <t>CH-8807 Freienbach</t>
  </si>
  <si>
    <t>CH-8808 Pfäffikon</t>
  </si>
  <si>
    <t>CH-8634 Hombrechtikon</t>
  </si>
  <si>
    <t>CH-8863 Buttikon</t>
  </si>
  <si>
    <t>CH-8708 Männedorf</t>
  </si>
  <si>
    <t>CH-8708 Maennedorf</t>
  </si>
  <si>
    <t>CH-8852 Altendorf</t>
  </si>
  <si>
    <t>ruedi.mueller@bzu.ch</t>
  </si>
  <si>
    <t>maria.janser@bzu.ch</t>
  </si>
  <si>
    <t>claudia.meier@bzu.ch</t>
  </si>
  <si>
    <t>walter.king@bzu.ch</t>
  </si>
  <si>
    <t>roman.koch@bzu.ch</t>
  </si>
  <si>
    <t>rasi.koller@bzu.ch</t>
  </si>
  <si>
    <t>melanie.koepfli@bzu.ch</t>
  </si>
  <si>
    <t>hans.krieg@bzu.ch</t>
  </si>
  <si>
    <t>rita.krieg@bzu.ch</t>
  </si>
  <si>
    <t>roberta.krieg@bzu.ch</t>
  </si>
  <si>
    <t>ricarda.krieger@bzu.ch</t>
  </si>
  <si>
    <t>richard.kussberger@bzu.ch</t>
  </si>
  <si>
    <t>rita.kuettel@bzu.ch</t>
  </si>
  <si>
    <t>rene.laib@bzu.ch</t>
  </si>
  <si>
    <t>margrith.landolt@bzu.ch</t>
  </si>
  <si>
    <t>reinhard.lang@bzu.ch</t>
  </si>
  <si>
    <t>raphaela.laeubli@bzu.ch</t>
  </si>
  <si>
    <t>ramona.lurati@bzu.ch</t>
  </si>
  <si>
    <t>ramona.maechler@bzu.ch</t>
  </si>
  <si>
    <t>luisa.maechler@bzu.ch</t>
  </si>
  <si>
    <t>paula.diethelm@bzu.ch</t>
  </si>
  <si>
    <t>pia.maeder@bzu.ch</t>
  </si>
  <si>
    <t>pius.mannhart@bzu.ch</t>
  </si>
  <si>
    <t>mia.mannhart@bzu.ch</t>
  </si>
  <si>
    <t>philippe.marty@bzu.ch</t>
  </si>
  <si>
    <t>peter.marty@bzu.ch</t>
  </si>
  <si>
    <t/>
  </si>
  <si>
    <t>Zuerst den "korrigieren" Knopf drücken</t>
  </si>
  <si>
    <t>Wird vom Reviewer zuerst gedrückt!!</t>
  </si>
  <si>
    <t xml:space="preserve">    </t>
  </si>
  <si>
    <t>Bewertet von:</t>
  </si>
  <si>
    <t xml:space="preserve"> Name</t>
  </si>
  <si>
    <t>Lead</t>
  </si>
  <si>
    <t>2.Beurteiler</t>
  </si>
  <si>
    <t>d Moritz</t>
  </si>
  <si>
    <t>u Müller</t>
  </si>
  <si>
    <t>ter (ZH)</t>
  </si>
  <si>
    <t>HelloPerDu</t>
  </si>
  <si>
    <t>CalcRechteck</t>
  </si>
  <si>
    <t>Datenaufbereitung mit Formeln in Excel</t>
  </si>
  <si>
    <t>String-Formeln</t>
  </si>
  <si>
    <t>Gesamtnote:</t>
  </si>
  <si>
    <t>Grafische Datenauswertung (Potenzen)</t>
  </si>
  <si>
    <t>Grafische Datenauswertung (Quadratische Funktion)</t>
  </si>
  <si>
    <t>Datenaufbereiten (laden und Text--&gt;Spalten)</t>
  </si>
  <si>
    <t>Funktionen in VBA programmieren</t>
  </si>
  <si>
    <t>Teil-Note</t>
  </si>
  <si>
    <t>V2.21d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</si>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</sst>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  <font>
      <strike/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55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6" borderId="43" xfId="0" applyFill="1" applyBorder="1"/>
    <xf numFmtId="0" fontId="0" fillId="37" borderId="0" xfId="0" applyFill="1" applyBorder="1"/>
    <xf numFmtId="4" fontId="0" fillId="36" borderId="43" xfId="0" applyNumberFormat="1" applyFill="1" applyBorder="1"/>
    <xf numFmtId="0" fontId="0" fillId="37" borderId="42" xfId="0" applyFill="1" applyBorder="1"/>
    <xf numFmtId="0" fontId="0" fillId="37" borderId="44" xfId="0" applyFill="1" applyBorder="1"/>
    <xf numFmtId="0" fontId="0" fillId="37" borderId="35" xfId="0" applyFill="1" applyBorder="1"/>
    <xf numFmtId="4" fontId="0" fillId="0" borderId="43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3" xfId="0" applyFill="1" applyBorder="1"/>
    <xf numFmtId="0" fontId="0" fillId="0" borderId="44" xfId="0" applyBorder="1"/>
    <xf numFmtId="0" fontId="0" fillId="0" borderId="42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41" xfId="0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7" xfId="0" applyFont="1" applyFill="1" applyBorder="1" applyAlignment="1">
      <alignment horizontal="center"/>
    </xf>
    <xf numFmtId="164" fontId="35" fillId="40" borderId="48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7" xfId="0" applyFont="1" applyFill="1" applyBorder="1" applyAlignment="1">
      <alignment horizontal="center"/>
    </xf>
    <xf numFmtId="164" fontId="35" fillId="41" borderId="48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1" fillId="0" borderId="0" xfId="0" applyFont="1" applyFill="1" applyBorder="1" applyAlignment="1">
      <alignment vertical="center"/>
    </xf>
    <xf numFmtId="0" fontId="31" fillId="42" borderId="0" xfId="0" applyFont="1" applyFill="1" applyBorder="1" applyAlignment="1">
      <alignment vertical="center"/>
    </xf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4" fillId="0" borderId="0" xfId="0" applyFont="1" applyFill="1" applyBorder="1" applyAlignment="1">
      <alignment horizontal="right"/>
    </xf>
    <xf numFmtId="164" fontId="34" fillId="0" borderId="0" xfId="0" applyNumberFormat="1" applyFont="1" applyFill="1" applyBorder="1" applyAlignment="1">
      <alignment horizontal="left"/>
    </xf>
    <xf numFmtId="164" fontId="0" fillId="0" borderId="10" xfId="0" applyNumberFormat="1" applyBorder="1" applyAlignment="1">
      <alignment horizontal="center"/>
    </xf>
    <xf numFmtId="2" fontId="0" fillId="0" borderId="10" xfId="0" applyNumberFormat="1" applyBorder="1"/>
    <xf numFmtId="0" fontId="0" fillId="41" borderId="11" xfId="0" applyFill="1" applyBorder="1"/>
    <xf numFmtId="0" fontId="32" fillId="41" borderId="14" xfId="0" applyFont="1" applyFill="1" applyBorder="1"/>
    <xf numFmtId="0" fontId="0" fillId="41" borderId="14" xfId="0" applyFill="1" applyBorder="1"/>
    <xf numFmtId="0" fontId="37" fillId="41" borderId="14" xfId="0" applyFont="1" applyFill="1" applyBorder="1"/>
    <xf numFmtId="0" fontId="0" fillId="41" borderId="16" xfId="0" applyFill="1" applyBorder="1"/>
    <xf numFmtId="0" fontId="38" fillId="0" borderId="35" xfId="42" applyFont="1" applyBorder="1" applyAlignment="1"/>
    <xf numFmtId="0" fontId="39" fillId="0" borderId="44" xfId="0" applyFont="1" applyBorder="1" applyAlignment="1"/>
    <xf numFmtId="0" fontId="39" fillId="0" borderId="42" xfId="0" applyFont="1" applyBorder="1" applyAlignment="1"/>
    <xf numFmtId="0" fontId="27" fillId="0" borderId="35" xfId="42" applyBorder="1" applyAlignment="1"/>
    <xf numFmtId="0" fontId="0" fillId="0" borderId="44" xfId="0" applyBorder="1" applyAlignment="1"/>
    <xf numFmtId="0" fontId="0" fillId="0" borderId="42" xfId="0" applyBorder="1" applyAlignment="1"/>
    <xf numFmtId="0" fontId="29" fillId="0" borderId="43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  <xf numFmtId="0" fontId="29" fillId="0" borderId="46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7"/>
      <tableStyleElement type="headerRow" dxfId="1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672352</xdr:colOff>
      <xdr:row>2</xdr:row>
      <xdr:rowOff>126995</xdr:rowOff>
    </xdr:from>
    <xdr:ext cx="11452413" cy="2017060"/>
    <xdr:sp macro="" textlink="">
      <xdr:nvSpPr>
        <xdr:cNvPr id="4" name="Textfeld 3"/>
        <xdr:cNvSpPr txBox="1"/>
      </xdr:nvSpPr>
      <xdr:spPr>
        <a:xfrm>
          <a:off x="672352" y="608848"/>
          <a:ext cx="11452413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Walter_Rothlin_2021_10_22.xlsm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M116"/>
  <sheetViews>
    <sheetView showGridLines="0" tabSelected="1" zoomScale="85" zoomScaleNormal="85" workbookViewId="0">
      <selection activeCell="I18" sqref="I18"/>
    </sheetView>
  </sheetViews>
  <sheetFormatPr baseColWidth="10" defaultColWidth="10.85546875" defaultRowHeight="15" x14ac:dyDescent="0.25"/>
  <cols>
    <col min="9" max="9" width="15.140625" customWidth="1"/>
    <col min="11" max="11" width="21.7109375" customWidth="1"/>
    <col min="12" max="13" width="18.85546875" customWidth="1"/>
    <col min="14" max="15" width="24.28515625" customWidth="1"/>
  </cols>
  <sheetData>
    <row r="2" spans="2:7" ht="23.25" x14ac:dyDescent="0.35">
      <c r="B2" s="1" t="s">
        <v>0</v>
      </c>
      <c r="F2" t="s">
        <v>429</v>
      </c>
      <c r="G2" t="s">
        <v>430</v>
      </c>
    </row>
    <row r="4" spans="2:7" ht="15.75" thickBot="1" x14ac:dyDescent="0.3"/>
    <row r="5" spans="2:7" ht="15.75" thickBot="1" x14ac:dyDescent="0.3">
      <c r="B5" s="34"/>
      <c r="C5" s="35"/>
    </row>
    <row r="6" spans="2:7" x14ac:dyDescent="0.25">
      <c r="B6" s="36"/>
      <c r="C6" s="37"/>
    </row>
    <row r="18" spans="2:13" ht="15.75" thickBot="1" x14ac:dyDescent="0.3"/>
    <row r="19" spans="2:13" x14ac:dyDescent="0.25">
      <c r="K19" s="132" t="s">
        <v>412</v>
      </c>
      <c r="L19" s="133" t="s">
        <v>413</v>
      </c>
      <c r="M19" s="134" t="s">
        <v>16</v>
      </c>
    </row>
    <row r="20" spans="2:13" x14ac:dyDescent="0.25">
      <c r="K20" s="135" t="s">
        <v>414</v>
      </c>
      <c r="L20" s="4"/>
      <c r="M20" s="25"/>
    </row>
    <row r="21" spans="2:13" ht="15.75" thickBot="1" x14ac:dyDescent="0.3">
      <c r="K21" s="136" t="s">
        <v>415</v>
      </c>
      <c r="L21" s="26"/>
      <c r="M21" s="27"/>
    </row>
    <row r="22" spans="2:13" x14ac:dyDescent="0.25">
      <c r="B22" s="17"/>
    </row>
    <row r="23" spans="2:13" x14ac:dyDescent="0.25">
      <c r="B23" s="17"/>
    </row>
    <row r="25" spans="2:13" ht="18.75" x14ac:dyDescent="0.3">
      <c r="B25" s="76" t="s">
        <v>331</v>
      </c>
    </row>
    <row r="26" spans="2:13" x14ac:dyDescent="0.25">
      <c r="H26" t="s">
        <v>334</v>
      </c>
      <c r="I26" t="s">
        <v>335</v>
      </c>
    </row>
    <row r="27" spans="2:13" x14ac:dyDescent="0.25">
      <c r="B27" s="149" t="str">
        <f>Datenaufbereitung!B2</f>
        <v>Datenaufbereitung mit Formeln in Excel</v>
      </c>
      <c r="C27" s="150"/>
      <c r="D27" s="150"/>
      <c r="E27" s="150"/>
      <c r="F27" s="150"/>
      <c r="G27" s="151"/>
      <c r="H27" s="139">
        <f>Datenaufbereitung!R17</f>
        <v>5.3787878787878789</v>
      </c>
      <c r="I27" s="6">
        <v>3</v>
      </c>
      <c r="J27" s="140">
        <f>H27*I27</f>
        <v>16.136363636363637</v>
      </c>
    </row>
    <row r="28" spans="2:13" x14ac:dyDescent="0.25">
      <c r="B28" s="146" t="str">
        <f>StringFormeln!B2</f>
        <v>String-Formeln</v>
      </c>
      <c r="C28" s="147"/>
      <c r="D28" s="147"/>
      <c r="E28" s="147"/>
      <c r="F28" s="147"/>
      <c r="G28" s="148"/>
      <c r="H28" s="139">
        <f>StringFormeln!G7</f>
        <v>1</v>
      </c>
      <c r="I28" s="6">
        <v>0</v>
      </c>
      <c r="J28" s="140">
        <f t="shared" ref="J28:J32" si="0">H28*I28</f>
        <v>0</v>
      </c>
    </row>
    <row r="29" spans="2:13" x14ac:dyDescent="0.25">
      <c r="B29" s="146" t="str">
        <f>Potenzen!B2</f>
        <v>Grafische Datenauswertung (Potenzen)</v>
      </c>
      <c r="C29" s="147"/>
      <c r="D29" s="147"/>
      <c r="E29" s="147"/>
      <c r="F29" s="147"/>
      <c r="G29" s="148"/>
      <c r="H29" s="139">
        <f>Potenzen!V27</f>
        <v>1</v>
      </c>
      <c r="I29" s="6">
        <v>0</v>
      </c>
      <c r="J29" s="140">
        <f t="shared" si="0"/>
        <v>0</v>
      </c>
    </row>
    <row r="30" spans="2:13" x14ac:dyDescent="0.25">
      <c r="B30" s="149" t="str">
        <f>QuadratischeFunktion!B2</f>
        <v>Grafische Datenauswertung (Quadratische Funktion)</v>
      </c>
      <c r="C30" s="150"/>
      <c r="D30" s="150"/>
      <c r="E30" s="150"/>
      <c r="F30" s="150"/>
      <c r="G30" s="151"/>
      <c r="H30" s="139">
        <f>QuadratischeFunktion!$V$31</f>
        <v>1</v>
      </c>
      <c r="I30" s="6">
        <v>1</v>
      </c>
      <c r="J30" s="140">
        <f t="shared" si="0"/>
        <v>1</v>
      </c>
    </row>
    <row r="31" spans="2:13" x14ac:dyDescent="0.25">
      <c r="B31" s="149" t="str">
        <f>TXT_Daten!B2</f>
        <v>Datenaufbereiten (laden und Text--&gt;Spalten)</v>
      </c>
      <c r="C31" s="150"/>
      <c r="D31" s="150"/>
      <c r="E31" s="150"/>
      <c r="F31" s="150"/>
      <c r="G31" s="151"/>
      <c r="H31" s="139">
        <f>TXT_Daten!$R$16</f>
        <v>1</v>
      </c>
      <c r="I31" s="6">
        <v>1</v>
      </c>
      <c r="J31" s="140">
        <f t="shared" si="0"/>
        <v>1</v>
      </c>
    </row>
    <row r="32" spans="2:13" x14ac:dyDescent="0.25">
      <c r="B32" s="146" t="str">
        <f>VBA_Programmierung!$B$2</f>
        <v>Funktionen in VBA programmieren</v>
      </c>
      <c r="C32" s="147"/>
      <c r="D32" s="147"/>
      <c r="E32" s="147"/>
      <c r="F32" s="147"/>
      <c r="G32" s="148"/>
      <c r="H32" s="139">
        <f ca="1">VBA_Programmierung!$N$16</f>
        <v>1</v>
      </c>
      <c r="I32" s="6">
        <v>0</v>
      </c>
      <c r="J32" s="140">
        <f t="shared" ca="1" si="0"/>
        <v>0</v>
      </c>
    </row>
    <row r="33" spans="2:10" ht="15.75" thickBot="1" x14ac:dyDescent="0.3">
      <c r="B33" s="43"/>
      <c r="H33" s="128"/>
      <c r="I33" s="129"/>
      <c r="J33" s="121"/>
    </row>
    <row r="34" spans="2:10" ht="19.5" thickBot="1" x14ac:dyDescent="0.35">
      <c r="H34" s="107"/>
      <c r="I34" s="119" t="s">
        <v>423</v>
      </c>
      <c r="J34" s="120">
        <f ca="1">SUM(J27:J32)/SUM(I27:I32)</f>
        <v>3.6272727272727274</v>
      </c>
    </row>
    <row r="35" spans="2:10" x14ac:dyDescent="0.25">
      <c r="H35" s="107"/>
    </row>
    <row r="36" spans="2:10" x14ac:dyDescent="0.25">
      <c r="H36" s="107"/>
    </row>
    <row r="38" spans="2:10" ht="18.75" x14ac:dyDescent="0.3">
      <c r="I38" s="137"/>
      <c r="J38" s="138"/>
    </row>
    <row r="102" spans="3:10" ht="21" x14ac:dyDescent="0.35">
      <c r="C102" s="70" t="s">
        <v>192</v>
      </c>
    </row>
    <row r="103" spans="3:10" x14ac:dyDescent="0.25">
      <c r="C103" s="71" t="s">
        <v>193</v>
      </c>
      <c r="D103" s="71"/>
      <c r="E103" s="71"/>
      <c r="F103" s="71"/>
      <c r="J103" t="s">
        <v>40</v>
      </c>
    </row>
    <row r="104" spans="3:10" x14ac:dyDescent="0.25">
      <c r="C104" s="74" t="s">
        <v>194</v>
      </c>
      <c r="D104" s="72"/>
      <c r="E104" s="72"/>
      <c r="F104" s="73"/>
      <c r="J104" t="s">
        <v>48</v>
      </c>
    </row>
    <row r="105" spans="3:10" x14ac:dyDescent="0.25">
      <c r="C105" s="74" t="s">
        <v>195</v>
      </c>
      <c r="D105" s="72"/>
      <c r="E105" s="72"/>
      <c r="F105" s="73"/>
    </row>
    <row r="106" spans="3:10" x14ac:dyDescent="0.25">
      <c r="C106" s="74" t="s">
        <v>196</v>
      </c>
      <c r="D106" s="72"/>
      <c r="E106" s="72"/>
      <c r="F106" s="73"/>
    </row>
    <row r="107" spans="3:10" x14ac:dyDescent="0.25">
      <c r="C107" s="74" t="s">
        <v>197</v>
      </c>
      <c r="D107" s="72"/>
      <c r="E107" s="72"/>
      <c r="F107" s="73"/>
    </row>
    <row r="108" spans="3:10" x14ac:dyDescent="0.25">
      <c r="C108" s="74" t="s">
        <v>198</v>
      </c>
      <c r="D108" s="72"/>
      <c r="E108" s="72"/>
      <c r="F108" s="73"/>
    </row>
    <row r="109" spans="3:10" x14ac:dyDescent="0.25">
      <c r="C109" s="74" t="s">
        <v>199</v>
      </c>
      <c r="D109" s="72"/>
      <c r="E109" s="72"/>
      <c r="F109" s="73"/>
    </row>
    <row r="110" spans="3:10" x14ac:dyDescent="0.25">
      <c r="C110" s="74" t="s">
        <v>200</v>
      </c>
      <c r="D110" s="72"/>
      <c r="E110" s="72"/>
      <c r="F110" s="73"/>
    </row>
    <row r="111" spans="3:10" x14ac:dyDescent="0.25">
      <c r="C111" s="74" t="s">
        <v>201</v>
      </c>
      <c r="D111" s="72"/>
      <c r="E111" s="72"/>
      <c r="F111" s="73"/>
    </row>
    <row r="112" spans="3:10" x14ac:dyDescent="0.25">
      <c r="C112" s="74" t="s">
        <v>202</v>
      </c>
      <c r="D112" s="72"/>
      <c r="E112" s="72"/>
      <c r="F112" s="73"/>
    </row>
    <row r="113" spans="3:6" x14ac:dyDescent="0.25">
      <c r="C113" s="74" t="s">
        <v>203</v>
      </c>
      <c r="D113" s="72"/>
      <c r="E113" s="72"/>
      <c r="F113" s="73"/>
    </row>
    <row r="114" spans="3:6" x14ac:dyDescent="0.25">
      <c r="C114" s="74" t="s">
        <v>204</v>
      </c>
      <c r="D114" s="72"/>
      <c r="E114" s="72"/>
      <c r="F114" s="73"/>
    </row>
    <row r="115" spans="3:6" x14ac:dyDescent="0.25">
      <c r="C115" s="74" t="s">
        <v>205</v>
      </c>
      <c r="D115" s="72"/>
      <c r="E115" s="72"/>
      <c r="F115" s="73"/>
    </row>
    <row r="116" spans="3:6" x14ac:dyDescent="0.25">
      <c r="C116" s="74" t="s">
        <v>206</v>
      </c>
      <c r="D116" s="72"/>
      <c r="E116" s="72"/>
      <c r="F116" s="73"/>
    </row>
  </sheetData>
  <mergeCells count="6">
    <mergeCell ref="B32:G32"/>
    <mergeCell ref="B27:G27"/>
    <mergeCell ref="B28:G28"/>
    <mergeCell ref="B29:G29"/>
    <mergeCell ref="B30:G30"/>
    <mergeCell ref="B31:G31"/>
  </mergeCells>
  <conditionalFormatting sqref="F2">
    <cfRule type="expression" dxfId="115" priority="9">
      <formula>$B$6&lt;&gt;""</formula>
    </cfRule>
  </conditionalFormatting>
  <conditionalFormatting sqref="B27">
    <cfRule type="expression" dxfId="114" priority="8">
      <formula>I27=0</formula>
    </cfRule>
  </conditionalFormatting>
  <conditionalFormatting sqref="B28">
    <cfRule type="expression" dxfId="113" priority="7">
      <formula>I28=0</formula>
    </cfRule>
  </conditionalFormatting>
  <conditionalFormatting sqref="B30">
    <cfRule type="expression" dxfId="112" priority="5">
      <formula>I30=0</formula>
    </cfRule>
  </conditionalFormatting>
  <conditionalFormatting sqref="B31">
    <cfRule type="expression" dxfId="111" priority="4">
      <formula>I31=0</formula>
    </cfRule>
  </conditionalFormatting>
  <conditionalFormatting sqref="B29">
    <cfRule type="expression" dxfId="110" priority="2">
      <formula>I29=0</formula>
    </cfRule>
  </conditionalFormatting>
  <conditionalFormatting sqref="B32">
    <cfRule type="expression" dxfId="109" priority="1">
      <formula>I32=0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2" location="VBA_Programmierung!A1" display="VBA_Programmierung!A1"/>
  </hyperlinks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/>
  </sheetViews>
  <sheetFormatPr baseColWidth="10" defaultColWidth="10.85546875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421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211</v>
      </c>
      <c r="L3" s="51"/>
    </row>
    <row r="4" spans="2:26" x14ac:dyDescent="0.25">
      <c r="J4" s="47" t="s">
        <v>189</v>
      </c>
      <c r="K4" s="44">
        <f>SUM(E66:AD66)</f>
        <v>2</v>
      </c>
      <c r="L4" s="49"/>
    </row>
    <row r="5" spans="2:26" x14ac:dyDescent="0.25">
      <c r="J5" s="55" t="s">
        <v>191</v>
      </c>
      <c r="K5" s="44">
        <f>SUM(E67:AD67)</f>
        <v>7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5.7954545454545459</v>
      </c>
    </row>
    <row r="7" spans="2:26" ht="15.75" thickBot="1" x14ac:dyDescent="0.3"/>
    <row r="8" spans="2:26" x14ac:dyDescent="0.25">
      <c r="O8" s="141"/>
      <c r="P8" s="108"/>
      <c r="Q8" s="108"/>
      <c r="R8" s="108"/>
      <c r="S8" s="108"/>
      <c r="T8" s="108"/>
      <c r="U8" s="108"/>
      <c r="V8" s="108"/>
      <c r="W8" s="108"/>
      <c r="X8" s="108"/>
      <c r="Y8" s="108"/>
      <c r="Z8" s="109"/>
    </row>
    <row r="9" spans="2:26" ht="18.75" x14ac:dyDescent="0.3">
      <c r="O9" s="142" t="s">
        <v>285</v>
      </c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1"/>
    </row>
    <row r="10" spans="2:26" ht="15.75" thickBot="1" x14ac:dyDescent="0.3">
      <c r="O10" s="143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1"/>
    </row>
    <row r="11" spans="2:26" ht="15.75" x14ac:dyDescent="0.25">
      <c r="O11" s="144" t="s">
        <v>409</v>
      </c>
      <c r="P11" s="110"/>
      <c r="Q11" s="110"/>
      <c r="R11" s="110"/>
      <c r="S11" s="110"/>
      <c r="T11" s="110"/>
      <c r="U11" s="110"/>
      <c r="V11" s="110"/>
      <c r="W11" s="110"/>
      <c r="X11" s="110"/>
      <c r="Y11" s="123"/>
      <c r="Z11" s="124"/>
    </row>
    <row r="12" spans="2:26" x14ac:dyDescent="0.25">
      <c r="O12" s="143" t="s">
        <v>302</v>
      </c>
      <c r="P12" s="110"/>
      <c r="Q12" s="110"/>
      <c r="R12" s="110"/>
      <c r="S12" s="110"/>
      <c r="T12" s="110"/>
      <c r="U12" s="110"/>
      <c r="V12" s="110"/>
      <c r="W12" s="115" t="s">
        <v>48</v>
      </c>
      <c r="X12" s="110"/>
      <c r="Y12" s="125" t="s">
        <v>410</v>
      </c>
      <c r="Z12" s="122"/>
    </row>
    <row r="13" spans="2:26" x14ac:dyDescent="0.25">
      <c r="O13" s="143" t="s">
        <v>333</v>
      </c>
      <c r="P13" s="110"/>
      <c r="Q13" s="110"/>
      <c r="R13" s="110"/>
      <c r="S13" s="110"/>
      <c r="T13" s="110"/>
      <c r="U13" s="110"/>
      <c r="V13" s="110"/>
      <c r="W13" s="115" t="s">
        <v>48</v>
      </c>
      <c r="X13" s="110"/>
      <c r="Y13" s="125"/>
      <c r="Z13" s="122"/>
    </row>
    <row r="14" spans="2:26" x14ac:dyDescent="0.25">
      <c r="O14" s="143" t="s">
        <v>332</v>
      </c>
      <c r="P14" s="110"/>
      <c r="Q14" s="110"/>
      <c r="R14" s="110"/>
      <c r="S14" s="110"/>
      <c r="T14" s="110"/>
      <c r="U14" s="110"/>
      <c r="V14" s="110"/>
      <c r="W14" s="115" t="s">
        <v>48</v>
      </c>
      <c r="X14" s="110"/>
      <c r="Y14" s="125"/>
      <c r="Z14" s="122"/>
    </row>
    <row r="15" spans="2:26" ht="15.75" thickBot="1" x14ac:dyDescent="0.3">
      <c r="O15" s="143"/>
      <c r="P15" s="110"/>
      <c r="Q15" s="110"/>
      <c r="R15" s="110"/>
      <c r="S15" s="110"/>
      <c r="T15" s="110"/>
      <c r="U15" s="112" t="s">
        <v>297</v>
      </c>
      <c r="V15" s="110"/>
      <c r="W15" s="115">
        <f>COUNTIF(W12:W14,"&lt;&gt; ")</f>
        <v>3</v>
      </c>
      <c r="X15" s="110"/>
      <c r="Y15" s="125"/>
      <c r="Z15" s="122"/>
    </row>
    <row r="16" spans="2:26" ht="18.75" x14ac:dyDescent="0.3">
      <c r="O16" s="143"/>
      <c r="P16" s="110"/>
      <c r="Q16" s="110"/>
      <c r="R16" s="117" t="s">
        <v>428</v>
      </c>
      <c r="S16" s="110"/>
      <c r="T16" s="110"/>
      <c r="U16" s="112" t="s">
        <v>298</v>
      </c>
      <c r="V16" s="110"/>
      <c r="W16" s="115">
        <f>COUNTIF(W12:W14,"=Ja")</f>
        <v>0</v>
      </c>
      <c r="X16" s="110"/>
      <c r="Y16" s="125"/>
      <c r="Z16" s="122"/>
    </row>
    <row r="17" spans="15:26" ht="21.75" thickBot="1" x14ac:dyDescent="0.4">
      <c r="O17" s="143"/>
      <c r="P17" s="110"/>
      <c r="Q17" s="110"/>
      <c r="R17" s="118">
        <f>(L6-0.5) + (W17/12)</f>
        <v>5.3787878787878789</v>
      </c>
      <c r="S17" s="110"/>
      <c r="T17" s="110"/>
      <c r="U17" s="112" t="s">
        <v>314</v>
      </c>
      <c r="V17" s="110"/>
      <c r="W17" s="116">
        <f>(5/W15)*W16+1</f>
        <v>1</v>
      </c>
      <c r="X17" s="110"/>
      <c r="Y17" s="126"/>
      <c r="Z17" s="127"/>
    </row>
    <row r="18" spans="15:26" x14ac:dyDescent="0.25">
      <c r="O18" s="143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1"/>
    </row>
    <row r="19" spans="15:26" ht="15.75" thickBot="1" x14ac:dyDescent="0.3">
      <c r="O19" s="145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4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/>
      <c r="E37" s="39" t="str">
        <f>IF(EXACT(D37,PROPER(CONCATENATE(LEFT(C37,1),"."))),"ok",IF(D37="","--","nok"))</f>
        <v>--</v>
      </c>
      <c r="F37" s="58"/>
      <c r="G37" s="39" t="str">
        <f t="shared" ref="G37:G63" si="0">IF(F37=PROPER(CONCATENATE(D37,B37)),"ok",IF(F37="","--","nok"))</f>
        <v>--</v>
      </c>
      <c r="H37" s="4" t="s">
        <v>167</v>
      </c>
      <c r="I37" s="4">
        <v>8853</v>
      </c>
      <c r="J37" s="4" t="s">
        <v>50</v>
      </c>
      <c r="K37" s="4" t="s">
        <v>22</v>
      </c>
      <c r="L37" s="58"/>
      <c r="M37" s="39" t="str">
        <f t="shared" ref="M37:M63" si="1">IF(L37=CONCATENATE(K37,"-",I37," ",J37),"ok",IF(L37="","--","nok"))</f>
        <v>--</v>
      </c>
      <c r="N37" s="4" t="s">
        <v>166</v>
      </c>
      <c r="O37" s="58"/>
      <c r="P37" s="39" t="str">
        <f>IF(EXACT(O37,CONCATENATE(LOWER(C37),".",LOWER(B37),"@","bzu.ch")),"ok",IF(O37="","--","nok"))</f>
        <v>--</v>
      </c>
      <c r="Q37" s="4" t="s">
        <v>165</v>
      </c>
      <c r="R37" s="4" t="s">
        <v>48</v>
      </c>
      <c r="S37" s="58"/>
      <c r="T37" s="39" t="str">
        <f t="shared" ref="T37:T63" si="2">IF(S37="","--",IF(S37=IF(R37="Ja",1,0),"ok","nok"))</f>
        <v>--</v>
      </c>
      <c r="U37" s="58"/>
      <c r="V37" s="39" t="str">
        <f t="shared" ref="V37:V63" si="3">IF(U37="","--",IF(U37=IF(R37="Ja",0,1),"ok","nok"))</f>
        <v>--</v>
      </c>
      <c r="W37" s="58"/>
      <c r="X37" s="39" t="str">
        <f t="shared" ref="X37:X63" si="4">IF(W37=IF(R37="Nein",IF(N37&lt;&gt;"",N37,O37),""),"ok",IF(W37="","--","nok"))</f>
        <v>--</v>
      </c>
      <c r="Y37" s="40">
        <v>50</v>
      </c>
      <c r="Z37" s="40">
        <v>49.5</v>
      </c>
      <c r="AA37" s="59" t="s">
        <v>411</v>
      </c>
      <c r="AB37" s="39" t="str">
        <f t="shared" ref="AB37:AB63" si="5">IF(AA37=Y37-Z37,"ok",IF(AA37="","--","nok"))</f>
        <v>nok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">
        <v>336</v>
      </c>
      <c r="E38" s="39" t="str">
        <f>IF(EXACT(D38,PROPER(CONCATENATE(LEFT(C38,1),"."))),"ok",IF(D38="","--","nok"))</f>
        <v>ok</v>
      </c>
      <c r="F38" s="58" t="s">
        <v>343</v>
      </c>
      <c r="G38" s="39" t="str">
        <f t="shared" si="0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">
        <v>367</v>
      </c>
      <c r="M38" s="39" t="str">
        <f t="shared" si="1"/>
        <v>ok</v>
      </c>
      <c r="N38" s="4" t="s">
        <v>161</v>
      </c>
      <c r="O38" s="58" t="s">
        <v>382</v>
      </c>
      <c r="P38" s="39" t="str">
        <f t="shared" ref="P38:P63" si="6">IF(EXACT(O38,CONCATENATE(LOWER(C38),".",LOWER(B38),"@","bzu.ch")),"ok",IF(O38="","--","nok"))</f>
        <v>ok</v>
      </c>
      <c r="Q38" s="4" t="s">
        <v>160</v>
      </c>
      <c r="R38" s="4" t="s">
        <v>40</v>
      </c>
      <c r="S38" s="58">
        <v>1</v>
      </c>
      <c r="T38" s="39" t="str">
        <f t="shared" si="2"/>
        <v>ok</v>
      </c>
      <c r="U38" s="58">
        <v>0</v>
      </c>
      <c r="V38" s="39" t="str">
        <f t="shared" si="3"/>
        <v>ok</v>
      </c>
      <c r="W38" s="58" t="s">
        <v>408</v>
      </c>
      <c r="X38" s="39" t="str">
        <f t="shared" si="4"/>
        <v>ok</v>
      </c>
      <c r="Y38" s="40">
        <v>68</v>
      </c>
      <c r="Z38" s="40">
        <v>30</v>
      </c>
      <c r="AA38" s="59">
        <v>38</v>
      </c>
      <c r="AB38" s="39" t="str">
        <f t="shared" si="5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">
        <v>337</v>
      </c>
      <c r="E39" s="39" t="str">
        <f t="shared" ref="E39:E63" si="7">IF(EXACT(D39,PROPER(CONCATENATE(LEFT(C39,1),"."))),"ok",IF(D39="","--","nok"))</f>
        <v>ok</v>
      </c>
      <c r="F39" s="58" t="s">
        <v>344</v>
      </c>
      <c r="G39" s="39" t="str">
        <f t="shared" si="0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">
        <v>367</v>
      </c>
      <c r="M39" s="39" t="str">
        <f t="shared" si="1"/>
        <v>ok</v>
      </c>
      <c r="N39" s="4"/>
      <c r="O39" s="58" t="s">
        <v>383</v>
      </c>
      <c r="P39" s="39" t="str">
        <f t="shared" si="6"/>
        <v>ok</v>
      </c>
      <c r="Q39" s="4" t="s">
        <v>156</v>
      </c>
      <c r="R39" s="4" t="s">
        <v>48</v>
      </c>
      <c r="S39" s="58">
        <v>0</v>
      </c>
      <c r="T39" s="39" t="str">
        <f t="shared" si="2"/>
        <v>ok</v>
      </c>
      <c r="U39" s="58">
        <v>1</v>
      </c>
      <c r="V39" s="39" t="str">
        <f t="shared" si="3"/>
        <v>ok</v>
      </c>
      <c r="W39" s="58" t="s">
        <v>383</v>
      </c>
      <c r="X39" s="39" t="str">
        <f t="shared" si="4"/>
        <v>ok</v>
      </c>
      <c r="Y39" s="40">
        <v>123</v>
      </c>
      <c r="Z39" s="40">
        <v>100</v>
      </c>
      <c r="AA39" s="59">
        <v>23</v>
      </c>
      <c r="AB39" s="39" t="str">
        <f t="shared" si="5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">
        <v>338</v>
      </c>
      <c r="E40" s="39" t="str">
        <f t="shared" si="7"/>
        <v>ok</v>
      </c>
      <c r="F40" s="58" t="s">
        <v>345</v>
      </c>
      <c r="G40" s="39" t="str">
        <f t="shared" si="0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">
        <v>368</v>
      </c>
      <c r="M40" s="39" t="str">
        <f t="shared" si="1"/>
        <v>ok</v>
      </c>
      <c r="N40" s="4" t="s">
        <v>151</v>
      </c>
      <c r="O40" s="58" t="s">
        <v>384</v>
      </c>
      <c r="P40" s="39" t="str">
        <f t="shared" si="6"/>
        <v>ok</v>
      </c>
      <c r="Q40" s="4" t="s">
        <v>150</v>
      </c>
      <c r="R40" s="4" t="s">
        <v>40</v>
      </c>
      <c r="S40" s="58">
        <v>1</v>
      </c>
      <c r="T40" s="39" t="str">
        <f t="shared" si="2"/>
        <v>ok</v>
      </c>
      <c r="U40" s="58">
        <v>0</v>
      </c>
      <c r="V40" s="39" t="str">
        <f t="shared" si="3"/>
        <v>ok</v>
      </c>
      <c r="W40" s="58" t="s">
        <v>408</v>
      </c>
      <c r="X40" s="39" t="str">
        <f t="shared" si="4"/>
        <v>ok</v>
      </c>
      <c r="Y40" s="40">
        <v>45.3</v>
      </c>
      <c r="Z40" s="40">
        <v>30</v>
      </c>
      <c r="AA40" s="59">
        <v>15.299999999999997</v>
      </c>
      <c r="AB40" s="39" t="str">
        <f t="shared" si="5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">
        <v>339</v>
      </c>
      <c r="E41" s="39" t="str">
        <f t="shared" si="7"/>
        <v>ok</v>
      </c>
      <c r="F41" s="58" t="s">
        <v>346</v>
      </c>
      <c r="G41" s="39" t="str">
        <f t="shared" si="0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">
        <v>369</v>
      </c>
      <c r="M41" s="39" t="str">
        <f t="shared" si="1"/>
        <v>ok</v>
      </c>
      <c r="N41" s="4"/>
      <c r="O41" s="58" t="s">
        <v>385</v>
      </c>
      <c r="P41" s="39" t="str">
        <f t="shared" si="6"/>
        <v>ok</v>
      </c>
      <c r="Q41" s="4" t="s">
        <v>146</v>
      </c>
      <c r="R41" s="4" t="s">
        <v>48</v>
      </c>
      <c r="S41" s="58">
        <v>0</v>
      </c>
      <c r="T41" s="39" t="str">
        <f t="shared" si="2"/>
        <v>ok</v>
      </c>
      <c r="U41" s="58">
        <v>1</v>
      </c>
      <c r="V41" s="39" t="str">
        <f t="shared" si="3"/>
        <v>ok</v>
      </c>
      <c r="W41" s="58" t="s">
        <v>385</v>
      </c>
      <c r="X41" s="39" t="str">
        <f t="shared" si="4"/>
        <v>ok</v>
      </c>
      <c r="Y41" s="40">
        <v>312.56</v>
      </c>
      <c r="Z41" s="40">
        <v>50</v>
      </c>
      <c r="AA41" s="59">
        <v>262.56</v>
      </c>
      <c r="AB41" s="39" t="str">
        <f t="shared" si="5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">
        <v>336</v>
      </c>
      <c r="E42" s="39" t="str">
        <f t="shared" si="7"/>
        <v>ok</v>
      </c>
      <c r="F42" s="58" t="s">
        <v>347</v>
      </c>
      <c r="G42" s="39" t="str">
        <f t="shared" si="0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">
        <v>370</v>
      </c>
      <c r="M42" s="39" t="str">
        <f t="shared" si="1"/>
        <v>ok</v>
      </c>
      <c r="N42" s="4" t="s">
        <v>141</v>
      </c>
      <c r="O42" s="58" t="s">
        <v>386</v>
      </c>
      <c r="P42" s="39" t="str">
        <f t="shared" si="6"/>
        <v>ok</v>
      </c>
      <c r="Q42" s="4" t="s">
        <v>140</v>
      </c>
      <c r="R42" s="4" t="s">
        <v>40</v>
      </c>
      <c r="S42" s="58">
        <v>1</v>
      </c>
      <c r="T42" s="39" t="str">
        <f t="shared" si="2"/>
        <v>ok</v>
      </c>
      <c r="U42" s="58">
        <v>0</v>
      </c>
      <c r="V42" s="39" t="str">
        <f t="shared" si="3"/>
        <v>ok</v>
      </c>
      <c r="W42" s="58" t="s">
        <v>408</v>
      </c>
      <c r="X42" s="39" t="str">
        <f t="shared" si="4"/>
        <v>ok</v>
      </c>
      <c r="Y42" s="40">
        <v>21.3</v>
      </c>
      <c r="Z42" s="40">
        <v>10</v>
      </c>
      <c r="AA42" s="59">
        <v>11.3</v>
      </c>
      <c r="AB42" s="39" t="str">
        <f t="shared" si="5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">
        <v>336</v>
      </c>
      <c r="E43" s="39" t="str">
        <f t="shared" si="7"/>
        <v>ok</v>
      </c>
      <c r="F43" s="58" t="s">
        <v>348</v>
      </c>
      <c r="G43" s="39" t="str">
        <f t="shared" si="0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">
        <v>371</v>
      </c>
      <c r="M43" s="39" t="str">
        <f t="shared" si="1"/>
        <v>ok</v>
      </c>
      <c r="N43" s="4" t="s">
        <v>136</v>
      </c>
      <c r="O43" s="58" t="s">
        <v>387</v>
      </c>
      <c r="P43" s="39" t="str">
        <f t="shared" si="6"/>
        <v>ok</v>
      </c>
      <c r="Q43" s="4" t="s">
        <v>135</v>
      </c>
      <c r="R43" s="4" t="s">
        <v>40</v>
      </c>
      <c r="S43" s="58">
        <v>1</v>
      </c>
      <c r="T43" s="39" t="str">
        <f t="shared" si="2"/>
        <v>ok</v>
      </c>
      <c r="U43" s="58">
        <v>0</v>
      </c>
      <c r="V43" s="39" t="str">
        <f t="shared" si="3"/>
        <v>ok</v>
      </c>
      <c r="W43" s="58" t="s">
        <v>408</v>
      </c>
      <c r="X43" s="39" t="str">
        <f t="shared" si="4"/>
        <v>ok</v>
      </c>
      <c r="Y43" s="40">
        <v>45.7</v>
      </c>
      <c r="Z43" s="40">
        <v>0</v>
      </c>
      <c r="AA43" s="59">
        <v>45.7</v>
      </c>
      <c r="AB43" s="39" t="str">
        <f t="shared" si="5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">
        <v>337</v>
      </c>
      <c r="E44" s="39" t="str">
        <f t="shared" si="7"/>
        <v>ok</v>
      </c>
      <c r="F44" s="58" t="s">
        <v>349</v>
      </c>
      <c r="G44" s="39" t="str">
        <f t="shared" si="0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">
        <v>372</v>
      </c>
      <c r="M44" s="39" t="str">
        <f t="shared" si="1"/>
        <v>ok</v>
      </c>
      <c r="N44" s="4"/>
      <c r="O44" s="58" t="s">
        <v>388</v>
      </c>
      <c r="P44" s="39" t="str">
        <f t="shared" si="6"/>
        <v>ok</v>
      </c>
      <c r="Q44" s="4" t="s">
        <v>130</v>
      </c>
      <c r="R44" s="4" t="s">
        <v>48</v>
      </c>
      <c r="S44" s="58">
        <v>0</v>
      </c>
      <c r="T44" s="39" t="str">
        <f t="shared" si="2"/>
        <v>ok</v>
      </c>
      <c r="U44" s="58">
        <v>1</v>
      </c>
      <c r="V44" s="39" t="str">
        <f t="shared" si="3"/>
        <v>ok</v>
      </c>
      <c r="W44" s="58" t="s">
        <v>388</v>
      </c>
      <c r="X44" s="39" t="str">
        <f t="shared" si="4"/>
        <v>ok</v>
      </c>
      <c r="Y44" s="40">
        <v>427.8</v>
      </c>
      <c r="Z44" s="40">
        <v>250</v>
      </c>
      <c r="AA44" s="59">
        <v>177.8</v>
      </c>
      <c r="AB44" s="39" t="str">
        <f t="shared" si="5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">
        <v>340</v>
      </c>
      <c r="E45" s="39" t="str">
        <f t="shared" si="7"/>
        <v>ok</v>
      </c>
      <c r="F45" s="58" t="s">
        <v>350</v>
      </c>
      <c r="G45" s="39" t="str">
        <f t="shared" si="0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">
        <v>367</v>
      </c>
      <c r="M45" s="39" t="str">
        <f t="shared" si="1"/>
        <v>ok</v>
      </c>
      <c r="N45" s="4" t="s">
        <v>127</v>
      </c>
      <c r="O45" s="58" t="s">
        <v>389</v>
      </c>
      <c r="P45" s="39" t="str">
        <f t="shared" si="6"/>
        <v>ok</v>
      </c>
      <c r="Q45" s="4" t="s">
        <v>121</v>
      </c>
      <c r="R45" s="4" t="s">
        <v>48</v>
      </c>
      <c r="S45" s="58">
        <v>0</v>
      </c>
      <c r="T45" s="39" t="str">
        <f t="shared" si="2"/>
        <v>ok</v>
      </c>
      <c r="U45" s="58">
        <v>1</v>
      </c>
      <c r="V45" s="39" t="str">
        <f t="shared" si="3"/>
        <v>ok</v>
      </c>
      <c r="W45" s="58" t="s">
        <v>127</v>
      </c>
      <c r="X45" s="39" t="str">
        <f t="shared" si="4"/>
        <v>ok</v>
      </c>
      <c r="Y45" s="40">
        <v>34.700000000000003</v>
      </c>
      <c r="Z45" s="40">
        <v>0</v>
      </c>
      <c r="AA45" s="59">
        <v>34.700000000000003</v>
      </c>
      <c r="AB45" s="39" t="str">
        <f t="shared" si="5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">
        <v>336</v>
      </c>
      <c r="E46" s="39" t="str">
        <f t="shared" si="7"/>
        <v>ok</v>
      </c>
      <c r="F46" s="58" t="s">
        <v>351</v>
      </c>
      <c r="G46" s="39" t="str">
        <f t="shared" si="0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">
        <v>367</v>
      </c>
      <c r="M46" s="39" t="str">
        <f t="shared" si="1"/>
        <v>ok</v>
      </c>
      <c r="N46" s="4" t="s">
        <v>125</v>
      </c>
      <c r="O46" s="58" t="s">
        <v>390</v>
      </c>
      <c r="P46" s="39" t="str">
        <f t="shared" si="6"/>
        <v>ok</v>
      </c>
      <c r="Q46" s="4" t="s">
        <v>121</v>
      </c>
      <c r="R46" s="4" t="s">
        <v>48</v>
      </c>
      <c r="S46" s="58">
        <v>0</v>
      </c>
      <c r="T46" s="39" t="str">
        <f t="shared" si="2"/>
        <v>ok</v>
      </c>
      <c r="U46" s="58">
        <v>1</v>
      </c>
      <c r="V46" s="39" t="str">
        <f t="shared" si="3"/>
        <v>ok</v>
      </c>
      <c r="W46" s="58" t="s">
        <v>125</v>
      </c>
      <c r="X46" s="39" t="str">
        <f t="shared" si="4"/>
        <v>ok</v>
      </c>
      <c r="Y46" s="40">
        <v>35.9</v>
      </c>
      <c r="Z46" s="40">
        <v>0</v>
      </c>
      <c r="AA46" s="59">
        <v>35.9</v>
      </c>
      <c r="AB46" s="39" t="str">
        <f t="shared" si="5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">
        <v>336</v>
      </c>
      <c r="E47" s="39" t="str">
        <f t="shared" si="7"/>
        <v>ok</v>
      </c>
      <c r="F47" s="58" t="s">
        <v>351</v>
      </c>
      <c r="G47" s="39" t="str">
        <f t="shared" si="0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">
        <v>367</v>
      </c>
      <c r="M47" s="39" t="str">
        <f t="shared" si="1"/>
        <v>ok</v>
      </c>
      <c r="N47" s="4"/>
      <c r="O47" s="58" t="s">
        <v>391</v>
      </c>
      <c r="P47" s="39" t="str">
        <f t="shared" si="6"/>
        <v>ok</v>
      </c>
      <c r="Q47" s="4" t="s">
        <v>121</v>
      </c>
      <c r="R47" s="4" t="s">
        <v>40</v>
      </c>
      <c r="S47" s="58">
        <v>1</v>
      </c>
      <c r="T47" s="39" t="str">
        <f t="shared" si="2"/>
        <v>ok</v>
      </c>
      <c r="U47" s="58">
        <v>0</v>
      </c>
      <c r="V47" s="39" t="str">
        <f t="shared" si="3"/>
        <v>ok</v>
      </c>
      <c r="W47" s="58" t="s">
        <v>408</v>
      </c>
      <c r="X47" s="39" t="str">
        <f t="shared" si="4"/>
        <v>ok</v>
      </c>
      <c r="Y47" s="40">
        <v>17.8</v>
      </c>
      <c r="Z47" s="40">
        <v>0</v>
      </c>
      <c r="AA47" s="59">
        <v>17.8</v>
      </c>
      <c r="AB47" s="39" t="str">
        <f t="shared" si="5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">
        <v>336</v>
      </c>
      <c r="E48" s="39" t="str">
        <f t="shared" si="7"/>
        <v>ok</v>
      </c>
      <c r="F48" s="58" t="s">
        <v>352</v>
      </c>
      <c r="G48" s="39" t="str">
        <f t="shared" si="0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">
        <v>367</v>
      </c>
      <c r="M48" s="39" t="str">
        <f t="shared" si="1"/>
        <v>ok</v>
      </c>
      <c r="N48" s="4" t="s">
        <v>117</v>
      </c>
      <c r="O48" s="58" t="s">
        <v>392</v>
      </c>
      <c r="P48" s="39" t="str">
        <f t="shared" si="6"/>
        <v>ok</v>
      </c>
      <c r="Q48" s="4" t="s">
        <v>93</v>
      </c>
      <c r="R48" s="4" t="s">
        <v>48</v>
      </c>
      <c r="S48" s="58">
        <v>0</v>
      </c>
      <c r="T48" s="39" t="str">
        <f t="shared" si="2"/>
        <v>ok</v>
      </c>
      <c r="U48" s="58">
        <v>1</v>
      </c>
      <c r="V48" s="39" t="str">
        <f t="shared" si="3"/>
        <v>ok</v>
      </c>
      <c r="W48" s="58" t="s">
        <v>117</v>
      </c>
      <c r="X48" s="39" t="str">
        <f t="shared" si="4"/>
        <v>ok</v>
      </c>
      <c r="Y48" s="40">
        <v>68</v>
      </c>
      <c r="Z48" s="40">
        <v>20</v>
      </c>
      <c r="AA48" s="59">
        <v>48</v>
      </c>
      <c r="AB48" s="39" t="str">
        <f t="shared" si="5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">
        <v>336</v>
      </c>
      <c r="E49" s="39" t="str">
        <f t="shared" si="7"/>
        <v>ok</v>
      </c>
      <c r="F49" s="58" t="s">
        <v>353</v>
      </c>
      <c r="G49" s="39" t="str">
        <f t="shared" si="0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">
        <v>369</v>
      </c>
      <c r="M49" s="39" t="str">
        <f t="shared" si="1"/>
        <v>ok</v>
      </c>
      <c r="N49" s="4"/>
      <c r="O49" s="58" t="s">
        <v>393</v>
      </c>
      <c r="P49" s="39" t="str">
        <f t="shared" si="6"/>
        <v>ok</v>
      </c>
      <c r="Q49" s="4" t="s">
        <v>112</v>
      </c>
      <c r="R49" s="4" t="s">
        <v>40</v>
      </c>
      <c r="S49" s="58">
        <v>1</v>
      </c>
      <c r="T49" s="39" t="str">
        <f t="shared" si="2"/>
        <v>ok</v>
      </c>
      <c r="U49" s="58">
        <v>0</v>
      </c>
      <c r="V49" s="39" t="str">
        <f t="shared" si="3"/>
        <v>ok</v>
      </c>
      <c r="W49" s="58" t="s">
        <v>408</v>
      </c>
      <c r="X49" s="39" t="str">
        <f t="shared" si="4"/>
        <v>ok</v>
      </c>
      <c r="Y49" s="40">
        <v>32</v>
      </c>
      <c r="Z49" s="40">
        <v>0</v>
      </c>
      <c r="AA49" s="59">
        <v>32</v>
      </c>
      <c r="AB49" s="39" t="str">
        <f t="shared" si="5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">
        <v>336</v>
      </c>
      <c r="E50" s="39" t="str">
        <f t="shared" si="7"/>
        <v>ok</v>
      </c>
      <c r="F50" s="58" t="s">
        <v>354</v>
      </c>
      <c r="G50" s="39" t="str">
        <f t="shared" si="0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">
        <v>373</v>
      </c>
      <c r="M50" s="39" t="str">
        <f t="shared" si="1"/>
        <v>ok</v>
      </c>
      <c r="N50" s="4" t="s">
        <v>107</v>
      </c>
      <c r="O50" s="58" t="s">
        <v>394</v>
      </c>
      <c r="P50" s="39" t="str">
        <f t="shared" si="6"/>
        <v>ok</v>
      </c>
      <c r="Q50" s="4" t="s">
        <v>106</v>
      </c>
      <c r="R50" s="4" t="s">
        <v>40</v>
      </c>
      <c r="S50" s="58">
        <v>1</v>
      </c>
      <c r="T50" s="39" t="str">
        <f t="shared" si="2"/>
        <v>ok</v>
      </c>
      <c r="U50" s="58">
        <v>0</v>
      </c>
      <c r="V50" s="39" t="str">
        <f t="shared" si="3"/>
        <v>ok</v>
      </c>
      <c r="W50" s="58" t="s">
        <v>408</v>
      </c>
      <c r="X50" s="39" t="str">
        <f t="shared" si="4"/>
        <v>ok</v>
      </c>
      <c r="Y50" s="40">
        <v>123</v>
      </c>
      <c r="Z50" s="40">
        <v>50</v>
      </c>
      <c r="AA50" s="59">
        <v>73</v>
      </c>
      <c r="AB50" s="39" t="str">
        <f t="shared" si="5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">
        <v>336</v>
      </c>
      <c r="E51" s="39" t="str">
        <f t="shared" si="7"/>
        <v>ok</v>
      </c>
      <c r="F51" s="58" t="s">
        <v>355</v>
      </c>
      <c r="G51" s="39" t="str">
        <f t="shared" si="0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">
        <v>374</v>
      </c>
      <c r="M51" s="39" t="str">
        <f t="shared" si="1"/>
        <v>ok</v>
      </c>
      <c r="N51" s="4" t="s">
        <v>102</v>
      </c>
      <c r="O51" s="58" t="s">
        <v>395</v>
      </c>
      <c r="P51" s="39" t="str">
        <f t="shared" si="6"/>
        <v>ok</v>
      </c>
      <c r="Q51" s="4" t="s">
        <v>101</v>
      </c>
      <c r="R51" s="4" t="s">
        <v>40</v>
      </c>
      <c r="S51" s="58">
        <v>1</v>
      </c>
      <c r="T51" s="39" t="str">
        <f t="shared" si="2"/>
        <v>ok</v>
      </c>
      <c r="U51" s="58">
        <v>0</v>
      </c>
      <c r="V51" s="39" t="str">
        <f t="shared" si="3"/>
        <v>ok</v>
      </c>
      <c r="W51" s="58" t="s">
        <v>408</v>
      </c>
      <c r="X51" s="39" t="str">
        <f t="shared" si="4"/>
        <v>ok</v>
      </c>
      <c r="Y51" s="40">
        <v>45.3</v>
      </c>
      <c r="Z51" s="40">
        <v>0</v>
      </c>
      <c r="AA51" s="59">
        <v>45.3</v>
      </c>
      <c r="AB51" s="39" t="str">
        <f t="shared" si="5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">
        <v>337</v>
      </c>
      <c r="E52" s="39" t="str">
        <f t="shared" si="7"/>
        <v>ok</v>
      </c>
      <c r="F52" s="58" t="s">
        <v>356</v>
      </c>
      <c r="G52" s="39" t="str">
        <f t="shared" si="0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">
        <v>375</v>
      </c>
      <c r="M52" s="39" t="str">
        <f t="shared" si="1"/>
        <v>ok</v>
      </c>
      <c r="N52" s="4" t="s">
        <v>98</v>
      </c>
      <c r="O52" s="58" t="s">
        <v>396</v>
      </c>
      <c r="P52" s="39" t="str">
        <f t="shared" si="6"/>
        <v>ok</v>
      </c>
      <c r="Q52" s="4" t="s">
        <v>97</v>
      </c>
      <c r="R52" s="4" t="s">
        <v>40</v>
      </c>
      <c r="S52" s="58">
        <v>1</v>
      </c>
      <c r="T52" s="39" t="str">
        <f t="shared" si="2"/>
        <v>ok</v>
      </c>
      <c r="U52" s="58">
        <v>0</v>
      </c>
      <c r="V52" s="39" t="str">
        <f t="shared" si="3"/>
        <v>ok</v>
      </c>
      <c r="W52" s="58" t="s">
        <v>408</v>
      </c>
      <c r="X52" s="39" t="str">
        <f t="shared" si="4"/>
        <v>ok</v>
      </c>
      <c r="Y52" s="40">
        <v>312.56</v>
      </c>
      <c r="Z52" s="40">
        <v>0</v>
      </c>
      <c r="AA52" s="59">
        <v>312.56</v>
      </c>
      <c r="AB52" s="39" t="str">
        <f t="shared" si="5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">
        <v>336</v>
      </c>
      <c r="E53" s="39" t="str">
        <f t="shared" si="7"/>
        <v>ok</v>
      </c>
      <c r="F53" s="58" t="s">
        <v>357</v>
      </c>
      <c r="G53" s="39" t="str">
        <f t="shared" si="0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">
        <v>367</v>
      </c>
      <c r="M53" s="39" t="str">
        <f t="shared" si="1"/>
        <v>ok</v>
      </c>
      <c r="N53" s="4"/>
      <c r="O53" s="58" t="s">
        <v>397</v>
      </c>
      <c r="P53" s="39" t="str">
        <f t="shared" si="6"/>
        <v>ok</v>
      </c>
      <c r="Q53" s="4" t="s">
        <v>93</v>
      </c>
      <c r="R53" s="4" t="s">
        <v>40</v>
      </c>
      <c r="S53" s="58">
        <v>1</v>
      </c>
      <c r="T53" s="39" t="str">
        <f t="shared" si="2"/>
        <v>ok</v>
      </c>
      <c r="U53" s="58">
        <v>0</v>
      </c>
      <c r="V53" s="39" t="str">
        <f t="shared" si="3"/>
        <v>ok</v>
      </c>
      <c r="W53" s="58" t="s">
        <v>408</v>
      </c>
      <c r="X53" s="39" t="str">
        <f t="shared" si="4"/>
        <v>ok</v>
      </c>
      <c r="Y53" s="40">
        <v>84</v>
      </c>
      <c r="Z53" s="40">
        <v>24</v>
      </c>
      <c r="AA53" s="59">
        <v>60</v>
      </c>
      <c r="AB53" s="39" t="str">
        <f t="shared" si="5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">
        <v>336</v>
      </c>
      <c r="E54" s="39" t="str">
        <f t="shared" si="7"/>
        <v>ok</v>
      </c>
      <c r="F54" s="58" t="s">
        <v>358</v>
      </c>
      <c r="G54" s="39" t="str">
        <f t="shared" si="0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">
        <v>376</v>
      </c>
      <c r="M54" s="39" t="str">
        <f t="shared" si="1"/>
        <v>ok</v>
      </c>
      <c r="N54" s="4" t="s">
        <v>88</v>
      </c>
      <c r="O54" s="58" t="s">
        <v>398</v>
      </c>
      <c r="P54" s="39" t="str">
        <f t="shared" si="6"/>
        <v>ok</v>
      </c>
      <c r="Q54" s="4" t="s">
        <v>87</v>
      </c>
      <c r="R54" s="4" t="s">
        <v>48</v>
      </c>
      <c r="S54" s="58">
        <v>0</v>
      </c>
      <c r="T54" s="39" t="str">
        <f t="shared" si="2"/>
        <v>ok</v>
      </c>
      <c r="U54" s="58">
        <v>1</v>
      </c>
      <c r="V54" s="39" t="str">
        <f t="shared" si="3"/>
        <v>ok</v>
      </c>
      <c r="W54" s="58" t="s">
        <v>88</v>
      </c>
      <c r="X54" s="39" t="str">
        <f t="shared" si="4"/>
        <v>ok</v>
      </c>
      <c r="Y54" s="40">
        <v>45.7</v>
      </c>
      <c r="Z54" s="40">
        <v>25</v>
      </c>
      <c r="AA54" s="59">
        <v>20.700000000000003</v>
      </c>
      <c r="AB54" s="39" t="str">
        <f t="shared" si="5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">
        <v>336</v>
      </c>
      <c r="E55" s="39" t="str">
        <f t="shared" si="7"/>
        <v>ok</v>
      </c>
      <c r="F55" s="58" t="s">
        <v>359</v>
      </c>
      <c r="G55" s="39" t="str">
        <f t="shared" si="0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">
        <v>377</v>
      </c>
      <c r="M55" s="39" t="str">
        <f t="shared" si="1"/>
        <v>ok</v>
      </c>
      <c r="N55" s="4" t="s">
        <v>84</v>
      </c>
      <c r="O55" s="58" t="s">
        <v>399</v>
      </c>
      <c r="P55" s="39" t="str">
        <f t="shared" si="6"/>
        <v>ok</v>
      </c>
      <c r="Q55" s="4" t="s">
        <v>83</v>
      </c>
      <c r="R55" s="4" t="s">
        <v>40</v>
      </c>
      <c r="S55" s="58">
        <v>1</v>
      </c>
      <c r="T55" s="39" t="str">
        <f t="shared" si="2"/>
        <v>ok</v>
      </c>
      <c r="U55" s="58">
        <v>0</v>
      </c>
      <c r="V55" s="39" t="str">
        <f t="shared" si="3"/>
        <v>ok</v>
      </c>
      <c r="W55" s="58" t="s">
        <v>408</v>
      </c>
      <c r="X55" s="39" t="str">
        <f t="shared" si="4"/>
        <v>ok</v>
      </c>
      <c r="Y55" s="40">
        <v>1427.8</v>
      </c>
      <c r="Z55" s="40"/>
      <c r="AA55" s="59">
        <v>1427.8</v>
      </c>
      <c r="AB55" s="39" t="str">
        <f t="shared" si="5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">
        <v>336</v>
      </c>
      <c r="E56" s="39" t="str">
        <f t="shared" si="7"/>
        <v>ok</v>
      </c>
      <c r="F56" s="58" t="s">
        <v>360</v>
      </c>
      <c r="G56" s="39" t="str">
        <f t="shared" si="0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">
        <v>367</v>
      </c>
      <c r="M56" s="39" t="str">
        <f t="shared" si="1"/>
        <v>ok</v>
      </c>
      <c r="N56" s="4"/>
      <c r="O56" s="58" t="s">
        <v>400</v>
      </c>
      <c r="P56" s="39" t="str">
        <f t="shared" si="6"/>
        <v>ok</v>
      </c>
      <c r="Q56" s="4" t="s">
        <v>80</v>
      </c>
      <c r="R56" s="4" t="s">
        <v>40</v>
      </c>
      <c r="S56" s="58">
        <v>1</v>
      </c>
      <c r="T56" s="39" t="str">
        <f t="shared" si="2"/>
        <v>ok</v>
      </c>
      <c r="U56" s="58">
        <v>0</v>
      </c>
      <c r="V56" s="39" t="str">
        <f t="shared" si="3"/>
        <v>ok</v>
      </c>
      <c r="W56" s="58" t="s">
        <v>408</v>
      </c>
      <c r="X56" s="39" t="str">
        <f t="shared" si="4"/>
        <v>ok</v>
      </c>
      <c r="Y56" s="40">
        <v>439</v>
      </c>
      <c r="Z56" s="40">
        <v>400</v>
      </c>
      <c r="AA56" s="59">
        <v>39</v>
      </c>
      <c r="AB56" s="39" t="str">
        <f t="shared" si="5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">
        <v>341</v>
      </c>
      <c r="E57" s="39" t="str">
        <f t="shared" si="7"/>
        <v>ok</v>
      </c>
      <c r="F57" s="58" t="s">
        <v>361</v>
      </c>
      <c r="G57" s="39" t="str">
        <f t="shared" si="0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">
        <v>371</v>
      </c>
      <c r="M57" s="39" t="str">
        <f t="shared" si="1"/>
        <v>ok</v>
      </c>
      <c r="N57" s="4"/>
      <c r="O57" s="58" t="s">
        <v>401</v>
      </c>
      <c r="P57" s="39" t="str">
        <f t="shared" si="6"/>
        <v>ok</v>
      </c>
      <c r="Q57" s="4" t="s">
        <v>76</v>
      </c>
      <c r="R57" s="4" t="s">
        <v>40</v>
      </c>
      <c r="S57" s="58">
        <v>1</v>
      </c>
      <c r="T57" s="39" t="str">
        <f t="shared" si="2"/>
        <v>ok</v>
      </c>
      <c r="U57" s="58">
        <v>0</v>
      </c>
      <c r="V57" s="39" t="str">
        <f t="shared" si="3"/>
        <v>ok</v>
      </c>
      <c r="W57" s="58" t="s">
        <v>408</v>
      </c>
      <c r="X57" s="39" t="str">
        <f t="shared" si="4"/>
        <v>ok</v>
      </c>
      <c r="Y57" s="40">
        <v>32.5</v>
      </c>
      <c r="Z57" s="40">
        <v>0</v>
      </c>
      <c r="AA57" s="59">
        <v>32.5</v>
      </c>
      <c r="AB57" s="39" t="str">
        <f t="shared" si="5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">
        <v>342</v>
      </c>
      <c r="E58" s="39" t="str">
        <f t="shared" si="7"/>
        <v>ok</v>
      </c>
      <c r="F58" s="58" t="s">
        <v>362</v>
      </c>
      <c r="G58" s="39" t="str">
        <f t="shared" si="0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">
        <v>378</v>
      </c>
      <c r="M58" s="39" t="str">
        <f t="shared" si="1"/>
        <v>ok</v>
      </c>
      <c r="N58" s="4"/>
      <c r="O58" s="58" t="s">
        <v>402</v>
      </c>
      <c r="P58" s="39" t="str">
        <f t="shared" si="6"/>
        <v>ok</v>
      </c>
      <c r="Q58" s="4" t="s">
        <v>71</v>
      </c>
      <c r="R58" s="4" t="s">
        <v>48</v>
      </c>
      <c r="S58" s="58">
        <v>0</v>
      </c>
      <c r="T58" s="39" t="str">
        <f t="shared" si="2"/>
        <v>ok</v>
      </c>
      <c r="U58" s="58">
        <v>1</v>
      </c>
      <c r="V58" s="39" t="str">
        <f t="shared" si="3"/>
        <v>ok</v>
      </c>
      <c r="W58" s="58" t="s">
        <v>402</v>
      </c>
      <c r="X58" s="39" t="str">
        <f t="shared" si="4"/>
        <v>ok</v>
      </c>
      <c r="Y58" s="40">
        <v>53</v>
      </c>
      <c r="Z58" s="40">
        <v>0</v>
      </c>
      <c r="AA58" s="59">
        <v>53</v>
      </c>
      <c r="AB58" s="39" t="str">
        <f t="shared" si="5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">
        <v>342</v>
      </c>
      <c r="E59" s="39" t="str">
        <f t="shared" si="7"/>
        <v>ok</v>
      </c>
      <c r="F59" s="58" t="s">
        <v>363</v>
      </c>
      <c r="G59" s="39" t="str">
        <f t="shared" si="0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">
        <v>375</v>
      </c>
      <c r="M59" s="39" t="str">
        <f t="shared" si="1"/>
        <v>ok</v>
      </c>
      <c r="N59" s="4" t="s">
        <v>66</v>
      </c>
      <c r="O59" s="58" t="s">
        <v>403</v>
      </c>
      <c r="P59" s="39" t="str">
        <f t="shared" si="6"/>
        <v>ok</v>
      </c>
      <c r="Q59" s="4" t="s">
        <v>65</v>
      </c>
      <c r="R59" s="4" t="s">
        <v>48</v>
      </c>
      <c r="S59" s="58">
        <v>0</v>
      </c>
      <c r="T59" s="39" t="str">
        <f t="shared" si="2"/>
        <v>ok</v>
      </c>
      <c r="U59" s="58">
        <v>1</v>
      </c>
      <c r="V59" s="39" t="str">
        <f t="shared" si="3"/>
        <v>ok</v>
      </c>
      <c r="W59" s="58" t="s">
        <v>66</v>
      </c>
      <c r="X59" s="39" t="str">
        <f t="shared" si="4"/>
        <v>ok</v>
      </c>
      <c r="Y59" s="40">
        <v>15.7</v>
      </c>
      <c r="Z59" s="40">
        <v>0</v>
      </c>
      <c r="AA59" s="59">
        <v>15.7</v>
      </c>
      <c r="AB59" s="39" t="str">
        <f t="shared" si="5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">
        <v>342</v>
      </c>
      <c r="E60" s="39" t="str">
        <f t="shared" si="7"/>
        <v>ok</v>
      </c>
      <c r="F60" s="58" t="s">
        <v>364</v>
      </c>
      <c r="G60" s="39" t="str">
        <f t="shared" si="0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">
        <v>379</v>
      </c>
      <c r="M60" s="39" t="str">
        <f t="shared" si="1"/>
        <v>ok</v>
      </c>
      <c r="N60" s="4" t="s">
        <v>60</v>
      </c>
      <c r="O60" s="58" t="s">
        <v>404</v>
      </c>
      <c r="P60" s="39" t="str">
        <f t="shared" si="6"/>
        <v>ok</v>
      </c>
      <c r="Q60" s="4" t="s">
        <v>54</v>
      </c>
      <c r="R60" s="4" t="s">
        <v>40</v>
      </c>
      <c r="S60" s="58">
        <v>1</v>
      </c>
      <c r="T60" s="39" t="str">
        <f t="shared" si="2"/>
        <v>ok</v>
      </c>
      <c r="U60" s="58">
        <v>0</v>
      </c>
      <c r="V60" s="39" t="str">
        <f t="shared" si="3"/>
        <v>ok</v>
      </c>
      <c r="W60" s="58" t="s">
        <v>408</v>
      </c>
      <c r="X60" s="39" t="str">
        <f t="shared" si="4"/>
        <v>ok</v>
      </c>
      <c r="Y60" s="40">
        <v>68</v>
      </c>
      <c r="Z60" s="40">
        <v>0</v>
      </c>
      <c r="AA60" s="59">
        <v>68</v>
      </c>
      <c r="AB60" s="39" t="str">
        <f t="shared" si="5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">
        <v>337</v>
      </c>
      <c r="E61" s="39" t="str">
        <f t="shared" si="7"/>
        <v>ok</v>
      </c>
      <c r="F61" s="58" t="s">
        <v>365</v>
      </c>
      <c r="G61" s="39" t="str">
        <f t="shared" si="0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">
        <v>380</v>
      </c>
      <c r="M61" s="39" t="str">
        <f t="shared" si="1"/>
        <v>ok</v>
      </c>
      <c r="N61" s="4" t="s">
        <v>55</v>
      </c>
      <c r="O61" s="58" t="s">
        <v>405</v>
      </c>
      <c r="P61" s="39" t="str">
        <f t="shared" si="6"/>
        <v>ok</v>
      </c>
      <c r="Q61" s="4" t="s">
        <v>54</v>
      </c>
      <c r="R61" s="4" t="s">
        <v>40</v>
      </c>
      <c r="S61" s="58">
        <v>1</v>
      </c>
      <c r="T61" s="39" t="str">
        <f t="shared" si="2"/>
        <v>ok</v>
      </c>
      <c r="U61" s="58">
        <v>0</v>
      </c>
      <c r="V61" s="39" t="str">
        <f t="shared" si="3"/>
        <v>ok</v>
      </c>
      <c r="W61" s="58" t="s">
        <v>408</v>
      </c>
      <c r="X61" s="39" t="str">
        <f t="shared" si="4"/>
        <v>ok</v>
      </c>
      <c r="Y61" s="40">
        <v>658</v>
      </c>
      <c r="Z61" s="40">
        <v>470</v>
      </c>
      <c r="AA61" s="59">
        <v>188</v>
      </c>
      <c r="AB61" s="39" t="str">
        <f t="shared" si="5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">
        <v>342</v>
      </c>
      <c r="E62" s="39" t="str">
        <f t="shared" si="7"/>
        <v>ok</v>
      </c>
      <c r="F62" s="58" t="s">
        <v>366</v>
      </c>
      <c r="G62" s="39" t="str">
        <f t="shared" si="0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">
        <v>367</v>
      </c>
      <c r="M62" s="39" t="str">
        <f t="shared" si="1"/>
        <v>ok</v>
      </c>
      <c r="N62" s="4"/>
      <c r="O62" s="58" t="s">
        <v>406</v>
      </c>
      <c r="P62" s="39" t="str">
        <f t="shared" si="6"/>
        <v>ok</v>
      </c>
      <c r="Q62" s="4" t="s">
        <v>49</v>
      </c>
      <c r="R62" s="4" t="s">
        <v>40</v>
      </c>
      <c r="S62" s="58">
        <v>1</v>
      </c>
      <c r="T62" s="39" t="str">
        <f t="shared" si="2"/>
        <v>ok</v>
      </c>
      <c r="U62" s="58">
        <v>0</v>
      </c>
      <c r="V62" s="39" t="str">
        <f t="shared" si="3"/>
        <v>ok</v>
      </c>
      <c r="W62" s="58" t="s">
        <v>408</v>
      </c>
      <c r="X62" s="39" t="str">
        <f t="shared" si="4"/>
        <v>ok</v>
      </c>
      <c r="Y62" s="40">
        <v>7.4</v>
      </c>
      <c r="Z62" s="40">
        <v>0</v>
      </c>
      <c r="AA62" s="59">
        <v>7.4</v>
      </c>
      <c r="AB62" s="39" t="str">
        <f t="shared" si="5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">
        <v>342</v>
      </c>
      <c r="E63" s="39" t="str">
        <f t="shared" si="7"/>
        <v>ok</v>
      </c>
      <c r="F63" s="58" t="s">
        <v>366</v>
      </c>
      <c r="G63" s="39" t="str">
        <f t="shared" si="0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">
        <v>381</v>
      </c>
      <c r="M63" s="39" t="str">
        <f t="shared" si="1"/>
        <v>ok</v>
      </c>
      <c r="N63" s="4" t="s">
        <v>43</v>
      </c>
      <c r="O63" s="58" t="s">
        <v>407</v>
      </c>
      <c r="P63" s="39" t="str">
        <f t="shared" si="6"/>
        <v>ok</v>
      </c>
      <c r="Q63" s="4" t="s">
        <v>42</v>
      </c>
      <c r="R63" s="4" t="s">
        <v>40</v>
      </c>
      <c r="S63" s="60">
        <v>1</v>
      </c>
      <c r="T63" s="39" t="str">
        <f t="shared" si="2"/>
        <v>ok</v>
      </c>
      <c r="U63" s="60">
        <v>0</v>
      </c>
      <c r="V63" s="65" t="str">
        <f t="shared" si="3"/>
        <v>ok</v>
      </c>
      <c r="W63" s="58" t="s">
        <v>408</v>
      </c>
      <c r="X63" s="63" t="str">
        <f t="shared" si="4"/>
        <v>ok</v>
      </c>
      <c r="Y63" s="66">
        <v>4.8</v>
      </c>
      <c r="Z63" s="66">
        <v>0</v>
      </c>
      <c r="AA63" s="62">
        <v>4.8</v>
      </c>
      <c r="AB63" s="39" t="str">
        <f t="shared" si="5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4" t="str">
        <f>IF(S64="","--",IF(S64=17,"ok","nok"))</f>
        <v>ok</v>
      </c>
      <c r="U64" s="68">
        <f>SUM(U37:U63)</f>
        <v>9</v>
      </c>
      <c r="V64" s="39" t="str">
        <f>IF(U64="","--",IF(U64=10,"ok","nok"))</f>
        <v>nok</v>
      </c>
      <c r="W64" s="31"/>
      <c r="X64" s="39" t="str">
        <f>IF(Y64="","--",IF(EqualsWithinTolerance(Y64,4598.82,1),"ok","nok"))</f>
        <v>ok</v>
      </c>
      <c r="Y64" s="69">
        <f>SUM(Y37:Y63)</f>
        <v>4598.82</v>
      </c>
      <c r="Z64" s="67">
        <f>SUM(Z37:Z63)</f>
        <v>1508.5</v>
      </c>
      <c r="AA64" s="67">
        <f>SUM(AA37:AA63)</f>
        <v>3089.82</v>
      </c>
      <c r="AB64" s="63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1">
        <f>COUNTIFS(E37:E63,"ok")</f>
        <v>26</v>
      </c>
      <c r="F65" s="31"/>
      <c r="G65" s="61">
        <f>COUNTIFS(G37:G63,"ok")</f>
        <v>26</v>
      </c>
      <c r="H65" s="31"/>
      <c r="I65" s="31"/>
      <c r="J65" s="31"/>
      <c r="K65" s="31"/>
      <c r="L65" s="31"/>
      <c r="M65" s="61">
        <f>COUNTIFS(M37:M63,"ok")</f>
        <v>26</v>
      </c>
      <c r="N65" s="31"/>
      <c r="O65" s="31"/>
      <c r="P65" s="61">
        <f>COUNTIFS(P37:P63,"ok")</f>
        <v>26</v>
      </c>
      <c r="Q65" s="31"/>
      <c r="R65" s="31"/>
      <c r="S65" s="38"/>
      <c r="T65" s="61">
        <f>COUNTIFS(T37:T64,"ok")</f>
        <v>27</v>
      </c>
      <c r="U65" s="31"/>
      <c r="V65" s="61">
        <f>COUNTIFS(V37:V64,"ok")</f>
        <v>26</v>
      </c>
      <c r="W65" s="31"/>
      <c r="X65" s="61">
        <f>COUNTIFS(X37:X64,"ok")</f>
        <v>27</v>
      </c>
      <c r="Y65" s="31"/>
      <c r="Z65" s="31"/>
      <c r="AA65" s="31"/>
      <c r="AB65" s="61">
        <f>COUNTIFS(AB37:AB64,"ok")</f>
        <v>27</v>
      </c>
      <c r="AC65" s="31"/>
      <c r="AD65" s="31"/>
    </row>
    <row r="66" spans="1:30" x14ac:dyDescent="0.25">
      <c r="A66" s="31"/>
      <c r="B66" s="31"/>
      <c r="C66" s="31"/>
      <c r="D66" s="31"/>
      <c r="E66" s="61">
        <f>COUNTIFS(E37:E63,"nok")</f>
        <v>0</v>
      </c>
      <c r="F66" s="31"/>
      <c r="G66" s="61">
        <f>COUNTIFS(G37:G63,"nok")</f>
        <v>0</v>
      </c>
      <c r="H66" s="31"/>
      <c r="I66" s="31"/>
      <c r="J66" s="31"/>
      <c r="K66" s="31"/>
      <c r="L66" s="31"/>
      <c r="M66" s="61">
        <f>COUNTIFS(M37:M63,"nok")</f>
        <v>0</v>
      </c>
      <c r="N66" s="31"/>
      <c r="O66" s="31"/>
      <c r="P66" s="61">
        <f>COUNTIFS(P37:P63,"nok")</f>
        <v>0</v>
      </c>
      <c r="Q66" s="31"/>
      <c r="R66" s="31"/>
      <c r="S66" s="31"/>
      <c r="T66" s="61">
        <f>COUNTIFS(T37:T64,"nok")</f>
        <v>0</v>
      </c>
      <c r="U66" s="31"/>
      <c r="V66" s="61">
        <f>COUNTIFS(V37:V64,"nok")</f>
        <v>1</v>
      </c>
      <c r="W66" s="31"/>
      <c r="X66" s="61">
        <f>COUNTIFS(X37:X64,"nok")</f>
        <v>0</v>
      </c>
      <c r="Y66" s="31"/>
      <c r="Z66" s="31"/>
      <c r="AA66" s="31"/>
      <c r="AB66" s="61">
        <f>COUNTIFS(AB37:AB64,"nok")</f>
        <v>1</v>
      </c>
      <c r="AC66" s="31"/>
      <c r="AD66" s="31"/>
    </row>
    <row r="67" spans="1:30" x14ac:dyDescent="0.25">
      <c r="A67" s="31"/>
      <c r="B67" s="31"/>
      <c r="C67" s="31"/>
      <c r="D67" s="31"/>
      <c r="E67" s="61">
        <f>COUNTIFS(E37:E63,"--")</f>
        <v>1</v>
      </c>
      <c r="F67" s="31"/>
      <c r="G67" s="61">
        <f>COUNTIFS(G37:G63,"--")</f>
        <v>1</v>
      </c>
      <c r="H67" s="31"/>
      <c r="I67" s="31"/>
      <c r="J67" s="31"/>
      <c r="K67" s="31"/>
      <c r="L67" s="31"/>
      <c r="M67" s="61">
        <f>COUNTIFS(M37:M63,"--")</f>
        <v>1</v>
      </c>
      <c r="N67" s="31"/>
      <c r="O67" s="31"/>
      <c r="P67" s="61">
        <f>COUNTIFS(P37:P63,"--")</f>
        <v>1</v>
      </c>
      <c r="Q67" s="31"/>
      <c r="R67" s="31"/>
      <c r="S67" s="31"/>
      <c r="T67" s="61">
        <f>COUNTIFS(T37:T64,"--")</f>
        <v>1</v>
      </c>
      <c r="U67" s="31"/>
      <c r="V67" s="61">
        <f>COUNTIFS(V37:V64,"--")</f>
        <v>1</v>
      </c>
      <c r="W67" s="31"/>
      <c r="X67" s="61">
        <f>COUNTIFS(X37:X64,"--")</f>
        <v>1</v>
      </c>
      <c r="Y67" s="31"/>
      <c r="Z67" s="31"/>
      <c r="AA67" s="31"/>
      <c r="AB67" s="61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100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101"/>
      <c r="J80" s="38"/>
      <c r="K80" s="38"/>
    </row>
    <row r="81" spans="4:11" x14ac:dyDescent="0.25">
      <c r="D81" s="38"/>
      <c r="E81" s="38"/>
      <c r="F81" s="38"/>
      <c r="G81" s="38"/>
      <c r="H81" s="38"/>
      <c r="I81" s="101"/>
      <c r="J81" s="102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dataValidations count="1">
    <dataValidation type="list" allowBlank="1" showInputMessage="1" showErrorMessage="1" sqref="W12:W14">
      <formula1>$J$102:$J$103</formula1>
    </dataValidation>
  </dataValidations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J76:J78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topLeftCell="A82" zoomScale="85" zoomScaleNormal="85" workbookViewId="0"/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422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0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52</v>
      </c>
      <c r="H6" s="12"/>
    </row>
    <row r="7" spans="2:10" ht="15.75" thickBot="1" x14ac:dyDescent="0.3">
      <c r="E7" s="10"/>
      <c r="F7" s="50" t="s">
        <v>13</v>
      </c>
      <c r="G7" s="106">
        <f>IF(G4+G5+G6&gt;0,ROUNDDOWN(((5*G4)/(G4+G5+G6))+1,1),"Not defined")</f>
        <v>1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52" t="s">
        <v>209</v>
      </c>
      <c r="C23" s="5"/>
      <c r="D23" s="22" t="s">
        <v>211</v>
      </c>
      <c r="E23" s="22"/>
      <c r="F23" s="22"/>
      <c r="G23" s="18">
        <v>6</v>
      </c>
      <c r="H23" s="6" t="str">
        <f>IF(G23=C23,"ok",IF(C23="","--","Not ok"))</f>
        <v>--</v>
      </c>
      <c r="I23" s="4" t="e">
        <f ca="1">IF(C23=L_Hello(D23),TRUE,FALSE)</f>
        <v>#NAME?</v>
      </c>
    </row>
    <row r="24" spans="2:9" x14ac:dyDescent="0.25">
      <c r="B24" s="153"/>
      <c r="C24" s="5"/>
      <c r="D24" s="22" t="s">
        <v>4</v>
      </c>
      <c r="E24" s="22"/>
      <c r="F24" s="22"/>
      <c r="G24" s="18">
        <v>5</v>
      </c>
      <c r="H24" s="6" t="str">
        <f t="shared" ref="H24:H26" si="0">IF(G24=C24,"ok",IF(C24="","--","Not ok"))</f>
        <v>--</v>
      </c>
      <c r="I24" s="4" t="e">
        <f ca="1">IF(C24=L_Hello(D24),TRUE,FALSE)</f>
        <v>#NAME?</v>
      </c>
    </row>
    <row r="25" spans="2:9" x14ac:dyDescent="0.25">
      <c r="B25" s="153"/>
      <c r="C25" s="5"/>
      <c r="D25" s="22" t="s">
        <v>213</v>
      </c>
      <c r="E25" s="22"/>
      <c r="F25" s="22"/>
      <c r="G25" s="18">
        <v>6</v>
      </c>
      <c r="H25" s="6" t="str">
        <f t="shared" si="0"/>
        <v>--</v>
      </c>
      <c r="I25" s="4" t="e">
        <f ca="1">IF(C25=L_Hello(D25),TRUE,FALSE)</f>
        <v>#NAME?</v>
      </c>
    </row>
    <row r="26" spans="2:9" x14ac:dyDescent="0.25">
      <c r="B26" s="154"/>
      <c r="C26" s="5"/>
      <c r="D26" s="22" t="s">
        <v>212</v>
      </c>
      <c r="E26" s="22"/>
      <c r="F26" s="22"/>
      <c r="G26" s="18">
        <v>14</v>
      </c>
      <c r="H26" s="6" t="str">
        <f t="shared" si="0"/>
        <v>--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52" t="s">
        <v>214</v>
      </c>
      <c r="C30" s="5"/>
      <c r="D30" s="22" t="s">
        <v>211</v>
      </c>
      <c r="E30" s="22"/>
      <c r="F30" s="22"/>
      <c r="G30" s="18">
        <v>12</v>
      </c>
      <c r="H30" s="6" t="str">
        <f>IF(G30=C30,"ok",IF(C30="","--","Not ok"))</f>
        <v>--</v>
      </c>
    </row>
    <row r="31" spans="2:9" x14ac:dyDescent="0.25">
      <c r="B31" s="153"/>
      <c r="C31" s="5"/>
      <c r="D31" s="22" t="s">
        <v>4</v>
      </c>
      <c r="E31" s="22"/>
      <c r="F31" s="22"/>
      <c r="G31" s="18">
        <v>8</v>
      </c>
      <c r="H31" s="6" t="str">
        <f t="shared" ref="H31:H33" si="1">IF(G31=C31,"ok",IF(C31="","--","Not ok"))</f>
        <v>--</v>
      </c>
    </row>
    <row r="32" spans="2:9" x14ac:dyDescent="0.25">
      <c r="B32" s="153"/>
      <c r="C32" s="5"/>
      <c r="D32" s="22" t="s">
        <v>213</v>
      </c>
      <c r="E32" s="22"/>
      <c r="F32" s="22"/>
      <c r="G32" s="18">
        <v>13</v>
      </c>
      <c r="H32" s="6" t="str">
        <f t="shared" si="1"/>
        <v>--</v>
      </c>
    </row>
    <row r="33" spans="2:8" x14ac:dyDescent="0.25">
      <c r="B33" s="154"/>
      <c r="C33" s="5"/>
      <c r="D33" s="22" t="s">
        <v>212</v>
      </c>
      <c r="E33" s="22"/>
      <c r="F33" s="22"/>
      <c r="G33" s="18">
        <v>19</v>
      </c>
      <c r="H33" s="6" t="str">
        <f t="shared" si="1"/>
        <v>--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52" t="s">
        <v>221</v>
      </c>
      <c r="C37" s="5"/>
      <c r="D37" s="22" t="s">
        <v>211</v>
      </c>
      <c r="E37" s="22"/>
      <c r="F37" s="22"/>
      <c r="G37" s="18" t="s">
        <v>217</v>
      </c>
      <c r="H37" s="6" t="str">
        <f>IF(G37=C37,"ok",IF(C37="","--","Not ok"))</f>
        <v>--</v>
      </c>
    </row>
    <row r="38" spans="2:8" x14ac:dyDescent="0.25">
      <c r="B38" s="153"/>
      <c r="C38" s="5"/>
      <c r="D38" s="22" t="s">
        <v>4</v>
      </c>
      <c r="E38" s="22"/>
      <c r="F38" s="22"/>
      <c r="G38" s="18" t="s">
        <v>218</v>
      </c>
      <c r="H38" s="6" t="str">
        <f t="shared" ref="H38:H40" si="2">IF(G38=C38,"ok",IF(C38="","--","Not ok"))</f>
        <v>--</v>
      </c>
    </row>
    <row r="39" spans="2:8" x14ac:dyDescent="0.25">
      <c r="B39" s="153"/>
      <c r="C39" s="5"/>
      <c r="D39" s="22" t="s">
        <v>213</v>
      </c>
      <c r="E39" s="22"/>
      <c r="F39" s="22"/>
      <c r="G39" s="18" t="s">
        <v>219</v>
      </c>
      <c r="H39" s="6" t="str">
        <f t="shared" si="2"/>
        <v>--</v>
      </c>
    </row>
    <row r="40" spans="2:8" x14ac:dyDescent="0.25">
      <c r="B40" s="154"/>
      <c r="C40" s="5"/>
      <c r="D40" s="22" t="s">
        <v>212</v>
      </c>
      <c r="E40" s="22"/>
      <c r="F40" s="22"/>
      <c r="G40" s="18" t="s">
        <v>220</v>
      </c>
      <c r="H40" s="6" t="str">
        <f t="shared" si="2"/>
        <v>--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52" t="s">
        <v>222</v>
      </c>
      <c r="C44" s="5"/>
      <c r="D44" s="22" t="s">
        <v>211</v>
      </c>
      <c r="E44" s="22"/>
      <c r="F44" s="22"/>
      <c r="G44" s="18" t="s">
        <v>223</v>
      </c>
      <c r="H44" s="6" t="str">
        <f>IF(G44=C44,"ok",IF(C44="","--","Not ok"))</f>
        <v>--</v>
      </c>
    </row>
    <row r="45" spans="2:8" x14ac:dyDescent="0.25">
      <c r="B45" s="153"/>
      <c r="C45" s="5"/>
      <c r="D45" s="22" t="s">
        <v>4</v>
      </c>
      <c r="E45" s="22"/>
      <c r="F45" s="22"/>
      <c r="G45" s="18" t="s">
        <v>416</v>
      </c>
      <c r="H45" s="6" t="str">
        <f t="shared" ref="H45:H47" si="3">IF(G45=C45,"ok",IF(C45="","--","Not ok"))</f>
        <v>--</v>
      </c>
    </row>
    <row r="46" spans="2:8" x14ac:dyDescent="0.25">
      <c r="B46" s="153"/>
      <c r="C46" s="5"/>
      <c r="D46" s="22" t="s">
        <v>213</v>
      </c>
      <c r="E46" s="22"/>
      <c r="F46" s="22"/>
      <c r="G46" s="18" t="s">
        <v>417</v>
      </c>
      <c r="H46" s="6" t="str">
        <f t="shared" si="3"/>
        <v>--</v>
      </c>
    </row>
    <row r="47" spans="2:8" x14ac:dyDescent="0.25">
      <c r="B47" s="154"/>
      <c r="C47" s="5"/>
      <c r="D47" s="22" t="s">
        <v>212</v>
      </c>
      <c r="E47" s="22"/>
      <c r="F47" s="22"/>
      <c r="G47" s="18" t="s">
        <v>418</v>
      </c>
      <c r="H47" s="6" t="str">
        <f t="shared" si="3"/>
        <v>--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52" t="s">
        <v>224</v>
      </c>
      <c r="C51" s="5"/>
      <c r="D51" s="22" t="s">
        <v>211</v>
      </c>
      <c r="E51" s="22"/>
      <c r="F51" s="22"/>
      <c r="G51" s="18" t="s">
        <v>225</v>
      </c>
      <c r="H51" s="6" t="str">
        <f>IF(G51=C51,"ok",IF(C51="","--","Not ok"))</f>
        <v>--</v>
      </c>
    </row>
    <row r="52" spans="2:8" x14ac:dyDescent="0.25">
      <c r="B52" s="153"/>
      <c r="C52" s="5"/>
      <c r="D52" s="22" t="s">
        <v>4</v>
      </c>
      <c r="E52" s="22"/>
      <c r="F52" s="22"/>
      <c r="G52" s="18" t="s">
        <v>226</v>
      </c>
      <c r="H52" s="6" t="str">
        <f t="shared" ref="H52:H54" si="4">IF(G52=C52,"ok",IF(C52="","--","Not ok"))</f>
        <v>--</v>
      </c>
    </row>
    <row r="53" spans="2:8" x14ac:dyDescent="0.25">
      <c r="B53" s="153"/>
      <c r="C53" s="5"/>
      <c r="D53" s="22" t="s">
        <v>213</v>
      </c>
      <c r="E53" s="22"/>
      <c r="F53" s="22"/>
      <c r="G53" s="18" t="s">
        <v>227</v>
      </c>
      <c r="H53" s="6" t="str">
        <f t="shared" si="4"/>
        <v>--</v>
      </c>
    </row>
    <row r="54" spans="2:8" x14ac:dyDescent="0.25">
      <c r="B54" s="154"/>
      <c r="C54" s="5"/>
      <c r="D54" s="22" t="s">
        <v>212</v>
      </c>
      <c r="E54" s="22"/>
      <c r="F54" s="22"/>
      <c r="G54" s="18" t="s">
        <v>228</v>
      </c>
      <c r="H54" s="6" t="str">
        <f t="shared" si="4"/>
        <v>--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52" t="s">
        <v>229</v>
      </c>
      <c r="C58" s="5"/>
      <c r="D58" s="22" t="s">
        <v>211</v>
      </c>
      <c r="E58" s="22"/>
      <c r="F58" s="22"/>
      <c r="G58" s="18" t="s">
        <v>230</v>
      </c>
      <c r="H58" s="6" t="str">
        <f>IF(G58=C58,"ok",IF(C58="","--","Not ok"))</f>
        <v>--</v>
      </c>
    </row>
    <row r="59" spans="2:8" x14ac:dyDescent="0.25">
      <c r="B59" s="153"/>
      <c r="C59" s="5"/>
      <c r="D59" s="22" t="s">
        <v>4</v>
      </c>
      <c r="E59" s="22"/>
      <c r="F59" s="22"/>
      <c r="G59" s="18" t="s">
        <v>231</v>
      </c>
      <c r="H59" s="6" t="str">
        <f t="shared" ref="H59:H61" si="5">IF(G59=C59,"ok",IF(C59="","--","Not ok"))</f>
        <v>--</v>
      </c>
    </row>
    <row r="60" spans="2:8" x14ac:dyDescent="0.25">
      <c r="B60" s="153"/>
      <c r="C60" s="5"/>
      <c r="D60" s="22" t="s">
        <v>213</v>
      </c>
      <c r="E60" s="22"/>
      <c r="F60" s="22"/>
      <c r="G60" s="18" t="s">
        <v>232</v>
      </c>
      <c r="H60" s="6" t="str">
        <f t="shared" si="5"/>
        <v>--</v>
      </c>
    </row>
    <row r="61" spans="2:8" x14ac:dyDescent="0.25">
      <c r="B61" s="154"/>
      <c r="C61" s="5"/>
      <c r="D61" s="22" t="s">
        <v>212</v>
      </c>
      <c r="E61" s="22"/>
      <c r="F61" s="22"/>
      <c r="G61" s="18" t="s">
        <v>233</v>
      </c>
      <c r="H61" s="6" t="str">
        <f t="shared" si="5"/>
        <v>--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52" t="s">
        <v>234</v>
      </c>
      <c r="C65" s="5"/>
      <c r="D65" s="22" t="s">
        <v>211</v>
      </c>
      <c r="E65" s="22"/>
      <c r="F65" s="22"/>
      <c r="G65" s="18" t="s">
        <v>235</v>
      </c>
      <c r="H65" s="6" t="str">
        <f>IF(G65=C65,"ok",IF(C65="","--","Not ok"))</f>
        <v>--</v>
      </c>
    </row>
    <row r="66" spans="2:8" x14ac:dyDescent="0.25">
      <c r="B66" s="153"/>
      <c r="C66" s="5"/>
      <c r="D66" s="22" t="s">
        <v>4</v>
      </c>
      <c r="E66" s="22"/>
      <c r="F66" s="22"/>
      <c r="G66" s="18" t="s">
        <v>236</v>
      </c>
      <c r="H66" s="6" t="str">
        <f t="shared" ref="H66:H68" si="6">IF(G66=C66,"ok",IF(C66="","--","Not ok"))</f>
        <v>--</v>
      </c>
    </row>
    <row r="67" spans="2:8" x14ac:dyDescent="0.25">
      <c r="B67" s="153"/>
      <c r="C67" s="5"/>
      <c r="D67" s="22" t="s">
        <v>213</v>
      </c>
      <c r="E67" s="22"/>
      <c r="F67" s="22"/>
      <c r="G67" s="18" t="s">
        <v>237</v>
      </c>
      <c r="H67" s="6" t="str">
        <f t="shared" si="6"/>
        <v>--</v>
      </c>
    </row>
    <row r="68" spans="2:8" x14ac:dyDescent="0.25">
      <c r="B68" s="154"/>
      <c r="C68" s="5"/>
      <c r="D68" s="22" t="s">
        <v>212</v>
      </c>
      <c r="E68" s="22"/>
      <c r="F68" s="22"/>
      <c r="G68" s="18" t="s">
        <v>238</v>
      </c>
      <c r="H68" s="6" t="str">
        <f t="shared" si="6"/>
        <v>--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52" t="s">
        <v>239</v>
      </c>
      <c r="C72" s="5"/>
      <c r="D72" s="22" t="s">
        <v>211</v>
      </c>
      <c r="E72" s="22"/>
      <c r="F72" s="22"/>
      <c r="G72" s="18" t="s">
        <v>240</v>
      </c>
      <c r="H72" s="6" t="str">
        <f>IF(G72=C72,"ok",IF(C72="","--","Not ok"))</f>
        <v>--</v>
      </c>
    </row>
    <row r="73" spans="2:8" x14ac:dyDescent="0.25">
      <c r="B73" s="153"/>
      <c r="C73" s="5"/>
      <c r="D73" s="22" t="s">
        <v>4</v>
      </c>
      <c r="E73" s="22"/>
      <c r="F73" s="22"/>
      <c r="G73" s="18" t="s">
        <v>216</v>
      </c>
      <c r="H73" s="6" t="str">
        <f t="shared" ref="H73:H75" si="7">IF(G73=C73,"ok",IF(C73="","--","Not ok"))</f>
        <v>--</v>
      </c>
    </row>
    <row r="74" spans="2:8" x14ac:dyDescent="0.25">
      <c r="B74" s="153"/>
      <c r="C74" s="5"/>
      <c r="D74" s="22" t="s">
        <v>213</v>
      </c>
      <c r="E74" s="22"/>
      <c r="F74" s="22"/>
      <c r="G74" s="18" t="s">
        <v>241</v>
      </c>
      <c r="H74" s="6" t="str">
        <f t="shared" si="7"/>
        <v>--</v>
      </c>
    </row>
    <row r="75" spans="2:8" x14ac:dyDescent="0.25">
      <c r="B75" s="154"/>
      <c r="C75" s="5"/>
      <c r="D75" s="22" t="s">
        <v>212</v>
      </c>
      <c r="E75" s="22"/>
      <c r="F75" s="22"/>
      <c r="G75" s="18" t="s">
        <v>242</v>
      </c>
      <c r="H75" s="6" t="str">
        <f t="shared" si="7"/>
        <v>--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52" t="s">
        <v>244</v>
      </c>
      <c r="C79" s="5"/>
      <c r="D79" s="22" t="s">
        <v>211</v>
      </c>
      <c r="E79" s="22"/>
      <c r="F79" s="22"/>
      <c r="G79" s="18">
        <v>16</v>
      </c>
      <c r="H79" s="6" t="str">
        <f>IF(G79=C79,"ok",IF(C79="","--","Not ok"))</f>
        <v>--</v>
      </c>
    </row>
    <row r="80" spans="2:8" x14ac:dyDescent="0.25">
      <c r="B80" s="153"/>
      <c r="C80" s="5"/>
      <c r="D80" s="22" t="s">
        <v>4</v>
      </c>
      <c r="E80" s="22"/>
      <c r="F80" s="22"/>
      <c r="G80" s="18">
        <v>14</v>
      </c>
      <c r="H80" s="6" t="str">
        <f t="shared" ref="H80:H82" si="8">IF(G80=C80,"ok",IF(C80="","--","Not ok"))</f>
        <v>--</v>
      </c>
    </row>
    <row r="81" spans="2:8" x14ac:dyDescent="0.25">
      <c r="B81" s="153"/>
      <c r="C81" s="5"/>
      <c r="D81" s="22" t="s">
        <v>213</v>
      </c>
      <c r="E81" s="22"/>
      <c r="F81" s="22"/>
      <c r="G81" s="18">
        <v>24</v>
      </c>
      <c r="H81" s="6" t="str">
        <f t="shared" si="8"/>
        <v>--</v>
      </c>
    </row>
    <row r="82" spans="2:8" x14ac:dyDescent="0.25">
      <c r="B82" s="154"/>
      <c r="C82" s="5"/>
      <c r="D82" s="22" t="s">
        <v>212</v>
      </c>
      <c r="E82" s="22"/>
      <c r="F82" s="22"/>
      <c r="G82" s="18">
        <v>23</v>
      </c>
      <c r="H82" s="6" t="str">
        <f t="shared" si="8"/>
        <v>--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52" t="s">
        <v>247</v>
      </c>
      <c r="C86" s="5"/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--</v>
      </c>
    </row>
    <row r="87" spans="2:8" x14ac:dyDescent="0.25">
      <c r="B87" s="153"/>
      <c r="C87" s="5"/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9">IF(G87=C87,"ok",IF(C87="","--","Not ok"))</f>
        <v>--</v>
      </c>
    </row>
    <row r="88" spans="2:8" x14ac:dyDescent="0.25">
      <c r="B88" s="153"/>
      <c r="C88" s="5"/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9"/>
        <v>--</v>
      </c>
    </row>
    <row r="89" spans="2:8" x14ac:dyDescent="0.25">
      <c r="B89" s="154"/>
      <c r="C89" s="5"/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9"/>
        <v>--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52" t="s">
        <v>262</v>
      </c>
      <c r="C93" s="5"/>
      <c r="D93" s="75" t="s">
        <v>264</v>
      </c>
      <c r="E93" s="22"/>
      <c r="F93" s="22"/>
      <c r="G93" s="18" t="s">
        <v>267</v>
      </c>
      <c r="H93" s="6" t="str">
        <f>IF(G93=C93,"ok",IF(C93="","--","Not ok"))</f>
        <v>--</v>
      </c>
    </row>
    <row r="94" spans="2:8" x14ac:dyDescent="0.25">
      <c r="B94" s="153"/>
      <c r="C94" s="5"/>
      <c r="D94" s="22" t="s">
        <v>261</v>
      </c>
      <c r="E94" s="22"/>
      <c r="F94" s="22"/>
      <c r="G94" s="18" t="s">
        <v>268</v>
      </c>
      <c r="H94" s="6" t="str">
        <f t="shared" ref="H94:H96" si="10">IF(G94=C94,"ok",IF(C94="","--","Not ok"))</f>
        <v>--</v>
      </c>
    </row>
    <row r="95" spans="2:8" x14ac:dyDescent="0.25">
      <c r="B95" s="153"/>
      <c r="C95" s="5"/>
      <c r="D95" s="22" t="s">
        <v>265</v>
      </c>
      <c r="E95" s="22"/>
      <c r="F95" s="22"/>
      <c r="G95" s="18" t="s">
        <v>269</v>
      </c>
      <c r="H95" s="6" t="str">
        <f t="shared" si="10"/>
        <v>--</v>
      </c>
    </row>
    <row r="96" spans="2:8" x14ac:dyDescent="0.25">
      <c r="B96" s="154"/>
      <c r="C96" s="5"/>
      <c r="D96" s="22" t="s">
        <v>266</v>
      </c>
      <c r="E96" s="22"/>
      <c r="F96" s="22"/>
      <c r="G96" s="18" t="s">
        <v>270</v>
      </c>
      <c r="H96" s="6" t="str">
        <f t="shared" si="10"/>
        <v>--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52" t="s">
        <v>276</v>
      </c>
      <c r="C100" s="5"/>
      <c r="D100" s="75" t="s">
        <v>263</v>
      </c>
      <c r="E100" s="22"/>
      <c r="F100" s="22"/>
      <c r="G100" s="18" t="s">
        <v>277</v>
      </c>
      <c r="H100" s="6" t="str">
        <f>IF(G100=C100,"ok",IF(C100="","--","Not ok"))</f>
        <v>--</v>
      </c>
    </row>
    <row r="101" spans="2:8" x14ac:dyDescent="0.25">
      <c r="B101" s="153"/>
      <c r="C101" s="5"/>
      <c r="D101" s="22" t="s">
        <v>261</v>
      </c>
      <c r="E101" s="22"/>
      <c r="F101" s="22"/>
      <c r="G101" s="18" t="s">
        <v>278</v>
      </c>
      <c r="H101" s="6" t="str">
        <f t="shared" ref="H101:H103" si="11">IF(G101=C101,"ok",IF(C101="","--","Not ok"))</f>
        <v>--</v>
      </c>
    </row>
    <row r="102" spans="2:8" x14ac:dyDescent="0.25">
      <c r="B102" s="153"/>
      <c r="C102" s="5"/>
      <c r="D102" s="22" t="s">
        <v>265</v>
      </c>
      <c r="E102" s="22"/>
      <c r="F102" s="22"/>
      <c r="G102" s="18" t="s">
        <v>278</v>
      </c>
      <c r="H102" s="6" t="str">
        <f t="shared" si="11"/>
        <v>--</v>
      </c>
    </row>
    <row r="103" spans="2:8" x14ac:dyDescent="0.25">
      <c r="B103" s="154"/>
      <c r="C103" s="5"/>
      <c r="D103" s="22" t="s">
        <v>266</v>
      </c>
      <c r="E103" s="22"/>
      <c r="F103" s="22"/>
      <c r="G103" s="18" t="s">
        <v>277</v>
      </c>
      <c r="H103" s="6" t="str">
        <f t="shared" si="11"/>
        <v>--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52" t="s">
        <v>215</v>
      </c>
      <c r="C107" s="5"/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--</v>
      </c>
    </row>
    <row r="108" spans="2:8" x14ac:dyDescent="0.25">
      <c r="B108" s="153"/>
      <c r="C108" s="5"/>
      <c r="D108" s="22" t="s">
        <v>4</v>
      </c>
      <c r="E108" s="22"/>
      <c r="F108" s="22"/>
      <c r="G108" s="18" t="s">
        <v>273</v>
      </c>
      <c r="H108" s="6" t="str">
        <f t="shared" ref="H108:H110" si="12">IF(G108=C108,"ok",IF(C108="","--","Not ok"))</f>
        <v>--</v>
      </c>
    </row>
    <row r="109" spans="2:8" x14ac:dyDescent="0.25">
      <c r="B109" s="153"/>
      <c r="C109" s="5"/>
      <c r="D109" s="22" t="s">
        <v>213</v>
      </c>
      <c r="E109" s="22"/>
      <c r="F109" s="22"/>
      <c r="G109" s="18" t="s">
        <v>274</v>
      </c>
      <c r="H109" s="6" t="str">
        <f t="shared" si="12"/>
        <v>--</v>
      </c>
    </row>
    <row r="110" spans="2:8" x14ac:dyDescent="0.25">
      <c r="B110" s="154"/>
      <c r="C110" s="5"/>
      <c r="D110" s="22" t="s">
        <v>212</v>
      </c>
      <c r="E110" s="22"/>
      <c r="F110" s="22"/>
      <c r="G110" s="18" t="s">
        <v>275</v>
      </c>
      <c r="H110" s="6" t="str">
        <f t="shared" si="12"/>
        <v>--</v>
      </c>
    </row>
  </sheetData>
  <mergeCells count="13">
    <mergeCell ref="B58:B61"/>
    <mergeCell ref="B23:B26"/>
    <mergeCell ref="B30:B33"/>
    <mergeCell ref="B37:B40"/>
    <mergeCell ref="B44:B47"/>
    <mergeCell ref="B51:B54"/>
    <mergeCell ref="B107:B110"/>
    <mergeCell ref="B65:B68"/>
    <mergeCell ref="B72:B75"/>
    <mergeCell ref="B79:B82"/>
    <mergeCell ref="B86:B89"/>
    <mergeCell ref="B93:B96"/>
    <mergeCell ref="B100:B103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>
      <selection activeCell="B3" sqref="B3"/>
    </sheetView>
  </sheetViews>
  <sheetFormatPr baseColWidth="10" defaultColWidth="10.85546875" defaultRowHeight="15" x14ac:dyDescent="0.25"/>
  <cols>
    <col min="3" max="3" width="12" bestFit="1" customWidth="1"/>
  </cols>
  <sheetData>
    <row r="2" spans="2:23" ht="18.75" x14ac:dyDescent="0.3">
      <c r="B2" s="76" t="s">
        <v>424</v>
      </c>
    </row>
    <row r="9" spans="2:23" ht="15.75" thickBot="1" x14ac:dyDescent="0.3"/>
    <row r="10" spans="2:23" x14ac:dyDescent="0.25">
      <c r="B10" s="95" t="s">
        <v>279</v>
      </c>
      <c r="C10" s="42"/>
      <c r="D10" s="32"/>
      <c r="E10" s="32"/>
      <c r="F10" s="32"/>
      <c r="G10" s="32"/>
      <c r="H10" s="32"/>
      <c r="I10" s="32"/>
      <c r="J10" s="32"/>
      <c r="K10" s="32"/>
      <c r="L10" s="32"/>
      <c r="M10" s="33"/>
    </row>
    <row r="11" spans="2:23" ht="15.75" thickBot="1" x14ac:dyDescent="0.3">
      <c r="B11" s="96" t="s">
        <v>280</v>
      </c>
      <c r="C11" s="41"/>
      <c r="D11" s="26"/>
      <c r="E11" s="26"/>
      <c r="F11" s="26"/>
      <c r="G11" s="26"/>
      <c r="H11" s="26"/>
      <c r="I11" s="26"/>
      <c r="J11" s="26"/>
      <c r="K11" s="26"/>
      <c r="L11" s="26"/>
      <c r="M11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299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300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291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301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/>
      <c r="R25" s="89"/>
      <c r="S25" s="89"/>
      <c r="T25" s="89"/>
      <c r="U25" s="89" t="s">
        <v>297</v>
      </c>
      <c r="V25" s="89">
        <f>COUNTIF(V18:V24,"&lt;&gt; ")</f>
        <v>7</v>
      </c>
      <c r="W25" s="90"/>
    </row>
    <row r="26" spans="16:23" ht="15.75" thickBot="1" x14ac:dyDescent="0.3">
      <c r="P26" s="87"/>
      <c r="Q26" s="89"/>
      <c r="R26" s="89"/>
      <c r="S26" s="89"/>
      <c r="T26" s="89"/>
      <c r="U26" s="91" t="s">
        <v>298</v>
      </c>
      <c r="V26" s="89">
        <f>COUNTIF(V18:V24,"=Ja")</f>
        <v>0</v>
      </c>
      <c r="W26" s="90"/>
    </row>
    <row r="27" spans="16:23" ht="15.75" thickBot="1" x14ac:dyDescent="0.3">
      <c r="P27" s="87"/>
      <c r="Q27" s="89"/>
      <c r="R27" s="89"/>
      <c r="S27" s="89"/>
      <c r="T27" s="89"/>
      <c r="U27" s="97" t="s">
        <v>13</v>
      </c>
      <c r="V27" s="98">
        <f>(5/V25)*V26+1</f>
        <v>1</v>
      </c>
      <c r="W27" s="90"/>
    </row>
    <row r="28" spans="16:23" x14ac:dyDescent="0.25">
      <c r="P28" s="87"/>
      <c r="Q28" s="89"/>
      <c r="R28" s="89"/>
      <c r="S28" s="89"/>
      <c r="T28" s="89"/>
      <c r="U28" s="89"/>
      <c r="V28" s="89"/>
      <c r="W28" s="90"/>
    </row>
    <row r="29" spans="16:23" ht="15.75" thickBot="1" x14ac:dyDescent="0.3">
      <c r="P29" s="92"/>
      <c r="Q29" s="93"/>
      <c r="R29" s="93"/>
      <c r="S29" s="93"/>
      <c r="T29" s="93"/>
      <c r="U29" s="93"/>
      <c r="V29" s="93"/>
      <c r="W29" s="94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H20" sqref="H20"/>
    </sheetView>
  </sheetViews>
  <sheetFormatPr baseColWidth="10" defaultColWidth="10.85546875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6" t="s">
        <v>425</v>
      </c>
    </row>
    <row r="8" spans="2:23" ht="15.75" thickBot="1" x14ac:dyDescent="0.3"/>
    <row r="9" spans="2:23" ht="15.75" thickBot="1" x14ac:dyDescent="0.3">
      <c r="C9" s="82" t="s">
        <v>283</v>
      </c>
      <c r="D9" s="83">
        <v>2</v>
      </c>
    </row>
    <row r="10" spans="2:23" ht="15.75" thickBot="1" x14ac:dyDescent="0.3">
      <c r="B10" s="77" t="s">
        <v>279</v>
      </c>
      <c r="C10" s="80">
        <v>-5</v>
      </c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30"/>
    </row>
    <row r="11" spans="2:23" x14ac:dyDescent="0.25">
      <c r="B11" s="78" t="s">
        <v>281</v>
      </c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81"/>
    </row>
    <row r="12" spans="2:23" ht="15.75" thickBot="1" x14ac:dyDescent="0.3">
      <c r="B12" s="79" t="s">
        <v>282</v>
      </c>
      <c r="C12" s="41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7"/>
    </row>
    <row r="14" spans="2:23" ht="15.75" thickBot="1" x14ac:dyDescent="0.3"/>
    <row r="15" spans="2:23" x14ac:dyDescent="0.25">
      <c r="P15" s="84"/>
      <c r="Q15" s="85"/>
      <c r="R15" s="85"/>
      <c r="S15" s="85"/>
      <c r="T15" s="85"/>
      <c r="U15" s="85"/>
      <c r="V15" s="85"/>
      <c r="W15" s="86"/>
    </row>
    <row r="16" spans="2:23" ht="18.75" x14ac:dyDescent="0.3">
      <c r="P16" s="87"/>
      <c r="Q16" s="88" t="s">
        <v>285</v>
      </c>
      <c r="R16" s="89"/>
      <c r="S16" s="89"/>
      <c r="T16" s="89"/>
      <c r="U16" s="89"/>
      <c r="V16" s="89"/>
      <c r="W16" s="90"/>
    </row>
    <row r="17" spans="16:23" x14ac:dyDescent="0.25">
      <c r="P17" s="87"/>
      <c r="Q17" s="89"/>
      <c r="R17" s="89"/>
      <c r="S17" s="89"/>
      <c r="T17" s="89"/>
      <c r="U17" s="89"/>
      <c r="V17" s="89"/>
      <c r="W17" s="90"/>
    </row>
    <row r="18" spans="16:23" x14ac:dyDescent="0.25">
      <c r="P18" s="87"/>
      <c r="Q18" s="89" t="s">
        <v>296</v>
      </c>
      <c r="R18" s="89"/>
      <c r="S18" s="89"/>
      <c r="T18" s="89"/>
      <c r="U18" s="89"/>
      <c r="V18" s="89" t="s">
        <v>48</v>
      </c>
      <c r="W18" s="90"/>
    </row>
    <row r="19" spans="16:23" x14ac:dyDescent="0.25">
      <c r="P19" s="87"/>
      <c r="Q19" s="89" t="s">
        <v>286</v>
      </c>
      <c r="R19" s="89"/>
      <c r="S19" s="89"/>
      <c r="T19" s="89"/>
      <c r="U19" s="89"/>
      <c r="V19" s="89" t="s">
        <v>48</v>
      </c>
      <c r="W19" s="90"/>
    </row>
    <row r="20" spans="16:23" x14ac:dyDescent="0.25">
      <c r="P20" s="87"/>
      <c r="Q20" s="89" t="s">
        <v>287</v>
      </c>
      <c r="R20" s="89"/>
      <c r="S20" s="89"/>
      <c r="T20" s="89"/>
      <c r="U20" s="89"/>
      <c r="V20" s="89" t="s">
        <v>48</v>
      </c>
      <c r="W20" s="90"/>
    </row>
    <row r="21" spans="16:23" x14ac:dyDescent="0.25">
      <c r="P21" s="87"/>
      <c r="Q21" s="89" t="s">
        <v>288</v>
      </c>
      <c r="R21" s="89"/>
      <c r="S21" s="89"/>
      <c r="T21" s="89"/>
      <c r="U21" s="89"/>
      <c r="V21" s="89" t="s">
        <v>48</v>
      </c>
      <c r="W21" s="90"/>
    </row>
    <row r="22" spans="16:23" x14ac:dyDescent="0.25">
      <c r="P22" s="87"/>
      <c r="Q22" s="89" t="s">
        <v>289</v>
      </c>
      <c r="R22" s="89"/>
      <c r="S22" s="89"/>
      <c r="T22" s="89"/>
      <c r="U22" s="89"/>
      <c r="V22" s="89" t="s">
        <v>48</v>
      </c>
      <c r="W22" s="90"/>
    </row>
    <row r="23" spans="16:23" x14ac:dyDescent="0.25">
      <c r="P23" s="87"/>
      <c r="Q23" s="89" t="s">
        <v>290</v>
      </c>
      <c r="R23" s="89"/>
      <c r="S23" s="89"/>
      <c r="T23" s="89"/>
      <c r="U23" s="89"/>
      <c r="V23" s="89" t="s">
        <v>48</v>
      </c>
      <c r="W23" s="90"/>
    </row>
    <row r="24" spans="16:23" x14ac:dyDescent="0.25">
      <c r="P24" s="87"/>
      <c r="Q24" s="89" t="s">
        <v>291</v>
      </c>
      <c r="R24" s="89"/>
      <c r="S24" s="89"/>
      <c r="T24" s="89"/>
      <c r="U24" s="89"/>
      <c r="V24" s="89" t="s">
        <v>48</v>
      </c>
      <c r="W24" s="90"/>
    </row>
    <row r="25" spans="16:23" x14ac:dyDescent="0.25">
      <c r="P25" s="87"/>
      <c r="Q25" s="89" t="s">
        <v>292</v>
      </c>
      <c r="R25" s="89"/>
      <c r="S25" s="89"/>
      <c r="T25" s="89"/>
      <c r="U25" s="89"/>
      <c r="V25" s="89" t="s">
        <v>48</v>
      </c>
      <c r="W25" s="90"/>
    </row>
    <row r="26" spans="16:23" x14ac:dyDescent="0.25">
      <c r="P26" s="87"/>
      <c r="Q26" s="89" t="s">
        <v>293</v>
      </c>
      <c r="R26" s="89"/>
      <c r="S26" s="89"/>
      <c r="T26" s="89"/>
      <c r="U26" s="89"/>
      <c r="V26" s="89" t="s">
        <v>48</v>
      </c>
      <c r="W26" s="90"/>
    </row>
    <row r="27" spans="16:23" x14ac:dyDescent="0.25">
      <c r="P27" s="87"/>
      <c r="Q27" s="89" t="s">
        <v>294</v>
      </c>
      <c r="R27" s="89"/>
      <c r="S27" s="89"/>
      <c r="T27" s="89"/>
      <c r="U27" s="89"/>
      <c r="V27" s="89" t="s">
        <v>48</v>
      </c>
      <c r="W27" s="90"/>
    </row>
    <row r="28" spans="16:23" x14ac:dyDescent="0.25">
      <c r="P28" s="87"/>
      <c r="Q28" s="89" t="s">
        <v>295</v>
      </c>
      <c r="R28" s="89"/>
      <c r="S28" s="89"/>
      <c r="T28" s="89"/>
      <c r="U28" s="89"/>
      <c r="V28" s="89" t="s">
        <v>48</v>
      </c>
      <c r="W28" s="90"/>
    </row>
    <row r="29" spans="16:23" x14ac:dyDescent="0.25">
      <c r="P29" s="87"/>
      <c r="Q29" s="89"/>
      <c r="R29" s="89"/>
      <c r="S29" s="89"/>
      <c r="T29" s="89"/>
      <c r="U29" s="89" t="s">
        <v>297</v>
      </c>
      <c r="V29" s="89">
        <f>COUNTIF(V18:V28,"&lt;&gt; ")</f>
        <v>11</v>
      </c>
      <c r="W29" s="90"/>
    </row>
    <row r="30" spans="16:23" ht="15.75" thickBot="1" x14ac:dyDescent="0.3">
      <c r="P30" s="87"/>
      <c r="Q30" s="89"/>
      <c r="R30" s="89"/>
      <c r="S30" s="89"/>
      <c r="T30" s="89"/>
      <c r="U30" s="91" t="s">
        <v>298</v>
      </c>
      <c r="V30" s="89">
        <f>COUNTIF(V18:V28,"=Ja")</f>
        <v>0</v>
      </c>
      <c r="W30" s="90"/>
    </row>
    <row r="31" spans="16:23" ht="15.75" thickBot="1" x14ac:dyDescent="0.3">
      <c r="P31" s="87"/>
      <c r="Q31" s="89"/>
      <c r="R31" s="89"/>
      <c r="S31" s="89"/>
      <c r="T31" s="89"/>
      <c r="U31" s="97" t="s">
        <v>13</v>
      </c>
      <c r="V31" s="98">
        <f>(5/V29)*V30+1</f>
        <v>1</v>
      </c>
      <c r="W31" s="90"/>
    </row>
    <row r="32" spans="16:23" x14ac:dyDescent="0.25">
      <c r="P32" s="87"/>
      <c r="Q32" s="89"/>
      <c r="R32" s="89"/>
      <c r="S32" s="89"/>
      <c r="T32" s="89"/>
      <c r="U32" s="89"/>
      <c r="V32" s="89"/>
      <c r="W32" s="90"/>
    </row>
    <row r="33" spans="16:23" ht="15.75" thickBot="1" x14ac:dyDescent="0.3">
      <c r="P33" s="92"/>
      <c r="Q33" s="93"/>
      <c r="R33" s="93"/>
      <c r="S33" s="93"/>
      <c r="T33" s="93"/>
      <c r="U33" s="93"/>
      <c r="V33" s="93"/>
      <c r="W33" s="94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/>
  </sheetViews>
  <sheetFormatPr baseColWidth="10" defaultColWidth="10.85546875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6" t="s">
        <v>426</v>
      </c>
      <c r="L2" s="84"/>
      <c r="M2" s="85"/>
      <c r="N2" s="85"/>
      <c r="O2" s="85"/>
      <c r="P2" s="85"/>
      <c r="Q2" s="85"/>
      <c r="R2" s="85"/>
      <c r="S2" s="86"/>
    </row>
    <row r="3" spans="1:19" ht="18.75" x14ac:dyDescent="0.3">
      <c r="L3" s="87"/>
      <c r="M3" s="88" t="s">
        <v>285</v>
      </c>
      <c r="N3" s="89"/>
      <c r="O3" s="89"/>
      <c r="P3" s="89"/>
      <c r="Q3" s="89"/>
      <c r="R3" s="89"/>
      <c r="S3" s="90"/>
    </row>
    <row r="4" spans="1:19" x14ac:dyDescent="0.25">
      <c r="L4" s="87"/>
      <c r="M4" s="89"/>
      <c r="N4" s="89"/>
      <c r="O4" s="89"/>
      <c r="P4" s="89"/>
      <c r="Q4" s="89"/>
      <c r="R4" s="89"/>
      <c r="S4" s="90"/>
    </row>
    <row r="5" spans="1:19" x14ac:dyDescent="0.25">
      <c r="L5" s="87"/>
      <c r="M5" s="89" t="s">
        <v>296</v>
      </c>
      <c r="N5" s="89"/>
      <c r="O5" s="89"/>
      <c r="P5" s="89"/>
      <c r="Q5" s="89"/>
      <c r="R5" s="89" t="s">
        <v>48</v>
      </c>
      <c r="S5" s="90"/>
    </row>
    <row r="6" spans="1:19" x14ac:dyDescent="0.25">
      <c r="L6" s="87"/>
      <c r="M6" s="89" t="s">
        <v>303</v>
      </c>
      <c r="N6" s="89"/>
      <c r="O6" s="89"/>
      <c r="P6" s="89"/>
      <c r="Q6" s="89"/>
      <c r="R6" s="89" t="s">
        <v>48</v>
      </c>
      <c r="S6" s="90"/>
    </row>
    <row r="7" spans="1:19" x14ac:dyDescent="0.25">
      <c r="L7" s="87"/>
      <c r="M7" s="89" t="s">
        <v>304</v>
      </c>
      <c r="N7" s="89"/>
      <c r="O7" s="89"/>
      <c r="P7" s="89"/>
      <c r="Q7" s="89"/>
      <c r="R7" s="89" t="s">
        <v>48</v>
      </c>
      <c r="S7" s="90"/>
    </row>
    <row r="8" spans="1:19" x14ac:dyDescent="0.25">
      <c r="L8" s="87"/>
      <c r="M8" s="89" t="s">
        <v>305</v>
      </c>
      <c r="N8" s="89"/>
      <c r="O8" s="89"/>
      <c r="P8" s="89"/>
      <c r="Q8" s="89"/>
      <c r="R8" s="89" t="s">
        <v>48</v>
      </c>
      <c r="S8" s="90"/>
    </row>
    <row r="9" spans="1:19" x14ac:dyDescent="0.25">
      <c r="L9" s="87"/>
      <c r="M9" s="89" t="s">
        <v>306</v>
      </c>
      <c r="N9" s="89"/>
      <c r="O9" s="89"/>
      <c r="P9" s="89"/>
      <c r="Q9" s="89"/>
      <c r="R9" s="89" t="s">
        <v>48</v>
      </c>
      <c r="S9" s="90"/>
    </row>
    <row r="10" spans="1:19" x14ac:dyDescent="0.25">
      <c r="L10" s="87"/>
      <c r="M10" s="89" t="s">
        <v>307</v>
      </c>
      <c r="N10" s="89"/>
      <c r="O10" s="89"/>
      <c r="P10" s="89"/>
      <c r="Q10" s="89"/>
      <c r="R10" s="89" t="s">
        <v>48</v>
      </c>
      <c r="S10" s="90"/>
    </row>
    <row r="11" spans="1:19" x14ac:dyDescent="0.25">
      <c r="L11" s="87"/>
      <c r="M11" s="89" t="s">
        <v>308</v>
      </c>
      <c r="N11" s="89"/>
      <c r="O11" s="89"/>
      <c r="P11" s="89"/>
      <c r="Q11" s="89"/>
      <c r="R11" s="89" t="s">
        <v>48</v>
      </c>
      <c r="S11" s="90"/>
    </row>
    <row r="12" spans="1:19" x14ac:dyDescent="0.25">
      <c r="L12" s="87"/>
      <c r="M12" s="89" t="s">
        <v>309</v>
      </c>
      <c r="N12" s="89"/>
      <c r="O12" s="89"/>
      <c r="P12" s="89"/>
      <c r="Q12" s="89"/>
      <c r="R12" s="89" t="s">
        <v>48</v>
      </c>
      <c r="S12" s="90"/>
    </row>
    <row r="13" spans="1:19" x14ac:dyDescent="0.25">
      <c r="L13" s="87"/>
      <c r="M13" s="89" t="s">
        <v>310</v>
      </c>
      <c r="N13" s="89"/>
      <c r="O13" s="89"/>
      <c r="P13" s="89"/>
      <c r="Q13" s="89"/>
      <c r="R13" s="89" t="s">
        <v>48</v>
      </c>
      <c r="S13" s="90"/>
    </row>
    <row r="14" spans="1:19" x14ac:dyDescent="0.25">
      <c r="L14" s="87"/>
      <c r="M14" s="89"/>
      <c r="N14" s="89"/>
      <c r="O14" s="89"/>
      <c r="P14" s="89"/>
      <c r="Q14" s="89" t="s">
        <v>297</v>
      </c>
      <c r="R14" s="89">
        <f>COUNTIF(R5:R13,"&lt;&gt; ")</f>
        <v>9</v>
      </c>
      <c r="S14" s="90"/>
    </row>
    <row r="15" spans="1:19" ht="15.75" thickBot="1" x14ac:dyDescent="0.3">
      <c r="L15" s="87"/>
      <c r="M15" s="89"/>
      <c r="N15" s="89"/>
      <c r="O15" s="89"/>
      <c r="P15" s="89"/>
      <c r="Q15" s="91" t="s">
        <v>298</v>
      </c>
      <c r="R15" s="89">
        <f>COUNTIF(R5:R13,"=Ja")</f>
        <v>0</v>
      </c>
      <c r="S15" s="90"/>
    </row>
    <row r="16" spans="1:19" ht="15.75" thickBot="1" x14ac:dyDescent="0.3">
      <c r="L16" s="87"/>
      <c r="M16" s="89"/>
      <c r="N16" s="89"/>
      <c r="O16" s="89"/>
      <c r="P16" s="89"/>
      <c r="Q16" s="97" t="s">
        <v>13</v>
      </c>
      <c r="R16" s="98">
        <f>(5/R14)*R15+1</f>
        <v>1</v>
      </c>
      <c r="S16" s="90"/>
    </row>
    <row r="17" spans="1:19" x14ac:dyDescent="0.25">
      <c r="L17" s="87"/>
      <c r="M17" s="89"/>
      <c r="N17" s="89"/>
      <c r="O17" s="89"/>
      <c r="P17" s="89"/>
      <c r="Q17" s="89"/>
      <c r="R17" s="89"/>
      <c r="S17" s="90"/>
    </row>
    <row r="18" spans="1:19" ht="15.75" thickBot="1" x14ac:dyDescent="0.3">
      <c r="L18" s="92"/>
      <c r="M18" s="93"/>
      <c r="N18" s="93"/>
      <c r="O18" s="93"/>
      <c r="P18" s="93"/>
      <c r="Q18" s="93"/>
      <c r="R18" s="93"/>
      <c r="S18" s="94"/>
    </row>
    <row r="22" spans="1:19" x14ac:dyDescent="0.25">
      <c r="A22" s="131"/>
      <c r="B22" s="38"/>
      <c r="C22" s="38"/>
      <c r="D22" s="38"/>
      <c r="E22" s="38"/>
      <c r="F22" s="38"/>
      <c r="G22" s="38"/>
      <c r="H22" s="38"/>
      <c r="I22" s="38"/>
      <c r="J22" s="38"/>
      <c r="L22" s="99" t="s">
        <v>311</v>
      </c>
    </row>
    <row r="23" spans="1:19" x14ac:dyDescent="0.25">
      <c r="A23" s="130"/>
      <c r="B23" s="38"/>
      <c r="C23" s="38"/>
      <c r="D23" s="38"/>
      <c r="E23" s="38"/>
      <c r="F23" s="38"/>
      <c r="G23" s="38"/>
      <c r="H23" s="38"/>
      <c r="I23" s="38"/>
      <c r="J23" s="38"/>
    </row>
    <row r="24" spans="1:19" x14ac:dyDescent="0.25">
      <c r="A24" s="130"/>
      <c r="B24" s="38"/>
      <c r="C24" s="38"/>
      <c r="D24" s="38"/>
      <c r="E24" s="38"/>
      <c r="F24" s="38"/>
      <c r="G24" s="38"/>
      <c r="H24" s="38"/>
      <c r="I24" s="38"/>
      <c r="J24" s="38"/>
    </row>
    <row r="25" spans="1:19" x14ac:dyDescent="0.25">
      <c r="A25" s="130"/>
      <c r="B25" s="38"/>
      <c r="C25" s="38"/>
      <c r="D25" s="38"/>
      <c r="E25" s="38"/>
      <c r="F25" s="38"/>
      <c r="G25" s="38"/>
      <c r="H25" s="38"/>
      <c r="I25" s="38"/>
      <c r="J25" s="38"/>
    </row>
    <row r="26" spans="1:19" x14ac:dyDescent="0.25">
      <c r="A26" s="130"/>
      <c r="B26" s="38"/>
      <c r="C26" s="38"/>
      <c r="D26" s="38"/>
      <c r="E26" s="38"/>
      <c r="F26" s="38"/>
      <c r="G26" s="38"/>
      <c r="H26" s="38"/>
      <c r="I26" s="38"/>
      <c r="J26" s="38"/>
    </row>
    <row r="27" spans="1:19" x14ac:dyDescent="0.25">
      <c r="A27" s="130"/>
      <c r="B27" s="38"/>
      <c r="C27" s="38"/>
      <c r="D27" s="38"/>
      <c r="E27" s="38"/>
      <c r="F27" s="38"/>
      <c r="G27" s="38"/>
      <c r="H27" s="38"/>
      <c r="I27" s="38"/>
      <c r="J27" s="38"/>
    </row>
    <row r="28" spans="1:19" x14ac:dyDescent="0.25">
      <c r="A28" s="130"/>
      <c r="B28" s="38"/>
      <c r="C28" s="38"/>
      <c r="D28" s="38"/>
      <c r="E28" s="38"/>
      <c r="F28" s="38"/>
      <c r="G28" s="38"/>
      <c r="H28" s="38"/>
      <c r="I28" s="38"/>
      <c r="J28" s="38"/>
    </row>
    <row r="29" spans="1:19" x14ac:dyDescent="0.25">
      <c r="A29" s="130"/>
      <c r="B29" s="38"/>
      <c r="C29" s="38"/>
      <c r="D29" s="38"/>
      <c r="E29" s="38"/>
      <c r="F29" s="38"/>
      <c r="G29" s="38"/>
      <c r="H29" s="38"/>
      <c r="I29" s="38"/>
      <c r="J29" s="38"/>
    </row>
    <row r="30" spans="1:19" x14ac:dyDescent="0.25">
      <c r="A30" s="130"/>
      <c r="B30" s="38"/>
      <c r="C30" s="38"/>
      <c r="D30" s="38"/>
      <c r="E30" s="38"/>
      <c r="F30" s="38"/>
      <c r="G30" s="38"/>
      <c r="H30" s="38"/>
      <c r="I30" s="38"/>
      <c r="J30" s="38"/>
    </row>
    <row r="31" spans="1:19" x14ac:dyDescent="0.25">
      <c r="A31" s="130"/>
      <c r="B31" s="38"/>
      <c r="C31" s="38"/>
      <c r="D31" s="38"/>
      <c r="E31" s="38"/>
      <c r="F31" s="38"/>
      <c r="G31" s="38"/>
      <c r="H31" s="38"/>
      <c r="I31" s="38"/>
      <c r="J31" s="38"/>
    </row>
    <row r="32" spans="1:19" x14ac:dyDescent="0.25">
      <c r="A32" s="130"/>
      <c r="B32" s="38"/>
      <c r="C32" s="38"/>
      <c r="D32" s="38"/>
      <c r="E32" s="38"/>
      <c r="F32" s="38"/>
      <c r="G32" s="38"/>
      <c r="H32" s="38"/>
      <c r="I32" s="38"/>
      <c r="J32" s="38"/>
    </row>
    <row r="33" spans="1:19" x14ac:dyDescent="0.25">
      <c r="A33" s="130"/>
      <c r="B33" s="38"/>
      <c r="C33" s="38"/>
      <c r="D33" s="38"/>
      <c r="E33" s="38"/>
      <c r="F33" s="38"/>
      <c r="G33" s="38"/>
      <c r="H33" s="38"/>
      <c r="I33" s="38"/>
      <c r="J33" s="38"/>
    </row>
    <row r="34" spans="1:19" x14ac:dyDescent="0.25">
      <c r="A34" s="130"/>
      <c r="B34" s="38"/>
      <c r="C34" s="38"/>
      <c r="D34" s="38"/>
      <c r="E34" s="38"/>
      <c r="F34" s="38"/>
      <c r="G34" s="38"/>
      <c r="H34" s="38"/>
      <c r="I34" s="38"/>
      <c r="J34" s="38"/>
    </row>
    <row r="35" spans="1:19" x14ac:dyDescent="0.25">
      <c r="A35" s="130"/>
      <c r="B35" s="38"/>
      <c r="C35" s="38"/>
      <c r="D35" s="38"/>
      <c r="E35" s="38"/>
      <c r="F35" s="38"/>
      <c r="G35" s="38"/>
      <c r="H35" s="38"/>
      <c r="I35" s="38"/>
      <c r="J35" s="38"/>
    </row>
    <row r="36" spans="1:19" x14ac:dyDescent="0.25">
      <c r="A36" s="130"/>
      <c r="B36" s="38"/>
      <c r="C36" s="38"/>
      <c r="D36" s="38"/>
      <c r="E36" s="38"/>
      <c r="F36" s="38"/>
      <c r="G36" s="38"/>
      <c r="H36" s="38"/>
      <c r="I36" s="38"/>
      <c r="J36" s="38"/>
    </row>
    <row r="37" spans="1:19" x14ac:dyDescent="0.25">
      <c r="A37" s="130"/>
      <c r="B37" s="38"/>
      <c r="C37" s="38"/>
      <c r="D37" s="38"/>
      <c r="E37" s="38"/>
      <c r="F37" s="38"/>
      <c r="G37" s="38"/>
      <c r="H37" s="38"/>
      <c r="I37" s="38"/>
      <c r="J37" s="38"/>
    </row>
    <row r="38" spans="1:19" x14ac:dyDescent="0.25">
      <c r="A38" s="130"/>
      <c r="B38" s="38"/>
      <c r="C38" s="38"/>
      <c r="D38" s="38"/>
      <c r="E38" s="38"/>
      <c r="F38" s="38"/>
      <c r="G38" s="38"/>
      <c r="H38" s="38"/>
      <c r="I38" s="38"/>
      <c r="J38" s="38"/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0"/>
      <c r="B39" s="38"/>
      <c r="C39" s="38"/>
      <c r="D39" s="38"/>
      <c r="E39" s="38"/>
      <c r="F39" s="38"/>
      <c r="G39" s="38"/>
      <c r="H39" s="38"/>
      <c r="I39" s="38"/>
      <c r="J39" s="38"/>
      <c r="L39" s="38"/>
      <c r="M39" s="100"/>
      <c r="N39" s="38"/>
      <c r="O39" s="38"/>
      <c r="P39" s="38"/>
      <c r="Q39" s="38"/>
      <c r="R39" s="38"/>
      <c r="S39" s="38"/>
    </row>
    <row r="40" spans="1:19" x14ac:dyDescent="0.25">
      <c r="A40" s="130"/>
      <c r="B40" s="38"/>
      <c r="C40" s="38"/>
      <c r="D40" s="38"/>
      <c r="E40" s="38"/>
      <c r="F40" s="38"/>
      <c r="G40" s="38"/>
      <c r="H40" s="38"/>
      <c r="I40" s="38"/>
      <c r="J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0"/>
      <c r="B41" s="38"/>
      <c r="C41" s="38"/>
      <c r="D41" s="38"/>
      <c r="E41" s="38"/>
      <c r="F41" s="38"/>
      <c r="G41" s="38"/>
      <c r="H41" s="38"/>
      <c r="I41" s="38"/>
      <c r="J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0"/>
      <c r="B42" s="38"/>
      <c r="C42" s="38"/>
      <c r="D42" s="38"/>
      <c r="E42" s="38"/>
      <c r="F42" s="38"/>
      <c r="G42" s="38"/>
      <c r="H42" s="38"/>
      <c r="I42" s="38"/>
      <c r="J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0"/>
      <c r="B43" s="38"/>
      <c r="C43" s="38"/>
      <c r="D43" s="38"/>
      <c r="E43" s="38"/>
      <c r="F43" s="38"/>
      <c r="G43" s="38"/>
      <c r="H43" s="38"/>
      <c r="I43" s="38"/>
      <c r="J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0"/>
      <c r="B44" s="38"/>
      <c r="C44" s="38"/>
      <c r="D44" s="38"/>
      <c r="E44" s="38"/>
      <c r="F44" s="38"/>
      <c r="G44" s="38"/>
      <c r="H44" s="38"/>
      <c r="I44" s="38"/>
      <c r="J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0"/>
      <c r="B45" s="38"/>
      <c r="C45" s="38"/>
      <c r="D45" s="38"/>
      <c r="E45" s="38"/>
      <c r="F45" s="38"/>
      <c r="G45" s="38"/>
      <c r="H45" s="38"/>
      <c r="I45" s="38"/>
      <c r="J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0"/>
      <c r="B46" s="38"/>
      <c r="C46" s="38"/>
      <c r="D46" s="38"/>
      <c r="E46" s="38"/>
      <c r="F46" s="38"/>
      <c r="G46" s="38"/>
      <c r="H46" s="38"/>
      <c r="I46" s="38"/>
      <c r="J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0"/>
      <c r="B47" s="38"/>
      <c r="C47" s="38"/>
      <c r="D47" s="38"/>
      <c r="E47" s="38"/>
      <c r="F47" s="38"/>
      <c r="G47" s="38"/>
      <c r="H47" s="38"/>
      <c r="I47" s="38"/>
      <c r="J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0"/>
      <c r="B48" s="38"/>
      <c r="C48" s="38"/>
      <c r="D48" s="38"/>
      <c r="E48" s="38"/>
      <c r="F48" s="38"/>
      <c r="G48" s="38"/>
      <c r="H48" s="38"/>
      <c r="I48" s="38"/>
      <c r="J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0"/>
      <c r="B49" s="38"/>
      <c r="C49" s="38"/>
      <c r="D49" s="38"/>
      <c r="E49" s="38"/>
      <c r="F49" s="38"/>
      <c r="G49" s="38"/>
      <c r="H49" s="38"/>
      <c r="I49" s="38"/>
      <c r="J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0"/>
      <c r="B50" s="38"/>
      <c r="C50" s="38"/>
      <c r="D50" s="38"/>
      <c r="E50" s="38"/>
      <c r="F50" s="38"/>
      <c r="G50" s="38"/>
      <c r="H50" s="38"/>
      <c r="I50" s="38"/>
      <c r="J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0"/>
      <c r="B51" s="38"/>
      <c r="C51" s="38"/>
      <c r="D51" s="38"/>
      <c r="E51" s="38"/>
      <c r="F51" s="38"/>
      <c r="G51" s="38"/>
      <c r="H51" s="38"/>
      <c r="I51" s="38"/>
      <c r="J51" s="38"/>
      <c r="L51" s="38"/>
      <c r="M51" s="38"/>
      <c r="N51" s="38"/>
      <c r="O51" s="38"/>
      <c r="P51" s="38"/>
      <c r="Q51" s="101"/>
      <c r="R51" s="38"/>
      <c r="S51" s="38"/>
    </row>
    <row r="52" spans="1:19" x14ac:dyDescent="0.25">
      <c r="A52" s="130"/>
      <c r="B52" s="38"/>
      <c r="C52" s="38"/>
      <c r="D52" s="38"/>
      <c r="E52" s="38"/>
      <c r="F52" s="38"/>
      <c r="G52" s="38"/>
      <c r="H52" s="38"/>
      <c r="I52" s="38"/>
      <c r="J52" s="38"/>
      <c r="L52" s="38"/>
      <c r="M52" s="38"/>
      <c r="N52" s="38"/>
      <c r="O52" s="38"/>
      <c r="P52" s="38"/>
      <c r="Q52" s="101"/>
      <c r="R52" s="102"/>
      <c r="S52" s="38"/>
    </row>
    <row r="53" spans="1:19" x14ac:dyDescent="0.25">
      <c r="A53" s="130"/>
      <c r="B53" s="38"/>
      <c r="C53" s="38"/>
      <c r="D53" s="38"/>
      <c r="E53" s="38"/>
      <c r="F53" s="38"/>
      <c r="G53" s="38"/>
      <c r="H53" s="38"/>
      <c r="I53" s="38"/>
      <c r="J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0"/>
      <c r="B54" s="38"/>
      <c r="C54" s="38"/>
      <c r="D54" s="38"/>
      <c r="E54" s="38"/>
      <c r="F54" s="38"/>
      <c r="G54" s="38"/>
      <c r="H54" s="38"/>
      <c r="I54" s="38"/>
      <c r="J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0"/>
      <c r="B55" s="38"/>
      <c r="C55" s="38"/>
      <c r="D55" s="38"/>
      <c r="E55" s="38"/>
      <c r="F55" s="38"/>
      <c r="G55" s="38"/>
      <c r="H55" s="38"/>
      <c r="I55" s="38"/>
      <c r="J55" s="38"/>
    </row>
    <row r="56" spans="1:19" x14ac:dyDescent="0.25">
      <c r="A56" s="130"/>
      <c r="B56" s="38"/>
      <c r="C56" s="38"/>
      <c r="D56" s="38"/>
      <c r="E56" s="38"/>
      <c r="F56" s="38"/>
      <c r="G56" s="38"/>
      <c r="H56" s="38"/>
      <c r="I56" s="38"/>
      <c r="J56" s="38"/>
    </row>
    <row r="57" spans="1:19" x14ac:dyDescent="0.25">
      <c r="A57" s="130"/>
      <c r="B57" s="38"/>
      <c r="C57" s="38"/>
      <c r="D57" s="38"/>
      <c r="E57" s="38"/>
      <c r="F57" s="38"/>
      <c r="G57" s="38"/>
      <c r="H57" s="38"/>
      <c r="I57" s="38"/>
      <c r="J57" s="38"/>
    </row>
    <row r="58" spans="1:19" x14ac:dyDescent="0.25">
      <c r="A58" s="130"/>
      <c r="B58" s="38"/>
      <c r="C58" s="38"/>
      <c r="D58" s="38"/>
      <c r="E58" s="38"/>
      <c r="F58" s="38"/>
      <c r="G58" s="38"/>
      <c r="H58" s="38"/>
      <c r="I58" s="38"/>
      <c r="J58" s="38"/>
    </row>
    <row r="59" spans="1:19" x14ac:dyDescent="0.25">
      <c r="A59" s="130"/>
      <c r="B59" s="38"/>
      <c r="C59" s="38"/>
      <c r="D59" s="38"/>
      <c r="E59" s="38"/>
      <c r="F59" s="38"/>
      <c r="G59" s="38"/>
      <c r="H59" s="38"/>
      <c r="I59" s="38"/>
      <c r="J59" s="38"/>
    </row>
    <row r="60" spans="1:19" x14ac:dyDescent="0.25">
      <c r="A60" s="130"/>
      <c r="B60" s="38"/>
      <c r="C60" s="38"/>
      <c r="D60" s="38"/>
      <c r="E60" s="38"/>
      <c r="F60" s="38"/>
      <c r="G60" s="38"/>
      <c r="H60" s="38"/>
      <c r="I60" s="38"/>
      <c r="J60" s="38"/>
    </row>
    <row r="61" spans="1:19" x14ac:dyDescent="0.25">
      <c r="A61" s="130"/>
      <c r="B61" s="38"/>
      <c r="C61" s="38"/>
      <c r="D61" s="38"/>
      <c r="E61" s="38"/>
      <c r="F61" s="38"/>
      <c r="G61" s="38"/>
      <c r="H61" s="38"/>
      <c r="I61" s="38"/>
      <c r="J61" s="38"/>
    </row>
    <row r="62" spans="1:19" x14ac:dyDescent="0.25">
      <c r="A62" s="130"/>
      <c r="B62" s="38"/>
      <c r="C62" s="38"/>
      <c r="D62" s="38"/>
      <c r="E62" s="38"/>
      <c r="F62" s="38"/>
      <c r="G62" s="38"/>
      <c r="H62" s="38"/>
      <c r="I62" s="38"/>
      <c r="J62" s="38"/>
    </row>
    <row r="63" spans="1:19" x14ac:dyDescent="0.25">
      <c r="A63" s="130"/>
      <c r="B63" s="38"/>
      <c r="C63" s="38"/>
      <c r="D63" s="38"/>
      <c r="E63" s="38"/>
      <c r="F63" s="38"/>
      <c r="G63" s="38"/>
      <c r="H63" s="38"/>
      <c r="I63" s="38"/>
      <c r="J63" s="38"/>
    </row>
    <row r="64" spans="1:19" x14ac:dyDescent="0.25">
      <c r="A64" s="130"/>
      <c r="B64" s="38"/>
      <c r="C64" s="38"/>
      <c r="D64" s="38"/>
      <c r="E64" s="38"/>
      <c r="F64" s="38"/>
      <c r="G64" s="38"/>
      <c r="H64" s="38"/>
      <c r="I64" s="38"/>
      <c r="J64" s="38"/>
    </row>
    <row r="65" spans="1:10" x14ac:dyDescent="0.25">
      <c r="A65" s="130"/>
      <c r="B65" s="38"/>
      <c r="C65" s="38"/>
      <c r="D65" s="38"/>
      <c r="E65" s="38"/>
      <c r="F65" s="38"/>
      <c r="G65" s="38"/>
      <c r="H65" s="38"/>
      <c r="I65" s="38"/>
      <c r="J65" s="38"/>
    </row>
    <row r="66" spans="1:10" x14ac:dyDescent="0.25">
      <c r="A66" s="130"/>
      <c r="B66" s="38"/>
      <c r="C66" s="38"/>
      <c r="D66" s="38"/>
      <c r="E66" s="38"/>
      <c r="F66" s="38"/>
      <c r="G66" s="38"/>
      <c r="H66" s="38"/>
      <c r="I66" s="38"/>
      <c r="J66" s="38"/>
    </row>
    <row r="67" spans="1:10" x14ac:dyDescent="0.25">
      <c r="A67" s="130"/>
      <c r="B67" s="38"/>
      <c r="C67" s="38"/>
      <c r="D67" s="38"/>
      <c r="E67" s="38"/>
      <c r="F67" s="38"/>
      <c r="G67" s="38"/>
      <c r="H67" s="38"/>
      <c r="I67" s="38"/>
      <c r="J67" s="38"/>
    </row>
    <row r="68" spans="1:10" x14ac:dyDescent="0.25">
      <c r="A68" s="130"/>
      <c r="B68" s="38"/>
      <c r="C68" s="38"/>
      <c r="D68" s="38"/>
      <c r="E68" s="38"/>
      <c r="F68" s="38"/>
      <c r="G68" s="38"/>
      <c r="H68" s="38"/>
      <c r="I68" s="38"/>
      <c r="J68" s="38"/>
    </row>
    <row r="69" spans="1:10" x14ac:dyDescent="0.25">
      <c r="A69" s="130"/>
      <c r="B69" s="38"/>
      <c r="C69" s="38"/>
      <c r="D69" s="38"/>
      <c r="E69" s="38"/>
      <c r="F69" s="38"/>
      <c r="G69" s="38"/>
      <c r="H69" s="38"/>
      <c r="I69" s="38"/>
      <c r="J69" s="38"/>
    </row>
    <row r="70" spans="1:10" x14ac:dyDescent="0.25">
      <c r="A70" s="130"/>
      <c r="B70" s="38"/>
      <c r="C70" s="38"/>
      <c r="D70" s="38"/>
      <c r="E70" s="38"/>
      <c r="F70" s="38"/>
      <c r="G70" s="38"/>
      <c r="H70" s="38"/>
      <c r="I70" s="38"/>
      <c r="J70" s="38"/>
    </row>
    <row r="71" spans="1:10" x14ac:dyDescent="0.25">
      <c r="A71" s="130"/>
      <c r="B71" s="38"/>
      <c r="C71" s="38"/>
      <c r="D71" s="38"/>
      <c r="E71" s="38"/>
      <c r="F71" s="38"/>
      <c r="G71" s="38"/>
      <c r="H71" s="38"/>
      <c r="I71" s="38"/>
      <c r="J71" s="38"/>
    </row>
    <row r="72" spans="1:10" x14ac:dyDescent="0.25">
      <c r="A72" s="130"/>
      <c r="B72" s="38"/>
      <c r="C72" s="38"/>
      <c r="D72" s="38"/>
      <c r="E72" s="38"/>
      <c r="F72" s="38"/>
      <c r="G72" s="38"/>
      <c r="H72" s="38"/>
      <c r="I72" s="38"/>
      <c r="J72" s="38"/>
    </row>
    <row r="73" spans="1:10" x14ac:dyDescent="0.25">
      <c r="A73" s="130"/>
      <c r="B73" s="38"/>
      <c r="C73" s="38"/>
      <c r="D73" s="38"/>
      <c r="E73" s="38"/>
      <c r="F73" s="38"/>
      <c r="G73" s="38"/>
      <c r="H73" s="38"/>
      <c r="I73" s="38"/>
      <c r="J73" s="38"/>
    </row>
    <row r="74" spans="1:10" x14ac:dyDescent="0.25">
      <c r="A74" s="130"/>
      <c r="B74" s="38"/>
      <c r="C74" s="38"/>
      <c r="D74" s="38"/>
      <c r="E74" s="38"/>
      <c r="F74" s="38"/>
      <c r="G74" s="38"/>
      <c r="H74" s="38"/>
      <c r="I74" s="38"/>
      <c r="J74" s="38"/>
    </row>
    <row r="75" spans="1:10" x14ac:dyDescent="0.25">
      <c r="A75" s="130"/>
      <c r="B75" s="38"/>
      <c r="C75" s="38"/>
      <c r="D75" s="38"/>
      <c r="E75" s="38"/>
      <c r="F75" s="38"/>
      <c r="G75" s="38"/>
      <c r="H75" s="38"/>
      <c r="I75" s="38"/>
      <c r="J75" s="38"/>
    </row>
    <row r="76" spans="1:10" x14ac:dyDescent="0.25">
      <c r="A76" s="130"/>
      <c r="B76" s="38"/>
      <c r="C76" s="38"/>
      <c r="D76" s="38"/>
      <c r="E76" s="38"/>
      <c r="F76" s="38"/>
      <c r="G76" s="38"/>
      <c r="H76" s="38"/>
      <c r="I76" s="38"/>
      <c r="J76" s="38"/>
    </row>
    <row r="77" spans="1:10" x14ac:dyDescent="0.25">
      <c r="A77" s="130"/>
      <c r="B77" s="38"/>
      <c r="C77" s="38"/>
      <c r="D77" s="38"/>
      <c r="E77" s="38"/>
      <c r="F77" s="38"/>
      <c r="G77" s="38"/>
      <c r="H77" s="38"/>
      <c r="I77" s="38"/>
      <c r="J77" s="38"/>
    </row>
    <row r="78" spans="1:10" x14ac:dyDescent="0.25">
      <c r="A78" s="130"/>
      <c r="B78" s="38"/>
      <c r="C78" s="38"/>
      <c r="D78" s="38"/>
      <c r="E78" s="38"/>
      <c r="F78" s="38"/>
      <c r="G78" s="38"/>
      <c r="H78" s="38"/>
      <c r="I78" s="38"/>
      <c r="J78" s="38"/>
    </row>
    <row r="79" spans="1:10" x14ac:dyDescent="0.25">
      <c r="A79" s="130"/>
      <c r="B79" s="38"/>
      <c r="C79" s="38"/>
      <c r="D79" s="38"/>
      <c r="E79" s="38"/>
      <c r="F79" s="38"/>
      <c r="G79" s="38"/>
      <c r="H79" s="38"/>
      <c r="I79" s="38"/>
      <c r="J79" s="38"/>
    </row>
    <row r="80" spans="1:10" x14ac:dyDescent="0.25">
      <c r="A80" s="130"/>
      <c r="B80" s="38"/>
      <c r="C80" s="38"/>
      <c r="D80" s="38"/>
      <c r="E80" s="38"/>
      <c r="F80" s="38"/>
      <c r="G80" s="38"/>
      <c r="H80" s="38"/>
      <c r="I80" s="38"/>
      <c r="J80" s="38"/>
    </row>
    <row r="81" spans="1:10" x14ac:dyDescent="0.25">
      <c r="A81" s="130"/>
      <c r="B81" s="38"/>
      <c r="C81" s="38"/>
      <c r="D81" s="38"/>
      <c r="E81" s="38"/>
      <c r="F81" s="38"/>
      <c r="G81" s="38"/>
      <c r="H81" s="38"/>
      <c r="I81" s="38"/>
      <c r="J81" s="38"/>
    </row>
    <row r="82" spans="1:10" x14ac:dyDescent="0.25">
      <c r="A82" s="130"/>
      <c r="B82" s="38"/>
      <c r="C82" s="38"/>
      <c r="D82" s="38"/>
      <c r="E82" s="38"/>
      <c r="F82" s="38"/>
      <c r="G82" s="38"/>
      <c r="H82" s="38"/>
      <c r="I82" s="38"/>
      <c r="J82" s="38"/>
    </row>
    <row r="83" spans="1:10" x14ac:dyDescent="0.25">
      <c r="A83" s="130"/>
      <c r="B83" s="38"/>
      <c r="C83" s="38"/>
      <c r="D83" s="38"/>
      <c r="E83" s="38"/>
      <c r="F83" s="38"/>
      <c r="G83" s="38"/>
      <c r="H83" s="38"/>
      <c r="I83" s="38"/>
      <c r="J83" s="38"/>
    </row>
    <row r="84" spans="1:10" x14ac:dyDescent="0.25">
      <c r="A84" s="130"/>
      <c r="B84" s="38"/>
      <c r="C84" s="38"/>
      <c r="D84" s="38"/>
      <c r="E84" s="38"/>
      <c r="F84" s="38"/>
      <c r="G84" s="38"/>
      <c r="H84" s="38"/>
      <c r="I84" s="38"/>
      <c r="J84" s="38"/>
    </row>
    <row r="85" spans="1:10" x14ac:dyDescent="0.25">
      <c r="A85" s="130"/>
      <c r="B85" s="38"/>
      <c r="C85" s="38"/>
      <c r="D85" s="38"/>
      <c r="E85" s="38"/>
      <c r="F85" s="38"/>
      <c r="G85" s="38"/>
      <c r="H85" s="38"/>
      <c r="I85" s="38"/>
      <c r="J85" s="38"/>
    </row>
    <row r="86" spans="1:10" x14ac:dyDescent="0.25">
      <c r="A86" s="130"/>
      <c r="B86" s="38"/>
      <c r="C86" s="38"/>
      <c r="D86" s="38"/>
      <c r="E86" s="38"/>
      <c r="F86" s="38"/>
      <c r="G86" s="38"/>
      <c r="H86" s="38"/>
      <c r="I86" s="38"/>
      <c r="J86" s="38"/>
    </row>
    <row r="87" spans="1:10" x14ac:dyDescent="0.25">
      <c r="A87" s="130"/>
      <c r="B87" s="38"/>
      <c r="C87" s="38"/>
      <c r="D87" s="38"/>
      <c r="E87" s="38"/>
      <c r="F87" s="38"/>
      <c r="G87" s="38"/>
      <c r="H87" s="38"/>
      <c r="I87" s="38"/>
      <c r="J87" s="38"/>
    </row>
    <row r="88" spans="1:10" x14ac:dyDescent="0.25">
      <c r="A88" s="130"/>
      <c r="B88" s="38"/>
      <c r="C88" s="38"/>
      <c r="D88" s="38"/>
      <c r="E88" s="38"/>
      <c r="F88" s="38"/>
      <c r="G88" s="38"/>
      <c r="H88" s="38"/>
      <c r="I88" s="38"/>
      <c r="J88" s="38"/>
    </row>
    <row r="89" spans="1:10" x14ac:dyDescent="0.25">
      <c r="A89" s="130"/>
      <c r="B89" s="38"/>
      <c r="C89" s="38"/>
      <c r="D89" s="38"/>
      <c r="E89" s="38"/>
      <c r="F89" s="38"/>
      <c r="G89" s="38"/>
      <c r="H89" s="38"/>
      <c r="I89" s="38"/>
      <c r="J89" s="38"/>
    </row>
    <row r="90" spans="1:10" x14ac:dyDescent="0.25">
      <c r="A90" s="130"/>
      <c r="B90" s="38"/>
      <c r="C90" s="38"/>
      <c r="D90" s="38"/>
      <c r="E90" s="38"/>
      <c r="F90" s="38"/>
      <c r="G90" s="38"/>
      <c r="H90" s="38"/>
      <c r="I90" s="38"/>
      <c r="J90" s="38"/>
    </row>
    <row r="91" spans="1:10" x14ac:dyDescent="0.25">
      <c r="A91" s="130"/>
      <c r="B91" s="38"/>
      <c r="C91" s="38"/>
      <c r="D91" s="38"/>
      <c r="E91" s="38"/>
      <c r="F91" s="38"/>
      <c r="G91" s="38"/>
      <c r="H91" s="38"/>
      <c r="I91" s="38"/>
      <c r="J91" s="38"/>
    </row>
    <row r="92" spans="1:10" x14ac:dyDescent="0.25">
      <c r="A92" s="130"/>
      <c r="B92" s="38"/>
      <c r="C92" s="38"/>
      <c r="D92" s="38"/>
      <c r="E92" s="38"/>
      <c r="F92" s="38"/>
      <c r="G92" s="38"/>
      <c r="H92" s="38"/>
      <c r="I92" s="38"/>
      <c r="J92" s="38"/>
    </row>
    <row r="93" spans="1:10" x14ac:dyDescent="0.25">
      <c r="A93" s="130"/>
      <c r="B93" s="38"/>
      <c r="C93" s="38"/>
      <c r="D93" s="38"/>
      <c r="E93" s="38"/>
      <c r="F93" s="38"/>
      <c r="G93" s="38"/>
      <c r="H93" s="38"/>
      <c r="I93" s="38"/>
      <c r="J93" s="38"/>
    </row>
    <row r="94" spans="1:10" x14ac:dyDescent="0.25">
      <c r="A94" s="130"/>
      <c r="B94" s="38"/>
      <c r="C94" s="38"/>
      <c r="D94" s="38"/>
      <c r="E94" s="38"/>
      <c r="F94" s="38"/>
      <c r="G94" s="38"/>
      <c r="H94" s="38"/>
      <c r="I94" s="38"/>
      <c r="J94" s="38"/>
    </row>
    <row r="95" spans="1:10" x14ac:dyDescent="0.25">
      <c r="A95" s="130"/>
      <c r="B95" s="38"/>
      <c r="C95" s="38"/>
      <c r="D95" s="38"/>
      <c r="E95" s="38"/>
      <c r="F95" s="38"/>
      <c r="G95" s="38"/>
      <c r="H95" s="38"/>
      <c r="I95" s="38"/>
      <c r="J95" s="38"/>
    </row>
    <row r="96" spans="1:10" x14ac:dyDescent="0.25">
      <c r="A96" s="130"/>
      <c r="B96" s="38"/>
      <c r="C96" s="38"/>
      <c r="D96" s="38"/>
      <c r="E96" s="38"/>
      <c r="F96" s="38"/>
      <c r="G96" s="38"/>
      <c r="H96" s="38"/>
      <c r="I96" s="38"/>
      <c r="J96" s="38"/>
    </row>
    <row r="97" spans="1:10" x14ac:dyDescent="0.25">
      <c r="A97" s="130"/>
      <c r="B97" s="38"/>
      <c r="C97" s="38"/>
      <c r="D97" s="38"/>
      <c r="E97" s="38"/>
      <c r="F97" s="38"/>
      <c r="G97" s="38"/>
      <c r="H97" s="38"/>
      <c r="I97" s="38"/>
      <c r="J97" s="38"/>
    </row>
    <row r="98" spans="1:10" x14ac:dyDescent="0.25">
      <c r="A98" s="130"/>
      <c r="B98" s="38"/>
      <c r="C98" s="38"/>
      <c r="D98" s="38"/>
      <c r="E98" s="38"/>
      <c r="F98" s="38"/>
      <c r="G98" s="38"/>
      <c r="H98" s="38"/>
      <c r="I98" s="38"/>
      <c r="J98" s="38"/>
    </row>
    <row r="99" spans="1:10" x14ac:dyDescent="0.25">
      <c r="A99" s="130"/>
      <c r="B99" s="38"/>
      <c r="C99" s="38"/>
      <c r="D99" s="38"/>
      <c r="E99" s="38"/>
      <c r="F99" s="38"/>
      <c r="G99" s="38"/>
      <c r="H99" s="38"/>
      <c r="I99" s="38"/>
      <c r="J99" s="38"/>
    </row>
    <row r="100" spans="1:10" x14ac:dyDescent="0.25">
      <c r="A100" s="130"/>
      <c r="B100" s="38"/>
      <c r="C100" s="38"/>
      <c r="D100" s="38"/>
      <c r="E100" s="38"/>
      <c r="F100" s="38"/>
      <c r="G100" s="38"/>
      <c r="H100" s="38"/>
      <c r="I100" s="38"/>
      <c r="J100" s="38"/>
    </row>
    <row r="101" spans="1:10" x14ac:dyDescent="0.25">
      <c r="A101" s="130"/>
      <c r="B101" s="38"/>
      <c r="C101" s="38"/>
      <c r="D101" s="38"/>
      <c r="E101" s="38"/>
      <c r="F101" s="38"/>
      <c r="G101" s="38"/>
      <c r="H101" s="38"/>
      <c r="I101" s="38"/>
      <c r="J101" s="38"/>
    </row>
    <row r="102" spans="1:10" x14ac:dyDescent="0.25">
      <c r="A102" s="130"/>
      <c r="B102" s="38"/>
      <c r="C102" s="38"/>
      <c r="D102" s="38"/>
      <c r="E102" s="38"/>
      <c r="F102" s="38"/>
      <c r="G102" s="38"/>
      <c r="H102" s="38"/>
      <c r="I102" s="38"/>
      <c r="J102" s="38"/>
    </row>
    <row r="103" spans="1:10" x14ac:dyDescent="0.25">
      <c r="A103" s="130"/>
      <c r="B103" s="38"/>
      <c r="C103" s="38"/>
      <c r="D103" s="38"/>
      <c r="E103" s="38"/>
      <c r="F103" s="38"/>
      <c r="G103" s="38"/>
      <c r="H103" s="38"/>
      <c r="I103" s="38"/>
      <c r="J103" s="38"/>
    </row>
    <row r="104" spans="1:10" x14ac:dyDescent="0.25">
      <c r="A104" s="130"/>
      <c r="B104" s="38"/>
      <c r="C104" s="38"/>
      <c r="D104" s="38"/>
      <c r="E104" s="38"/>
      <c r="F104" s="38"/>
      <c r="G104" s="38"/>
      <c r="H104" s="38"/>
      <c r="I104" s="38"/>
      <c r="J104" s="38"/>
    </row>
    <row r="105" spans="1:10" x14ac:dyDescent="0.25">
      <c r="A105" s="130"/>
      <c r="B105" s="38"/>
      <c r="C105" s="38"/>
      <c r="D105" s="38"/>
      <c r="E105" s="38"/>
      <c r="F105" s="38"/>
      <c r="G105" s="38"/>
      <c r="H105" s="38"/>
      <c r="I105" s="38"/>
      <c r="J105" s="38"/>
    </row>
    <row r="106" spans="1:10" x14ac:dyDescent="0.25">
      <c r="A106" s="130"/>
      <c r="B106" s="38"/>
      <c r="C106" s="38"/>
      <c r="D106" s="38"/>
      <c r="E106" s="38"/>
      <c r="F106" s="38"/>
      <c r="G106" s="38"/>
      <c r="H106" s="38"/>
      <c r="I106" s="38"/>
      <c r="J106" s="38"/>
    </row>
    <row r="107" spans="1:10" x14ac:dyDescent="0.25">
      <c r="A107" s="130"/>
      <c r="B107" s="38"/>
      <c r="C107" s="38"/>
      <c r="D107" s="38"/>
      <c r="E107" s="38"/>
      <c r="F107" s="38"/>
      <c r="G107" s="38"/>
      <c r="H107" s="38"/>
      <c r="I107" s="38"/>
      <c r="J107" s="38"/>
    </row>
    <row r="108" spans="1:10" x14ac:dyDescent="0.25">
      <c r="A108" s="130"/>
      <c r="B108" s="38"/>
      <c r="C108" s="38"/>
      <c r="D108" s="38"/>
      <c r="E108" s="38"/>
      <c r="F108" s="38"/>
      <c r="G108" s="38"/>
      <c r="H108" s="38"/>
      <c r="I108" s="38"/>
      <c r="J108" s="38"/>
    </row>
    <row r="109" spans="1:10" x14ac:dyDescent="0.25">
      <c r="A109" s="130"/>
      <c r="B109" s="38"/>
      <c r="C109" s="38"/>
      <c r="D109" s="38"/>
      <c r="E109" s="38"/>
      <c r="F109" s="38"/>
      <c r="G109" s="38"/>
      <c r="H109" s="38"/>
      <c r="I109" s="38"/>
      <c r="J109" s="38"/>
    </row>
    <row r="110" spans="1:10" x14ac:dyDescent="0.25">
      <c r="A110" s="130"/>
      <c r="B110" s="38"/>
      <c r="C110" s="38"/>
      <c r="D110" s="38"/>
      <c r="E110" s="38"/>
      <c r="F110" s="38"/>
      <c r="G110" s="38"/>
      <c r="H110" s="38"/>
      <c r="I110" s="38"/>
      <c r="J110" s="38"/>
    </row>
    <row r="111" spans="1:10" x14ac:dyDescent="0.25">
      <c r="A111" s="130"/>
      <c r="B111" s="38"/>
      <c r="C111" s="38"/>
      <c r="D111" s="38"/>
      <c r="E111" s="38"/>
      <c r="F111" s="38"/>
      <c r="G111" s="38"/>
      <c r="H111" s="38"/>
      <c r="I111" s="38"/>
      <c r="J111" s="38"/>
    </row>
    <row r="112" spans="1:10" x14ac:dyDescent="0.25">
      <c r="A112" s="130"/>
      <c r="B112" s="38"/>
      <c r="C112" s="38"/>
      <c r="D112" s="38"/>
      <c r="E112" s="38"/>
      <c r="F112" s="38"/>
      <c r="G112" s="38"/>
      <c r="H112" s="38"/>
      <c r="I112" s="38"/>
      <c r="J112" s="38"/>
    </row>
    <row r="113" spans="1:10" x14ac:dyDescent="0.25">
      <c r="A113" s="130"/>
      <c r="B113" s="38"/>
      <c r="C113" s="38"/>
      <c r="D113" s="38"/>
      <c r="E113" s="38"/>
      <c r="F113" s="38"/>
      <c r="G113" s="38"/>
      <c r="H113" s="38"/>
      <c r="I113" s="38"/>
      <c r="J113" s="38"/>
    </row>
    <row r="114" spans="1:10" x14ac:dyDescent="0.25">
      <c r="A114" s="130"/>
      <c r="B114" s="38"/>
      <c r="C114" s="38"/>
      <c r="D114" s="38"/>
      <c r="E114" s="38"/>
      <c r="F114" s="38"/>
      <c r="G114" s="38"/>
      <c r="H114" s="38"/>
      <c r="I114" s="38"/>
      <c r="J114" s="38"/>
    </row>
    <row r="115" spans="1:10" x14ac:dyDescent="0.25">
      <c r="A115" s="130"/>
      <c r="B115" s="38"/>
      <c r="C115" s="38"/>
      <c r="D115" s="38"/>
      <c r="E115" s="38"/>
      <c r="F115" s="38"/>
      <c r="G115" s="38"/>
      <c r="H115" s="38"/>
      <c r="I115" s="38"/>
      <c r="J115" s="38"/>
    </row>
    <row r="116" spans="1:10" x14ac:dyDescent="0.25">
      <c r="A116" s="130"/>
      <c r="B116" s="38"/>
      <c r="C116" s="38"/>
      <c r="D116" s="38"/>
      <c r="E116" s="38"/>
      <c r="F116" s="38"/>
      <c r="G116" s="38"/>
      <c r="H116" s="38"/>
      <c r="I116" s="38"/>
      <c r="J116" s="38"/>
    </row>
    <row r="117" spans="1:10" x14ac:dyDescent="0.25">
      <c r="A117" s="130"/>
      <c r="B117" s="38"/>
      <c r="C117" s="38"/>
      <c r="D117" s="38"/>
      <c r="E117" s="38"/>
      <c r="F117" s="38"/>
      <c r="G117" s="38"/>
      <c r="H117" s="38"/>
      <c r="I117" s="38"/>
      <c r="J117" s="38"/>
    </row>
    <row r="118" spans="1:10" x14ac:dyDescent="0.25">
      <c r="A118" s="130"/>
      <c r="B118" s="38"/>
      <c r="C118" s="38"/>
      <c r="D118" s="38"/>
      <c r="E118" s="38"/>
      <c r="F118" s="38"/>
      <c r="G118" s="38"/>
      <c r="H118" s="38"/>
      <c r="I118" s="38"/>
      <c r="J118" s="38"/>
    </row>
    <row r="119" spans="1:10" x14ac:dyDescent="0.25">
      <c r="A119" s="130"/>
      <c r="B119" s="38"/>
      <c r="C119" s="38"/>
      <c r="D119" s="38"/>
      <c r="E119" s="38"/>
      <c r="F119" s="38"/>
      <c r="G119" s="38"/>
      <c r="H119" s="38"/>
      <c r="I119" s="38"/>
      <c r="J119" s="38"/>
    </row>
    <row r="120" spans="1:10" x14ac:dyDescent="0.25">
      <c r="A120" s="130"/>
      <c r="B120" s="38"/>
      <c r="C120" s="38"/>
      <c r="D120" s="38"/>
      <c r="E120" s="38"/>
      <c r="F120" s="38"/>
      <c r="G120" s="38"/>
      <c r="H120" s="38"/>
      <c r="I120" s="38"/>
      <c r="J120" s="38"/>
    </row>
    <row r="121" spans="1:10" x14ac:dyDescent="0.25">
      <c r="A121" s="130"/>
      <c r="B121" s="38"/>
      <c r="C121" s="38"/>
      <c r="D121" s="38"/>
      <c r="E121" s="38"/>
      <c r="F121" s="38"/>
      <c r="G121" s="38"/>
      <c r="H121" s="38"/>
      <c r="I121" s="38"/>
      <c r="J121" s="38"/>
    </row>
    <row r="122" spans="1:10" x14ac:dyDescent="0.25">
      <c r="A122" s="130"/>
      <c r="B122" s="38"/>
      <c r="C122" s="38"/>
      <c r="D122" s="38"/>
      <c r="E122" s="38"/>
      <c r="F122" s="38"/>
      <c r="G122" s="38"/>
      <c r="H122" s="38"/>
      <c r="I122" s="38"/>
      <c r="J122" s="38"/>
    </row>
    <row r="123" spans="1:10" x14ac:dyDescent="0.25">
      <c r="A123" s="130"/>
      <c r="B123" s="38"/>
      <c r="C123" s="38"/>
      <c r="D123" s="38"/>
      <c r="E123" s="38"/>
      <c r="F123" s="38"/>
      <c r="G123" s="38"/>
      <c r="H123" s="38"/>
      <c r="I123" s="38"/>
      <c r="J123" s="38"/>
    </row>
    <row r="124" spans="1:10" x14ac:dyDescent="0.25">
      <c r="A124" s="130"/>
      <c r="B124" s="38"/>
      <c r="C124" s="38"/>
      <c r="D124" s="38"/>
      <c r="E124" s="38"/>
      <c r="F124" s="38"/>
      <c r="G124" s="38"/>
      <c r="H124" s="38"/>
      <c r="I124" s="38"/>
      <c r="J124" s="38"/>
    </row>
    <row r="125" spans="1:10" x14ac:dyDescent="0.25">
      <c r="A125" s="130"/>
      <c r="B125" s="38"/>
      <c r="C125" s="38"/>
      <c r="D125" s="38"/>
      <c r="E125" s="38"/>
      <c r="F125" s="38"/>
      <c r="G125" s="38"/>
      <c r="H125" s="38"/>
      <c r="I125" s="38"/>
      <c r="J125" s="38"/>
    </row>
    <row r="126" spans="1:10" x14ac:dyDescent="0.25">
      <c r="A126" s="130"/>
      <c r="B126" s="38"/>
      <c r="C126" s="38"/>
      <c r="D126" s="38"/>
      <c r="E126" s="38"/>
      <c r="F126" s="38"/>
      <c r="G126" s="38"/>
      <c r="H126" s="38"/>
      <c r="I126" s="38"/>
      <c r="J126" s="38"/>
    </row>
    <row r="127" spans="1:10" x14ac:dyDescent="0.25">
      <c r="A127" s="130"/>
      <c r="B127" s="38"/>
      <c r="C127" s="38"/>
      <c r="D127" s="38"/>
      <c r="E127" s="38"/>
      <c r="F127" s="38"/>
      <c r="G127" s="38"/>
      <c r="H127" s="38"/>
      <c r="I127" s="38"/>
      <c r="J127" s="38"/>
    </row>
    <row r="128" spans="1:10" x14ac:dyDescent="0.25">
      <c r="A128" s="130"/>
      <c r="B128" s="38"/>
      <c r="C128" s="38"/>
      <c r="D128" s="38"/>
      <c r="E128" s="38"/>
      <c r="F128" s="38"/>
      <c r="G128" s="38"/>
      <c r="H128" s="38"/>
      <c r="I128" s="38"/>
      <c r="J128" s="38"/>
    </row>
    <row r="129" spans="1:10" x14ac:dyDescent="0.25">
      <c r="A129" s="130"/>
      <c r="B129" s="38"/>
      <c r="C129" s="38"/>
      <c r="D129" s="38"/>
      <c r="E129" s="38"/>
      <c r="F129" s="38"/>
      <c r="G129" s="38"/>
      <c r="H129" s="38"/>
      <c r="I129" s="38"/>
      <c r="J129" s="38"/>
    </row>
    <row r="130" spans="1:10" x14ac:dyDescent="0.25">
      <c r="A130" s="130"/>
      <c r="B130" s="38"/>
      <c r="C130" s="38"/>
      <c r="D130" s="38"/>
      <c r="E130" s="38"/>
      <c r="F130" s="38"/>
      <c r="G130" s="38"/>
      <c r="H130" s="38"/>
      <c r="I130" s="38"/>
      <c r="J130" s="38"/>
    </row>
    <row r="131" spans="1:10" x14ac:dyDescent="0.25">
      <c r="A131" s="130"/>
      <c r="B131" s="38"/>
      <c r="C131" s="38"/>
      <c r="D131" s="38"/>
      <c r="E131" s="38"/>
      <c r="F131" s="38"/>
      <c r="G131" s="38"/>
      <c r="H131" s="38"/>
      <c r="I131" s="38"/>
      <c r="J131" s="38"/>
    </row>
    <row r="132" spans="1:10" x14ac:dyDescent="0.25">
      <c r="A132" s="130"/>
      <c r="B132" s="38"/>
      <c r="C132" s="38"/>
      <c r="D132" s="38"/>
      <c r="E132" s="38"/>
      <c r="F132" s="38"/>
      <c r="G132" s="38"/>
      <c r="H132" s="38"/>
      <c r="I132" s="38"/>
      <c r="J132" s="38"/>
    </row>
    <row r="133" spans="1:10" x14ac:dyDescent="0.25">
      <c r="A133" s="130"/>
      <c r="B133" s="38"/>
      <c r="C133" s="38"/>
      <c r="D133" s="38"/>
      <c r="E133" s="38"/>
      <c r="F133" s="38"/>
      <c r="G133" s="38"/>
      <c r="H133" s="38"/>
      <c r="I133" s="38"/>
      <c r="J133" s="38"/>
    </row>
    <row r="134" spans="1:10" x14ac:dyDescent="0.25">
      <c r="A134" s="130"/>
      <c r="B134" s="38"/>
      <c r="C134" s="38"/>
      <c r="D134" s="38"/>
      <c r="E134" s="38"/>
      <c r="F134" s="38"/>
      <c r="G134" s="38"/>
      <c r="H134" s="38"/>
      <c r="I134" s="38"/>
      <c r="J134" s="38"/>
    </row>
    <row r="135" spans="1:10" x14ac:dyDescent="0.25">
      <c r="A135" s="130"/>
      <c r="B135" s="38"/>
      <c r="C135" s="38"/>
      <c r="D135" s="38"/>
      <c r="E135" s="38"/>
      <c r="F135" s="38"/>
      <c r="G135" s="38"/>
      <c r="H135" s="38"/>
      <c r="I135" s="38"/>
      <c r="J135" s="38"/>
    </row>
    <row r="136" spans="1:10" x14ac:dyDescent="0.25">
      <c r="A136" s="130"/>
      <c r="B136" s="38"/>
      <c r="C136" s="38"/>
      <c r="D136" s="38"/>
      <c r="E136" s="38"/>
      <c r="F136" s="38"/>
      <c r="G136" s="38"/>
      <c r="H136" s="38"/>
      <c r="I136" s="38"/>
      <c r="J136" s="38"/>
    </row>
    <row r="137" spans="1:10" x14ac:dyDescent="0.25">
      <c r="A137" s="130"/>
      <c r="B137" s="38"/>
      <c r="C137" s="38"/>
      <c r="D137" s="38"/>
      <c r="E137" s="38"/>
      <c r="F137" s="38"/>
      <c r="G137" s="38"/>
      <c r="H137" s="38"/>
      <c r="I137" s="38"/>
      <c r="J137" s="38"/>
    </row>
    <row r="138" spans="1:10" x14ac:dyDescent="0.25">
      <c r="A138" s="130"/>
      <c r="B138" s="38"/>
      <c r="C138" s="38"/>
      <c r="D138" s="38"/>
      <c r="E138" s="38"/>
      <c r="F138" s="38"/>
      <c r="G138" s="38"/>
      <c r="H138" s="38"/>
      <c r="I138" s="38"/>
      <c r="J138" s="38"/>
    </row>
    <row r="139" spans="1:10" x14ac:dyDescent="0.25">
      <c r="A139" s="130"/>
      <c r="B139" s="38"/>
      <c r="C139" s="38"/>
      <c r="D139" s="38"/>
      <c r="E139" s="38"/>
      <c r="F139" s="38"/>
      <c r="G139" s="38"/>
      <c r="H139" s="38"/>
      <c r="I139" s="38"/>
      <c r="J139" s="38"/>
    </row>
    <row r="140" spans="1:10" x14ac:dyDescent="0.25">
      <c r="A140" s="130"/>
      <c r="B140" s="38"/>
      <c r="C140" s="38"/>
      <c r="D140" s="38"/>
      <c r="E140" s="38"/>
      <c r="F140" s="38"/>
      <c r="G140" s="38"/>
      <c r="H140" s="38"/>
      <c r="I140" s="38"/>
      <c r="J140" s="38"/>
    </row>
    <row r="141" spans="1:10" x14ac:dyDescent="0.25">
      <c r="A141" s="130"/>
      <c r="B141" s="38"/>
      <c r="C141" s="38"/>
      <c r="D141" s="38"/>
      <c r="E141" s="38"/>
      <c r="F141" s="38"/>
      <c r="G141" s="38"/>
      <c r="H141" s="38"/>
      <c r="I141" s="38"/>
      <c r="J141" s="38"/>
    </row>
    <row r="142" spans="1:10" x14ac:dyDescent="0.25">
      <c r="A142" s="130"/>
      <c r="B142" s="38"/>
      <c r="C142" s="38"/>
      <c r="D142" s="38"/>
      <c r="E142" s="38"/>
      <c r="F142" s="38"/>
      <c r="G142" s="38"/>
      <c r="H142" s="38"/>
      <c r="I142" s="38"/>
      <c r="J142" s="38"/>
    </row>
    <row r="143" spans="1:10" x14ac:dyDescent="0.25">
      <c r="A143" s="130"/>
      <c r="B143" s="38"/>
      <c r="C143" s="38"/>
      <c r="D143" s="38"/>
      <c r="E143" s="38"/>
      <c r="F143" s="38"/>
      <c r="G143" s="38"/>
      <c r="H143" s="38"/>
      <c r="I143" s="38"/>
      <c r="J143" s="38"/>
    </row>
    <row r="144" spans="1:10" x14ac:dyDescent="0.25">
      <c r="A144" s="130"/>
      <c r="B144" s="38"/>
      <c r="C144" s="38"/>
      <c r="D144" s="38"/>
      <c r="E144" s="38"/>
      <c r="F144" s="38"/>
      <c r="G144" s="38"/>
      <c r="H144" s="38"/>
      <c r="I144" s="38"/>
      <c r="J144" s="38"/>
    </row>
    <row r="145" spans="1:10" x14ac:dyDescent="0.25">
      <c r="A145" s="130"/>
      <c r="B145" s="38"/>
      <c r="C145" s="38"/>
      <c r="D145" s="38"/>
      <c r="E145" s="38"/>
      <c r="F145" s="38"/>
      <c r="G145" s="38"/>
      <c r="H145" s="38"/>
      <c r="I145" s="38"/>
      <c r="J145" s="38"/>
    </row>
    <row r="146" spans="1:10" x14ac:dyDescent="0.25">
      <c r="A146" s="130"/>
      <c r="B146" s="38"/>
      <c r="C146" s="38"/>
      <c r="D146" s="38"/>
      <c r="E146" s="38"/>
      <c r="F146" s="38"/>
      <c r="G146" s="38"/>
      <c r="H146" s="38"/>
      <c r="I146" s="38"/>
      <c r="J146" s="38"/>
    </row>
    <row r="147" spans="1:10" x14ac:dyDescent="0.25">
      <c r="A147" s="130"/>
      <c r="B147" s="38"/>
      <c r="C147" s="38"/>
      <c r="D147" s="38"/>
      <c r="E147" s="38"/>
      <c r="F147" s="38"/>
      <c r="G147" s="38"/>
      <c r="H147" s="38"/>
      <c r="I147" s="38"/>
      <c r="J147" s="38"/>
    </row>
    <row r="148" spans="1:10" x14ac:dyDescent="0.25">
      <c r="A148" s="130"/>
      <c r="B148" s="38"/>
      <c r="C148" s="38"/>
      <c r="D148" s="38"/>
      <c r="E148" s="38"/>
      <c r="F148" s="38"/>
      <c r="G148" s="38"/>
      <c r="H148" s="38"/>
      <c r="I148" s="38"/>
      <c r="J148" s="38"/>
    </row>
    <row r="149" spans="1:10" x14ac:dyDescent="0.25">
      <c r="A149" s="130"/>
      <c r="B149" s="38"/>
      <c r="C149" s="38"/>
      <c r="D149" s="38"/>
      <c r="E149" s="38"/>
      <c r="F149" s="38"/>
      <c r="G149" s="38"/>
      <c r="H149" s="38"/>
      <c r="I149" s="38"/>
      <c r="J149" s="38"/>
    </row>
    <row r="150" spans="1:10" x14ac:dyDescent="0.25">
      <c r="A150" s="130"/>
      <c r="B150" s="38"/>
      <c r="C150" s="38"/>
      <c r="D150" s="38"/>
      <c r="E150" s="38"/>
      <c r="F150" s="38"/>
      <c r="G150" s="38"/>
      <c r="H150" s="38"/>
      <c r="I150" s="38"/>
      <c r="J150" s="38"/>
    </row>
    <row r="151" spans="1:10" x14ac:dyDescent="0.25">
      <c r="A151" s="130"/>
      <c r="B151" s="38"/>
      <c r="C151" s="38"/>
      <c r="D151" s="38"/>
      <c r="E151" s="38"/>
      <c r="F151" s="38"/>
      <c r="G151" s="38"/>
      <c r="H151" s="38"/>
      <c r="I151" s="38"/>
      <c r="J151" s="38"/>
    </row>
    <row r="152" spans="1:10" x14ac:dyDescent="0.25">
      <c r="A152" s="130"/>
      <c r="B152" s="38"/>
      <c r="C152" s="38"/>
      <c r="D152" s="38"/>
      <c r="E152" s="38"/>
      <c r="F152" s="38"/>
      <c r="G152" s="38"/>
      <c r="H152" s="38"/>
      <c r="I152" s="38"/>
      <c r="J152" s="38"/>
    </row>
    <row r="153" spans="1:10" x14ac:dyDescent="0.25">
      <c r="A153" s="130"/>
      <c r="B153" s="38"/>
      <c r="C153" s="38"/>
      <c r="D153" s="38"/>
      <c r="E153" s="38"/>
      <c r="F153" s="38"/>
      <c r="G153" s="38"/>
      <c r="H153" s="38"/>
      <c r="I153" s="38"/>
      <c r="J153" s="38"/>
    </row>
    <row r="154" spans="1:10" x14ac:dyDescent="0.25">
      <c r="A154" s="130"/>
      <c r="B154" s="38"/>
      <c r="C154" s="38"/>
      <c r="D154" s="38"/>
      <c r="E154" s="38"/>
      <c r="F154" s="38"/>
      <c r="G154" s="38"/>
      <c r="H154" s="38"/>
      <c r="I154" s="38"/>
      <c r="J154" s="38"/>
    </row>
    <row r="155" spans="1:10" x14ac:dyDescent="0.25">
      <c r="A155" s="130"/>
      <c r="B155" s="38"/>
      <c r="C155" s="38"/>
      <c r="D155" s="38"/>
      <c r="E155" s="38"/>
      <c r="F155" s="38"/>
      <c r="G155" s="38"/>
      <c r="H155" s="38"/>
      <c r="I155" s="38"/>
      <c r="J155" s="38"/>
    </row>
    <row r="156" spans="1:10" x14ac:dyDescent="0.25">
      <c r="A156" s="130"/>
      <c r="B156" s="38"/>
      <c r="C156" s="38"/>
      <c r="D156" s="38"/>
      <c r="E156" s="38"/>
      <c r="F156" s="38"/>
      <c r="G156" s="38"/>
      <c r="H156" s="38"/>
      <c r="I156" s="38"/>
      <c r="J156" s="38"/>
    </row>
    <row r="157" spans="1:10" x14ac:dyDescent="0.25">
      <c r="A157" s="130"/>
      <c r="B157" s="38"/>
      <c r="C157" s="38"/>
      <c r="D157" s="38"/>
      <c r="E157" s="38"/>
      <c r="F157" s="38"/>
      <c r="G157" s="38"/>
      <c r="H157" s="38"/>
      <c r="I157" s="38"/>
      <c r="J157" s="38"/>
    </row>
    <row r="158" spans="1:10" x14ac:dyDescent="0.25">
      <c r="A158" s="130"/>
      <c r="B158" s="38"/>
      <c r="C158" s="38"/>
      <c r="D158" s="38"/>
      <c r="E158" s="38"/>
      <c r="F158" s="38"/>
      <c r="G158" s="38"/>
      <c r="H158" s="38"/>
      <c r="I158" s="38"/>
      <c r="J158" s="38"/>
    </row>
    <row r="159" spans="1:10" x14ac:dyDescent="0.25">
      <c r="A159" s="130"/>
      <c r="B159" s="38"/>
      <c r="C159" s="38"/>
      <c r="D159" s="38"/>
      <c r="E159" s="38"/>
      <c r="F159" s="38"/>
      <c r="G159" s="38"/>
      <c r="H159" s="38"/>
      <c r="I159" s="38"/>
      <c r="J159" s="38"/>
    </row>
    <row r="160" spans="1:10" x14ac:dyDescent="0.25">
      <c r="A160" s="130"/>
      <c r="B160" s="38"/>
      <c r="C160" s="38"/>
      <c r="D160" s="38"/>
      <c r="E160" s="38"/>
      <c r="F160" s="38"/>
      <c r="G160" s="38"/>
      <c r="H160" s="38"/>
      <c r="I160" s="38"/>
      <c r="J160" s="38"/>
    </row>
    <row r="161" spans="1:10" x14ac:dyDescent="0.25">
      <c r="A161" s="130"/>
      <c r="B161" s="38"/>
      <c r="C161" s="38"/>
      <c r="D161" s="38"/>
      <c r="E161" s="38"/>
      <c r="F161" s="38"/>
      <c r="G161" s="38"/>
      <c r="H161" s="38"/>
      <c r="I161" s="38"/>
      <c r="J161" s="38"/>
    </row>
    <row r="162" spans="1:10" x14ac:dyDescent="0.25">
      <c r="A162" s="130"/>
      <c r="B162" s="38"/>
      <c r="C162" s="38"/>
      <c r="D162" s="38"/>
      <c r="E162" s="38"/>
      <c r="F162" s="38"/>
      <c r="G162" s="38"/>
      <c r="H162" s="38"/>
      <c r="I162" s="38"/>
      <c r="J162" s="38"/>
    </row>
    <row r="163" spans="1:10" x14ac:dyDescent="0.25">
      <c r="A163" s="130"/>
      <c r="B163" s="38"/>
      <c r="C163" s="38"/>
      <c r="D163" s="38"/>
      <c r="E163" s="38"/>
      <c r="F163" s="38"/>
      <c r="G163" s="38"/>
      <c r="H163" s="38"/>
      <c r="I163" s="38"/>
      <c r="J163" s="38"/>
    </row>
    <row r="164" spans="1:10" x14ac:dyDescent="0.25">
      <c r="A164" s="130"/>
      <c r="B164" s="38"/>
      <c r="C164" s="38"/>
      <c r="D164" s="38"/>
      <c r="E164" s="38"/>
      <c r="F164" s="38"/>
      <c r="G164" s="38"/>
      <c r="H164" s="38"/>
      <c r="I164" s="38"/>
      <c r="J164" s="38"/>
    </row>
    <row r="165" spans="1:10" x14ac:dyDescent="0.25">
      <c r="A165" s="130"/>
      <c r="B165" s="38"/>
      <c r="C165" s="38"/>
      <c r="D165" s="38"/>
      <c r="E165" s="38"/>
      <c r="F165" s="38"/>
      <c r="G165" s="38"/>
      <c r="H165" s="38"/>
      <c r="I165" s="38"/>
      <c r="J165" s="38"/>
    </row>
    <row r="166" spans="1:10" x14ac:dyDescent="0.25">
      <c r="A166" s="130"/>
      <c r="B166" s="38"/>
      <c r="C166" s="38"/>
      <c r="D166" s="38"/>
      <c r="E166" s="38"/>
      <c r="F166" s="38"/>
      <c r="G166" s="38"/>
      <c r="H166" s="38"/>
      <c r="I166" s="38"/>
      <c r="J166" s="38"/>
    </row>
    <row r="167" spans="1:10" x14ac:dyDescent="0.25">
      <c r="A167" s="130"/>
      <c r="B167" s="38"/>
      <c r="C167" s="38"/>
      <c r="D167" s="38"/>
      <c r="E167" s="38"/>
      <c r="F167" s="38"/>
      <c r="G167" s="38"/>
      <c r="H167" s="38"/>
      <c r="I167" s="38"/>
      <c r="J167" s="38"/>
    </row>
    <row r="168" spans="1:10" x14ac:dyDescent="0.25">
      <c r="A168" s="130"/>
      <c r="B168" s="38"/>
      <c r="C168" s="38"/>
      <c r="D168" s="38"/>
      <c r="E168" s="38"/>
      <c r="F168" s="38"/>
      <c r="G168" s="38"/>
      <c r="H168" s="38"/>
      <c r="I168" s="38"/>
      <c r="J168" s="38"/>
    </row>
    <row r="169" spans="1:10" x14ac:dyDescent="0.25">
      <c r="A169" s="130"/>
      <c r="B169" s="38"/>
      <c r="C169" s="38"/>
      <c r="D169" s="38"/>
      <c r="E169" s="38"/>
      <c r="F169" s="38"/>
      <c r="G169" s="38"/>
      <c r="H169" s="38"/>
      <c r="I169" s="38"/>
      <c r="J169" s="38"/>
    </row>
    <row r="170" spans="1:10" x14ac:dyDescent="0.25">
      <c r="A170" s="130"/>
      <c r="B170" s="38"/>
      <c r="C170" s="38"/>
      <c r="D170" s="38"/>
      <c r="E170" s="38"/>
      <c r="F170" s="38"/>
      <c r="G170" s="38"/>
      <c r="H170" s="38"/>
      <c r="I170" s="38"/>
      <c r="J170" s="38"/>
    </row>
    <row r="171" spans="1:10" x14ac:dyDescent="0.25">
      <c r="A171" s="130"/>
      <c r="B171" s="38"/>
      <c r="C171" s="38"/>
      <c r="D171" s="38"/>
      <c r="E171" s="38"/>
      <c r="F171" s="38"/>
      <c r="G171" s="38"/>
      <c r="H171" s="38"/>
      <c r="I171" s="38"/>
      <c r="J171" s="38"/>
    </row>
    <row r="172" spans="1:10" x14ac:dyDescent="0.25">
      <c r="A172" s="130"/>
      <c r="B172" s="38"/>
      <c r="C172" s="38"/>
      <c r="D172" s="38"/>
      <c r="E172" s="38"/>
      <c r="F172" s="38"/>
      <c r="G172" s="38"/>
      <c r="H172" s="38"/>
      <c r="I172" s="38"/>
      <c r="J172" s="38"/>
    </row>
    <row r="173" spans="1:10" x14ac:dyDescent="0.25">
      <c r="A173" s="130"/>
      <c r="B173" s="38"/>
      <c r="C173" s="38"/>
      <c r="D173" s="38"/>
      <c r="E173" s="38"/>
      <c r="F173" s="38"/>
      <c r="G173" s="38"/>
      <c r="H173" s="38"/>
      <c r="I173" s="38"/>
      <c r="J173" s="38"/>
    </row>
    <row r="174" spans="1:10" x14ac:dyDescent="0.25">
      <c r="A174" s="130"/>
      <c r="B174" s="38"/>
      <c r="C174" s="38"/>
      <c r="D174" s="38"/>
      <c r="E174" s="38"/>
      <c r="F174" s="38"/>
      <c r="G174" s="38"/>
      <c r="H174" s="38"/>
      <c r="I174" s="38"/>
      <c r="J174" s="38"/>
    </row>
    <row r="175" spans="1:10" x14ac:dyDescent="0.25">
      <c r="A175" s="130"/>
      <c r="B175" s="38"/>
      <c r="C175" s="38"/>
      <c r="D175" s="38"/>
      <c r="E175" s="38"/>
      <c r="F175" s="38"/>
      <c r="G175" s="38"/>
      <c r="H175" s="38"/>
      <c r="I175" s="38"/>
      <c r="J175" s="38"/>
    </row>
    <row r="176" spans="1:10" x14ac:dyDescent="0.25">
      <c r="A176" s="130"/>
      <c r="B176" s="38"/>
      <c r="C176" s="38"/>
      <c r="D176" s="38"/>
      <c r="E176" s="38"/>
      <c r="F176" s="38"/>
      <c r="G176" s="38"/>
      <c r="H176" s="38"/>
      <c r="I176" s="38"/>
      <c r="J176" s="38"/>
    </row>
    <row r="177" spans="1:10" x14ac:dyDescent="0.25">
      <c r="A177" s="130"/>
      <c r="B177" s="38"/>
      <c r="C177" s="38"/>
      <c r="D177" s="38"/>
      <c r="E177" s="38"/>
      <c r="F177" s="38"/>
      <c r="G177" s="38"/>
      <c r="H177" s="38"/>
      <c r="I177" s="38"/>
      <c r="J177" s="38"/>
    </row>
    <row r="178" spans="1:10" x14ac:dyDescent="0.25">
      <c r="A178" s="130"/>
      <c r="B178" s="38"/>
      <c r="C178" s="38"/>
      <c r="D178" s="38"/>
      <c r="E178" s="38"/>
      <c r="F178" s="38"/>
      <c r="G178" s="38"/>
      <c r="H178" s="38"/>
      <c r="I178" s="38"/>
      <c r="J178" s="38"/>
    </row>
    <row r="179" spans="1:10" x14ac:dyDescent="0.25">
      <c r="A179" s="130"/>
      <c r="B179" s="38"/>
      <c r="C179" s="38"/>
      <c r="D179" s="38"/>
      <c r="E179" s="38"/>
      <c r="F179" s="38"/>
      <c r="G179" s="38"/>
      <c r="H179" s="38"/>
      <c r="I179" s="38"/>
      <c r="J179" s="38"/>
    </row>
    <row r="180" spans="1:10" x14ac:dyDescent="0.25">
      <c r="A180" s="130"/>
      <c r="B180" s="38"/>
      <c r="C180" s="38"/>
      <c r="D180" s="38"/>
      <c r="E180" s="38"/>
      <c r="F180" s="38"/>
      <c r="G180" s="38"/>
      <c r="H180" s="38"/>
      <c r="I180" s="38"/>
      <c r="J180" s="38"/>
    </row>
    <row r="181" spans="1:10" x14ac:dyDescent="0.25">
      <c r="A181" s="130"/>
      <c r="B181" s="38"/>
      <c r="C181" s="38"/>
      <c r="D181" s="38"/>
      <c r="E181" s="38"/>
      <c r="F181" s="38"/>
      <c r="G181" s="38"/>
      <c r="H181" s="38"/>
      <c r="I181" s="38"/>
      <c r="J181" s="38"/>
    </row>
    <row r="182" spans="1:10" x14ac:dyDescent="0.25">
      <c r="A182" s="130"/>
      <c r="B182" s="38"/>
      <c r="C182" s="38"/>
      <c r="D182" s="38"/>
      <c r="E182" s="38"/>
      <c r="F182" s="38"/>
      <c r="G182" s="38"/>
      <c r="H182" s="38"/>
      <c r="I182" s="38"/>
      <c r="J182" s="38"/>
    </row>
    <row r="183" spans="1:10" x14ac:dyDescent="0.25">
      <c r="A183" s="130"/>
      <c r="B183" s="38"/>
      <c r="C183" s="38"/>
      <c r="D183" s="38"/>
      <c r="E183" s="38"/>
      <c r="F183" s="38"/>
      <c r="G183" s="38"/>
      <c r="H183" s="38"/>
      <c r="I183" s="38"/>
      <c r="J183" s="38"/>
    </row>
    <row r="184" spans="1:10" x14ac:dyDescent="0.25">
      <c r="A184" s="130"/>
      <c r="B184" s="38"/>
      <c r="C184" s="38"/>
      <c r="D184" s="38"/>
      <c r="E184" s="38"/>
      <c r="F184" s="38"/>
      <c r="G184" s="38"/>
      <c r="H184" s="38"/>
      <c r="I184" s="38"/>
      <c r="J184" s="38"/>
    </row>
    <row r="185" spans="1:10" x14ac:dyDescent="0.25">
      <c r="A185" s="130"/>
      <c r="B185" s="38"/>
      <c r="C185" s="38"/>
      <c r="D185" s="38"/>
      <c r="E185" s="38"/>
      <c r="F185" s="38"/>
      <c r="G185" s="38"/>
      <c r="H185" s="38"/>
      <c r="I185" s="38"/>
      <c r="J185" s="38"/>
    </row>
    <row r="186" spans="1:10" x14ac:dyDescent="0.25">
      <c r="A186" s="130"/>
      <c r="B186" s="38"/>
      <c r="C186" s="38"/>
      <c r="D186" s="38"/>
      <c r="E186" s="38"/>
      <c r="F186" s="38"/>
      <c r="G186" s="38"/>
      <c r="H186" s="38"/>
      <c r="I186" s="38"/>
      <c r="J186" s="38"/>
    </row>
    <row r="187" spans="1:10" x14ac:dyDescent="0.25">
      <c r="A187" s="130"/>
      <c r="B187" s="38"/>
      <c r="C187" s="38"/>
      <c r="D187" s="38"/>
      <c r="E187" s="38"/>
      <c r="F187" s="38"/>
      <c r="G187" s="38"/>
      <c r="H187" s="38"/>
      <c r="I187" s="38"/>
      <c r="J187" s="38"/>
    </row>
    <row r="188" spans="1:10" x14ac:dyDescent="0.25">
      <c r="A188" s="130"/>
      <c r="B188" s="38"/>
      <c r="C188" s="38"/>
      <c r="D188" s="38"/>
      <c r="E188" s="38"/>
      <c r="F188" s="38"/>
      <c r="G188" s="38"/>
      <c r="H188" s="38"/>
      <c r="I188" s="38"/>
      <c r="J188" s="38"/>
    </row>
    <row r="189" spans="1:10" x14ac:dyDescent="0.25">
      <c r="A189" s="130"/>
      <c r="B189" s="38"/>
      <c r="C189" s="38"/>
      <c r="D189" s="38"/>
      <c r="E189" s="38"/>
      <c r="F189" s="38"/>
      <c r="G189" s="38"/>
      <c r="H189" s="38"/>
      <c r="I189" s="38"/>
      <c r="J189" s="38"/>
    </row>
    <row r="190" spans="1:10" x14ac:dyDescent="0.25">
      <c r="A190" s="130"/>
      <c r="B190" s="38"/>
      <c r="C190" s="38"/>
      <c r="D190" s="38"/>
      <c r="E190" s="38"/>
      <c r="F190" s="38"/>
      <c r="G190" s="38"/>
      <c r="H190" s="38"/>
      <c r="I190" s="38"/>
      <c r="J190" s="38"/>
    </row>
    <row r="191" spans="1:10" x14ac:dyDescent="0.25">
      <c r="A191" s="130"/>
      <c r="B191" s="38"/>
      <c r="C191" s="38"/>
      <c r="D191" s="38"/>
      <c r="E191" s="38"/>
      <c r="F191" s="38"/>
      <c r="G191" s="38"/>
      <c r="H191" s="38"/>
      <c r="I191" s="38"/>
      <c r="J191" s="38"/>
    </row>
    <row r="192" spans="1:10" x14ac:dyDescent="0.25">
      <c r="A192" s="130"/>
      <c r="B192" s="38"/>
      <c r="C192" s="38"/>
      <c r="D192" s="38"/>
      <c r="E192" s="38"/>
      <c r="F192" s="38"/>
      <c r="G192" s="38"/>
      <c r="H192" s="38"/>
      <c r="I192" s="38"/>
      <c r="J192" s="38"/>
    </row>
    <row r="193" spans="1:10" x14ac:dyDescent="0.25">
      <c r="A193" s="130"/>
      <c r="B193" s="38"/>
      <c r="C193" s="38"/>
      <c r="D193" s="38"/>
      <c r="E193" s="38"/>
      <c r="F193" s="38"/>
      <c r="G193" s="38"/>
      <c r="H193" s="38"/>
      <c r="I193" s="38"/>
      <c r="J193" s="38"/>
    </row>
    <row r="194" spans="1:10" x14ac:dyDescent="0.25">
      <c r="A194" s="130"/>
      <c r="B194" s="38"/>
      <c r="C194" s="38"/>
      <c r="D194" s="38"/>
      <c r="E194" s="38"/>
      <c r="F194" s="38"/>
      <c r="G194" s="38"/>
      <c r="H194" s="38"/>
      <c r="I194" s="38"/>
      <c r="J194" s="38"/>
    </row>
    <row r="195" spans="1:10" x14ac:dyDescent="0.25">
      <c r="A195" s="130"/>
      <c r="B195" s="38"/>
      <c r="C195" s="38"/>
      <c r="D195" s="38"/>
      <c r="E195" s="38"/>
      <c r="F195" s="38"/>
      <c r="G195" s="38"/>
      <c r="H195" s="38"/>
      <c r="I195" s="38"/>
      <c r="J195" s="38"/>
    </row>
    <row r="196" spans="1:10" x14ac:dyDescent="0.25">
      <c r="A196" s="130"/>
      <c r="B196" s="38"/>
      <c r="C196" s="38"/>
      <c r="D196" s="38"/>
      <c r="E196" s="38"/>
      <c r="F196" s="38"/>
      <c r="G196" s="38"/>
      <c r="H196" s="38"/>
      <c r="I196" s="38"/>
      <c r="J196" s="38"/>
    </row>
    <row r="197" spans="1:10" x14ac:dyDescent="0.25">
      <c r="A197" s="130"/>
      <c r="B197" s="38"/>
      <c r="C197" s="38"/>
      <c r="D197" s="38"/>
      <c r="E197" s="38"/>
      <c r="F197" s="38"/>
      <c r="G197" s="38"/>
      <c r="H197" s="38"/>
      <c r="I197" s="38"/>
      <c r="J197" s="38"/>
    </row>
    <row r="198" spans="1:10" x14ac:dyDescent="0.25">
      <c r="A198" s="130"/>
      <c r="B198" s="38"/>
      <c r="C198" s="38"/>
      <c r="D198" s="38"/>
      <c r="E198" s="38"/>
      <c r="F198" s="38"/>
      <c r="G198" s="38"/>
      <c r="H198" s="38"/>
      <c r="I198" s="38"/>
      <c r="J198" s="38"/>
    </row>
    <row r="199" spans="1:10" x14ac:dyDescent="0.25">
      <c r="A199" s="130"/>
      <c r="B199" s="38"/>
      <c r="C199" s="38"/>
      <c r="D199" s="38"/>
      <c r="E199" s="38"/>
      <c r="F199" s="38"/>
      <c r="G199" s="38"/>
      <c r="H199" s="38"/>
      <c r="I199" s="38"/>
      <c r="J199" s="38"/>
    </row>
    <row r="200" spans="1:10" x14ac:dyDescent="0.25">
      <c r="A200" s="130"/>
      <c r="B200" s="38"/>
      <c r="C200" s="38"/>
      <c r="D200" s="38"/>
      <c r="E200" s="38"/>
      <c r="F200" s="38"/>
      <c r="G200" s="38"/>
      <c r="H200" s="38"/>
      <c r="I200" s="38"/>
      <c r="J200" s="38"/>
    </row>
    <row r="201" spans="1:10" x14ac:dyDescent="0.25">
      <c r="A201" s="130"/>
      <c r="B201" s="38"/>
      <c r="C201" s="38"/>
      <c r="D201" s="38"/>
      <c r="E201" s="38"/>
      <c r="F201" s="38"/>
      <c r="G201" s="38"/>
      <c r="H201" s="38"/>
      <c r="I201" s="38"/>
      <c r="J201" s="38"/>
    </row>
    <row r="202" spans="1:10" x14ac:dyDescent="0.25">
      <c r="A202" s="130"/>
      <c r="B202" s="38"/>
      <c r="C202" s="38"/>
      <c r="D202" s="38"/>
      <c r="E202" s="38"/>
      <c r="F202" s="38"/>
      <c r="G202" s="38"/>
      <c r="H202" s="38"/>
      <c r="I202" s="38"/>
      <c r="J202" s="38"/>
    </row>
    <row r="203" spans="1:10" x14ac:dyDescent="0.25">
      <c r="A203" s="130"/>
      <c r="B203" s="38"/>
      <c r="C203" s="38"/>
      <c r="D203" s="38"/>
      <c r="E203" s="38"/>
      <c r="F203" s="38"/>
      <c r="G203" s="38"/>
      <c r="H203" s="38"/>
      <c r="I203" s="38"/>
      <c r="J203" s="38"/>
    </row>
    <row r="204" spans="1:10" x14ac:dyDescent="0.25">
      <c r="A204" s="130"/>
      <c r="B204" s="38"/>
      <c r="C204" s="38"/>
      <c r="D204" s="38"/>
      <c r="E204" s="38"/>
      <c r="F204" s="38"/>
      <c r="G204" s="38"/>
      <c r="H204" s="38"/>
      <c r="I204" s="38"/>
      <c r="J204" s="38"/>
    </row>
    <row r="205" spans="1:10" x14ac:dyDescent="0.25">
      <c r="A205" s="130"/>
      <c r="B205" s="38"/>
      <c r="C205" s="38"/>
      <c r="D205" s="38"/>
      <c r="E205" s="38"/>
      <c r="F205" s="38"/>
      <c r="G205" s="38"/>
      <c r="H205" s="38"/>
      <c r="I205" s="38"/>
      <c r="J205" s="38"/>
    </row>
    <row r="206" spans="1:10" x14ac:dyDescent="0.25">
      <c r="A206" s="130"/>
      <c r="B206" s="38"/>
      <c r="C206" s="38"/>
      <c r="D206" s="38"/>
      <c r="E206" s="38"/>
      <c r="F206" s="38"/>
      <c r="G206" s="38"/>
      <c r="H206" s="38"/>
      <c r="I206" s="38"/>
      <c r="J206" s="38"/>
    </row>
    <row r="207" spans="1:10" x14ac:dyDescent="0.25">
      <c r="A207" s="130"/>
      <c r="B207" s="38"/>
      <c r="C207" s="38"/>
      <c r="D207" s="38"/>
      <c r="E207" s="38"/>
      <c r="F207" s="38"/>
      <c r="G207" s="38"/>
      <c r="H207" s="38"/>
      <c r="I207" s="38"/>
      <c r="J207" s="38"/>
    </row>
    <row r="208" spans="1:10" x14ac:dyDescent="0.25">
      <c r="A208" s="130"/>
      <c r="B208" s="38"/>
      <c r="C208" s="38"/>
      <c r="D208" s="38"/>
      <c r="E208" s="38"/>
      <c r="F208" s="38"/>
      <c r="G208" s="38"/>
      <c r="H208" s="38"/>
      <c r="I208" s="38"/>
      <c r="J208" s="38"/>
    </row>
    <row r="209" spans="1:10" x14ac:dyDescent="0.25">
      <c r="A209" s="130"/>
      <c r="B209" s="38"/>
      <c r="C209" s="38"/>
      <c r="D209" s="38"/>
      <c r="E209" s="38"/>
      <c r="F209" s="38"/>
      <c r="G209" s="38"/>
      <c r="H209" s="38"/>
      <c r="I209" s="38"/>
      <c r="J209" s="38"/>
    </row>
    <row r="210" spans="1:10" x14ac:dyDescent="0.25">
      <c r="A210" s="130"/>
      <c r="B210" s="38"/>
      <c r="C210" s="38"/>
      <c r="D210" s="38"/>
      <c r="E210" s="38"/>
      <c r="F210" s="38"/>
      <c r="G210" s="38"/>
      <c r="H210" s="38"/>
      <c r="I210" s="38"/>
      <c r="J210" s="38"/>
    </row>
    <row r="211" spans="1:10" x14ac:dyDescent="0.25">
      <c r="A211" s="130"/>
      <c r="B211" s="38"/>
      <c r="C211" s="38"/>
      <c r="D211" s="38"/>
      <c r="E211" s="38"/>
      <c r="F211" s="38"/>
      <c r="G211" s="38"/>
      <c r="H211" s="38"/>
      <c r="I211" s="38"/>
      <c r="J211" s="38"/>
    </row>
    <row r="212" spans="1:10" x14ac:dyDescent="0.25">
      <c r="A212" s="130"/>
      <c r="B212" s="38"/>
      <c r="C212" s="38"/>
      <c r="D212" s="38"/>
      <c r="E212" s="38"/>
      <c r="F212" s="38"/>
      <c r="G212" s="38"/>
      <c r="H212" s="38"/>
      <c r="I212" s="38"/>
      <c r="J212" s="38"/>
    </row>
    <row r="213" spans="1:10" x14ac:dyDescent="0.25">
      <c r="A213" s="130"/>
      <c r="B213" s="38"/>
      <c r="C213" s="38"/>
      <c r="D213" s="38"/>
      <c r="E213" s="38"/>
      <c r="F213" s="38"/>
      <c r="G213" s="38"/>
      <c r="H213" s="38"/>
      <c r="I213" s="38"/>
      <c r="J213" s="38"/>
    </row>
    <row r="214" spans="1:10" x14ac:dyDescent="0.25">
      <c r="A214" s="130"/>
      <c r="B214" s="38"/>
      <c r="C214" s="38"/>
      <c r="D214" s="38"/>
      <c r="E214" s="38"/>
      <c r="F214" s="38"/>
      <c r="G214" s="38"/>
      <c r="H214" s="38"/>
      <c r="I214" s="38"/>
      <c r="J214" s="38"/>
    </row>
    <row r="215" spans="1:10" x14ac:dyDescent="0.25">
      <c r="A215" s="130"/>
      <c r="B215" s="38"/>
      <c r="C215" s="38"/>
      <c r="D215" s="38"/>
      <c r="E215" s="38"/>
      <c r="F215" s="38"/>
      <c r="G215" s="38"/>
      <c r="H215" s="38"/>
      <c r="I215" s="38"/>
      <c r="J215" s="38"/>
    </row>
    <row r="216" spans="1:10" x14ac:dyDescent="0.25">
      <c r="A216" s="130"/>
      <c r="B216" s="38"/>
      <c r="C216" s="38"/>
      <c r="D216" s="38"/>
      <c r="E216" s="38"/>
      <c r="F216" s="38"/>
      <c r="G216" s="38"/>
      <c r="H216" s="38"/>
      <c r="I216" s="38"/>
      <c r="J216" s="38"/>
    </row>
    <row r="217" spans="1:10" x14ac:dyDescent="0.25">
      <c r="A217" s="130"/>
      <c r="B217" s="38"/>
      <c r="C217" s="38"/>
      <c r="D217" s="38"/>
      <c r="E217" s="38"/>
      <c r="F217" s="38"/>
      <c r="G217" s="38"/>
      <c r="H217" s="38"/>
      <c r="I217" s="38"/>
      <c r="J217" s="38"/>
    </row>
    <row r="218" spans="1:10" x14ac:dyDescent="0.25">
      <c r="A218" s="130"/>
      <c r="B218" s="38"/>
      <c r="C218" s="38"/>
      <c r="D218" s="38"/>
      <c r="E218" s="38"/>
      <c r="F218" s="38"/>
      <c r="G218" s="38"/>
      <c r="H218" s="38"/>
      <c r="I218" s="38"/>
      <c r="J218" s="38"/>
    </row>
    <row r="219" spans="1:10" x14ac:dyDescent="0.25">
      <c r="A219" s="130"/>
      <c r="B219" s="38"/>
      <c r="C219" s="38"/>
      <c r="D219" s="38"/>
      <c r="E219" s="38"/>
      <c r="F219" s="38"/>
      <c r="G219" s="38"/>
      <c r="H219" s="38"/>
      <c r="I219" s="38"/>
      <c r="J219" s="38"/>
    </row>
    <row r="220" spans="1:10" x14ac:dyDescent="0.25">
      <c r="A220" s="130"/>
      <c r="B220" s="38"/>
      <c r="C220" s="38"/>
      <c r="D220" s="38"/>
      <c r="E220" s="38"/>
      <c r="F220" s="38"/>
      <c r="G220" s="38"/>
      <c r="H220" s="38"/>
      <c r="I220" s="38"/>
      <c r="J220" s="38"/>
    </row>
    <row r="221" spans="1:10" x14ac:dyDescent="0.25">
      <c r="A221" s="130"/>
      <c r="B221" s="38"/>
      <c r="C221" s="38"/>
      <c r="D221" s="38"/>
      <c r="E221" s="38"/>
      <c r="F221" s="38"/>
      <c r="G221" s="38"/>
      <c r="H221" s="38"/>
      <c r="I221" s="38"/>
      <c r="J221" s="38"/>
    </row>
    <row r="222" spans="1:10" x14ac:dyDescent="0.25">
      <c r="A222" s="130"/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25">
      <c r="A223" s="130"/>
      <c r="B223" s="38"/>
      <c r="C223" s="38"/>
      <c r="D223" s="38"/>
      <c r="E223" s="38"/>
      <c r="F223" s="38"/>
      <c r="G223" s="38"/>
      <c r="H223" s="38"/>
      <c r="I223" s="38"/>
      <c r="J223" s="38"/>
    </row>
    <row r="224" spans="1:10" x14ac:dyDescent="0.25">
      <c r="A224" s="130"/>
      <c r="B224" s="38"/>
      <c r="C224" s="38"/>
      <c r="D224" s="38"/>
      <c r="E224" s="38"/>
      <c r="F224" s="38"/>
      <c r="G224" s="38"/>
      <c r="H224" s="38"/>
      <c r="I224" s="38"/>
      <c r="J224" s="38"/>
    </row>
    <row r="225" spans="1:10" x14ac:dyDescent="0.25">
      <c r="A225" s="130"/>
      <c r="B225" s="38"/>
      <c r="C225" s="38"/>
      <c r="D225" s="38"/>
      <c r="E225" s="38"/>
      <c r="F225" s="38"/>
      <c r="G225" s="38"/>
      <c r="H225" s="38"/>
      <c r="I225" s="38"/>
      <c r="J225" s="38"/>
    </row>
    <row r="226" spans="1:10" x14ac:dyDescent="0.25">
      <c r="A226" s="130"/>
      <c r="B226" s="38"/>
      <c r="C226" s="38"/>
      <c r="D226" s="38"/>
      <c r="E226" s="38"/>
      <c r="F226" s="38"/>
      <c r="G226" s="38"/>
      <c r="H226" s="38"/>
      <c r="I226" s="38"/>
      <c r="J226" s="38"/>
    </row>
    <row r="227" spans="1:10" x14ac:dyDescent="0.25">
      <c r="A227" s="130"/>
      <c r="B227" s="38"/>
      <c r="C227" s="38"/>
      <c r="D227" s="38"/>
      <c r="E227" s="38"/>
      <c r="F227" s="38"/>
      <c r="G227" s="38"/>
      <c r="H227" s="38"/>
      <c r="I227" s="38"/>
      <c r="J227" s="38"/>
    </row>
    <row r="228" spans="1:10" x14ac:dyDescent="0.25">
      <c r="A228" s="130"/>
      <c r="B228" s="38"/>
      <c r="C228" s="38"/>
      <c r="D228" s="38"/>
      <c r="E228" s="38"/>
      <c r="F228" s="38"/>
      <c r="G228" s="38"/>
      <c r="H228" s="38"/>
      <c r="I228" s="38"/>
      <c r="J228" s="38"/>
    </row>
    <row r="229" spans="1:10" x14ac:dyDescent="0.25">
      <c r="A229" s="130"/>
      <c r="B229" s="38"/>
      <c r="C229" s="38"/>
      <c r="D229" s="38"/>
      <c r="E229" s="38"/>
      <c r="F229" s="38"/>
      <c r="G229" s="38"/>
      <c r="H229" s="38"/>
      <c r="I229" s="38"/>
      <c r="J229" s="38"/>
    </row>
    <row r="230" spans="1:10" x14ac:dyDescent="0.25">
      <c r="A230" s="130"/>
      <c r="B230" s="38"/>
      <c r="C230" s="38"/>
      <c r="D230" s="38"/>
      <c r="E230" s="38"/>
      <c r="F230" s="38"/>
      <c r="G230" s="38"/>
      <c r="H230" s="38"/>
      <c r="I230" s="38"/>
      <c r="J230" s="38"/>
    </row>
    <row r="231" spans="1:10" x14ac:dyDescent="0.25">
      <c r="A231" s="130"/>
      <c r="B231" s="38"/>
      <c r="C231" s="38"/>
      <c r="D231" s="38"/>
      <c r="E231" s="38"/>
      <c r="F231" s="38"/>
      <c r="G231" s="38"/>
      <c r="H231" s="38"/>
      <c r="I231" s="38"/>
      <c r="J231" s="38"/>
    </row>
    <row r="232" spans="1:10" x14ac:dyDescent="0.25">
      <c r="A232" s="130"/>
      <c r="B232" s="38"/>
      <c r="C232" s="38"/>
      <c r="D232" s="38"/>
      <c r="E232" s="38"/>
      <c r="F232" s="38"/>
      <c r="G232" s="38"/>
      <c r="H232" s="38"/>
      <c r="I232" s="38"/>
      <c r="J232" s="38"/>
    </row>
    <row r="233" spans="1:10" x14ac:dyDescent="0.25">
      <c r="A233" s="130"/>
      <c r="B233" s="38"/>
      <c r="C233" s="38"/>
      <c r="D233" s="38"/>
      <c r="E233" s="38"/>
      <c r="F233" s="38"/>
      <c r="G233" s="38"/>
      <c r="H233" s="38"/>
      <c r="I233" s="38"/>
      <c r="J233" s="38"/>
    </row>
    <row r="234" spans="1:10" x14ac:dyDescent="0.25">
      <c r="A234" s="130"/>
      <c r="B234" s="38"/>
      <c r="C234" s="38"/>
      <c r="D234" s="38"/>
      <c r="E234" s="38"/>
      <c r="F234" s="38"/>
      <c r="G234" s="38"/>
      <c r="H234" s="38"/>
      <c r="I234" s="38"/>
      <c r="J234" s="38"/>
    </row>
    <row r="235" spans="1:10" x14ac:dyDescent="0.25">
      <c r="A235" s="130"/>
      <c r="B235" s="38"/>
      <c r="C235" s="38"/>
      <c r="D235" s="38"/>
      <c r="E235" s="38"/>
      <c r="F235" s="38"/>
      <c r="G235" s="38"/>
      <c r="H235" s="38"/>
      <c r="I235" s="38"/>
      <c r="J235" s="38"/>
    </row>
    <row r="236" spans="1:10" x14ac:dyDescent="0.25">
      <c r="A236" s="130"/>
      <c r="B236" s="38"/>
      <c r="C236" s="38"/>
      <c r="D236" s="38"/>
      <c r="E236" s="38"/>
      <c r="F236" s="38"/>
      <c r="G236" s="38"/>
      <c r="H236" s="38"/>
      <c r="I236" s="38"/>
      <c r="J236" s="38"/>
    </row>
    <row r="237" spans="1:10" x14ac:dyDescent="0.25">
      <c r="A237" s="130"/>
      <c r="B237" s="38"/>
      <c r="C237" s="38"/>
      <c r="D237" s="38"/>
      <c r="E237" s="38"/>
      <c r="F237" s="38"/>
      <c r="G237" s="38"/>
      <c r="H237" s="38"/>
      <c r="I237" s="38"/>
      <c r="J237" s="38"/>
    </row>
    <row r="238" spans="1:10" x14ac:dyDescent="0.25">
      <c r="A238" s="130"/>
      <c r="B238" s="38"/>
      <c r="C238" s="38"/>
      <c r="D238" s="38"/>
      <c r="E238" s="38"/>
      <c r="F238" s="38"/>
      <c r="G238" s="38"/>
      <c r="H238" s="38"/>
      <c r="I238" s="38"/>
      <c r="J238" s="38"/>
    </row>
    <row r="239" spans="1:10" x14ac:dyDescent="0.25">
      <c r="A239" s="130"/>
      <c r="B239" s="38"/>
      <c r="C239" s="38"/>
      <c r="D239" s="38"/>
      <c r="E239" s="38"/>
      <c r="F239" s="38"/>
      <c r="G239" s="38"/>
      <c r="H239" s="38"/>
      <c r="I239" s="38"/>
      <c r="J239" s="38"/>
    </row>
    <row r="240" spans="1:10" x14ac:dyDescent="0.25">
      <c r="A240" s="130"/>
      <c r="B240" s="38"/>
      <c r="C240" s="38"/>
      <c r="D240" s="38"/>
      <c r="E240" s="38"/>
      <c r="F240" s="38"/>
      <c r="G240" s="38"/>
      <c r="H240" s="38"/>
      <c r="I240" s="38"/>
      <c r="J240" s="38"/>
    </row>
    <row r="241" spans="1:10" x14ac:dyDescent="0.25">
      <c r="A241" s="130"/>
      <c r="B241" s="38"/>
      <c r="C241" s="38"/>
      <c r="D241" s="38"/>
      <c r="E241" s="38"/>
      <c r="F241" s="38"/>
      <c r="G241" s="38"/>
      <c r="H241" s="38"/>
      <c r="I241" s="38"/>
      <c r="J241" s="38"/>
    </row>
    <row r="242" spans="1:10" x14ac:dyDescent="0.25">
      <c r="A242" s="130"/>
      <c r="B242" s="38"/>
      <c r="C242" s="38"/>
      <c r="D242" s="38"/>
      <c r="E242" s="38"/>
      <c r="F242" s="38"/>
      <c r="G242" s="38"/>
      <c r="H242" s="38"/>
      <c r="I242" s="38"/>
      <c r="J242" s="38"/>
    </row>
    <row r="243" spans="1:10" x14ac:dyDescent="0.25">
      <c r="A243" s="130"/>
      <c r="B243" s="38"/>
      <c r="C243" s="38"/>
      <c r="D243" s="38"/>
      <c r="E243" s="38"/>
      <c r="F243" s="38"/>
      <c r="G243" s="38"/>
      <c r="H243" s="38"/>
      <c r="I243" s="38"/>
      <c r="J243" s="38"/>
    </row>
    <row r="244" spans="1:10" x14ac:dyDescent="0.25">
      <c r="A244" s="130"/>
      <c r="B244" s="38"/>
      <c r="C244" s="38"/>
      <c r="D244" s="38"/>
      <c r="E244" s="38"/>
      <c r="F244" s="38"/>
      <c r="G244" s="38"/>
      <c r="H244" s="38"/>
      <c r="I244" s="38"/>
      <c r="J244" s="38"/>
    </row>
    <row r="245" spans="1:10" x14ac:dyDescent="0.25">
      <c r="A245" s="130"/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25">
      <c r="A246" s="130"/>
      <c r="B246" s="38"/>
      <c r="C246" s="38"/>
      <c r="D246" s="38"/>
      <c r="E246" s="38"/>
      <c r="F246" s="38"/>
      <c r="G246" s="38"/>
      <c r="H246" s="38"/>
      <c r="I246" s="38"/>
      <c r="J246" s="38"/>
    </row>
    <row r="247" spans="1:10" x14ac:dyDescent="0.25">
      <c r="A247" s="130"/>
      <c r="B247" s="38"/>
      <c r="C247" s="38"/>
      <c r="D247" s="38"/>
      <c r="E247" s="38"/>
      <c r="F247" s="38"/>
      <c r="G247" s="38"/>
      <c r="H247" s="38"/>
      <c r="I247" s="38"/>
      <c r="J247" s="38"/>
    </row>
    <row r="248" spans="1:10" x14ac:dyDescent="0.25">
      <c r="A248" s="130"/>
      <c r="B248" s="38"/>
      <c r="C248" s="38"/>
      <c r="D248" s="38"/>
      <c r="E248" s="38"/>
      <c r="F248" s="38"/>
      <c r="G248" s="38"/>
      <c r="H248" s="38"/>
      <c r="I248" s="38"/>
      <c r="J248" s="38"/>
    </row>
    <row r="249" spans="1:10" x14ac:dyDescent="0.25">
      <c r="A249" s="130"/>
      <c r="B249" s="38"/>
      <c r="C249" s="38"/>
      <c r="D249" s="38"/>
      <c r="E249" s="38"/>
      <c r="F249" s="38"/>
      <c r="G249" s="38"/>
      <c r="H249" s="38"/>
      <c r="I249" s="38"/>
      <c r="J249" s="38"/>
    </row>
    <row r="250" spans="1:10" x14ac:dyDescent="0.25">
      <c r="A250" s="130"/>
      <c r="B250" s="38"/>
      <c r="C250" s="38"/>
      <c r="D250" s="38"/>
      <c r="E250" s="38"/>
      <c r="F250" s="38"/>
      <c r="G250" s="38"/>
      <c r="H250" s="38"/>
      <c r="I250" s="38"/>
      <c r="J250" s="38"/>
    </row>
    <row r="251" spans="1:10" x14ac:dyDescent="0.25">
      <c r="A251" s="130"/>
      <c r="B251" s="38"/>
      <c r="C251" s="38"/>
      <c r="D251" s="38"/>
      <c r="E251" s="38"/>
      <c r="F251" s="38"/>
      <c r="G251" s="38"/>
      <c r="H251" s="38"/>
      <c r="I251" s="38"/>
      <c r="J251" s="38"/>
    </row>
    <row r="252" spans="1:10" x14ac:dyDescent="0.25">
      <c r="A252" s="130"/>
      <c r="B252" s="38"/>
      <c r="C252" s="38"/>
      <c r="D252" s="38"/>
      <c r="E252" s="38"/>
      <c r="F252" s="38"/>
      <c r="G252" s="38"/>
      <c r="H252" s="38"/>
      <c r="I252" s="38"/>
      <c r="J252" s="38"/>
    </row>
    <row r="253" spans="1:10" x14ac:dyDescent="0.25">
      <c r="A253" s="130"/>
      <c r="B253" s="38"/>
      <c r="C253" s="38"/>
      <c r="D253" s="38"/>
      <c r="E253" s="38"/>
      <c r="F253" s="38"/>
      <c r="G253" s="38"/>
      <c r="H253" s="38"/>
      <c r="I253" s="38"/>
      <c r="J253" s="38"/>
    </row>
    <row r="254" spans="1:10" x14ac:dyDescent="0.25">
      <c r="A254" s="130"/>
      <c r="B254" s="38"/>
      <c r="C254" s="38"/>
      <c r="D254" s="38"/>
      <c r="E254" s="38"/>
      <c r="F254" s="38"/>
      <c r="G254" s="38"/>
      <c r="H254" s="38"/>
      <c r="I254" s="38"/>
      <c r="J254" s="38"/>
    </row>
    <row r="255" spans="1:10" x14ac:dyDescent="0.25">
      <c r="A255" s="130"/>
      <c r="B255" s="38"/>
      <c r="C255" s="38"/>
      <c r="D255" s="38"/>
      <c r="E255" s="38"/>
      <c r="F255" s="38"/>
      <c r="G255" s="38"/>
      <c r="H255" s="38"/>
      <c r="I255" s="38"/>
      <c r="J255" s="38"/>
    </row>
    <row r="256" spans="1:10" x14ac:dyDescent="0.25">
      <c r="A256" s="130"/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25">
      <c r="A257" s="130"/>
      <c r="B257" s="38"/>
      <c r="C257" s="38"/>
      <c r="D257" s="38"/>
      <c r="E257" s="38"/>
      <c r="F257" s="38"/>
      <c r="G257" s="38"/>
      <c r="H257" s="38"/>
      <c r="I257" s="38"/>
      <c r="J257" s="38"/>
    </row>
    <row r="258" spans="1:10" x14ac:dyDescent="0.25">
      <c r="A258" s="130"/>
      <c r="B258" s="38"/>
      <c r="C258" s="38"/>
      <c r="D258" s="38"/>
      <c r="E258" s="38"/>
      <c r="F258" s="38"/>
      <c r="G258" s="38"/>
      <c r="H258" s="38"/>
      <c r="I258" s="38"/>
      <c r="J258" s="38"/>
    </row>
    <row r="259" spans="1:10" x14ac:dyDescent="0.25">
      <c r="A259" s="130"/>
      <c r="B259" s="38"/>
      <c r="C259" s="38"/>
      <c r="D259" s="38"/>
      <c r="E259" s="38"/>
      <c r="F259" s="38"/>
      <c r="G259" s="38"/>
      <c r="H259" s="38"/>
      <c r="I259" s="38"/>
      <c r="J259" s="38"/>
    </row>
    <row r="260" spans="1:10" x14ac:dyDescent="0.25">
      <c r="A260" s="130"/>
      <c r="B260" s="38"/>
      <c r="C260" s="38"/>
      <c r="D260" s="38"/>
      <c r="E260" s="38"/>
      <c r="F260" s="38"/>
      <c r="G260" s="38"/>
      <c r="H260" s="38"/>
      <c r="I260" s="38"/>
      <c r="J260" s="38"/>
    </row>
    <row r="261" spans="1:10" x14ac:dyDescent="0.25">
      <c r="A261" s="130"/>
      <c r="B261" s="38"/>
      <c r="C261" s="38"/>
      <c r="D261" s="38"/>
      <c r="E261" s="38"/>
      <c r="F261" s="38"/>
      <c r="G261" s="38"/>
      <c r="H261" s="38"/>
      <c r="I261" s="38"/>
      <c r="J261" s="38"/>
    </row>
    <row r="262" spans="1:10" x14ac:dyDescent="0.25">
      <c r="A262" s="130"/>
      <c r="B262" s="38"/>
      <c r="C262" s="38"/>
      <c r="D262" s="38"/>
      <c r="E262" s="38"/>
      <c r="F262" s="38"/>
      <c r="G262" s="38"/>
      <c r="H262" s="38"/>
      <c r="I262" s="38"/>
      <c r="J262" s="38"/>
    </row>
    <row r="263" spans="1:10" x14ac:dyDescent="0.25">
      <c r="A263" s="130"/>
      <c r="B263" s="38"/>
      <c r="C263" s="38"/>
      <c r="D263" s="38"/>
      <c r="E263" s="38"/>
      <c r="F263" s="38"/>
      <c r="G263" s="38"/>
      <c r="H263" s="38"/>
      <c r="I263" s="38"/>
      <c r="J263" s="38"/>
    </row>
    <row r="264" spans="1:10" x14ac:dyDescent="0.25">
      <c r="A264" s="130"/>
      <c r="B264" s="38"/>
      <c r="C264" s="38"/>
      <c r="D264" s="38"/>
      <c r="E264" s="38"/>
      <c r="F264" s="38"/>
      <c r="G264" s="38"/>
      <c r="H264" s="38"/>
      <c r="I264" s="38"/>
      <c r="J264" s="38"/>
    </row>
    <row r="265" spans="1:10" x14ac:dyDescent="0.25">
      <c r="A265" s="130"/>
      <c r="B265" s="38"/>
      <c r="C265" s="38"/>
      <c r="D265" s="38"/>
      <c r="E265" s="38"/>
      <c r="F265" s="38"/>
      <c r="G265" s="38"/>
      <c r="H265" s="38"/>
      <c r="I265" s="38"/>
      <c r="J265" s="38"/>
    </row>
    <row r="266" spans="1:10" x14ac:dyDescent="0.25">
      <c r="A266" s="130"/>
      <c r="B266" s="38"/>
      <c r="C266" s="38"/>
      <c r="D266" s="38"/>
      <c r="E266" s="38"/>
      <c r="F266" s="38"/>
      <c r="G266" s="38"/>
      <c r="H266" s="38"/>
      <c r="I266" s="38"/>
      <c r="J266" s="38"/>
    </row>
    <row r="267" spans="1:10" x14ac:dyDescent="0.25">
      <c r="A267" s="130"/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25">
      <c r="A268" s="130"/>
      <c r="B268" s="38"/>
      <c r="C268" s="38"/>
      <c r="D268" s="38"/>
      <c r="E268" s="38"/>
      <c r="F268" s="38"/>
      <c r="G268" s="38"/>
      <c r="H268" s="38"/>
      <c r="I268" s="38"/>
      <c r="J268" s="38"/>
    </row>
    <row r="269" spans="1:10" x14ac:dyDescent="0.25">
      <c r="A269" s="130"/>
      <c r="B269" s="38"/>
      <c r="C269" s="38"/>
      <c r="D269" s="38"/>
      <c r="E269" s="38"/>
      <c r="F269" s="38"/>
      <c r="G269" s="38"/>
      <c r="H269" s="38"/>
      <c r="I269" s="38"/>
      <c r="J269" s="38"/>
    </row>
    <row r="270" spans="1:10" x14ac:dyDescent="0.25">
      <c r="A270" s="130"/>
      <c r="B270" s="38"/>
      <c r="C270" s="38"/>
      <c r="D270" s="38"/>
      <c r="E270" s="38"/>
      <c r="F270" s="38"/>
      <c r="G270" s="38"/>
      <c r="H270" s="38"/>
      <c r="I270" s="38"/>
      <c r="J270" s="38"/>
    </row>
    <row r="271" spans="1:10" x14ac:dyDescent="0.25">
      <c r="A271" s="130"/>
      <c r="B271" s="38"/>
      <c r="C271" s="38"/>
      <c r="D271" s="38"/>
      <c r="E271" s="38"/>
      <c r="F271" s="38"/>
      <c r="G271" s="38"/>
      <c r="H271" s="38"/>
      <c r="I271" s="38"/>
      <c r="J271" s="38"/>
    </row>
    <row r="272" spans="1:10" x14ac:dyDescent="0.25">
      <c r="A272" s="130"/>
      <c r="B272" s="38"/>
      <c r="C272" s="38"/>
      <c r="D272" s="38"/>
      <c r="E272" s="38"/>
      <c r="F272" s="38"/>
      <c r="G272" s="38"/>
      <c r="H272" s="38"/>
      <c r="I272" s="38"/>
      <c r="J272" s="38"/>
    </row>
    <row r="273" spans="1:10" x14ac:dyDescent="0.25">
      <c r="A273" s="130"/>
      <c r="B273" s="38"/>
      <c r="C273" s="38"/>
      <c r="D273" s="38"/>
      <c r="E273" s="38"/>
      <c r="F273" s="38"/>
      <c r="G273" s="38"/>
      <c r="H273" s="38"/>
      <c r="I273" s="38"/>
      <c r="J273" s="38"/>
    </row>
    <row r="274" spans="1:10" x14ac:dyDescent="0.25">
      <c r="A274" s="130"/>
      <c r="B274" s="38"/>
      <c r="C274" s="38"/>
      <c r="D274" s="38"/>
      <c r="E274" s="38"/>
      <c r="F274" s="38"/>
      <c r="G274" s="38"/>
      <c r="H274" s="38"/>
      <c r="I274" s="38"/>
      <c r="J274" s="38"/>
    </row>
    <row r="275" spans="1:10" x14ac:dyDescent="0.25">
      <c r="A275" s="130"/>
      <c r="B275" s="38"/>
      <c r="C275" s="38"/>
      <c r="D275" s="38"/>
      <c r="E275" s="38"/>
      <c r="F275" s="38"/>
      <c r="G275" s="38"/>
      <c r="H275" s="38"/>
      <c r="I275" s="38"/>
      <c r="J275" s="38"/>
    </row>
    <row r="276" spans="1:10" x14ac:dyDescent="0.25">
      <c r="A276" s="130"/>
      <c r="B276" s="38"/>
      <c r="C276" s="38"/>
      <c r="D276" s="38"/>
      <c r="E276" s="38"/>
      <c r="F276" s="38"/>
      <c r="G276" s="38"/>
      <c r="H276" s="38"/>
      <c r="I276" s="38"/>
      <c r="J276" s="38"/>
    </row>
    <row r="277" spans="1:10" x14ac:dyDescent="0.25">
      <c r="A277" s="130"/>
      <c r="B277" s="38"/>
      <c r="C277" s="38"/>
      <c r="D277" s="38"/>
      <c r="E277" s="38"/>
      <c r="F277" s="38"/>
      <c r="G277" s="38"/>
      <c r="H277" s="38"/>
      <c r="I277" s="38"/>
      <c r="J277" s="38"/>
    </row>
    <row r="278" spans="1:10" x14ac:dyDescent="0.25">
      <c r="A278" s="130"/>
      <c r="B278" s="38"/>
      <c r="C278" s="38"/>
      <c r="D278" s="38"/>
      <c r="E278" s="38"/>
      <c r="F278" s="38"/>
      <c r="G278" s="38"/>
      <c r="H278" s="38"/>
      <c r="I278" s="38"/>
      <c r="J278" s="38"/>
    </row>
    <row r="279" spans="1:10" x14ac:dyDescent="0.25">
      <c r="A279" s="130"/>
      <c r="B279" s="38"/>
      <c r="C279" s="38"/>
      <c r="D279" s="38"/>
      <c r="E279" s="38"/>
      <c r="F279" s="38"/>
      <c r="G279" s="38"/>
      <c r="H279" s="38"/>
      <c r="I279" s="38"/>
      <c r="J279" s="38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dataValidations count="1">
    <dataValidation type="list" allowBlank="1" showInputMessage="1" showErrorMessage="1" sqref="R5:R13">
      <formula1>$J$102:$J$103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R41:R49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F30" sqref="F30"/>
    </sheetView>
  </sheetViews>
  <sheetFormatPr baseColWidth="10" defaultColWidth="10.85546875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427</v>
      </c>
      <c r="E2" s="7"/>
      <c r="F2" s="8"/>
      <c r="G2" s="8"/>
      <c r="H2" s="9"/>
      <c r="K2" s="84"/>
      <c r="L2" s="85"/>
      <c r="M2" s="85"/>
      <c r="N2" s="85"/>
      <c r="O2" s="85"/>
      <c r="P2" s="85"/>
      <c r="Q2" s="85"/>
      <c r="R2" s="86"/>
    </row>
    <row r="3" spans="2:18" ht="19.5" thickBot="1" x14ac:dyDescent="0.35">
      <c r="E3" s="13" t="s">
        <v>12</v>
      </c>
      <c r="F3" s="11"/>
      <c r="G3" s="11"/>
      <c r="H3" s="12"/>
      <c r="I3" s="17"/>
      <c r="K3" s="87"/>
      <c r="L3" s="88" t="s">
        <v>285</v>
      </c>
      <c r="M3" s="89"/>
      <c r="N3" s="89"/>
      <c r="O3" s="89"/>
      <c r="P3" s="89"/>
      <c r="Q3" s="89"/>
      <c r="R3" s="90"/>
    </row>
    <row r="4" spans="2:18" x14ac:dyDescent="0.25">
      <c r="E4" s="10"/>
      <c r="F4" s="45" t="s">
        <v>10</v>
      </c>
      <c r="G4" s="46">
        <f ca="1">COUNTIF(H34:H69,"=ok")</f>
        <v>0</v>
      </c>
      <c r="H4" s="12"/>
      <c r="K4" s="87"/>
      <c r="L4" s="89"/>
      <c r="M4" s="89"/>
      <c r="N4" s="89"/>
      <c r="O4" s="89"/>
      <c r="P4" s="89"/>
      <c r="Q4" s="89"/>
      <c r="R4" s="90"/>
    </row>
    <row r="5" spans="2:18" x14ac:dyDescent="0.25">
      <c r="E5" s="10"/>
      <c r="F5" s="47" t="s">
        <v>11</v>
      </c>
      <c r="G5" s="48">
        <f ca="1">COUNTIF(H34:H69,"=Not ok")</f>
        <v>0</v>
      </c>
      <c r="H5" s="12"/>
      <c r="K5" s="87"/>
      <c r="L5" s="89" t="s">
        <v>296</v>
      </c>
      <c r="M5" s="89"/>
      <c r="N5" s="89"/>
      <c r="O5" s="89"/>
      <c r="P5" s="89"/>
      <c r="Q5" s="89" t="s">
        <v>48</v>
      </c>
      <c r="R5" s="90"/>
    </row>
    <row r="6" spans="2:18" x14ac:dyDescent="0.25">
      <c r="E6" s="10"/>
      <c r="F6" s="47" t="s">
        <v>328</v>
      </c>
      <c r="G6" s="48">
        <f ca="1">COUNTIF(I34:I69,"=--")</f>
        <v>26</v>
      </c>
      <c r="H6" s="12"/>
      <c r="K6" s="87"/>
      <c r="L6" s="89" t="s">
        <v>312</v>
      </c>
      <c r="M6" s="89"/>
      <c r="N6" s="89"/>
      <c r="O6" s="89"/>
      <c r="P6" s="89"/>
      <c r="Q6" s="89" t="s">
        <v>48</v>
      </c>
      <c r="R6" s="90"/>
    </row>
    <row r="7" spans="2:18" ht="15.75" thickBot="1" x14ac:dyDescent="0.3">
      <c r="E7" s="10"/>
      <c r="F7" s="50" t="s">
        <v>314</v>
      </c>
      <c r="G7" s="106">
        <f ca="1">IF(G4+G5+G6&gt;0,ROUNDDOWN(((5*G4)/(G4+G5+G6))+1,1),"Not defined")</f>
        <v>1</v>
      </c>
      <c r="H7" s="12"/>
      <c r="K7" s="87"/>
      <c r="L7" s="89" t="s">
        <v>313</v>
      </c>
      <c r="M7" s="89"/>
      <c r="N7" s="89"/>
      <c r="O7" s="89"/>
      <c r="P7" s="89"/>
      <c r="Q7" s="89" t="s">
        <v>48</v>
      </c>
      <c r="R7" s="90"/>
    </row>
    <row r="8" spans="2:18" x14ac:dyDescent="0.25">
      <c r="E8" s="10"/>
      <c r="F8" s="11"/>
      <c r="G8" s="11"/>
      <c r="H8" s="12"/>
      <c r="K8" s="87"/>
      <c r="L8" s="89" t="s">
        <v>315</v>
      </c>
      <c r="M8" s="89"/>
      <c r="N8" s="89"/>
      <c r="O8" s="89"/>
      <c r="P8" s="89"/>
      <c r="Q8" s="89" t="s">
        <v>48</v>
      </c>
      <c r="R8" s="90"/>
    </row>
    <row r="9" spans="2:18" x14ac:dyDescent="0.25">
      <c r="E9" s="10"/>
      <c r="F9" s="11"/>
      <c r="G9" s="11"/>
      <c r="H9" s="12"/>
      <c r="K9" s="87"/>
      <c r="L9" s="89" t="s">
        <v>316</v>
      </c>
      <c r="M9" s="89"/>
      <c r="N9" s="89"/>
      <c r="O9" s="89"/>
      <c r="P9" s="89"/>
      <c r="Q9" s="89" t="s">
        <v>48</v>
      </c>
      <c r="R9" s="90"/>
    </row>
    <row r="10" spans="2:18" x14ac:dyDescent="0.25">
      <c r="E10" s="10"/>
      <c r="F10" s="11"/>
      <c r="G10" s="11"/>
      <c r="H10" s="12"/>
      <c r="K10" s="87"/>
      <c r="L10" s="89" t="s">
        <v>317</v>
      </c>
      <c r="M10" s="89"/>
      <c r="N10" s="89"/>
      <c r="O10" s="89"/>
      <c r="P10" s="89"/>
      <c r="Q10" s="89" t="s">
        <v>48</v>
      </c>
      <c r="R10" s="90"/>
    </row>
    <row r="11" spans="2:18" ht="15.75" thickBot="1" x14ac:dyDescent="0.3">
      <c r="E11" s="14"/>
      <c r="F11" s="15"/>
      <c r="G11" s="15"/>
      <c r="H11" s="16"/>
      <c r="K11" s="87"/>
      <c r="L11" s="89" t="s">
        <v>319</v>
      </c>
      <c r="M11" s="89"/>
      <c r="N11" s="89"/>
      <c r="O11" s="89"/>
      <c r="P11" s="89"/>
      <c r="Q11" s="89" t="s">
        <v>48</v>
      </c>
      <c r="R11" s="90"/>
    </row>
    <row r="12" spans="2:18" x14ac:dyDescent="0.25">
      <c r="E12" s="38"/>
      <c r="F12" s="38"/>
      <c r="G12" s="38"/>
      <c r="H12" s="38"/>
      <c r="K12" s="87"/>
      <c r="L12" s="89" t="s">
        <v>318</v>
      </c>
      <c r="M12" s="89"/>
      <c r="N12" s="89"/>
      <c r="O12" s="89"/>
      <c r="P12" s="89"/>
      <c r="Q12" s="89" t="s">
        <v>48</v>
      </c>
      <c r="R12" s="90"/>
    </row>
    <row r="13" spans="2:18" x14ac:dyDescent="0.25">
      <c r="E13" s="38"/>
      <c r="F13" s="38"/>
      <c r="G13" s="38"/>
      <c r="H13" s="38"/>
      <c r="K13" s="87"/>
      <c r="L13" s="89" t="s">
        <v>320</v>
      </c>
      <c r="M13" s="89"/>
      <c r="N13" s="89"/>
      <c r="O13" s="89"/>
      <c r="P13" s="89"/>
      <c r="Q13" s="89" t="s">
        <v>48</v>
      </c>
      <c r="R13" s="90"/>
    </row>
    <row r="14" spans="2:18" ht="15.75" thickBot="1" x14ac:dyDescent="0.3">
      <c r="E14" s="38"/>
      <c r="F14" s="38"/>
      <c r="G14" s="38"/>
      <c r="H14" s="38"/>
      <c r="K14" s="87"/>
      <c r="L14" s="89"/>
      <c r="M14" s="89"/>
      <c r="N14" s="89"/>
      <c r="O14" s="89"/>
      <c r="P14" s="89" t="s">
        <v>297</v>
      </c>
      <c r="Q14" s="89">
        <f>COUNTIF(Q5:Q13,"&lt;&gt; ")</f>
        <v>9</v>
      </c>
      <c r="R14" s="90"/>
    </row>
    <row r="15" spans="2:18" ht="21.75" thickBot="1" x14ac:dyDescent="0.4">
      <c r="E15" s="38"/>
      <c r="F15" s="38"/>
      <c r="G15" s="38"/>
      <c r="H15" s="38"/>
      <c r="K15" s="87"/>
      <c r="L15" s="103"/>
      <c r="M15" s="89"/>
      <c r="N15" s="104" t="s">
        <v>321</v>
      </c>
      <c r="O15" s="89"/>
      <c r="P15" s="91" t="s">
        <v>298</v>
      </c>
      <c r="Q15" s="89">
        <f>COUNTIF(Q5:Q13,"=Ja")</f>
        <v>0</v>
      </c>
      <c r="R15" s="90"/>
    </row>
    <row r="16" spans="2:18" ht="21.75" thickBot="1" x14ac:dyDescent="0.4">
      <c r="E16" s="38"/>
      <c r="F16" s="38"/>
      <c r="G16" s="38"/>
      <c r="H16" s="38"/>
      <c r="K16" s="87"/>
      <c r="L16" s="89"/>
      <c r="M16" s="89">
        <f ca="1">(G7-1.5) + (Q16/4)</f>
        <v>-0.25</v>
      </c>
      <c r="N16" s="105">
        <f ca="1">IF(M16&lt;1,1,M16)</f>
        <v>1</v>
      </c>
      <c r="O16" s="89"/>
      <c r="P16" s="97" t="s">
        <v>314</v>
      </c>
      <c r="Q16" s="98">
        <f>(5/Q14)*Q15+1</f>
        <v>1</v>
      </c>
      <c r="R16" s="90"/>
    </row>
    <row r="17" spans="5:18" x14ac:dyDescent="0.25">
      <c r="E17" s="38"/>
      <c r="F17" s="38"/>
      <c r="G17" s="38"/>
      <c r="H17" s="38"/>
      <c r="K17" s="87"/>
      <c r="L17" s="89"/>
      <c r="M17" s="89"/>
      <c r="N17" s="89"/>
      <c r="O17" s="89"/>
      <c r="P17" s="89"/>
      <c r="Q17" s="89"/>
      <c r="R17" s="90"/>
    </row>
    <row r="18" spans="5:18" ht="15.75" thickBot="1" x14ac:dyDescent="0.3">
      <c r="E18" s="38"/>
      <c r="F18" s="38"/>
      <c r="G18" s="38"/>
      <c r="H18" s="38"/>
      <c r="K18" s="92"/>
      <c r="L18" s="93"/>
      <c r="M18" s="93"/>
      <c r="N18" s="93"/>
      <c r="O18" s="93"/>
      <c r="P18" s="93"/>
      <c r="Q18" s="93"/>
      <c r="R18" s="94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419</v>
      </c>
      <c r="C35" s="5" t="e">
        <f ca="1">HelloPerDu(D35,E35,F35)</f>
        <v>#NAME?</v>
      </c>
      <c r="D35" s="22" t="s">
        <v>6</v>
      </c>
      <c r="E35" s="22" t="s">
        <v>5</v>
      </c>
      <c r="F35" s="22" t="b">
        <v>1</v>
      </c>
      <c r="G35" s="18" t="s">
        <v>323</v>
      </c>
      <c r="H35" s="6" t="e">
        <f ca="1">IF(G35=C35,"ok","Not ok")</f>
        <v>#NAME?</v>
      </c>
      <c r="I35" t="str">
        <f ca="1">IFERROR(C35,"--")</f>
        <v>--</v>
      </c>
    </row>
    <row r="36" spans="2:9" x14ac:dyDescent="0.25">
      <c r="B36" s="4"/>
      <c r="C36" s="5" t="e">
        <f t="shared" ref="C36:C39" ca="1" si="0">HelloPerDu(D36,E36,F36)</f>
        <v>#NAME?</v>
      </c>
      <c r="D36" s="22" t="s">
        <v>322</v>
      </c>
      <c r="E36" s="22" t="s">
        <v>284</v>
      </c>
      <c r="F36" s="22" t="b">
        <v>0</v>
      </c>
      <c r="G36" s="18" t="s">
        <v>324</v>
      </c>
      <c r="H36" s="6" t="e">
        <f ca="1">IF(G36=C36,"ok","Not ok")</f>
        <v>#NAME?</v>
      </c>
      <c r="I36" t="str">
        <f t="shared" ref="I36:I39" ca="1" si="1">IFERROR(C36,"--")</f>
        <v>--</v>
      </c>
    </row>
    <row r="37" spans="2:9" x14ac:dyDescent="0.25">
      <c r="B37" s="4"/>
      <c r="C37" s="5" t="e">
        <f t="shared" ca="1" si="0"/>
        <v>#NAME?</v>
      </c>
      <c r="D37" s="22" t="s">
        <v>155</v>
      </c>
      <c r="E37" s="22"/>
      <c r="F37" s="22" t="b">
        <v>1</v>
      </c>
      <c r="G37" s="18" t="s">
        <v>325</v>
      </c>
      <c r="H37" s="6" t="e">
        <f ca="1">IF(G37=C37,"ok","Not ok")</f>
        <v>#NAME?</v>
      </c>
      <c r="I37" t="str">
        <f t="shared" ca="1" si="1"/>
        <v>--</v>
      </c>
    </row>
    <row r="38" spans="2:9" x14ac:dyDescent="0.25">
      <c r="B38" s="4"/>
      <c r="C38" s="5" t="e">
        <f ca="1">HelloPerDu()</f>
        <v>#NAME?</v>
      </c>
      <c r="D38" s="22"/>
      <c r="E38" s="22"/>
      <c r="F38" s="22"/>
      <c r="G38" s="18" t="s">
        <v>325</v>
      </c>
      <c r="H38" s="6" t="e">
        <f ca="1">IF(G38=C38,"ok","Not ok")</f>
        <v>#NAME?</v>
      </c>
      <c r="I38" t="str">
        <f t="shared" ca="1" si="1"/>
        <v>--</v>
      </c>
    </row>
    <row r="39" spans="2:9" x14ac:dyDescent="0.25">
      <c r="B39" s="4"/>
      <c r="C39" s="5" t="e">
        <f t="shared" ca="1" si="0"/>
        <v>#NAME?</v>
      </c>
      <c r="D39" s="22"/>
      <c r="E39" s="22" t="s">
        <v>250</v>
      </c>
      <c r="F39" s="22" t="b">
        <v>0</v>
      </c>
      <c r="G39" s="18" t="s">
        <v>325</v>
      </c>
      <c r="H39" s="6" t="e">
        <f t="shared" ref="H39" ca="1" si="2">IF(G39=C39,"ok","Not ok")</f>
        <v>#NAME?</v>
      </c>
      <c r="I39" t="str">
        <f t="shared" ca="1" si="1"/>
        <v>--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326</v>
      </c>
      <c r="E41" s="21" t="s">
        <v>327</v>
      </c>
      <c r="F41" s="21"/>
      <c r="G41" s="19" t="s">
        <v>7</v>
      </c>
      <c r="H41" s="3" t="s">
        <v>3</v>
      </c>
    </row>
    <row r="42" spans="2:9" x14ac:dyDescent="0.25">
      <c r="B42" s="4" t="s">
        <v>420</v>
      </c>
      <c r="C42" s="5" t="e">
        <f ca="1">CalcRechteck(D42,E42)</f>
        <v>#NAME?</v>
      </c>
      <c r="D42" s="22">
        <v>1</v>
      </c>
      <c r="E42" s="22">
        <v>3</v>
      </c>
      <c r="F42" s="22"/>
      <c r="G42" s="18">
        <v>3</v>
      </c>
      <c r="H42" s="6" t="e">
        <f ca="1">(IF(EqualsWithinTolerance(G42,C42,1),"ok","Not ok"))</f>
        <v>#VALUE!</v>
      </c>
      <c r="I42" t="str">
        <f t="shared" ref="I42:I48" ca="1" si="3">IFERROR(C42,"--")</f>
        <v>--</v>
      </c>
    </row>
    <row r="43" spans="2:9" x14ac:dyDescent="0.25">
      <c r="B43" s="4"/>
      <c r="C43" s="5" t="e">
        <f t="shared" ref="C43:C48" ca="1" si="4">CalcRechteck(D43,E43)</f>
        <v>#NAME?</v>
      </c>
      <c r="D43" s="22">
        <v>2.4</v>
      </c>
      <c r="E43" s="22">
        <v>2.2999999999999998</v>
      </c>
      <c r="F43" s="22"/>
      <c r="G43" s="18">
        <v>5.52</v>
      </c>
      <c r="H43" s="6" t="e">
        <f t="shared" ref="H43:H44" ca="1" si="5">IF(EqualsWithinTolerance(G43,C43),"ok","Not ok")</f>
        <v>#VALUE!</v>
      </c>
      <c r="I43" t="str">
        <f t="shared" ca="1" si="3"/>
        <v>--</v>
      </c>
    </row>
    <row r="44" spans="2:9" x14ac:dyDescent="0.25">
      <c r="B44" s="4"/>
      <c r="C44" s="5" t="e">
        <f t="shared" ca="1" si="4"/>
        <v>#NAME?</v>
      </c>
      <c r="D44" s="22">
        <v>2</v>
      </c>
      <c r="E44" s="22">
        <v>3.2</v>
      </c>
      <c r="F44" s="22"/>
      <c r="G44" s="18">
        <v>6.4</v>
      </c>
      <c r="H44" s="6" t="e">
        <f t="shared" ca="1" si="5"/>
        <v>#VALUE!</v>
      </c>
      <c r="I44" t="str">
        <f t="shared" ca="1" si="3"/>
        <v>--</v>
      </c>
    </row>
    <row r="45" spans="2:9" x14ac:dyDescent="0.25">
      <c r="B45" s="4"/>
      <c r="C45" s="5" t="e">
        <f t="shared" ca="1" si="4"/>
        <v>#NAME?</v>
      </c>
      <c r="D45" s="22">
        <v>3.4</v>
      </c>
      <c r="E45" s="22">
        <v>2</v>
      </c>
      <c r="F45" s="22"/>
      <c r="G45" s="18">
        <v>6.8</v>
      </c>
      <c r="H45" s="6" t="e">
        <f ca="1">IF(EqualsWithinTolerance(G45,C45),"ok","Not ok")</f>
        <v>#VALUE!</v>
      </c>
      <c r="I45" t="str">
        <f t="shared" ca="1" si="3"/>
        <v>--</v>
      </c>
    </row>
    <row r="46" spans="2:9" x14ac:dyDescent="0.25">
      <c r="B46" s="4"/>
      <c r="C46" s="5" t="e">
        <f t="shared" ca="1" si="4"/>
        <v>#NAME?</v>
      </c>
      <c r="D46" s="22">
        <v>-5.2</v>
      </c>
      <c r="E46" s="22">
        <v>-1</v>
      </c>
      <c r="F46" s="22"/>
      <c r="G46" s="18">
        <v>0</v>
      </c>
      <c r="H46" s="6" t="e">
        <f ca="1">IF(EqualsWithinTolerance(G46,C46),"ok","Not ok")</f>
        <v>#VALUE!</v>
      </c>
      <c r="I46" t="str">
        <f t="shared" ca="1" si="3"/>
        <v>--</v>
      </c>
    </row>
    <row r="47" spans="2:9" x14ac:dyDescent="0.25">
      <c r="B47" s="4"/>
      <c r="C47" s="5" t="e">
        <f t="shared" ca="1" si="4"/>
        <v>#NAME?</v>
      </c>
      <c r="D47" s="22">
        <v>12.4</v>
      </c>
      <c r="E47" s="22">
        <v>-9.3000000000000007</v>
      </c>
      <c r="F47" s="22"/>
      <c r="G47" s="18">
        <v>0</v>
      </c>
      <c r="H47" s="6" t="e">
        <f t="shared" ref="H47:H48" ca="1" si="6">IF(EqualsWithinTolerance(G47,C47),"ok","Not ok")</f>
        <v>#VALUE!</v>
      </c>
      <c r="I47" t="str">
        <f t="shared" ca="1" si="3"/>
        <v>--</v>
      </c>
    </row>
    <row r="48" spans="2:9" x14ac:dyDescent="0.25">
      <c r="B48" s="4"/>
      <c r="C48" s="5" t="e">
        <f t="shared" ca="1" si="4"/>
        <v>#NAME?</v>
      </c>
      <c r="D48" s="22">
        <v>-15.45</v>
      </c>
      <c r="E48" s="22">
        <v>5.4</v>
      </c>
      <c r="F48" s="22"/>
      <c r="G48" s="18">
        <v>0</v>
      </c>
      <c r="H48" s="6" t="e">
        <f t="shared" ca="1" si="6"/>
        <v>#VALUE!</v>
      </c>
      <c r="I48" t="str">
        <f t="shared" ca="1" si="3"/>
        <v>--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330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329</v>
      </c>
      <c r="C51" s="5" t="e">
        <f ca="1">AddFractions(D51)</f>
        <v>#NAME?</v>
      </c>
      <c r="D51" s="22">
        <v>2</v>
      </c>
      <c r="E51" s="22"/>
      <c r="F51" s="22"/>
      <c r="G51" s="18">
        <v>1.5</v>
      </c>
      <c r="H51" s="6" t="e">
        <f ca="1">IF(EqualsWithinTolerance(G51,C51),"ok","Not ok")</f>
        <v>#VALUE!</v>
      </c>
      <c r="I51" t="str">
        <f t="shared" ref="I51:I57" ca="1" si="7">IFERROR(C51,"--")</f>
        <v>--</v>
      </c>
    </row>
    <row r="52" spans="2:9" x14ac:dyDescent="0.25">
      <c r="B52" s="4"/>
      <c r="C52" s="5" t="e">
        <f t="shared" ref="C52:C56" ca="1" si="8">AddFractions(D52)</f>
        <v>#NAME?</v>
      </c>
      <c r="D52" s="22">
        <v>6</v>
      </c>
      <c r="E52" s="22"/>
      <c r="F52" s="22"/>
      <c r="G52" s="18">
        <v>2.4499999999999997</v>
      </c>
      <c r="H52" s="6" t="e">
        <f ca="1">IF(EqualsWithinTolerance(G52,C52),"ok","Not ok")</f>
        <v>#VALUE!</v>
      </c>
      <c r="I52" t="str">
        <f t="shared" ca="1" si="7"/>
        <v>--</v>
      </c>
    </row>
    <row r="53" spans="2:9" x14ac:dyDescent="0.25">
      <c r="B53" s="4"/>
      <c r="C53" s="5" t="e">
        <f t="shared" ca="1" si="8"/>
        <v>#NAME?</v>
      </c>
      <c r="D53" s="22">
        <v>1000</v>
      </c>
      <c r="E53" s="22"/>
      <c r="F53" s="22"/>
      <c r="G53" s="18">
        <v>7.4854708605503433</v>
      </c>
      <c r="H53" s="6" t="e">
        <f ca="1">IF(EqualsWithinTolerance(G53,C53),"ok","Not ok")</f>
        <v>#VALUE!</v>
      </c>
      <c r="I53" t="str">
        <f t="shared" ca="1" si="7"/>
        <v>--</v>
      </c>
    </row>
    <row r="54" spans="2:9" x14ac:dyDescent="0.25">
      <c r="B54" s="4"/>
      <c r="C54" s="5" t="e">
        <f t="shared" ca="1" si="8"/>
        <v>#NAME?</v>
      </c>
      <c r="D54" s="22">
        <v>1</v>
      </c>
      <c r="E54" s="22"/>
      <c r="F54" s="22"/>
      <c r="G54" s="18">
        <v>1</v>
      </c>
      <c r="H54" s="6" t="e">
        <f ca="1">IF(EqualsWithinTolerance(G54,C54),"ok","Not ok")</f>
        <v>#VALUE!</v>
      </c>
      <c r="I54" t="str">
        <f t="shared" ca="1" si="7"/>
        <v>--</v>
      </c>
    </row>
    <row r="55" spans="2:9" x14ac:dyDescent="0.25">
      <c r="B55" s="4"/>
      <c r="C55" s="5" t="e">
        <f t="shared" ca="1" si="8"/>
        <v>#NAME?</v>
      </c>
      <c r="D55" s="22">
        <v>-1</v>
      </c>
      <c r="E55" s="22"/>
      <c r="F55" s="22"/>
      <c r="G55" s="18">
        <v>0</v>
      </c>
      <c r="H55" s="6" t="e">
        <f ca="1">IF(EqualsWithinTolerance(G55,C55),"ok","Not ok")</f>
        <v>#VALUE!</v>
      </c>
      <c r="I55" t="str">
        <f t="shared" ca="1" si="7"/>
        <v>--</v>
      </c>
    </row>
    <row r="56" spans="2:9" x14ac:dyDescent="0.25">
      <c r="B56" s="4"/>
      <c r="C56" s="5" t="e">
        <f t="shared" ca="1" si="8"/>
        <v>#NAME?</v>
      </c>
      <c r="D56" s="22">
        <v>0</v>
      </c>
      <c r="E56" s="22"/>
      <c r="F56" s="22"/>
      <c r="G56" s="18">
        <v>0</v>
      </c>
      <c r="H56" s="6" t="e">
        <f ca="1">IF(EqualsWithinTolerance(G56,C56),"ok","Not ok")</f>
        <v>#VALUE!</v>
      </c>
      <c r="I56" t="str">
        <f t="shared" ca="1" si="7"/>
        <v>--</v>
      </c>
    </row>
    <row r="57" spans="2:9" x14ac:dyDescent="0.25">
      <c r="B57" s="4"/>
      <c r="C57" s="5" t="e">
        <f ca="1">AddFractions()</f>
        <v>#NAME?</v>
      </c>
      <c r="D57" s="22"/>
      <c r="E57" s="22"/>
      <c r="F57" s="22"/>
      <c r="G57" s="18">
        <v>5.1873775176396206</v>
      </c>
      <c r="H57" s="6" t="e">
        <f ca="1">IF(EqualsWithinTolerance(G57,C57),"ok","Not ok")</f>
        <v>#VALUE!</v>
      </c>
      <c r="I57" t="str">
        <f t="shared" ca="1" si="7"/>
        <v>--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e">
        <f ca="1">GetAnrede(D60,E60)</f>
        <v>#NAME?</v>
      </c>
      <c r="D60" s="22" t="s">
        <v>5</v>
      </c>
      <c r="E60" s="22" t="s">
        <v>6</v>
      </c>
      <c r="F60" s="22"/>
      <c r="G60" s="18" t="s">
        <v>9</v>
      </c>
      <c r="H60" s="6" t="e">
        <f ca="1">IF(EXACT(G60,C60),"ok","Not ok")</f>
        <v>#NAME?</v>
      </c>
      <c r="I60" t="str">
        <f t="shared" ref="I60:I63" ca="1" si="9">IFERROR(C60,"--")</f>
        <v>--</v>
      </c>
    </row>
    <row r="61" spans="2:9" x14ac:dyDescent="0.25">
      <c r="B61" s="4"/>
      <c r="C61" s="5" t="e">
        <f ca="1">GetAnrede(D61,E61)</f>
        <v>#NAME?</v>
      </c>
      <c r="D61" s="22" t="s">
        <v>31</v>
      </c>
      <c r="E61" s="22" t="s">
        <v>35</v>
      </c>
      <c r="F61" s="22"/>
      <c r="G61" s="18" t="s">
        <v>37</v>
      </c>
      <c r="H61" s="6" t="e">
        <f t="shared" ref="H61:H63" ca="1" si="10">IF(EXACT(G61,C61),"ok","Not ok")</f>
        <v>#NAME?</v>
      </c>
      <c r="I61" t="str">
        <f t="shared" ca="1" si="9"/>
        <v>--</v>
      </c>
    </row>
    <row r="62" spans="2:9" x14ac:dyDescent="0.25">
      <c r="B62" s="4"/>
      <c r="C62" s="5" t="e">
        <f t="shared" ref="C62:C63" ca="1" si="11">GetAnrede(D62,E62)</f>
        <v>#NAME?</v>
      </c>
      <c r="D62" s="22" t="s">
        <v>36</v>
      </c>
      <c r="E62" s="22" t="s">
        <v>32</v>
      </c>
      <c r="F62" s="22"/>
      <c r="G62" s="18" t="s">
        <v>38</v>
      </c>
      <c r="H62" s="6" t="e">
        <f t="shared" ca="1" si="10"/>
        <v>#NAME?</v>
      </c>
      <c r="I62" t="str">
        <f t="shared" ca="1" si="9"/>
        <v>--</v>
      </c>
    </row>
    <row r="63" spans="2:9" x14ac:dyDescent="0.25">
      <c r="B63" s="4"/>
      <c r="C63" s="5" t="e">
        <f t="shared" ca="1" si="11"/>
        <v>#NAME?</v>
      </c>
      <c r="D63" s="22" t="s">
        <v>34</v>
      </c>
      <c r="E63" s="22" t="s">
        <v>33</v>
      </c>
      <c r="F63" s="22"/>
      <c r="G63" s="18" t="s">
        <v>39</v>
      </c>
      <c r="H63" s="6" t="e">
        <f t="shared" ca="1" si="10"/>
        <v>#NAME?</v>
      </c>
      <c r="I63" t="str">
        <f t="shared" ca="1" si="9"/>
        <v>--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e">
        <f ca="1">GetOrtsAnschrift(D67,E67,F67)</f>
        <v>#NAME?</v>
      </c>
      <c r="D67" s="22" t="s">
        <v>22</v>
      </c>
      <c r="E67" s="22">
        <v>8855</v>
      </c>
      <c r="F67" s="22" t="s">
        <v>23</v>
      </c>
      <c r="G67" s="18" t="s">
        <v>28</v>
      </c>
      <c r="H67" s="6" t="e">
        <f t="shared" ref="H67:H69" ca="1" si="12">IF(G67=C67,"ok","Not ok")</f>
        <v>#NAME?</v>
      </c>
      <c r="I67" t="str">
        <f t="shared" ref="I67:I69" ca="1" si="13">IFERROR(C67,"--")</f>
        <v>--</v>
      </c>
    </row>
    <row r="68" spans="2:9" x14ac:dyDescent="0.25">
      <c r="B68" s="4"/>
      <c r="C68" s="5" t="e">
        <f ca="1">GetOrtsAnschrift(D68,E68,F68)</f>
        <v>#NAME?</v>
      </c>
      <c r="D68" s="22" t="s">
        <v>24</v>
      </c>
      <c r="E68" s="22">
        <v>69115</v>
      </c>
      <c r="F68" s="22" t="s">
        <v>25</v>
      </c>
      <c r="G68" s="18" t="s">
        <v>29</v>
      </c>
      <c r="H68" s="6" t="e">
        <f t="shared" ca="1" si="12"/>
        <v>#NAME?</v>
      </c>
      <c r="I68" t="str">
        <f t="shared" ca="1" si="13"/>
        <v>--</v>
      </c>
    </row>
    <row r="69" spans="2:9" x14ac:dyDescent="0.25">
      <c r="B69" s="4"/>
      <c r="C69" s="28" t="e">
        <f ca="1">GetOrtsAnschrift(D69,E69,F69)</f>
        <v>#NAME?</v>
      </c>
      <c r="D69" s="22" t="s">
        <v>26</v>
      </c>
      <c r="E69" s="22">
        <v>75000</v>
      </c>
      <c r="F69" s="22" t="s">
        <v>27</v>
      </c>
      <c r="G69" s="18" t="s">
        <v>30</v>
      </c>
      <c r="H69" s="6" t="e">
        <f t="shared" ca="1" si="12"/>
        <v>#NAME?</v>
      </c>
      <c r="I69" t="str">
        <f t="shared" ca="1" si="13"/>
        <v>--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Aufgaben!$J$103:$J$104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2021-09-30T06:38:13Z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