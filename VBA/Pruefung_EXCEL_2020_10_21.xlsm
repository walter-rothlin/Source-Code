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AB64" i="46"/>
  <c r="X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1" i="44"/>
  <c r="C36" i="44"/>
  <c r="C42" i="44"/>
  <c r="C39" i="44"/>
  <c r="C55" i="44"/>
  <c r="C63" i="44"/>
  <c r="C68" i="44"/>
  <c r="C48" i="44"/>
  <c r="C47" i="44"/>
  <c r="C62" i="44"/>
  <c r="I23" i="40"/>
  <c r="C52" i="44"/>
  <c r="C57" i="44"/>
  <c r="C35" i="44"/>
  <c r="C43" i="44"/>
  <c r="C67" i="44"/>
  <c r="C46" i="44"/>
  <c r="I24" i="40"/>
  <c r="C45" i="44"/>
  <c r="C60" i="44"/>
  <c r="C61" i="44"/>
  <c r="C54" i="44"/>
  <c r="I26" i="40"/>
  <c r="C56" i="44"/>
  <c r="C44" i="44"/>
  <c r="C37" i="44"/>
  <c r="C69" i="44"/>
  <c r="I25" i="40"/>
  <c r="C38" i="44"/>
  <c r="C53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6" i="44"/>
  <c r="H42" i="44"/>
  <c r="H55" i="44"/>
  <c r="H43" i="44"/>
  <c r="H56" i="44"/>
  <c r="H48" i="44"/>
  <c r="H45" i="44"/>
  <c r="H54" i="44"/>
  <c r="H53" i="44"/>
  <c r="H47" i="44"/>
  <c r="H52" i="44"/>
  <c r="H51" i="44"/>
  <c r="H57" i="44"/>
  <c r="H44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(Alles Kleinbuchstaben)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<sst xmlns="http://schemas.openxmlformats.org/spreadsheetml/2006/main" count="826" uniqueCount="430">
  <si>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</si>
  <si>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</si>
  <si>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</si>
  <si>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</si>
  <si>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</si>
  <si>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</si>
  <si>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</si>
  <si>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</si>
  <si>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</si>
  <si>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</si>
  <si>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</si>
  <si>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</si>
  <si>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</si>
  <si>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</si>
  <si>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</si>
  <si>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</si>
  <si>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</si>
  <si>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</si>
  <si>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</si>
  <si>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</si>
  <si>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</si>
  <si>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</si>
  <si>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</si>
  <si>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</si>
  <si>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</si>
  <si>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</si>
  <si>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</si>
  <si>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</si>
  <si>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</si>
  <si>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</si>
  <si>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</si>
  <si>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</si>
  <si>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</si>
  <si>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</si>
  <si>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</si>
  <si>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</si>
  <si>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</si>
  <si>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</si>
  <si>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</si>
  <si>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</si>
  <si>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</si>
  <si>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</si>
  <si>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</si>
  <si>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</si>
  <si>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</si>
  <si>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</si>
  <si>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</si>
  <si>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</si>
  <si>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</si>
  <si>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</si>
  <si>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</si>
  <si>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</si>
  <si>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</si>
  <si>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</si>
  <si>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</si>
  <si>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</si>
  <si>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</si>
  <si>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</si>
  <si>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</si>
  <si>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</si>
  <si>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</si>
  <si>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</si>
  <si>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</si>
  <si>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</si>
  <si>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</si>
  <si>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</si>
  <si>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</si>
  <si>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</si>
  <si>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</si>
  <si>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</si>
  <si>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</si>
  <si>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</si>
  <si>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</si>
  <si>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</si>
  <si>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</si>
  <si>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</si>
  <si>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</si>
  <si>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</si>
  <si>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</si>
  <si>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</si>
  <si>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</si>
  <si>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</si>
  <si>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</si>
  <si>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</si>
  <si>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</si>
  <si>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</si>
  <si>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</si>
  <si>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</si>
  <si>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</si>
  <si>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</si>
  <si>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</si>
  <si>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</si>
  <si>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</si>
  <si>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</si>
  <si>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</si>
  <si>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</si>
  <si>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</si>
  <si>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</si>
  <si>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</si>
  <si>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</si>
  <si>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</si>
  <si>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</si>
  <si>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</si>
  <si>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</si>
  <si>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</si>
  <si>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</si>
  <si>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</si>
  <si>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</si>
  <si>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</si>
  <si>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</si>
  <si>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</si>
  <si>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</si>
  <si>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</si>
  <si>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</si>
  <si>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</si>
  <si>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</si>
  <si>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</si>
  <si>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</si>
  <si>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</si>
  <si>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</si>
  <si>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</si>
  <si>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</si>
  <si>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</si>
  <si>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</si>
  <si>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</si>
  <si>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</si>
  <si>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</si>
  <si>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</si>
  <si>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</si>
  <si>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</si>
  <si>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</si>
  <si>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</si>
  <si>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</si>
  <si>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</si>
  <si>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</si>
  <si>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</si>
  <si>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</si>
  <si>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</si>
  <si>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</si>
  <si>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</si>
  <si>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</si>
  <si>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</si>
  <si>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</si>
  <si>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</si>
  <si>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</si>
  <si>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</si>
  <si>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</si>
  <si>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</si>
  <si>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</si>
  <si>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</si>
  <si>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</si>
  <si>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</si>
  <si>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</si>
  <si>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</si>
  <si>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</si>
  <si>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</si>
  <si>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</si>
  <si>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</si>
  <si>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</si>
  <si>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</si>
  <si>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</si>
  <si>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</si>
  <si>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</si>
  <si>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</si>
  <si>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</si>
  <si>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</si>
  <si>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</si>
  <si>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</si>
  <si>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</si>
  <si>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</si>
  <si>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</si>
  <si>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</si>
  <si>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</si>
  <si>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</si>
  <si>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</si>
  <si>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</si>
  <si>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</si>
  <si>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</si>
  <si>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</si>
  <si>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</si>
  <si>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</si>
  <si>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</si>
  <si>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</si>
  <si>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</si>
  <si>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</si>
  <si>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</si>
  <si>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</si>
  <si>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</si>
  <si>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</si>
  <si>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</si>
  <si>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</si>
  <si>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</si>
  <si>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</si>
  <si>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</si>
  <si>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</si>
  <si>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</si>
  <si>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</si>
  <si>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</si>
  <si>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</si>
  <si>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</si>
  <si>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</si>
  <si>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</si>
  <si>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</si>
  <si>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</si>
  <si>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</si>
  <si>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</si>
  <si>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</si>
  <si>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</si>
  <si>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</si>
  <si>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</si>
  <si>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</si>
  <si>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</si>
  <si>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</si>
  <si>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</si>
  <si>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</si>
  <si>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</si>
  <si>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</si>
  <si>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</si>
  <si>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</si>
  <si>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</si>
  <si>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</si>
  <si>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</si>
  <si>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</si>
  <si>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</si>
  <si>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</si>
  <si>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</si>
  <si>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</si>
  <si>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</si>
  <si>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</si>
  <si>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</si>
  <si>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</si>
  <si>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</si>
  <si>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</si>
  <si>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</si>
  <si>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</si>
  <si>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</si>
  <si>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</si>
  <si>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</si>
  <si>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</si>
  <si>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</si>
  <si>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</si>
  <si>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</si>
  <si>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</si>
  <si>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</si>
  <si>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</si>
  <si>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</si>
  <si>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</si>
  <si>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</si>
  <si>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</si>
  <si>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</si>
  <si>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</si>
  <si>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</si>
  <si>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</si>
  <si>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</si>
  <si>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</si>
  <si>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</si>
  <si>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</si>
  <si>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</si>
  <si>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</si>
  <si>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</si>
  <si>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</si>
  <si>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</si>
  <si>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</si>
  <si>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</si>
  <si>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</si>
  <si>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</si>
  <si>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</si>
  <si>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</si>
  <si>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</si>
  <si>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</si>
  <si>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</si>
  <si>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</si>
  <si>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</si>
  <si>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</si>
  <si>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</si>
  <si>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</si>
  <si>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</si>
  <si>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</si>
  <si>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</si>
  <si>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</si>
  <si>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</si>
  <si>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</si>
  <si>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</si>
  <si>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</si>
  <si>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</si>
  <si>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</si>
  <si>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</si>
  <si>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</si>
  <si>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</si>
  <si>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</si>
  <si>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</si>
  <si>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</si>
  <si>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</si>
  <si>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</si>
  <si>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</si>
  <si>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</si>
  <si>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</si>
  <si>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</si>
  <si>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</si>
  <si>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</si>
  <si>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</si>
  <si>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</si>
  <si>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</si>
  <si>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</si>
  <si>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</si>
  <si>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</si>
  <si>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</si>
  <si>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</si>
  <si>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</si>
  <si>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</si>
  <si>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</si>
  <si>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</si>
  <si>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</si>
  <si>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</si>
  <si>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</si>
  <si>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</si>
  <si>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</si>
  <si>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</si>
  <si>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</si>
  <si>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</si>
  <si>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</si>
  <si>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</si>
  <si>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</si>
  <si>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</si>
  <si>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</si>
  <si>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</si>
  <si>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</si>
  <si>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</si>
  <si>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</si>
  <si>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</si>
  <si>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</si>
  <si>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</si>
  <si>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</si>
  <si>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</si>
  <si>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</si>
  <si>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</si>
  <si>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</si>
  <si>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</si>
  <si>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</si>
  <si>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</si>
  <si>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</si>
  <si>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</si>
  <si>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</si>
  <si>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</si>
  <si>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</si>
  <si>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</si>
  <si>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</si>
  <si>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</si>
  <si>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</si>
  <si>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</si>
  <si>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</si>
  <si>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</si>
  <si>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</si>
  <si>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</si>
  <si>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</si>
  <si>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</si>
  <si>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</si>
  <si>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</si>
  <si>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</si>
  <si>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</si>
  <si>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</si>
  <si>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</si>
  <si>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</si>
  <si>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</si>
  <si>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</si>
  <si>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</si>
  <si>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</si>
  <si>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</si>
  <si>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</si>
  <si>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</si>
  <si>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</si>
  <si>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</si>
  <si>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</si>
  <si>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</si>
  <si>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</si>
  <si>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</si>
  <si>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</si>
  <si>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</si>
  <si>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</si>
  <si>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</si>
  <si>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</si>
  <si>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</si>
  <si>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</si>
  <si>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</si>
  <si>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</si>
  <si>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</si>
  <si>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</si>
  <si>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</si>
  <si>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</si>
  <si>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</si>
  <si>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</si>
  <si>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</si>
  <si>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</si>
  <si>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</si>
  <si>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</si>
  <si>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</si>
  <si>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</si>
  <si>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</si>
  <si>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</si>
  <si>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</si>
  <si>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</si>
  <si>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</si>
  <si>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</si>
  <si>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</si>
  <si>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</si>
  <si>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</si>
  <si>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</si>
  <si>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</si>
  <si>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</si>
  <si>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</si>
  <si>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</si>
  <si>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</si>
  <si>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</si>
  <si>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</si>
  <si>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</si>
  <si>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</si>
  <si>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</si>
  <si>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</si>
  <si>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</si>
  <si>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</si>
  <si>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</si>
  <si>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</si>
  <si>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</si>
  <si>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</si>
  <si>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</si>
  <si>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</si>
  <si>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</si>
  <si>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V2.71</t>
  </si>
  <si>
    <t>HelloPerDu</t>
  </si>
  <si>
    <t>CalcRechteck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</si>
</sst>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2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616325</xdr:colOff>
      <xdr:row>2</xdr:row>
      <xdr:rowOff>179291</xdr:rowOff>
    </xdr:from>
    <xdr:ext cx="11138645" cy="2017060"/>
    <xdr:sp macro="" textlink="">
      <xdr:nvSpPr>
        <xdr:cNvPr id="4" name="Textfeld 3"/>
        <xdr:cNvSpPr txBox="1"/>
      </xdr:nvSpPr>
      <xdr:spPr>
        <a:xfrm>
          <a:off x="616325" y="661144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/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427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6" t="s">
        <v>334</v>
      </c>
    </row>
    <row r="26" spans="2:15" ht="15.75" thickBot="1" x14ac:dyDescent="0.3">
      <c r="H26" t="s">
        <v>340</v>
      </c>
      <c r="I26" t="s">
        <v>341</v>
      </c>
    </row>
    <row r="27" spans="2:15" x14ac:dyDescent="0.25">
      <c r="B27" s="43" t="str">
        <f>Datenaufbereitung!B2</f>
        <v>M100: Datenaufbereitung mit Formeln in Excel</v>
      </c>
      <c r="H27" s="129">
        <f>Datenaufbereitung!R17</f>
        <v>5.3787878787878789</v>
      </c>
      <c r="I27" s="130">
        <v>3</v>
      </c>
      <c r="J27" s="122">
        <f>H27*I27</f>
        <v>16.136363636363637</v>
      </c>
      <c r="M27" s="134" t="s">
        <v>420</v>
      </c>
      <c r="N27" s="135" t="s">
        <v>421</v>
      </c>
      <c r="O27" s="136" t="s">
        <v>16</v>
      </c>
    </row>
    <row r="28" spans="2:15" x14ac:dyDescent="0.25">
      <c r="B28" s="43" t="str">
        <f>StringFormeln!B2</f>
        <v>M100: String-Formeln</v>
      </c>
      <c r="H28" s="129">
        <f>StringFormeln!G7</f>
        <v>1</v>
      </c>
      <c r="I28" s="130">
        <v>2</v>
      </c>
      <c r="J28" s="122">
        <f t="shared" ref="J28:J31" si="0">H28*I28</f>
        <v>2</v>
      </c>
      <c r="M28" s="137" t="s">
        <v>422</v>
      </c>
      <c r="N28" s="4"/>
      <c r="O28" s="25"/>
    </row>
    <row r="29" spans="2:15" ht="15.75" thickBot="1" x14ac:dyDescent="0.3">
      <c r="B29" s="43" t="str">
        <f>Potenzen!B2</f>
        <v>M100: Grafische Datenauswertung (Potenzen)</v>
      </c>
      <c r="H29" s="129">
        <f>Potenzen!V27</f>
        <v>1</v>
      </c>
      <c r="I29" s="130">
        <v>1</v>
      </c>
      <c r="J29" s="122">
        <f t="shared" si="0"/>
        <v>1</v>
      </c>
      <c r="M29" s="138" t="s">
        <v>423</v>
      </c>
      <c r="N29" s="26"/>
      <c r="O29" s="27"/>
    </row>
    <row r="30" spans="2:15" x14ac:dyDescent="0.25">
      <c r="B30" s="43" t="str">
        <f>QuadratischeFunktion!B2</f>
        <v>M100: Grafische Datenauswertung (Quadratische Funktion)</v>
      </c>
      <c r="H30" s="129">
        <f>QuadratischeFunktion!$V$31</f>
        <v>1</v>
      </c>
      <c r="I30" s="130">
        <v>1</v>
      </c>
      <c r="J30" s="122">
        <f t="shared" si="0"/>
        <v>1</v>
      </c>
    </row>
    <row r="31" spans="2:15" ht="15.75" thickBot="1" x14ac:dyDescent="0.3">
      <c r="B31" s="43" t="str">
        <f>TXT_Daten!B2</f>
        <v>M100: Datenaufbereiten (laden und Text--&gt;Spalten)</v>
      </c>
      <c r="H31" s="129">
        <f>TXT_Daten!$R$16</f>
        <v>1</v>
      </c>
      <c r="I31" s="130">
        <v>2</v>
      </c>
      <c r="J31" s="122">
        <f t="shared" si="0"/>
        <v>2</v>
      </c>
    </row>
    <row r="32" spans="2:15" ht="19.5" thickBot="1" x14ac:dyDescent="0.35">
      <c r="H32" s="107"/>
      <c r="I32" s="120" t="s">
        <v>342</v>
      </c>
      <c r="J32" s="121">
        <f>SUM(J27:J31)/SUM(I27:I31)</f>
        <v>2.4595959595959598</v>
      </c>
    </row>
    <row r="33" spans="2:10" x14ac:dyDescent="0.25">
      <c r="H33" s="107"/>
    </row>
    <row r="34" spans="2:10" x14ac:dyDescent="0.25">
      <c r="H34" s="107"/>
    </row>
    <row r="35" spans="2:10" ht="15.75" thickBot="1" x14ac:dyDescent="0.3">
      <c r="B35" s="43" t="str">
        <f>VBA_Programmierung!$B$2</f>
        <v>M403: Funktionen in VBA programmieren</v>
      </c>
      <c r="H35" s="107">
        <f ca="1">VBA_Programmierung!$N$16</f>
        <v>1</v>
      </c>
    </row>
    <row r="36" spans="2:10" ht="19.5" thickBot="1" x14ac:dyDescent="0.35">
      <c r="I36" s="120" t="s">
        <v>343</v>
      </c>
      <c r="J36" s="121">
        <f ca="1">H35</f>
        <v>1</v>
      </c>
    </row>
    <row r="100" spans="3:10" ht="21" x14ac:dyDescent="0.35">
      <c r="C100" s="70" t="s">
        <v>192</v>
      </c>
    </row>
    <row r="101" spans="3:10" x14ac:dyDescent="0.25">
      <c r="C101" s="71" t="s">
        <v>193</v>
      </c>
      <c r="D101" s="71"/>
      <c r="E101" s="71"/>
      <c r="F101" s="71"/>
      <c r="J101" t="s">
        <v>40</v>
      </c>
    </row>
    <row r="102" spans="3:10" x14ac:dyDescent="0.25">
      <c r="C102" s="74" t="s">
        <v>194</v>
      </c>
      <c r="D102" s="72"/>
      <c r="E102" s="72"/>
      <c r="F102" s="73"/>
      <c r="J102" t="s">
        <v>48</v>
      </c>
    </row>
    <row r="103" spans="3:10" x14ac:dyDescent="0.25">
      <c r="C103" s="74" t="s">
        <v>195</v>
      </c>
      <c r="D103" s="72"/>
      <c r="E103" s="72"/>
      <c r="F103" s="73"/>
    </row>
    <row r="104" spans="3:10" x14ac:dyDescent="0.25">
      <c r="C104" s="74" t="s">
        <v>196</v>
      </c>
      <c r="D104" s="72"/>
      <c r="E104" s="72"/>
      <c r="F104" s="73"/>
    </row>
    <row r="105" spans="3:10" x14ac:dyDescent="0.25">
      <c r="C105" s="74" t="s">
        <v>197</v>
      </c>
      <c r="D105" s="72"/>
      <c r="E105" s="72"/>
      <c r="F105" s="73"/>
    </row>
    <row r="106" spans="3:10" x14ac:dyDescent="0.25">
      <c r="C106" s="74" t="s">
        <v>198</v>
      </c>
      <c r="D106" s="72"/>
      <c r="E106" s="72"/>
      <c r="F106" s="73"/>
    </row>
    <row r="107" spans="3:10" x14ac:dyDescent="0.25">
      <c r="C107" s="74" t="s">
        <v>199</v>
      </c>
      <c r="D107" s="72"/>
      <c r="E107" s="72"/>
      <c r="F107" s="73"/>
    </row>
    <row r="108" spans="3:10" x14ac:dyDescent="0.25">
      <c r="C108" s="74" t="s">
        <v>200</v>
      </c>
      <c r="D108" s="72"/>
      <c r="E108" s="72"/>
      <c r="F108" s="73"/>
    </row>
    <row r="109" spans="3:10" x14ac:dyDescent="0.25">
      <c r="C109" s="74" t="s">
        <v>201</v>
      </c>
      <c r="D109" s="72"/>
      <c r="E109" s="72"/>
      <c r="F109" s="73"/>
    </row>
    <row r="110" spans="3:10" x14ac:dyDescent="0.25">
      <c r="C110" s="74" t="s">
        <v>202</v>
      </c>
      <c r="D110" s="72"/>
      <c r="E110" s="72"/>
      <c r="F110" s="73"/>
    </row>
    <row r="111" spans="3:10" x14ac:dyDescent="0.25">
      <c r="C111" s="74" t="s">
        <v>203</v>
      </c>
      <c r="D111" s="72"/>
      <c r="E111" s="72"/>
      <c r="F111" s="73"/>
    </row>
    <row r="112" spans="3:10" x14ac:dyDescent="0.25">
      <c r="C112" s="74" t="s">
        <v>204</v>
      </c>
      <c r="D112" s="72"/>
      <c r="E112" s="72"/>
      <c r="F112" s="73"/>
    </row>
    <row r="113" spans="3:6" x14ac:dyDescent="0.25">
      <c r="C113" s="74" t="s">
        <v>205</v>
      </c>
      <c r="D113" s="72"/>
      <c r="E113" s="72"/>
      <c r="F113" s="73"/>
    </row>
    <row r="114" spans="3:6" x14ac:dyDescent="0.25">
      <c r="C114" s="74" t="s">
        <v>206</v>
      </c>
      <c r="D114" s="72"/>
      <c r="E114" s="72"/>
      <c r="F114" s="73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F37" sqref="F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287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417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304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418</v>
      </c>
      <c r="Z12" s="123"/>
    </row>
    <row r="13" spans="2:26" x14ac:dyDescent="0.25">
      <c r="O13" s="110" t="s">
        <v>338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337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299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323</v>
      </c>
      <c r="S16" s="110"/>
      <c r="T16" s="110"/>
      <c r="U16" s="113" t="s">
        <v>300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5.3787878787878789</v>
      </c>
      <c r="S17" s="110"/>
      <c r="T17" s="110"/>
      <c r="U17" s="113" t="s">
        <v>316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>
        <v>50</v>
      </c>
      <c r="Z37" s="40">
        <v>49.5</v>
      </c>
      <c r="AA37" s="59" t="s">
        <v>419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344</v>
      </c>
      <c r="E38" s="39" t="str">
        <f t="shared" si="0"/>
        <v>ok</v>
      </c>
      <c r="F38" s="58" t="s">
        <v>351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375</v>
      </c>
      <c r="M38" s="39" t="str">
        <f t="shared" si="2"/>
        <v>ok</v>
      </c>
      <c r="N38" s="4" t="s">
        <v>161</v>
      </c>
      <c r="O38" s="58" t="s">
        <v>390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416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345</v>
      </c>
      <c r="E39" s="39" t="str">
        <f t="shared" si="0"/>
        <v>ok</v>
      </c>
      <c r="F39" s="58" t="s">
        <v>352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375</v>
      </c>
      <c r="M39" s="39" t="str">
        <f t="shared" si="2"/>
        <v>ok</v>
      </c>
      <c r="N39" s="4"/>
      <c r="O39" s="58" t="s">
        <v>391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391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346</v>
      </c>
      <c r="E40" s="39" t="str">
        <f t="shared" si="0"/>
        <v>ok</v>
      </c>
      <c r="F40" s="58" t="s">
        <v>353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376</v>
      </c>
      <c r="M40" s="39" t="str">
        <f t="shared" si="2"/>
        <v>ok</v>
      </c>
      <c r="N40" s="4" t="s">
        <v>151</v>
      </c>
      <c r="O40" s="58" t="s">
        <v>392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416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347</v>
      </c>
      <c r="E41" s="39" t="str">
        <f t="shared" si="0"/>
        <v>ok</v>
      </c>
      <c r="F41" s="58" t="s">
        <v>354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377</v>
      </c>
      <c r="M41" s="39" t="str">
        <f t="shared" si="2"/>
        <v>ok</v>
      </c>
      <c r="N41" s="4"/>
      <c r="O41" s="58" t="s">
        <v>393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393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344</v>
      </c>
      <c r="E42" s="39" t="str">
        <f t="shared" si="0"/>
        <v>ok</v>
      </c>
      <c r="F42" s="58" t="s">
        <v>355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378</v>
      </c>
      <c r="M42" s="39" t="str">
        <f t="shared" si="2"/>
        <v>ok</v>
      </c>
      <c r="N42" s="4" t="s">
        <v>141</v>
      </c>
      <c r="O42" s="58" t="s">
        <v>394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416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344</v>
      </c>
      <c r="E43" s="39" t="str">
        <f t="shared" si="0"/>
        <v>ok</v>
      </c>
      <c r="F43" s="58" t="s">
        <v>356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379</v>
      </c>
      <c r="M43" s="39" t="str">
        <f t="shared" si="2"/>
        <v>ok</v>
      </c>
      <c r="N43" s="4" t="s">
        <v>136</v>
      </c>
      <c r="O43" s="58" t="s">
        <v>395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416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345</v>
      </c>
      <c r="E44" s="39" t="str">
        <f t="shared" si="0"/>
        <v>ok</v>
      </c>
      <c r="F44" s="58" t="s">
        <v>357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380</v>
      </c>
      <c r="M44" s="39" t="str">
        <f t="shared" si="2"/>
        <v>ok</v>
      </c>
      <c r="N44" s="4"/>
      <c r="O44" s="58" t="s">
        <v>396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396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348</v>
      </c>
      <c r="E45" s="39" t="str">
        <f t="shared" si="0"/>
        <v>ok</v>
      </c>
      <c r="F45" s="58" t="s">
        <v>358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375</v>
      </c>
      <c r="M45" s="39" t="str">
        <f t="shared" si="2"/>
        <v>ok</v>
      </c>
      <c r="N45" s="4" t="s">
        <v>127</v>
      </c>
      <c r="O45" s="58" t="s">
        <v>397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344</v>
      </c>
      <c r="E46" s="39" t="str">
        <f t="shared" si="0"/>
        <v>ok</v>
      </c>
      <c r="F46" s="58" t="s">
        <v>359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375</v>
      </c>
      <c r="M46" s="39" t="str">
        <f t="shared" si="2"/>
        <v>ok</v>
      </c>
      <c r="N46" s="4" t="s">
        <v>125</v>
      </c>
      <c r="O46" s="58" t="s">
        <v>398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344</v>
      </c>
      <c r="E47" s="39" t="str">
        <f t="shared" si="0"/>
        <v>ok</v>
      </c>
      <c r="F47" s="58" t="s">
        <v>359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375</v>
      </c>
      <c r="M47" s="39" t="str">
        <f t="shared" si="2"/>
        <v>ok</v>
      </c>
      <c r="N47" s="4"/>
      <c r="O47" s="58" t="s">
        <v>399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416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344</v>
      </c>
      <c r="E48" s="39" t="str">
        <f t="shared" si="0"/>
        <v>ok</v>
      </c>
      <c r="F48" s="58" t="s">
        <v>360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375</v>
      </c>
      <c r="M48" s="39" t="str">
        <f t="shared" si="2"/>
        <v>ok</v>
      </c>
      <c r="N48" s="4" t="s">
        <v>117</v>
      </c>
      <c r="O48" s="58" t="s">
        <v>400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344</v>
      </c>
      <c r="E49" s="39" t="str">
        <f t="shared" si="0"/>
        <v>ok</v>
      </c>
      <c r="F49" s="58" t="s">
        <v>361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377</v>
      </c>
      <c r="M49" s="39" t="str">
        <f t="shared" si="2"/>
        <v>ok</v>
      </c>
      <c r="N49" s="4"/>
      <c r="O49" s="58" t="s">
        <v>401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416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344</v>
      </c>
      <c r="E50" s="39" t="str">
        <f t="shared" si="0"/>
        <v>ok</v>
      </c>
      <c r="F50" s="58" t="s">
        <v>362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381</v>
      </c>
      <c r="M50" s="39" t="str">
        <f t="shared" si="2"/>
        <v>ok</v>
      </c>
      <c r="N50" s="4" t="s">
        <v>107</v>
      </c>
      <c r="O50" s="58" t="s">
        <v>402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416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344</v>
      </c>
      <c r="E51" s="39" t="str">
        <f t="shared" si="0"/>
        <v>ok</v>
      </c>
      <c r="F51" s="58" t="s">
        <v>363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382</v>
      </c>
      <c r="M51" s="39" t="str">
        <f t="shared" si="2"/>
        <v>ok</v>
      </c>
      <c r="N51" s="4" t="s">
        <v>102</v>
      </c>
      <c r="O51" s="58" t="s">
        <v>403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416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345</v>
      </c>
      <c r="E52" s="39" t="str">
        <f t="shared" si="0"/>
        <v>ok</v>
      </c>
      <c r="F52" s="58" t="s">
        <v>364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383</v>
      </c>
      <c r="M52" s="39" t="str">
        <f t="shared" si="2"/>
        <v>ok</v>
      </c>
      <c r="N52" s="4" t="s">
        <v>98</v>
      </c>
      <c r="O52" s="58" t="s">
        <v>404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416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344</v>
      </c>
      <c r="E53" s="39" t="str">
        <f t="shared" si="0"/>
        <v>ok</v>
      </c>
      <c r="F53" s="58" t="s">
        <v>365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375</v>
      </c>
      <c r="M53" s="39" t="str">
        <f t="shared" si="2"/>
        <v>ok</v>
      </c>
      <c r="N53" s="4"/>
      <c r="O53" s="58" t="s">
        <v>405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416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344</v>
      </c>
      <c r="E54" s="39" t="str">
        <f t="shared" si="0"/>
        <v>ok</v>
      </c>
      <c r="F54" s="58" t="s">
        <v>366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384</v>
      </c>
      <c r="M54" s="39" t="str">
        <f t="shared" si="2"/>
        <v>ok</v>
      </c>
      <c r="N54" s="4" t="s">
        <v>88</v>
      </c>
      <c r="O54" s="58" t="s">
        <v>406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344</v>
      </c>
      <c r="E55" s="39" t="str">
        <f t="shared" si="0"/>
        <v>ok</v>
      </c>
      <c r="F55" s="58" t="s">
        <v>367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385</v>
      </c>
      <c r="M55" s="39" t="str">
        <f t="shared" si="2"/>
        <v>ok</v>
      </c>
      <c r="N55" s="4" t="s">
        <v>84</v>
      </c>
      <c r="O55" s="58" t="s">
        <v>407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416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344</v>
      </c>
      <c r="E56" s="39" t="str">
        <f t="shared" si="0"/>
        <v>ok</v>
      </c>
      <c r="F56" s="58" t="s">
        <v>368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375</v>
      </c>
      <c r="M56" s="39" t="str">
        <f t="shared" si="2"/>
        <v>ok</v>
      </c>
      <c r="N56" s="4"/>
      <c r="O56" s="58" t="s">
        <v>408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416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349</v>
      </c>
      <c r="E57" s="39" t="str">
        <f t="shared" si="0"/>
        <v>ok</v>
      </c>
      <c r="F57" s="58" t="s">
        <v>369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379</v>
      </c>
      <c r="M57" s="39" t="str">
        <f t="shared" si="2"/>
        <v>ok</v>
      </c>
      <c r="N57" s="4"/>
      <c r="O57" s="58" t="s">
        <v>409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416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350</v>
      </c>
      <c r="E58" s="39" t="str">
        <f t="shared" si="0"/>
        <v>ok</v>
      </c>
      <c r="F58" s="58" t="s">
        <v>370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386</v>
      </c>
      <c r="M58" s="39" t="str">
        <f t="shared" si="2"/>
        <v>ok</v>
      </c>
      <c r="N58" s="4"/>
      <c r="O58" s="58" t="s">
        <v>410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410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350</v>
      </c>
      <c r="E59" s="39" t="str">
        <f t="shared" si="0"/>
        <v>ok</v>
      </c>
      <c r="F59" s="58" t="s">
        <v>371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383</v>
      </c>
      <c r="M59" s="39" t="str">
        <f t="shared" si="2"/>
        <v>ok</v>
      </c>
      <c r="N59" s="4" t="s">
        <v>66</v>
      </c>
      <c r="O59" s="58" t="s">
        <v>411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350</v>
      </c>
      <c r="E60" s="39" t="str">
        <f t="shared" si="0"/>
        <v>ok</v>
      </c>
      <c r="F60" s="58" t="s">
        <v>372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387</v>
      </c>
      <c r="M60" s="39" t="str">
        <f t="shared" si="2"/>
        <v>ok</v>
      </c>
      <c r="N60" s="4" t="s">
        <v>60</v>
      </c>
      <c r="O60" s="58" t="s">
        <v>412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416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345</v>
      </c>
      <c r="E61" s="39" t="str">
        <f t="shared" si="0"/>
        <v>ok</v>
      </c>
      <c r="F61" s="58" t="s">
        <v>373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388</v>
      </c>
      <c r="M61" s="39" t="str">
        <f t="shared" si="2"/>
        <v>ok</v>
      </c>
      <c r="N61" s="4" t="s">
        <v>55</v>
      </c>
      <c r="O61" s="58" t="s">
        <v>413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416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350</v>
      </c>
      <c r="E62" s="39" t="str">
        <f t="shared" si="0"/>
        <v>ok</v>
      </c>
      <c r="F62" s="58" t="s">
        <v>374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375</v>
      </c>
      <c r="M62" s="39" t="str">
        <f t="shared" si="2"/>
        <v>ok</v>
      </c>
      <c r="N62" s="4"/>
      <c r="O62" s="58" t="s">
        <v>414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416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350</v>
      </c>
      <c r="E63" s="39" t="str">
        <f t="shared" si="0"/>
        <v>ok</v>
      </c>
      <c r="F63" s="58" t="s">
        <v>374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389</v>
      </c>
      <c r="M63" s="39" t="str">
        <f t="shared" si="2"/>
        <v>ok</v>
      </c>
      <c r="N63" s="4" t="s">
        <v>43</v>
      </c>
      <c r="O63" s="58" t="s">
        <v>415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416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J48" sqref="J48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9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0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0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1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39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0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0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1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39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0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0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1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39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0"/>
      <c r="C45" s="5"/>
      <c r="D45" s="22" t="s">
        <v>4</v>
      </c>
      <c r="E45" s="22"/>
      <c r="F45" s="22"/>
      <c r="G45" s="18" t="s">
        <v>424</v>
      </c>
      <c r="H45" s="6" t="str">
        <f t="shared" ref="H45:H47" si="3">IF(G45=C45,"ok",IF(C45="","--","Not ok"))</f>
        <v>--</v>
      </c>
    </row>
    <row r="46" spans="2:8" x14ac:dyDescent="0.25">
      <c r="B46" s="140"/>
      <c r="C46" s="5"/>
      <c r="D46" s="22" t="s">
        <v>213</v>
      </c>
      <c r="E46" s="22"/>
      <c r="F46" s="22"/>
      <c r="G46" s="18" t="s">
        <v>425</v>
      </c>
      <c r="H46" s="6" t="str">
        <f t="shared" si="3"/>
        <v>--</v>
      </c>
    </row>
    <row r="47" spans="2:8" x14ac:dyDescent="0.25">
      <c r="B47" s="141"/>
      <c r="C47" s="5"/>
      <c r="D47" s="22" t="s">
        <v>212</v>
      </c>
      <c r="E47" s="22"/>
      <c r="F47" s="22"/>
      <c r="G47" s="18" t="s">
        <v>426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39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0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0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1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39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0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0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1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39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0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0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1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39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0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0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1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39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0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0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1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39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0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0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1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39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0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0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1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39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0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0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1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9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0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0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1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/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335</v>
      </c>
    </row>
    <row r="9" spans="2:23" ht="15.75" thickBot="1" x14ac:dyDescent="0.3"/>
    <row r="10" spans="2:23" x14ac:dyDescent="0.25">
      <c r="B10" s="95" t="s">
        <v>281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282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301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302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293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299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300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G20" sqref="G20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336</v>
      </c>
    </row>
    <row r="8" spans="2:23" ht="15.75" thickBot="1" x14ac:dyDescent="0.3"/>
    <row r="9" spans="2:23" ht="15.75" thickBot="1" x14ac:dyDescent="0.3">
      <c r="C9" s="82" t="s">
        <v>285</v>
      </c>
      <c r="D9" s="83">
        <v>2</v>
      </c>
    </row>
    <row r="10" spans="2:23" ht="15.75" thickBot="1" x14ac:dyDescent="0.3">
      <c r="B10" s="77" t="s">
        <v>281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283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284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287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298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288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289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290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291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292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293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294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295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296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297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299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300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E31" sqref="E3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339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287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298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305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306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307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308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309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310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311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312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299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300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313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B42" sqref="B42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331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287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298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330</v>
      </c>
      <c r="G6" s="48">
        <f ca="1">COUNTIF(I34:I69,"=--")</f>
        <v>26</v>
      </c>
      <c r="H6" s="12"/>
      <c r="K6" s="87"/>
      <c r="L6" s="89" t="s">
        <v>314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316</v>
      </c>
      <c r="G7" s="106">
        <f ca="1">IF(G4+G5+G6&gt;0,ROUNDDOWN(((5*G4)/(G4+G5+G6))+1,1),"Not defined")</f>
        <v>1</v>
      </c>
      <c r="H7" s="12"/>
      <c r="K7" s="87"/>
      <c r="L7" s="89" t="s">
        <v>315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317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318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319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321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320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322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299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323</v>
      </c>
      <c r="O15" s="89"/>
      <c r="P15" s="91" t="s">
        <v>300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316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428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325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324</v>
      </c>
      <c r="E36" s="22" t="s">
        <v>286</v>
      </c>
      <c r="F36" s="22" t="b">
        <v>0</v>
      </c>
      <c r="G36" s="18" t="s">
        <v>326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327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327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327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328</v>
      </c>
      <c r="E41" s="21" t="s">
        <v>329</v>
      </c>
      <c r="F41" s="21"/>
      <c r="G41" s="19" t="s">
        <v>7</v>
      </c>
      <c r="H41" s="3" t="s">
        <v>3</v>
      </c>
    </row>
    <row r="42" spans="2:9" x14ac:dyDescent="0.25">
      <c r="B42" s="4" t="s">
        <v>429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333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332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1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1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2020-10-22T07:52:45Z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