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DieseArbeitsmappe" hidePivotFieldList="1" defaultThemeVersion="153222"/>
  <mc:AlternateContent xmlns:mc="http://schemas.openxmlformats.org/markup-compatibility/2006">
    <mc:Choice Requires="x15">
      <x15ac:absPath xmlns:x15ac="http://schemas.microsoft.com/office/spreadsheetml/2010/11/ac" url="G:\_WaltisDaten\SourceCode\GitHosted\VBA\"/>
    </mc:Choice>
  </mc:AlternateContent>
  <bookViews>
    <workbookView xWindow="0" yWindow="0" windowWidth="22080" windowHeight="11820"/>
  </bookViews>
  <sheets>
    <sheet name="Aufgaben" sheetId="2" r:id="rId1"/>
    <sheet name="Datenaufbereitung" sheetId="46" r:id="rId2"/>
    <sheet name="StringFormeln" sheetId="40" r:id="rId3"/>
    <sheet name="Potenzen" sheetId="41" r:id="rId4"/>
    <sheet name="QuadratischeFunktion" sheetId="42" r:id="rId5"/>
    <sheet name="TXT_Daten" sheetId="43" r:id="rId6"/>
    <sheet name="VBA_Programmierung" sheetId="44" r:id="rId7"/>
  </sheets>
  <functionGroups builtInGroupCount="18"/>
  <definedNames>
    <definedName name="_xlnm._FilterDatabase" localSheetId="5" hidden="1">TXT_Daten!$A$22:$J$22</definedName>
  </definedNames>
  <calcPr calcId="152511"/>
</workbook>
</file>

<file path=xl/calcChain.xml><?xml version="1.0" encoding="utf-8"?>
<calcChain xmlns="http://schemas.openxmlformats.org/spreadsheetml/2006/main">
  <c r="C45" i="40" l="1"/>
  <c r="C46" i="40"/>
  <c r="C47" i="40"/>
  <c r="D11" i="42" l="1"/>
  <c r="E11" i="42"/>
  <c r="F11" i="42"/>
  <c r="G11" i="42"/>
  <c r="H11" i="42"/>
  <c r="I11" i="42"/>
  <c r="J11" i="42"/>
  <c r="K11" i="42"/>
  <c r="L11" i="42"/>
  <c r="M11" i="42"/>
  <c r="N11" i="42"/>
  <c r="O11" i="42"/>
  <c r="P11" i="42"/>
  <c r="Q11" i="42"/>
  <c r="R11" i="42"/>
  <c r="S11" i="42"/>
  <c r="T11" i="42"/>
  <c r="U11" i="42"/>
  <c r="V11" i="42"/>
  <c r="W11" i="42"/>
  <c r="D12" i="42"/>
  <c r="E12" i="42"/>
  <c r="F12" i="42"/>
  <c r="G12" i="42"/>
  <c r="H12" i="42"/>
  <c r="I12" i="42"/>
  <c r="J12" i="42"/>
  <c r="K12" i="42"/>
  <c r="L12" i="42"/>
  <c r="M12" i="42"/>
  <c r="N12" i="42"/>
  <c r="O12" i="42"/>
  <c r="P12" i="42"/>
  <c r="Q12" i="42"/>
  <c r="R12" i="42"/>
  <c r="S12" i="42"/>
  <c r="T12" i="42"/>
  <c r="U12" i="42"/>
  <c r="V12" i="42"/>
  <c r="W12" i="42"/>
  <c r="C12" i="42"/>
  <c r="C11" i="42"/>
  <c r="E10" i="42"/>
  <c r="F10" i="42" s="1"/>
  <c r="G10" i="42" s="1"/>
  <c r="H10" i="42" s="1"/>
  <c r="I10" i="42" s="1"/>
  <c r="J10" i="42" s="1"/>
  <c r="K10" i="42" s="1"/>
  <c r="L10" i="42" s="1"/>
  <c r="M10" i="42" s="1"/>
  <c r="N10" i="42" s="1"/>
  <c r="O10" i="42" s="1"/>
  <c r="P10" i="42" s="1"/>
  <c r="Q10" i="42" s="1"/>
  <c r="R10" i="42" s="1"/>
  <c r="S10" i="42" s="1"/>
  <c r="T10" i="42" s="1"/>
  <c r="U10" i="42" s="1"/>
  <c r="V10" i="42" s="1"/>
  <c r="W10" i="42" s="1"/>
  <c r="D10" i="42"/>
  <c r="M11" i="41"/>
  <c r="L11" i="41"/>
  <c r="K11" i="41"/>
  <c r="J11" i="41"/>
  <c r="I11" i="41"/>
  <c r="H11" i="41"/>
  <c r="G11" i="41"/>
  <c r="F11" i="41"/>
  <c r="E11" i="41"/>
  <c r="D11" i="41"/>
  <c r="C11" i="41"/>
  <c r="D10" i="41"/>
  <c r="E10" i="41" s="1"/>
  <c r="F10" i="41" s="1"/>
  <c r="G10" i="41" s="1"/>
  <c r="H10" i="41" s="1"/>
  <c r="I10" i="41" s="1"/>
  <c r="J10" i="41" s="1"/>
  <c r="K10" i="41" s="1"/>
  <c r="L10" i="41" s="1"/>
  <c r="M10" i="41" s="1"/>
  <c r="C67" i="44"/>
  <c r="C35" i="44"/>
  <c r="C60" i="44"/>
  <c r="C51" i="44"/>
  <c r="C42" i="44"/>
  <c r="AA38" i="46" l="1"/>
  <c r="AA39" i="46"/>
  <c r="AA40" i="46"/>
  <c r="AA41" i="46"/>
  <c r="AA42" i="46"/>
  <c r="AA43" i="46"/>
  <c r="AA44" i="46"/>
  <c r="AA45" i="46"/>
  <c r="AA46" i="46"/>
  <c r="AA47" i="46"/>
  <c r="AA48" i="46"/>
  <c r="AA49" i="46"/>
  <c r="AA50" i="46"/>
  <c r="AA51" i="46"/>
  <c r="AA52" i="46"/>
  <c r="AA53" i="46"/>
  <c r="AA54" i="46"/>
  <c r="AA55" i="46"/>
  <c r="AA56" i="46"/>
  <c r="AA57" i="46"/>
  <c r="AA58" i="46"/>
  <c r="AA59" i="46"/>
  <c r="AA60" i="46"/>
  <c r="AA61" i="46"/>
  <c r="AA62" i="46"/>
  <c r="AA63" i="46"/>
  <c r="W38" i="46"/>
  <c r="W39" i="46"/>
  <c r="W40" i="46"/>
  <c r="W41" i="46"/>
  <c r="W42" i="46"/>
  <c r="W43" i="46"/>
  <c r="W44" i="46"/>
  <c r="W45" i="46"/>
  <c r="W46" i="46"/>
  <c r="W47" i="46"/>
  <c r="W48" i="46"/>
  <c r="W49" i="46"/>
  <c r="W50" i="46"/>
  <c r="W51" i="46"/>
  <c r="W52" i="46"/>
  <c r="W53" i="46"/>
  <c r="W54" i="46"/>
  <c r="W55" i="46"/>
  <c r="W56" i="46"/>
  <c r="W57" i="46"/>
  <c r="W58" i="46"/>
  <c r="W59" i="46"/>
  <c r="W60" i="46"/>
  <c r="W61" i="46"/>
  <c r="W62" i="46"/>
  <c r="W63" i="46"/>
  <c r="U38" i="46"/>
  <c r="U39" i="46"/>
  <c r="U40" i="46"/>
  <c r="U41" i="46"/>
  <c r="U42" i="46"/>
  <c r="U43" i="46"/>
  <c r="U44" i="46"/>
  <c r="U45" i="46"/>
  <c r="U46" i="46"/>
  <c r="U47" i="46"/>
  <c r="U48" i="46"/>
  <c r="U49" i="46"/>
  <c r="U50" i="46"/>
  <c r="U51" i="46"/>
  <c r="U52" i="46"/>
  <c r="U53" i="46"/>
  <c r="U54" i="46"/>
  <c r="U55" i="46"/>
  <c r="U56" i="46"/>
  <c r="U57" i="46"/>
  <c r="U58" i="46"/>
  <c r="U59" i="46"/>
  <c r="U60" i="46"/>
  <c r="U61" i="46"/>
  <c r="U62" i="46"/>
  <c r="U63" i="46"/>
  <c r="S38" i="46"/>
  <c r="S39" i="46"/>
  <c r="S40" i="46"/>
  <c r="S41" i="46"/>
  <c r="S42" i="46"/>
  <c r="S43" i="46"/>
  <c r="S44" i="46"/>
  <c r="S45" i="46"/>
  <c r="S46" i="46"/>
  <c r="S47" i="46"/>
  <c r="S48" i="46"/>
  <c r="S49" i="46"/>
  <c r="S50" i="46"/>
  <c r="S51" i="46"/>
  <c r="S52" i="46"/>
  <c r="S53" i="46"/>
  <c r="S54" i="46"/>
  <c r="S55" i="46"/>
  <c r="S56" i="46"/>
  <c r="S57" i="46"/>
  <c r="S58" i="46"/>
  <c r="S59" i="46"/>
  <c r="S60" i="46"/>
  <c r="S61" i="46"/>
  <c r="S62" i="46"/>
  <c r="S63" i="46"/>
  <c r="O38" i="46"/>
  <c r="O39" i="46"/>
  <c r="O40" i="46"/>
  <c r="O41" i="46"/>
  <c r="O42" i="46"/>
  <c r="O43" i="46"/>
  <c r="O44" i="46"/>
  <c r="O45" i="46"/>
  <c r="O46" i="46"/>
  <c r="O47" i="46"/>
  <c r="O48" i="46"/>
  <c r="O49" i="46"/>
  <c r="O50" i="46"/>
  <c r="O51" i="46"/>
  <c r="O52" i="46"/>
  <c r="O53" i="46"/>
  <c r="O54" i="46"/>
  <c r="O55" i="46"/>
  <c r="O56" i="46"/>
  <c r="O57" i="46"/>
  <c r="O58" i="46"/>
  <c r="O59" i="46"/>
  <c r="O60" i="46"/>
  <c r="O61" i="46"/>
  <c r="O62" i="46"/>
  <c r="O63" i="46"/>
  <c r="L38" i="46"/>
  <c r="L39" i="46"/>
  <c r="L40" i="46"/>
  <c r="L41" i="46"/>
  <c r="L42" i="46"/>
  <c r="L43" i="46"/>
  <c r="L44" i="46"/>
  <c r="L45" i="46"/>
  <c r="L46" i="46"/>
  <c r="L47" i="46"/>
  <c r="L48" i="46"/>
  <c r="L49" i="46"/>
  <c r="L50" i="46"/>
  <c r="L51" i="46"/>
  <c r="L52" i="46"/>
  <c r="L53" i="46"/>
  <c r="L54" i="46"/>
  <c r="L55" i="46"/>
  <c r="L56" i="46"/>
  <c r="L57" i="46"/>
  <c r="L58" i="46"/>
  <c r="L59" i="46"/>
  <c r="L60" i="46"/>
  <c r="L61" i="46"/>
  <c r="L62" i="46"/>
  <c r="L63" i="46"/>
  <c r="F38" i="46"/>
  <c r="F39" i="46"/>
  <c r="F40" i="46"/>
  <c r="F41" i="46"/>
  <c r="F42" i="46"/>
  <c r="F43" i="46"/>
  <c r="F44" i="46"/>
  <c r="F45" i="46"/>
  <c r="F46" i="46"/>
  <c r="F47" i="46"/>
  <c r="F48" i="46"/>
  <c r="F49" i="46"/>
  <c r="F50" i="46"/>
  <c r="F51" i="46"/>
  <c r="F52" i="46"/>
  <c r="F53" i="46"/>
  <c r="F54" i="46"/>
  <c r="F55" i="46"/>
  <c r="F56" i="46"/>
  <c r="F57" i="46"/>
  <c r="F58" i="46"/>
  <c r="F59" i="46"/>
  <c r="F60" i="46"/>
  <c r="F61" i="46"/>
  <c r="F62" i="46"/>
  <c r="F63" i="46"/>
  <c r="D38" i="46"/>
  <c r="D39" i="46"/>
  <c r="D40" i="46"/>
  <c r="D41" i="46"/>
  <c r="D42" i="46"/>
  <c r="D43" i="46"/>
  <c r="D44" i="46"/>
  <c r="D45" i="46"/>
  <c r="D46" i="46"/>
  <c r="D47" i="46"/>
  <c r="D48" i="46"/>
  <c r="D49" i="46"/>
  <c r="D50" i="46"/>
  <c r="D51" i="46"/>
  <c r="D52" i="46"/>
  <c r="D53" i="46"/>
  <c r="D54" i="46"/>
  <c r="D55" i="46"/>
  <c r="D56" i="46"/>
  <c r="D57" i="46"/>
  <c r="D58" i="46"/>
  <c r="D59" i="46"/>
  <c r="D60" i="46"/>
  <c r="D61" i="46"/>
  <c r="D62" i="46"/>
  <c r="D63" i="46"/>
  <c r="C110" i="40"/>
  <c r="C109" i="40"/>
  <c r="C108" i="40"/>
  <c r="C107" i="40"/>
  <c r="C103" i="40"/>
  <c r="C102" i="40"/>
  <c r="C101" i="40"/>
  <c r="C100" i="40"/>
  <c r="C96" i="40"/>
  <c r="C95" i="40"/>
  <c r="C94" i="40"/>
  <c r="C93" i="40"/>
  <c r="C89" i="40"/>
  <c r="C88" i="40"/>
  <c r="C87" i="40"/>
  <c r="C86" i="40"/>
  <c r="C82" i="40"/>
  <c r="C81" i="40"/>
  <c r="C80" i="40"/>
  <c r="C79" i="40"/>
  <c r="C75" i="40"/>
  <c r="C74" i="40"/>
  <c r="C73" i="40"/>
  <c r="C72" i="40"/>
  <c r="C68" i="40"/>
  <c r="C67" i="40"/>
  <c r="C66" i="40"/>
  <c r="C65" i="40"/>
  <c r="C61" i="40"/>
  <c r="C60" i="40"/>
  <c r="C59" i="40"/>
  <c r="C58" i="40"/>
  <c r="C54" i="40"/>
  <c r="C53" i="40"/>
  <c r="C52" i="40"/>
  <c r="C51" i="40"/>
  <c r="C44" i="40"/>
  <c r="C40" i="40"/>
  <c r="C39" i="40"/>
  <c r="C38" i="40"/>
  <c r="C37" i="40"/>
  <c r="C33" i="40"/>
  <c r="C32" i="40"/>
  <c r="C31" i="40"/>
  <c r="C30" i="40"/>
  <c r="C26" i="40"/>
  <c r="C25" i="40"/>
  <c r="C24" i="40"/>
  <c r="C23" i="40"/>
  <c r="AA37" i="46"/>
  <c r="W37" i="46"/>
  <c r="U37" i="46"/>
  <c r="S37" i="46"/>
  <c r="O37" i="46"/>
  <c r="L37" i="46"/>
  <c r="F37" i="46"/>
  <c r="D37" i="46"/>
  <c r="B27" i="2" l="1"/>
  <c r="Z64" i="46"/>
  <c r="Y64" i="46"/>
  <c r="AB63" i="46"/>
  <c r="X63" i="46"/>
  <c r="V63" i="46"/>
  <c r="T63" i="46"/>
  <c r="P63" i="46"/>
  <c r="M63" i="46"/>
  <c r="G63" i="46"/>
  <c r="E63" i="46"/>
  <c r="AB62" i="46"/>
  <c r="X62" i="46"/>
  <c r="V62" i="46"/>
  <c r="T62" i="46"/>
  <c r="P62" i="46"/>
  <c r="M62" i="46"/>
  <c r="G62" i="46"/>
  <c r="E62" i="46"/>
  <c r="AB61" i="46"/>
  <c r="X61" i="46"/>
  <c r="V61" i="46"/>
  <c r="T61" i="46"/>
  <c r="P61" i="46"/>
  <c r="M61" i="46"/>
  <c r="G61" i="46"/>
  <c r="E61" i="46"/>
  <c r="AB60" i="46"/>
  <c r="X60" i="46"/>
  <c r="V60" i="46"/>
  <c r="T60" i="46"/>
  <c r="P60" i="46"/>
  <c r="M60" i="46"/>
  <c r="E60" i="46"/>
  <c r="G60" i="46"/>
  <c r="AB59" i="46"/>
  <c r="X59" i="46"/>
  <c r="V59" i="46"/>
  <c r="T59" i="46"/>
  <c r="P59" i="46"/>
  <c r="M59" i="46"/>
  <c r="AB58" i="46"/>
  <c r="V58" i="46"/>
  <c r="T58" i="46"/>
  <c r="X58" i="46"/>
  <c r="M58" i="46"/>
  <c r="AB57" i="46"/>
  <c r="X57" i="46"/>
  <c r="V57" i="46"/>
  <c r="T57" i="46"/>
  <c r="P57" i="46"/>
  <c r="M57" i="46"/>
  <c r="G57" i="46"/>
  <c r="E57" i="46"/>
  <c r="AB56" i="46"/>
  <c r="X56" i="46"/>
  <c r="V56" i="46"/>
  <c r="T56" i="46"/>
  <c r="P56" i="46"/>
  <c r="M56" i="46"/>
  <c r="G56" i="46"/>
  <c r="E56" i="46"/>
  <c r="AB55" i="46"/>
  <c r="X55" i="46"/>
  <c r="V55" i="46"/>
  <c r="T55" i="46"/>
  <c r="P55" i="46"/>
  <c r="M55" i="46"/>
  <c r="G55" i="46"/>
  <c r="E55" i="46"/>
  <c r="AB54" i="46"/>
  <c r="X54" i="46"/>
  <c r="V54" i="46"/>
  <c r="T54" i="46"/>
  <c r="P54" i="46"/>
  <c r="M54" i="46"/>
  <c r="G54" i="46"/>
  <c r="E54" i="46"/>
  <c r="AB53" i="46"/>
  <c r="X53" i="46"/>
  <c r="V53" i="46"/>
  <c r="T53" i="46"/>
  <c r="P53" i="46"/>
  <c r="M53" i="46"/>
  <c r="E53" i="46"/>
  <c r="AB52" i="46"/>
  <c r="X52" i="46"/>
  <c r="V52" i="46"/>
  <c r="T52" i="46"/>
  <c r="P52" i="46"/>
  <c r="M52" i="46"/>
  <c r="G52" i="46"/>
  <c r="E52" i="46"/>
  <c r="AB51" i="46"/>
  <c r="X51" i="46"/>
  <c r="V51" i="46"/>
  <c r="T51" i="46"/>
  <c r="P51" i="46"/>
  <c r="M51" i="46"/>
  <c r="AB50" i="46"/>
  <c r="X50" i="46"/>
  <c r="V50" i="46"/>
  <c r="T50" i="46"/>
  <c r="P50" i="46"/>
  <c r="M50" i="46"/>
  <c r="G50" i="46"/>
  <c r="E50" i="46"/>
  <c r="AB49" i="46"/>
  <c r="X49" i="46"/>
  <c r="V49" i="46"/>
  <c r="T49" i="46"/>
  <c r="P49" i="46"/>
  <c r="M49" i="46"/>
  <c r="AB48" i="46"/>
  <c r="X48" i="46"/>
  <c r="V48" i="46"/>
  <c r="T48" i="46"/>
  <c r="P48" i="46"/>
  <c r="M48" i="46"/>
  <c r="AB47" i="46"/>
  <c r="X47" i="46"/>
  <c r="V47" i="46"/>
  <c r="T47" i="46"/>
  <c r="P47" i="46"/>
  <c r="M47" i="46"/>
  <c r="E47" i="46"/>
  <c r="AB46" i="46"/>
  <c r="X46" i="46"/>
  <c r="V46" i="46"/>
  <c r="T46" i="46"/>
  <c r="P46" i="46"/>
  <c r="M46" i="46"/>
  <c r="G46" i="46"/>
  <c r="AB45" i="46"/>
  <c r="X45" i="46"/>
  <c r="V45" i="46"/>
  <c r="T45" i="46"/>
  <c r="P45" i="46"/>
  <c r="M45" i="46"/>
  <c r="E45" i="46"/>
  <c r="AB44" i="46"/>
  <c r="V44" i="46"/>
  <c r="T44" i="46"/>
  <c r="X44" i="46"/>
  <c r="M44" i="46"/>
  <c r="G44" i="46"/>
  <c r="E44" i="46"/>
  <c r="AB43" i="46"/>
  <c r="X43" i="46"/>
  <c r="V43" i="46"/>
  <c r="T43" i="46"/>
  <c r="P43" i="46"/>
  <c r="M43" i="46"/>
  <c r="G43" i="46"/>
  <c r="AB42" i="46"/>
  <c r="X42" i="46"/>
  <c r="V42" i="46"/>
  <c r="T42" i="46"/>
  <c r="P42" i="46"/>
  <c r="M42" i="46"/>
  <c r="G42" i="46"/>
  <c r="E42" i="46"/>
  <c r="AB41" i="46"/>
  <c r="V41" i="46"/>
  <c r="T41" i="46"/>
  <c r="P41" i="46"/>
  <c r="X41" i="46"/>
  <c r="M41" i="46"/>
  <c r="G41" i="46"/>
  <c r="AB40" i="46"/>
  <c r="X40" i="46"/>
  <c r="V40" i="46"/>
  <c r="T40" i="46"/>
  <c r="P40" i="46"/>
  <c r="M40" i="46"/>
  <c r="G40" i="46"/>
  <c r="E40" i="46"/>
  <c r="AB39" i="46"/>
  <c r="V39" i="46"/>
  <c r="T39" i="46"/>
  <c r="P39" i="46"/>
  <c r="X39" i="46"/>
  <c r="M39" i="46"/>
  <c r="G39" i="46"/>
  <c r="AB38" i="46"/>
  <c r="X38" i="46"/>
  <c r="V38" i="46"/>
  <c r="T38" i="46"/>
  <c r="P38" i="46"/>
  <c r="M38" i="46"/>
  <c r="G38" i="46"/>
  <c r="E38" i="46"/>
  <c r="AA64" i="46"/>
  <c r="X37" i="46"/>
  <c r="U64" i="46"/>
  <c r="V64" i="46" s="1"/>
  <c r="P37" i="46"/>
  <c r="M37" i="46"/>
  <c r="G37" i="46"/>
  <c r="W16" i="46"/>
  <c r="W15" i="46"/>
  <c r="X64" i="46"/>
  <c r="AB64" i="46"/>
  <c r="AB37" i="46" l="1"/>
  <c r="P44" i="46"/>
  <c r="E49" i="46"/>
  <c r="G49" i="46"/>
  <c r="M65" i="46"/>
  <c r="M67" i="46"/>
  <c r="M66" i="46"/>
  <c r="E48" i="46"/>
  <c r="G48" i="46"/>
  <c r="E37" i="46"/>
  <c r="V37" i="46"/>
  <c r="W17" i="46"/>
  <c r="X67" i="46"/>
  <c r="X66" i="46"/>
  <c r="X65" i="46"/>
  <c r="E39" i="46"/>
  <c r="E41" i="46"/>
  <c r="E43" i="46"/>
  <c r="S64" i="46"/>
  <c r="T64" i="46" s="1"/>
  <c r="G51" i="46"/>
  <c r="E51" i="46"/>
  <c r="G58" i="46"/>
  <c r="E58" i="46"/>
  <c r="E46" i="46"/>
  <c r="G47" i="46"/>
  <c r="T37" i="46"/>
  <c r="G45" i="46"/>
  <c r="G53" i="46"/>
  <c r="E59" i="46"/>
  <c r="G59" i="46"/>
  <c r="P58" i="46"/>
  <c r="H30" i="40"/>
  <c r="B35" i="2"/>
  <c r="B31" i="2"/>
  <c r="B30" i="2"/>
  <c r="B29" i="2"/>
  <c r="B28" i="2"/>
  <c r="Q15" i="44"/>
  <c r="Q14" i="44"/>
  <c r="R15" i="43"/>
  <c r="R14" i="43"/>
  <c r="V30" i="42"/>
  <c r="V29" i="42"/>
  <c r="V31" i="42" s="1"/>
  <c r="H30" i="2" s="1"/>
  <c r="J30" i="2" s="1"/>
  <c r="V26" i="41"/>
  <c r="V25" i="41"/>
  <c r="V27" i="41" s="1"/>
  <c r="H29" i="2" s="1"/>
  <c r="J29" i="2" s="1"/>
  <c r="H110" i="40"/>
  <c r="H109" i="40"/>
  <c r="H108" i="40"/>
  <c r="H107" i="40"/>
  <c r="H103" i="40"/>
  <c r="H102" i="40"/>
  <c r="H101" i="40"/>
  <c r="H100" i="40"/>
  <c r="H96" i="40"/>
  <c r="H95" i="40"/>
  <c r="H94" i="40"/>
  <c r="H93" i="40"/>
  <c r="H89" i="40"/>
  <c r="H88" i="40"/>
  <c r="H87" i="40"/>
  <c r="H86" i="40"/>
  <c r="H82" i="40"/>
  <c r="H81" i="40"/>
  <c r="H80" i="40"/>
  <c r="H79" i="40"/>
  <c r="H75" i="40"/>
  <c r="H74" i="40"/>
  <c r="H73" i="40"/>
  <c r="H72" i="40"/>
  <c r="H68" i="40"/>
  <c r="H67" i="40"/>
  <c r="H66" i="40"/>
  <c r="H65" i="40"/>
  <c r="H61" i="40"/>
  <c r="H60" i="40"/>
  <c r="H59" i="40"/>
  <c r="H58" i="40"/>
  <c r="H54" i="40"/>
  <c r="H53" i="40"/>
  <c r="H52" i="40"/>
  <c r="H51" i="40"/>
  <c r="H47" i="40"/>
  <c r="H46" i="40"/>
  <c r="H45" i="40"/>
  <c r="H44" i="40"/>
  <c r="H40" i="40"/>
  <c r="H39" i="40"/>
  <c r="H38" i="40"/>
  <c r="H37" i="40"/>
  <c r="H33" i="40"/>
  <c r="H32" i="40"/>
  <c r="H31" i="40"/>
  <c r="H26" i="40"/>
  <c r="H25" i="40"/>
  <c r="H24" i="40"/>
  <c r="C62" i="44"/>
  <c r="C47" i="44"/>
  <c r="C48" i="44"/>
  <c r="C45" i="44"/>
  <c r="C43" i="44"/>
  <c r="C69" i="44"/>
  <c r="C38" i="44"/>
  <c r="C37" i="44"/>
  <c r="C44" i="44"/>
  <c r="C68" i="44"/>
  <c r="C56" i="44"/>
  <c r="C57" i="44"/>
  <c r="C63" i="44"/>
  <c r="C46" i="44"/>
  <c r="H48" i="44"/>
  <c r="C61" i="44"/>
  <c r="C54" i="44"/>
  <c r="C53" i="44"/>
  <c r="C52" i="44"/>
  <c r="C39" i="44"/>
  <c r="C36" i="44"/>
  <c r="C55" i="44"/>
  <c r="I26" i="40"/>
  <c r="I25" i="40"/>
  <c r="I24" i="40"/>
  <c r="I23" i="40"/>
  <c r="I68" i="44" l="1"/>
  <c r="I67" i="44"/>
  <c r="I69" i="44"/>
  <c r="I63" i="44"/>
  <c r="I60" i="44"/>
  <c r="I61" i="44"/>
  <c r="I62" i="44"/>
  <c r="I52" i="44"/>
  <c r="I54" i="44"/>
  <c r="I56" i="44"/>
  <c r="I55" i="44"/>
  <c r="I53" i="44"/>
  <c r="I51" i="44"/>
  <c r="I57" i="44"/>
  <c r="I46" i="44"/>
  <c r="I45" i="44"/>
  <c r="I43" i="44"/>
  <c r="I48" i="44"/>
  <c r="I47" i="44"/>
  <c r="I42" i="44"/>
  <c r="I44" i="44"/>
  <c r="I36" i="44"/>
  <c r="I38" i="44"/>
  <c r="I39" i="44"/>
  <c r="I37" i="44"/>
  <c r="I35" i="44"/>
  <c r="Q16" i="44"/>
  <c r="P67" i="46"/>
  <c r="G66" i="46"/>
  <c r="G67" i="46"/>
  <c r="AB67" i="46"/>
  <c r="AB66" i="46"/>
  <c r="AB65" i="46"/>
  <c r="V65" i="46"/>
  <c r="V66" i="46"/>
  <c r="V67" i="46"/>
  <c r="G65" i="46"/>
  <c r="P65" i="46"/>
  <c r="P66" i="46"/>
  <c r="T66" i="46"/>
  <c r="T65" i="46"/>
  <c r="T67" i="46"/>
  <c r="E67" i="46"/>
  <c r="E66" i="46"/>
  <c r="E65" i="46"/>
  <c r="R16" i="43"/>
  <c r="H31" i="2" s="1"/>
  <c r="J31" i="2" s="1"/>
  <c r="H36" i="44"/>
  <c r="H35" i="44"/>
  <c r="H39" i="44"/>
  <c r="H68" i="44"/>
  <c r="H38" i="44"/>
  <c r="H60" i="44"/>
  <c r="H61" i="44"/>
  <c r="H62" i="44"/>
  <c r="H63" i="44"/>
  <c r="H67" i="44"/>
  <c r="H69" i="44"/>
  <c r="H37" i="44"/>
  <c r="H23" i="40"/>
  <c r="H54" i="44"/>
  <c r="H52" i="44"/>
  <c r="H42" i="44"/>
  <c r="H43" i="44"/>
  <c r="H45" i="44"/>
  <c r="H44" i="44"/>
  <c r="H46" i="44"/>
  <c r="H51" i="44"/>
  <c r="H47" i="44"/>
  <c r="H53" i="44"/>
  <c r="H57" i="44"/>
  <c r="H56" i="44"/>
  <c r="H55" i="44"/>
  <c r="G6" i="44" l="1"/>
  <c r="G5" i="44"/>
  <c r="G4" i="44"/>
  <c r="K4" i="46"/>
  <c r="K5" i="46"/>
  <c r="K3" i="46"/>
  <c r="G6" i="40"/>
  <c r="G4" i="40"/>
  <c r="G5" i="40"/>
  <c r="K6" i="46" l="1"/>
  <c r="L6" i="46" s="1"/>
  <c r="R17" i="46" s="1"/>
  <c r="H27" i="2" s="1"/>
  <c r="G7" i="44"/>
  <c r="M16" i="44" s="1"/>
  <c r="N16" i="44" s="1"/>
  <c r="G7" i="40"/>
  <c r="H28" i="2" s="1"/>
  <c r="J28" i="2" s="1"/>
  <c r="H35" i="2" l="1"/>
  <c r="J36" i="2" s="1"/>
  <c r="J27" i="2" l="1"/>
  <c r="J32" i="2" s="1"/>
</calcChain>
</file>

<file path=xl/comments1.xml><?xml version="1.0" encoding="utf-8"?>
<comments xmlns="http://schemas.openxmlformats.org/spreadsheetml/2006/main">
  <authors>
    <author>admin</author>
  </authors>
  <commentList>
    <comment ref="D36" authorId="0" shapeId="0">
      <text>
        <r>
          <rPr>
            <sz val="9"/>
            <color indexed="81"/>
            <rFont val="Segoe UI"/>
            <family val="2"/>
          </rPr>
          <t xml:space="preserve">Dem ersten Anfangsbuchstaben (als Grossbuchstabe) des </t>
        </r>
        <r>
          <rPr>
            <b/>
            <sz val="9"/>
            <color indexed="81"/>
            <rFont val="Segoe UI"/>
            <family val="2"/>
          </rPr>
          <t>Vornamen</t>
        </r>
        <r>
          <rPr>
            <sz val="9"/>
            <color indexed="81"/>
            <rFont val="Segoe UI"/>
            <family val="2"/>
          </rPr>
          <t xml:space="preserve"> gefolgt von einem Punkt
</t>
        </r>
      </text>
    </comment>
    <comment ref="F36" authorId="0" shapeId="0">
      <text>
        <r>
          <rPr>
            <sz val="9"/>
            <color indexed="81"/>
            <rFont val="Segoe UI"/>
            <family val="2"/>
          </rPr>
          <t>FullName mit FirstInitial.Nachname (Grosse Anfangsbuchstaben)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L36" authorId="0" shapeId="0">
      <text>
        <r>
          <rPr>
            <sz val="9"/>
            <color indexed="81"/>
            <rFont val="Segoe UI"/>
            <family val="2"/>
          </rPr>
          <t xml:space="preserve">OrtsAnschrift mit </t>
        </r>
        <r>
          <rPr>
            <b/>
            <sz val="9"/>
            <color indexed="81"/>
            <rFont val="Segoe UI"/>
            <family val="2"/>
          </rPr>
          <t xml:space="preserve">Land-PLZ Ort
</t>
        </r>
      </text>
    </comment>
    <comment ref="O36" authorId="0" shapeId="0">
      <text>
        <r>
          <rPr>
            <sz val="9"/>
            <color indexed="81"/>
            <rFont val="Segoe UI"/>
            <family val="2"/>
          </rPr>
          <t xml:space="preserve">EmailG nach dem Muster </t>
        </r>
        <r>
          <rPr>
            <b/>
            <sz val="9"/>
            <color indexed="81"/>
            <rFont val="Segoe UI"/>
            <family val="2"/>
          </rPr>
          <t xml:space="preserve">Vorname.Nachname@bzu.ch
(Alles Kleinbuchstaben)
</t>
        </r>
      </text>
    </comment>
    <comment ref="S36" authorId="0" shapeId="0">
      <text>
        <r>
          <rPr>
            <sz val="9"/>
            <color indexed="81"/>
            <rFont val="Segoe UI"/>
            <family val="2"/>
          </rPr>
          <t xml:space="preserve">Bezahlt und 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U36" authorId="0" shapeId="0">
      <text>
        <r>
          <rPr>
            <sz val="9"/>
            <color indexed="81"/>
            <rFont val="Segoe UI"/>
            <family val="2"/>
          </rPr>
          <t xml:space="preserve">Nicht Bezahlt anhand </t>
        </r>
        <r>
          <rPr>
            <b/>
            <sz val="9"/>
            <color indexed="81"/>
            <rFont val="Segoe UI"/>
            <family val="2"/>
          </rPr>
          <t>Beitrag bezahlt</t>
        </r>
        <r>
          <rPr>
            <sz val="9"/>
            <color indexed="81"/>
            <rFont val="Segoe UI"/>
            <family val="2"/>
          </rPr>
          <t xml:space="preserve"> und bilden Sie die Summen  am Ende der Spalte (Wieviele haben bezahlt, wieviele haben noch nicht bezahlt)</t>
        </r>
        <r>
          <rPr>
            <b/>
            <sz val="9"/>
            <color indexed="81"/>
            <rFont val="Segoe UI"/>
            <family val="2"/>
          </rPr>
          <t xml:space="preserve">
</t>
        </r>
      </text>
    </comment>
    <comment ref="W36" authorId="0" shapeId="0">
      <text>
        <r>
          <rPr>
            <b/>
            <i/>
            <sz val="9"/>
            <color indexed="81"/>
            <rFont val="Segoe UI"/>
            <family val="2"/>
          </rPr>
          <t>EmailG muss zuerst gelöst sein!!</t>
        </r>
        <r>
          <rPr>
            <b/>
            <sz val="9"/>
            <color indexed="81"/>
            <rFont val="Segoe UI"/>
            <family val="2"/>
          </rPr>
          <t xml:space="preserve">
Mahnung an</t>
        </r>
        <r>
          <rPr>
            <sz val="9"/>
            <color indexed="81"/>
            <rFont val="Segoe UI"/>
            <family val="2"/>
          </rPr>
          <t xml:space="preserve"> abhängig </t>
        </r>
        <r>
          <rPr>
            <b/>
            <sz val="9"/>
            <color indexed="81"/>
            <rFont val="Segoe UI"/>
            <family val="2"/>
          </rPr>
          <t>NichtBezahlt</t>
        </r>
        <r>
          <rPr>
            <sz val="9"/>
            <color indexed="81"/>
            <rFont val="Segoe UI"/>
            <family val="2"/>
          </rPr>
          <t xml:space="preserve"> die EmailP (falls vorhanden), sonst die </t>
        </r>
        <r>
          <rPr>
            <b/>
            <sz val="9"/>
            <color indexed="81"/>
            <rFont val="Segoe UI"/>
            <family val="2"/>
          </rPr>
          <t>EmailG</t>
        </r>
        <r>
          <rPr>
            <sz val="9"/>
            <color indexed="81"/>
            <rFont val="Segoe UI"/>
            <family val="2"/>
          </rPr>
          <t xml:space="preserve"> Adresse
</t>
        </r>
      </text>
    </comment>
    <comment ref="AA36" authorId="0" shapeId="0">
      <text>
        <r>
          <rPr>
            <sz val="9"/>
            <color indexed="81"/>
            <rFont val="Segoe UI"/>
            <family val="2"/>
          </rPr>
          <t xml:space="preserve">Offener Betrag als Differenz zwischen </t>
        </r>
        <r>
          <rPr>
            <b/>
            <sz val="9"/>
            <color indexed="81"/>
            <rFont val="Segoe UI"/>
            <family val="2"/>
          </rPr>
          <t>Rechnungsbetrag</t>
        </r>
        <r>
          <rPr>
            <sz val="9"/>
            <color indexed="81"/>
            <rFont val="Segoe UI"/>
            <family val="2"/>
          </rPr>
          <t xml:space="preserve"> minus</t>
        </r>
        <r>
          <rPr>
            <b/>
            <sz val="9"/>
            <color indexed="81"/>
            <rFont val="Segoe UI"/>
            <family val="2"/>
          </rPr>
          <t xml:space="preserve"> eingegangene Zahlung</t>
        </r>
        <r>
          <rPr>
            <sz val="9"/>
            <color indexed="81"/>
            <rFont val="Segoe UI"/>
            <family val="2"/>
          </rPr>
          <t xml:space="preserve">
Bilden sie am Schluss der Spalte die Summe.
</t>
        </r>
      </text>
    </comment>
    <comment ref="S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U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Y64" authorId="0" shapeId="0">
      <text>
        <r>
          <rPr>
            <sz val="9"/>
            <color indexed="81"/>
            <rFont val="Segoe UI"/>
            <family val="2"/>
          </rPr>
          <t>Bilden sie hier am Schluss der Spalte die Summe.</t>
        </r>
      </text>
    </comment>
    <comment ref="Z64" authorId="0" shapeId="0">
      <text>
        <r>
          <rPr>
            <sz val="9"/>
            <color indexed="81"/>
            <rFont val="Segoe UI"/>
            <family val="2"/>
          </rPr>
          <t xml:space="preserve">Bilden sie hier am Schluss der Spalte die Summe.
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C10" authorId="0" shapeId="0">
      <text>
        <r>
          <rPr>
            <b/>
            <sz val="9"/>
            <color indexed="81"/>
            <rFont val="Segoe UI"/>
            <family val="2"/>
          </rPr>
          <t>Anfangswert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B35" authorId="0" shapeId="0">
      <text>
        <r>
          <rPr>
            <sz val="11"/>
            <color indexed="81"/>
            <rFont val="Segoe UI"/>
            <family val="2"/>
          </rPr>
          <t>Die Fct gibt "</t>
        </r>
        <r>
          <rPr>
            <b/>
            <sz val="11"/>
            <color indexed="81"/>
            <rFont val="Segoe UI"/>
            <family val="2"/>
          </rPr>
          <t>Hello!</t>
        </r>
        <r>
          <rPr>
            <sz val="11"/>
            <color indexed="81"/>
            <rFont val="Segoe UI"/>
            <family val="2"/>
          </rPr>
          <t xml:space="preserve">" zurück. 
Falls ein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True ist, wird "</t>
        </r>
        <r>
          <rPr>
            <b/>
            <sz val="11"/>
            <color indexed="81"/>
            <rFont val="Segoe UI"/>
            <family val="2"/>
          </rPr>
          <t xml:space="preserve">Hallo </t>
        </r>
        <r>
          <rPr>
            <b/>
            <i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" zurückgegeben!
Falls ein </t>
        </r>
        <r>
          <rPr>
            <b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 xml:space="preserve"> mitgegeben wird und </t>
        </r>
        <r>
          <rPr>
            <b/>
            <sz val="11"/>
            <color indexed="81"/>
            <rFont val="Segoe UI"/>
            <family val="2"/>
          </rPr>
          <t>PerDu</t>
        </r>
        <r>
          <rPr>
            <sz val="11"/>
            <color indexed="81"/>
            <rFont val="Segoe UI"/>
            <family val="2"/>
          </rPr>
          <t xml:space="preserve"> False ist, wird "</t>
        </r>
        <r>
          <rPr>
            <b/>
            <sz val="11"/>
            <color indexed="81"/>
            <rFont val="Segoe UI"/>
            <family val="2"/>
          </rPr>
          <t xml:space="preserve">Sehr geehrter Herr </t>
        </r>
        <r>
          <rPr>
            <b/>
            <i/>
            <sz val="11"/>
            <color indexed="81"/>
            <rFont val="Segoe UI"/>
            <family val="2"/>
          </rPr>
          <t>Name</t>
        </r>
        <r>
          <rPr>
            <sz val="11"/>
            <color indexed="81"/>
            <rFont val="Segoe UI"/>
            <family val="2"/>
          </rPr>
          <t>" zurückgegeben!</t>
        </r>
      </text>
    </comment>
    <comment ref="B42" authorId="0" shapeId="0">
      <text>
        <r>
          <rPr>
            <sz val="11"/>
            <color indexed="81"/>
            <rFont val="Segoe UI"/>
            <family val="2"/>
          </rPr>
          <t xml:space="preserve">Die Fct berechnet die Fläche eines Rechteckes mit der Formel:
A = </t>
        </r>
        <r>
          <rPr>
            <b/>
            <sz val="11"/>
            <color indexed="81"/>
            <rFont val="Segoe UI"/>
            <family val="2"/>
          </rPr>
          <t>Laenge</t>
        </r>
        <r>
          <rPr>
            <sz val="11"/>
            <color indexed="81"/>
            <rFont val="Segoe UI"/>
            <family val="2"/>
          </rPr>
          <t xml:space="preserve"> * </t>
        </r>
        <r>
          <rPr>
            <b/>
            <sz val="11"/>
            <color indexed="81"/>
            <rFont val="Segoe UI"/>
            <family val="2"/>
          </rPr>
          <t>Breite</t>
        </r>
        <r>
          <rPr>
            <sz val="11"/>
            <color indexed="81"/>
            <rFont val="Segoe UI"/>
            <family val="2"/>
          </rPr>
          <t xml:space="preserve">
Falls Laenge oder Breite &lt;0 sind, wird Wert 0 zurückgegeben.</t>
        </r>
      </text>
    </comment>
    <comment ref="B51" authorId="0" shapeId="0">
      <text>
        <r>
          <rPr>
            <sz val="11"/>
            <color indexed="81"/>
            <rFont val="Segoe UI"/>
            <family val="2"/>
          </rPr>
          <t>Die Fct gibt die Summe von 1/1 + 1/2 + 1/3 + 1/4 +…+ 1/n zurück.
Ist n &lt;= 0 wird 0 zurück gegeben. Default von n ist 100.</t>
        </r>
      </text>
    </comment>
    <comment ref="B60" authorId="0" shapeId="0">
      <text>
        <r>
          <rPr>
            <sz val="11"/>
            <color indexed="81"/>
            <rFont val="Segoe UI"/>
            <family val="2"/>
          </rPr>
          <t xml:space="preserve">Die Fct gibt den 1.Buchstaben vom </t>
        </r>
        <r>
          <rPr>
            <b/>
            <sz val="11"/>
            <color indexed="81"/>
            <rFont val="Segoe UI"/>
            <family val="2"/>
          </rPr>
          <t>Vorname</t>
        </r>
        <r>
          <rPr>
            <sz val="11"/>
            <color indexed="81"/>
            <rFont val="Segoe UI"/>
            <family val="2"/>
          </rPr>
          <t xml:space="preserve"> (als Grossbuchstabe) gefolgt von einem "." gefolg von einem Space und danach der </t>
        </r>
        <r>
          <rPr>
            <b/>
            <sz val="11"/>
            <color indexed="81"/>
            <rFont val="Segoe UI"/>
            <family val="2"/>
          </rPr>
          <t>Nachname,</t>
        </r>
        <r>
          <rPr>
            <sz val="11"/>
            <color indexed="81"/>
            <rFont val="Segoe UI"/>
            <family val="2"/>
          </rPr>
          <t xml:space="preserve"> ebenfalls mit einem Grossbuchstaben begonnen.</t>
        </r>
      </text>
    </comment>
    <comment ref="B67" authorId="0" shapeId="0">
      <text>
        <r>
          <rPr>
            <sz val="11"/>
            <color indexed="81"/>
            <rFont val="Segoe UI"/>
            <family val="2"/>
          </rPr>
          <t>Die Fct gibt die HTML formatierte Ortsbezeichnung zurück. Falls das Land &lt;&gt; "CH" ist, wird der einstellige Ländercode vorgestellt.</t>
        </r>
      </text>
    </comment>
  </commentList>
</comments>
</file>

<file path=xl/sharedStrings.xml><?xml version="1.0" encoding="utf-8"?>
<sst xmlns="http://schemas.openxmlformats.org/spreadsheetml/2006/main" count="2734" uniqueCount="1269">
  <si>
    <t>Aufgabenstellung</t>
  </si>
  <si>
    <t>Function-Test</t>
  </si>
  <si>
    <t>Function</t>
  </si>
  <si>
    <t>Richtig / Falsch</t>
  </si>
  <si>
    <t>Max und Moritz</t>
  </si>
  <si>
    <t>Otto</t>
  </si>
  <si>
    <t>Schlosser</t>
  </si>
  <si>
    <t>Erwartet</t>
  </si>
  <si>
    <t>Richtig / Falsch fct()</t>
  </si>
  <si>
    <t>O. Schlosser</t>
  </si>
  <si>
    <t>Anzahl ok:</t>
  </si>
  <si>
    <t>Anzahl Not ok:</t>
  </si>
  <si>
    <t>Test-Statistik</t>
  </si>
  <si>
    <t>Note:</t>
  </si>
  <si>
    <t>GetAnrede</t>
  </si>
  <si>
    <t>Name</t>
  </si>
  <si>
    <t>Vorname</t>
  </si>
  <si>
    <t>Nachname</t>
  </si>
  <si>
    <t>Land</t>
  </si>
  <si>
    <t>PLZ</t>
  </si>
  <si>
    <t>Ort</t>
  </si>
  <si>
    <t>GetOrtsAnschrift</t>
  </si>
  <si>
    <t>CH</t>
  </si>
  <si>
    <t>Wangen</t>
  </si>
  <si>
    <t>DE</t>
  </si>
  <si>
    <t>Heidelberg</t>
  </si>
  <si>
    <t>FR</t>
  </si>
  <si>
    <t>Paris</t>
  </si>
  <si>
    <t>CH-8855 &lt;U&gt;Wangen&lt;/U&gt;</t>
  </si>
  <si>
    <t>DE-69115 &lt;U&gt;Heidelberg&lt;/U&gt;</t>
  </si>
  <si>
    <t>FR-75000 &lt;U&gt;Paris&lt;/U&gt;</t>
  </si>
  <si>
    <t>Stephan</t>
  </si>
  <si>
    <t>Landolt</t>
  </si>
  <si>
    <t>loretan</t>
  </si>
  <si>
    <t>franziska</t>
  </si>
  <si>
    <t>goeldin</t>
  </si>
  <si>
    <t>martin</t>
  </si>
  <si>
    <t>S. Goeldin</t>
  </si>
  <si>
    <t>M. Landolt</t>
  </si>
  <si>
    <t>F. Loretan</t>
  </si>
  <si>
    <t>Ja</t>
  </si>
  <si>
    <t>Herr</t>
  </si>
  <si>
    <t>055 442 30 14</t>
  </si>
  <si>
    <t>peter.marty@gmail.ch</t>
  </si>
  <si>
    <t>Altendorf</t>
  </si>
  <si>
    <t>Foehnloch 5</t>
  </si>
  <si>
    <t>Peter</t>
  </si>
  <si>
    <t>Marty</t>
  </si>
  <si>
    <t>Nein</t>
  </si>
  <si>
    <t>055 442 16 29</t>
  </si>
  <si>
    <t>Lachen</t>
  </si>
  <si>
    <t>Fluelastrasse 31a</t>
  </si>
  <si>
    <t>Philippe</t>
  </si>
  <si>
    <t>Familie</t>
  </si>
  <si>
    <t>044 790 22 00</t>
  </si>
  <si>
    <t>pia.mannhart@novatrend.ch</t>
  </si>
  <si>
    <t>Maennedorf</t>
  </si>
  <si>
    <t>Felsenstrasse 20</t>
  </si>
  <si>
    <t>Mia</t>
  </si>
  <si>
    <t>Mannhart</t>
  </si>
  <si>
    <t>pia.mannhart@gmail.ch</t>
  </si>
  <si>
    <t>Männedorf</t>
  </si>
  <si>
    <t>Feldstrasse 19</t>
  </si>
  <si>
    <t>Pius</t>
  </si>
  <si>
    <t>Frau</t>
  </si>
  <si>
    <t>055 410 21 40</t>
  </si>
  <si>
    <t>pia.maeder@gmail.ch</t>
  </si>
  <si>
    <t>Freienbach</t>
  </si>
  <si>
    <t>Feldstrasse 17c</t>
  </si>
  <si>
    <t>pia</t>
  </si>
  <si>
    <t>Maeder</t>
  </si>
  <si>
    <t>055 440 33 70</t>
  </si>
  <si>
    <t>Buttikon</t>
  </si>
  <si>
    <t>Feldstrasse 16</t>
  </si>
  <si>
    <t>Paula</t>
  </si>
  <si>
    <t>Diethelm</t>
  </si>
  <si>
    <t>055 440 23 74</t>
  </si>
  <si>
    <t>Siebnen</t>
  </si>
  <si>
    <t>Luisa</t>
  </si>
  <si>
    <t>Maechler</t>
  </si>
  <si>
    <t>055 442 17 58</t>
  </si>
  <si>
    <t>Feldstrasse 11</t>
  </si>
  <si>
    <t>Ramona</t>
  </si>
  <si>
    <t>055 534 09 67</t>
  </si>
  <si>
    <t>ramona.lurati@gmail.ch</t>
  </si>
  <si>
    <t>Hombrechtikon</t>
  </si>
  <si>
    <t>Lurati</t>
  </si>
  <si>
    <t>055 410 31 38</t>
  </si>
  <si>
    <t>raphael.laeubli@gmail.ch</t>
  </si>
  <si>
    <t>Pfäffikon</t>
  </si>
  <si>
    <t>Feldmoostrasse 5</t>
  </si>
  <si>
    <t>Raphaela</t>
  </si>
  <si>
    <t>Laeubli</t>
  </si>
  <si>
    <t>055 442 91 70</t>
  </si>
  <si>
    <t>Eulenweg 24</t>
  </si>
  <si>
    <t>Reinhard</t>
  </si>
  <si>
    <t>Lang</t>
  </si>
  <si>
    <t>055 410 19 49</t>
  </si>
  <si>
    <t>rene.landolt@hotmail.com</t>
  </si>
  <si>
    <t>Etzelstrasse 80</t>
  </si>
  <si>
    <t>Margrith</t>
  </si>
  <si>
    <t>055 440 32 92</t>
  </si>
  <si>
    <t>rene.laib@gmail.ch</t>
  </si>
  <si>
    <t>Nuolen</t>
  </si>
  <si>
    <t>Rene</t>
  </si>
  <si>
    <t>Laib</t>
  </si>
  <si>
    <t>044 784 10 73</t>
  </si>
  <si>
    <t>riccardo.kuettel@gmail.ch</t>
  </si>
  <si>
    <t>Wollerau</t>
  </si>
  <si>
    <t>Etzelstrasse 1</t>
  </si>
  <si>
    <t>Rita</t>
  </si>
  <si>
    <t>Kuettel</t>
  </si>
  <si>
    <t>0049  7422 3872</t>
  </si>
  <si>
    <t xml:space="preserve">Schramberg </t>
  </si>
  <si>
    <t>Engelplatz 12</t>
  </si>
  <si>
    <t>Richard</t>
  </si>
  <si>
    <t>Kussberger</t>
  </si>
  <si>
    <t>richi.krieger@gmail.ch</t>
  </si>
  <si>
    <t>Engelhofstrasse 19</t>
  </si>
  <si>
    <t>Ricarda</t>
  </si>
  <si>
    <t>Krieger</t>
  </si>
  <si>
    <t>055 442 80 32</t>
  </si>
  <si>
    <t>Eisenburgstrasse 40</t>
  </si>
  <si>
    <t>Roberta</t>
  </si>
  <si>
    <t>Krieg</t>
  </si>
  <si>
    <t>rita.krieg@gmail.ch</t>
  </si>
  <si>
    <t>Eichwisstrasse 31</t>
  </si>
  <si>
    <t>roes.krieg@gmail.ch</t>
  </si>
  <si>
    <t>Ebenau 4</t>
  </si>
  <si>
    <t>Hans</t>
  </si>
  <si>
    <t>044 463 37 53</t>
  </si>
  <si>
    <t>Zuerich</t>
  </si>
  <si>
    <t>Dorfstrasse 40</t>
  </si>
  <si>
    <t>Melanie</t>
  </si>
  <si>
    <t>Koepfli</t>
  </si>
  <si>
    <t>055 440 39 56</t>
  </si>
  <si>
    <t>rolf.koller@gmail.ch</t>
  </si>
  <si>
    <t>Dorfplatz 9</t>
  </si>
  <si>
    <t>Rasi</t>
  </si>
  <si>
    <t>Koller</t>
  </si>
  <si>
    <t>055 420 20 53</t>
  </si>
  <si>
    <t>roman.koch@gmail.ch</t>
  </si>
  <si>
    <t>Pfaeffikon</t>
  </si>
  <si>
    <t>Churerstrasse 64</t>
  </si>
  <si>
    <t>Roman</t>
  </si>
  <si>
    <t>Koch</t>
  </si>
  <si>
    <t>0049 74 22  52 597</t>
  </si>
  <si>
    <t>Churerstrasse 37</t>
  </si>
  <si>
    <t>Walter</t>
  </si>
  <si>
    <t>King</t>
  </si>
  <si>
    <t>079 456 3421</t>
  </si>
  <si>
    <t>ruedi.juengling@hotmail.com</t>
  </si>
  <si>
    <t>Bonn</t>
  </si>
  <si>
    <t>Churerstrasse 21</t>
  </si>
  <si>
    <t>Claudia</t>
  </si>
  <si>
    <t>Meier</t>
  </si>
  <si>
    <t>055 280 30 22</t>
  </si>
  <si>
    <t>Churerstrasse 101</t>
  </si>
  <si>
    <t>Maria</t>
  </si>
  <si>
    <t>janser</t>
  </si>
  <si>
    <t>055 442 07 60</t>
  </si>
  <si>
    <t>ruedi.hollenstein@gmail.ch</t>
  </si>
  <si>
    <t>Churerestrasse 14</t>
  </si>
  <si>
    <t>ruedi</t>
  </si>
  <si>
    <t>Mueller</t>
  </si>
  <si>
    <t>055 442 87 42</t>
  </si>
  <si>
    <t>ruth.hollenstein@gmail.ch</t>
  </si>
  <si>
    <t>Buobental 3</t>
  </si>
  <si>
    <t>Ruth</t>
  </si>
  <si>
    <t>Hollenstein</t>
  </si>
  <si>
    <t>Corr</t>
  </si>
  <si>
    <t>PerDu</t>
  </si>
  <si>
    <t>Geschlecht</t>
  </si>
  <si>
    <t>Offener Betrag</t>
  </si>
  <si>
    <t>eingegangene Zahlung</t>
  </si>
  <si>
    <t>Rechnungsbetrag</t>
  </si>
  <si>
    <t>Mahnung an</t>
  </si>
  <si>
    <t>Nicht Bezahlt</t>
  </si>
  <si>
    <t>Bezahlt</t>
  </si>
  <si>
    <t>Beitrag bezahlt</t>
  </si>
  <si>
    <t>TEL_P</t>
  </si>
  <si>
    <t>EmailG</t>
  </si>
  <si>
    <t>EmailP</t>
  </si>
  <si>
    <t>OrtsAnschrift</t>
  </si>
  <si>
    <t>Strasse</t>
  </si>
  <si>
    <t>FullName</t>
  </si>
  <si>
    <t>FirstInital</t>
  </si>
  <si>
    <t>Hash</t>
  </si>
  <si>
    <t>Test-Statistik:</t>
  </si>
  <si>
    <t>nok:</t>
  </si>
  <si>
    <t>ok:</t>
  </si>
  <si>
    <t>--:</t>
  </si>
  <si>
    <t>Set-Up</t>
  </si>
  <si>
    <t>Columns with Formulas (Datenaufbereitung)</t>
  </si>
  <si>
    <t>D</t>
  </si>
  <si>
    <t>F</t>
  </si>
  <si>
    <t>L</t>
  </si>
  <si>
    <t>O</t>
  </si>
  <si>
    <t>Q</t>
  </si>
  <si>
    <t>U</t>
  </si>
  <si>
    <t>W</t>
  </si>
  <si>
    <t>Y</t>
  </si>
  <si>
    <t>AC</t>
  </si>
  <si>
    <t>AG</t>
  </si>
  <si>
    <t>AI</t>
  </si>
  <si>
    <t>AK</t>
  </si>
  <si>
    <t>AN</t>
  </si>
  <si>
    <t>Formel</t>
  </si>
  <si>
    <t>Gruppe</t>
  </si>
  <si>
    <t>Postition vom 1.Buchstaben nach dem Leerschlag</t>
  </si>
  <si>
    <t xml:space="preserve">Anzahl --: </t>
  </si>
  <si>
    <t>8855 Wangen (SZ)</t>
  </si>
  <si>
    <t>Berufsschule Uster (ZH)</t>
  </si>
  <si>
    <t>Sehr geehrte Frau Müller</t>
  </si>
  <si>
    <t>Postition vom 2. Leerschlag</t>
  </si>
  <si>
    <t>2. Wort ausschneiden</t>
  </si>
  <si>
    <t>und</t>
  </si>
  <si>
    <t>8855 Wan</t>
  </si>
  <si>
    <t xml:space="preserve">Max und </t>
  </si>
  <si>
    <t>Sehr gee</t>
  </si>
  <si>
    <t>Berufssc</t>
  </si>
  <si>
    <t>Die ersten 8 Buchstaben</t>
  </si>
  <si>
    <t>Die letzten 8 Buchstaben</t>
  </si>
  <si>
    <t>gen (SZ)</t>
  </si>
  <si>
    <t>Alles in Gross-Buchstaben</t>
  </si>
  <si>
    <t>8855 WANGEN (SZ)</t>
  </si>
  <si>
    <t>MAX UND MORITZ</t>
  </si>
  <si>
    <t>SEHR GEEHRTE FRAU MÜLLER</t>
  </si>
  <si>
    <t>BERUFSSCHULE USTER (ZH)</t>
  </si>
  <si>
    <t>Alles in Klein-Buchstaben</t>
  </si>
  <si>
    <t>8855 wangen (sz)</t>
  </si>
  <si>
    <t>max und moritz</t>
  </si>
  <si>
    <t>sehr geehrte frau müller</t>
  </si>
  <si>
    <t>berufsschule uster (zh)</t>
  </si>
  <si>
    <t>Der ersten Buchstabe in jedem Wort zu einem Gross-Buchstaben</t>
  </si>
  <si>
    <t>8855 Wangen (Sz)</t>
  </si>
  <si>
    <t>Max Und Moritz</t>
  </si>
  <si>
    <t>Sehr Geehrte Frau Müller</t>
  </si>
  <si>
    <t>Berufsschule Uster (Zh)</t>
  </si>
  <si>
    <t>Ausschneiden von 3 Buchstaben ab der 5.Position.</t>
  </si>
  <si>
    <t xml:space="preserve"> Wa</t>
  </si>
  <si>
    <t xml:space="preserve"> ge</t>
  </si>
  <si>
    <t>fss</t>
  </si>
  <si>
    <t>Text</t>
  </si>
  <si>
    <t>Wie viele Zeichen enthält der Text?</t>
  </si>
  <si>
    <t>Text 1</t>
  </si>
  <si>
    <t>Text 2</t>
  </si>
  <si>
    <t>Text 1 - Text2 - Text3</t>
  </si>
  <si>
    <t>Text 3</t>
  </si>
  <si>
    <t>SZ</t>
  </si>
  <si>
    <t>Max</t>
  </si>
  <si>
    <t>Rothlin</t>
  </si>
  <si>
    <t>Audi</t>
  </si>
  <si>
    <t>R8</t>
  </si>
  <si>
    <t>Turbo</t>
  </si>
  <si>
    <t>CH58</t>
  </si>
  <si>
    <t>UBS</t>
  </si>
  <si>
    <t>8855-Wangen-SZ</t>
  </si>
  <si>
    <t>Walter-Max-Rothlin</t>
  </si>
  <si>
    <t>Audi-R8-Turbo</t>
  </si>
  <si>
    <t>CH58-12345-UBS</t>
  </si>
  <si>
    <t xml:space="preserve">Walter    Rothlin     </t>
  </si>
  <si>
    <t>Leerschläge (Spaces) am Anfang und Ende des Text löschen und im Text merfach Spaces durch einen Leerschlag ersetzen.</t>
  </si>
  <si>
    <t xml:space="preserve">      8855</t>
  </si>
  <si>
    <t xml:space="preserve">      8855    </t>
  </si>
  <si>
    <t xml:space="preserve">    Audi    R8    Turbo    </t>
  </si>
  <si>
    <t xml:space="preserve">  CH  58</t>
  </si>
  <si>
    <t>8855</t>
  </si>
  <si>
    <t>Walter Rothlin</t>
  </si>
  <si>
    <t>Audi R8 Turbo</t>
  </si>
  <si>
    <t>CH 58</t>
  </si>
  <si>
    <r>
      <t xml:space="preserve">Gruppe </t>
    </r>
    <r>
      <rPr>
        <sz val="11"/>
        <color rgb="FFFF0000"/>
        <rFont val="Calibri"/>
        <family val="2"/>
        <scheme val="minor"/>
      </rPr>
      <t>(Schwierig!)</t>
    </r>
  </si>
  <si>
    <t xml:space="preserve"> Wangen</t>
  </si>
  <si>
    <t xml:space="preserve"> und</t>
  </si>
  <si>
    <t xml:space="preserve"> geehrte</t>
  </si>
  <si>
    <t xml:space="preserve"> Uster</t>
  </si>
  <si>
    <t>Falls Text1 länger als 12 Zeichen lang, schreibe ok sonst nok ins Feld</t>
  </si>
  <si>
    <t>nok</t>
  </si>
  <si>
    <t>ok</t>
  </si>
  <si>
    <t>M100: Datenaufbereitung mit Formeln in Excel</t>
  </si>
  <si>
    <t>M100: String-Formeln</t>
  </si>
  <si>
    <t xml:space="preserve">x: </t>
  </si>
  <si>
    <t xml:space="preserve">y: </t>
  </si>
  <si>
    <t xml:space="preserve">y1 = 0.5x^2 - 3x + 5: </t>
  </si>
  <si>
    <t xml:space="preserve">y2 = x^2 -10x - 8: </t>
  </si>
  <si>
    <t>Step:</t>
  </si>
  <si>
    <t>Felix</t>
  </si>
  <si>
    <t>Punkte / Bewertung / Kriterien</t>
  </si>
  <si>
    <t>Werte-Tabelle vorhanden?</t>
  </si>
  <si>
    <t>Grafik vorhanden?</t>
  </si>
  <si>
    <t>Werte-Tabelle X-Achse (Step und Anfangswert) änderbar?</t>
  </si>
  <si>
    <t>Werte-Tabelle für 1.Graphen mathematisch richtig?</t>
  </si>
  <si>
    <t>Werte-Tabelle für 2.Graphen mathematisch richtig?</t>
  </si>
  <si>
    <t xml:space="preserve">Grafik Type (XY-Plotter) richtig? </t>
  </si>
  <si>
    <t>1.Graphen korrekt gezeichnet?</t>
  </si>
  <si>
    <t>2.Graphen korrekt gezeichnet?</t>
  </si>
  <si>
    <t>Graphen Farbe entspricht Farben in Werte-Tabelle?</t>
  </si>
  <si>
    <t>Legende in der Grafik vorhanden?</t>
  </si>
  <si>
    <t>Aufwand gezeigt?</t>
  </si>
  <si>
    <t>Max Punkte:</t>
  </si>
  <si>
    <t>Erreichte Punkt:</t>
  </si>
  <si>
    <t>Werte-Tabelle X-Achse korrekt?</t>
  </si>
  <si>
    <t>Werte-Tabelle für y-Werte mathematisch richtig?</t>
  </si>
  <si>
    <t>Graphen korrekt gezeichnet?</t>
  </si>
  <si>
    <t>Zwei Kuchendiagramme vorhanden</t>
  </si>
  <si>
    <t>Daten geladen?</t>
  </si>
  <si>
    <t>Daten auf mehrere Spalten aufgeteilt?</t>
  </si>
  <si>
    <t>Spaltenbreite angepasst?</t>
  </si>
  <si>
    <t>Autofilter gesetzt?</t>
  </si>
  <si>
    <r>
      <t xml:space="preserve">Sortierung nach </t>
    </r>
    <r>
      <rPr>
        <b/>
        <sz val="11"/>
        <color theme="1"/>
        <rFont val="Calibri"/>
        <family val="2"/>
        <scheme val="minor"/>
      </rPr>
      <t>Vorname</t>
    </r>
    <r>
      <rPr>
        <sz val="11"/>
        <color theme="1"/>
        <rFont val="Calibri"/>
        <family val="2"/>
        <scheme val="minor"/>
      </rPr>
      <t xml:space="preserve"> aufsteigend?</t>
    </r>
  </si>
  <si>
    <r>
      <t xml:space="preserve">Sortierung zweites Kriterium </t>
    </r>
    <r>
      <rPr>
        <b/>
        <sz val="11"/>
        <color theme="1"/>
        <rFont val="Calibri"/>
        <family val="2"/>
        <scheme val="minor"/>
      </rPr>
      <t>Strasse</t>
    </r>
    <r>
      <rPr>
        <sz val="11"/>
        <color theme="1"/>
        <rFont val="Calibri"/>
        <family val="2"/>
        <scheme val="minor"/>
      </rPr>
      <t xml:space="preserve"> absteigend?</t>
    </r>
  </si>
  <si>
    <t>Titel Zeile hebt sich klar ab?</t>
  </si>
  <si>
    <r>
      <t xml:space="preserve">Autofilter für Ort </t>
    </r>
    <r>
      <rPr>
        <b/>
        <sz val="11"/>
        <color theme="1"/>
        <rFont val="Calibri"/>
        <family val="2"/>
        <scheme val="minor"/>
      </rPr>
      <t>Lachen</t>
    </r>
    <r>
      <rPr>
        <sz val="11"/>
        <color theme="1"/>
        <rFont val="Calibri"/>
        <family val="2"/>
        <scheme val="minor"/>
      </rPr>
      <t xml:space="preserve"> richtig gesetzt?</t>
    </r>
  </si>
  <si>
    <t>Screenshot einer Musterlösung</t>
  </si>
  <si>
    <t>Wurden alle Variablen sprechend benannt?</t>
  </si>
  <si>
    <t>Wurde korrekt eingerückt?</t>
  </si>
  <si>
    <t>Teil-Note:</t>
  </si>
  <si>
    <t>Wurden Parameter anhand der Test-Fälle richtig benannt?</t>
  </si>
  <si>
    <t>Wurden Optionale Parameter verwendet?</t>
  </si>
  <si>
    <t>Wurden bei den Optionalen Parametern Default Werte gesetzt?</t>
  </si>
  <si>
    <t>Haben alle Argumente kerrekte Daten-Typen?</t>
  </si>
  <si>
    <t>Haben alle Return-Werte einen korrekten Daten-Type?</t>
  </si>
  <si>
    <t>Wurden bei den Namen keine nur Buchstaben, Ziffern und _ verwendet?</t>
  </si>
  <si>
    <t>Gesamt-Note</t>
  </si>
  <si>
    <t>Muster</t>
  </si>
  <si>
    <t>Hallo Otto,</t>
  </si>
  <si>
    <t>Sehr geehrter Herr Muster,</t>
  </si>
  <si>
    <t>Hallo!</t>
  </si>
  <si>
    <t>Laenge</t>
  </si>
  <si>
    <t>Breite</t>
  </si>
  <si>
    <t>Anzahl --:</t>
  </si>
  <si>
    <t>M403: Funktionen in VBA programmieren</t>
  </si>
  <si>
    <t>AddFractions</t>
  </si>
  <si>
    <t>n</t>
  </si>
  <si>
    <t>Notenberechnung</t>
  </si>
  <si>
    <t>M100: Grafische Datenauswertung (Potenzen)</t>
  </si>
  <si>
    <t>M100: Grafische Datenauswertung (Quadratische Funktion)</t>
  </si>
  <si>
    <t>Austehende Zahlungsbeträge richtig dargestellt</t>
  </si>
  <si>
    <t>Anzahl austehende Mitgliederbeiträge richtig dargestellt</t>
  </si>
  <si>
    <t>M100: Datenaufbereiten (laden und Text--&gt;Spalten)</t>
  </si>
  <si>
    <t>Teilnoten</t>
  </si>
  <si>
    <t>Gewichtung</t>
  </si>
  <si>
    <t>M100:</t>
  </si>
  <si>
    <t>M403:</t>
  </si>
  <si>
    <t>Zuerst den "korrigieren" Knopf drücken</t>
  </si>
  <si>
    <t>Wird vom Reviewer zuerst gedrückt!!</t>
  </si>
  <si>
    <t>Bewertet von:</t>
  </si>
  <si>
    <t xml:space="preserve"> Name</t>
  </si>
  <si>
    <t>Lead</t>
  </si>
  <si>
    <t>2.Beurteiler</t>
  </si>
  <si>
    <t>Email</t>
  </si>
  <si>
    <t>Uebelhoer</t>
  </si>
  <si>
    <t>Adolf</t>
  </si>
  <si>
    <t>Zuercherstrasse 52</t>
  </si>
  <si>
    <t>adolf.uebelhoer@gmail.ch</t>
  </si>
  <si>
    <t>+41 44 412 45 56</t>
  </si>
  <si>
    <t>Stocker</t>
  </si>
  <si>
    <t>Adrian</t>
  </si>
  <si>
    <t>Schuebelbach</t>
  </si>
  <si>
    <t>adrian.stocker@gmail.ch</t>
  </si>
  <si>
    <t>+41 55 440 44 23</t>
  </si>
  <si>
    <t>Faeh</t>
  </si>
  <si>
    <t>Agnes</t>
  </si>
  <si>
    <t>Zuercherstrasse 272</t>
  </si>
  <si>
    <t>agnes.faeh@gmail.ch</t>
  </si>
  <si>
    <t>055 462 26 52</t>
  </si>
  <si>
    <t>Albert</t>
  </si>
  <si>
    <t>Zuercherstrasse 18 b</t>
  </si>
  <si>
    <t>albert.faeh@gmail.ch</t>
  </si>
  <si>
    <t>Gyr</t>
  </si>
  <si>
    <t>Alfons</t>
  </si>
  <si>
    <t>Ziegelhuettenstrasse 16</t>
  </si>
  <si>
    <t>alfons.gyr@gmail.ch</t>
  </si>
  <si>
    <t>044 687 86 83</t>
  </si>
  <si>
    <t>Weiss</t>
  </si>
  <si>
    <t>Alfred</t>
  </si>
  <si>
    <t>alfred.weiss@gmail.ch</t>
  </si>
  <si>
    <t>055 442 47 87</t>
  </si>
  <si>
    <t>Schuler</t>
  </si>
  <si>
    <t>Alois</t>
  </si>
  <si>
    <t>alois.schuler@gmail.ch</t>
  </si>
  <si>
    <t>Lechmann</t>
  </si>
  <si>
    <t>Ziegelhuettenstr. 16</t>
  </si>
  <si>
    <t>Jona</t>
  </si>
  <si>
    <t>alois.lechmann@gmail.ch</t>
  </si>
  <si>
    <t>055 210 23 32</t>
  </si>
  <si>
    <t>Knobel</t>
  </si>
  <si>
    <t>Andrea</t>
  </si>
  <si>
    <t>Ziegelbrueckstrasse 41</t>
  </si>
  <si>
    <t>andrea.knobel@gmail.ch</t>
  </si>
  <si>
    <t>055 442 32 24</t>
  </si>
  <si>
    <t>Zueger</t>
  </si>
  <si>
    <t>Andrin</t>
  </si>
  <si>
    <t>Zeughausstrasse 17</t>
  </si>
  <si>
    <t>andrin.zueger@gmail.ch</t>
  </si>
  <si>
    <t>055 442 46 29</t>
  </si>
  <si>
    <t>Helbling</t>
  </si>
  <si>
    <t>Anna</t>
  </si>
  <si>
    <t>Wysshaltenstrasse 19</t>
  </si>
  <si>
    <t>anna.helbling@gmail.ch</t>
  </si>
  <si>
    <t>anna.zueger@gmail.ch</t>
  </si>
  <si>
    <t>Benz</t>
  </si>
  <si>
    <t>Annelies</t>
  </si>
  <si>
    <t>Wollerauerstrasse 40</t>
  </si>
  <si>
    <t>annelies.benz@gmail.ch</t>
  </si>
  <si>
    <t>055 442 25 61</t>
  </si>
  <si>
    <t>Buffat</t>
  </si>
  <si>
    <t>Annemarie</t>
  </si>
  <si>
    <t>Winterthurerstrasse 91</t>
  </si>
  <si>
    <t>annemarie.buffat@gmail.ch</t>
  </si>
  <si>
    <t>055 282 40 74</t>
  </si>
  <si>
    <t>Anni</t>
  </si>
  <si>
    <t>Wilenstrasse 35</t>
  </si>
  <si>
    <t>anni.buffat@gmail.ch</t>
  </si>
  <si>
    <t>Senn</t>
  </si>
  <si>
    <t>Anton</t>
  </si>
  <si>
    <t>Weinbergstrasse 1</t>
  </si>
  <si>
    <t>anton.senn@gmail.ch</t>
  </si>
  <si>
    <t>055 440 37 04</t>
  </si>
  <si>
    <t>Weibel</t>
  </si>
  <si>
    <t>Vordere Bahnhofstr. 6</t>
  </si>
  <si>
    <t>Naefels</t>
  </si>
  <si>
    <t>anton.weibel@gmail.ch</t>
  </si>
  <si>
    <t>055 612 42 47</t>
  </si>
  <si>
    <t>Friedlos</t>
  </si>
  <si>
    <t>Augusta</t>
  </si>
  <si>
    <t>augusta.friedlos@gmail.ch</t>
  </si>
  <si>
    <t>055 442 32 06</t>
  </si>
  <si>
    <t>Bieri</t>
  </si>
  <si>
    <t>Beatrice</t>
  </si>
  <si>
    <t>beatrice.bieri@gmail.ch</t>
  </si>
  <si>
    <t>055 440 46 62</t>
  </si>
  <si>
    <t>Staehli - Huber</t>
  </si>
  <si>
    <t>Benedikt</t>
  </si>
  <si>
    <t>Vorderbergstrasse 41</t>
  </si>
  <si>
    <t>benedikt.staehli - huber@gmail.ch</t>
  </si>
  <si>
    <t>055 442 36 48</t>
  </si>
  <si>
    <t>Keller</t>
  </si>
  <si>
    <t>Bernadette</t>
  </si>
  <si>
    <t>Ussberstrasse 27</t>
  </si>
  <si>
    <t>Schindellegi</t>
  </si>
  <si>
    <t>bernadette.keller@gmail.ch</t>
  </si>
  <si>
    <t>044 784 31 08</t>
  </si>
  <si>
    <t>Muehlebach</t>
  </si>
  <si>
    <t>Utzingerstrasse 2</t>
  </si>
  <si>
    <t>bernadette.muehlebach@gmail.ch</t>
  </si>
  <si>
    <t>Bonnevaux</t>
  </si>
  <si>
    <t>Berta</t>
  </si>
  <si>
    <t>Unterer Althof 8a</t>
  </si>
  <si>
    <t>berta.bonnevaux@gmail.ch</t>
  </si>
  <si>
    <t>Oettli</t>
  </si>
  <si>
    <t>Toedistrasse 3</t>
  </si>
  <si>
    <t>berta.oettli@gmail.ch</t>
  </si>
  <si>
    <t>055 442 29 41</t>
  </si>
  <si>
    <t>Staeuble</t>
  </si>
  <si>
    <t>Bertha</t>
  </si>
  <si>
    <t>Talbachstrasse 37</t>
  </si>
  <si>
    <t>bertha.staeuble@gmail.ch</t>
  </si>
  <si>
    <t>055 410 47 64</t>
  </si>
  <si>
    <t>Streiff</t>
  </si>
  <si>
    <t>Brigida</t>
  </si>
  <si>
    <t>Strandweg</t>
  </si>
  <si>
    <t>Reichenburg</t>
  </si>
  <si>
    <t>brigida.streiff@gmail.ch</t>
  </si>
  <si>
    <t>055 444 18 42</t>
  </si>
  <si>
    <t>Cicoghani</t>
  </si>
  <si>
    <t>Brigitta</t>
  </si>
  <si>
    <t>Steineggstrasse 33</t>
  </si>
  <si>
    <t>Soglio</t>
  </si>
  <si>
    <t>brigitta.cicoghani@gmail.ch</t>
  </si>
  <si>
    <t>Brigitte</t>
  </si>
  <si>
    <t>brigitte.cicoghani@gmail.ch</t>
  </si>
  <si>
    <t>Bruno</t>
  </si>
  <si>
    <t>Staldenbachstrasse 20</t>
  </si>
  <si>
    <t>bruno.cicoghani@gmail.ch</t>
  </si>
  <si>
    <t>St. Gallerstrasse 24</t>
  </si>
  <si>
    <t>bruno.schuler@gmail.ch</t>
  </si>
  <si>
    <t>055 440 38 79</t>
  </si>
  <si>
    <t>St. Gallerstrasse 29</t>
  </si>
  <si>
    <t>Spreite 12</t>
  </si>
  <si>
    <t>bruno.keller@gmail.ch</t>
  </si>
  <si>
    <t>Vaccaro</t>
  </si>
  <si>
    <t>Spreite 5</t>
  </si>
  <si>
    <t>bruno.vaccaro@gmail.ch</t>
  </si>
  <si>
    <t>Schwyter</t>
  </si>
  <si>
    <t>St. Gallerstr. 89</t>
  </si>
  <si>
    <t>bruno.schwyter@gmail.ch</t>
  </si>
  <si>
    <t>055 442 22 54</t>
  </si>
  <si>
    <t>Carin</t>
  </si>
  <si>
    <t>carin.keller@gmail.ch</t>
  </si>
  <si>
    <t>Nussbaumer</t>
  </si>
  <si>
    <t>Caroline</t>
  </si>
  <si>
    <t>Spielwiese 12</t>
  </si>
  <si>
    <t>caroline.nussbaumer@gmail.ch</t>
  </si>
  <si>
    <t>055 442 52 35</t>
  </si>
  <si>
    <t>Nussbaumer-Holdener</t>
  </si>
  <si>
    <t>Charlotte</t>
  </si>
  <si>
    <t>Speerstrasse 2</t>
  </si>
  <si>
    <t>charlotte.nussbaumer-holdener@gmail.ch</t>
  </si>
  <si>
    <t xml:space="preserve">Nussbaumer </t>
  </si>
  <si>
    <t>Christine</t>
  </si>
  <si>
    <t>Sonnmattstrasse 4</t>
  </si>
  <si>
    <t>christine.nussbaumer @gmail.ch</t>
  </si>
  <si>
    <t>Corina</t>
  </si>
  <si>
    <t>Sonnmatt 10</t>
  </si>
  <si>
    <t>Schmerikon</t>
  </si>
  <si>
    <t>corina.keller@gmail.ch</t>
  </si>
  <si>
    <t>Cyrill</t>
  </si>
  <si>
    <t>cyrill.keller@gmail.ch</t>
  </si>
  <si>
    <t>Romer</t>
  </si>
  <si>
    <t>Dagmar</t>
  </si>
  <si>
    <t>Sonnewiese 4B</t>
  </si>
  <si>
    <t>dagmar.romer@gmail.ch</t>
  </si>
  <si>
    <t>055 550 15 10</t>
  </si>
  <si>
    <t>David</t>
  </si>
  <si>
    <t>Sonnenwiese 10</t>
  </si>
  <si>
    <t>david.krieg@gmail.ch</t>
  </si>
  <si>
    <t>055 440 43 32</t>
  </si>
  <si>
    <t>Seeholzer</t>
  </si>
  <si>
    <t>Deisy</t>
  </si>
  <si>
    <t>Sonnenrain 37</t>
  </si>
  <si>
    <t>deisy.seeholzer@gmail.ch</t>
  </si>
  <si>
    <t>055 460 13 40</t>
  </si>
  <si>
    <t>Spiess</t>
  </si>
  <si>
    <t>Sonnenpark</t>
  </si>
  <si>
    <t>Tuggen</t>
  </si>
  <si>
    <t>diethelm.spiess@gmail.ch</t>
  </si>
  <si>
    <t>055 445 15 75</t>
  </si>
  <si>
    <t>Vitacco</t>
  </si>
  <si>
    <t>Dominik</t>
  </si>
  <si>
    <t>Seidenstr. 24c</t>
  </si>
  <si>
    <t>dominik.vitacco@gmail.ch</t>
  </si>
  <si>
    <t>044 310 74 19</t>
  </si>
  <si>
    <t>Foellmi</t>
  </si>
  <si>
    <t>Sieben-Eichenweg 21</t>
  </si>
  <si>
    <t>Wilen</t>
  </si>
  <si>
    <t>dominik.foellmi@gmail.ch</t>
  </si>
  <si>
    <t>044 784 79 93</t>
  </si>
  <si>
    <t>Bono</t>
  </si>
  <si>
    <t>Kuesnacht</t>
  </si>
  <si>
    <t>dominik.bono@gmail.ch</t>
  </si>
  <si>
    <t>044 920 11 22</t>
  </si>
  <si>
    <t>Schwendeler</t>
  </si>
  <si>
    <t>Dora</t>
  </si>
  <si>
    <t>Seestrasse 206</t>
  </si>
  <si>
    <t>dora.schwendeler@gmail.ch</t>
  </si>
  <si>
    <t>055 442 33 87</t>
  </si>
  <si>
    <t>Doris</t>
  </si>
  <si>
    <t>Seestrasse 14</t>
  </si>
  <si>
    <t>doris.maechler@gmail.ch</t>
  </si>
  <si>
    <t>Seitz</t>
  </si>
  <si>
    <t>Seefeldstrasse 35</t>
  </si>
  <si>
    <t>doris.seitz@gmail.ch</t>
  </si>
  <si>
    <t>055 410 24 92</t>
  </si>
  <si>
    <t>Furrer</t>
  </si>
  <si>
    <t>Seestrasse</t>
  </si>
  <si>
    <t>doris.furrer@gmail.ch</t>
  </si>
  <si>
    <t>055 440 37 92</t>
  </si>
  <si>
    <t>Zimmermann</t>
  </si>
  <si>
    <t>Edith</t>
  </si>
  <si>
    <t>edith.zimmermann@gmail.ch</t>
  </si>
  <si>
    <t>055 440 33 67</t>
  </si>
  <si>
    <t>Niederer</t>
  </si>
  <si>
    <t>edith.niederer@gmail.ch</t>
  </si>
  <si>
    <t>055 410 22 06</t>
  </si>
  <si>
    <t>Hansen</t>
  </si>
  <si>
    <t>edith.hansen@gmail.ch</t>
  </si>
  <si>
    <t>Nigg</t>
  </si>
  <si>
    <t>Elisabeth</t>
  </si>
  <si>
    <t>elisabeth.nigg@gmail.ch</t>
  </si>
  <si>
    <t>055 444 30 03</t>
  </si>
  <si>
    <t>Betschart</t>
  </si>
  <si>
    <t>Elsa</t>
  </si>
  <si>
    <t>Huetten</t>
  </si>
  <si>
    <t>elsa.betschart@gmail.ch</t>
  </si>
  <si>
    <t>044 788 21 12</t>
  </si>
  <si>
    <t>Fatzer</t>
  </si>
  <si>
    <t>Elsbeth</t>
  </si>
  <si>
    <t>Seefeldstrasse 31</t>
  </si>
  <si>
    <t>elsbeth.fatzer@gmail.ch</t>
  </si>
  <si>
    <t xml:space="preserve">055 442 47 20 </t>
  </si>
  <si>
    <t>Erika</t>
  </si>
  <si>
    <t>Seefeldstrasse 29</t>
  </si>
  <si>
    <t>erika.betschart@gmail.ch</t>
  </si>
  <si>
    <t>Erna</t>
  </si>
  <si>
    <t>Schweighofstrasse 59</t>
  </si>
  <si>
    <t>erna.foellmi@gmail.ch</t>
  </si>
  <si>
    <t>Baertsch</t>
  </si>
  <si>
    <t>Ernst</t>
  </si>
  <si>
    <t>Schuetzenstrasse 28</t>
  </si>
  <si>
    <t>Bad Ragaz</t>
  </si>
  <si>
    <t>ernst.baertsch@gmail.ch</t>
  </si>
  <si>
    <t>Ruoss-Schuler</t>
  </si>
  <si>
    <t>Erwin</t>
  </si>
  <si>
    <t>Schuerwiesstrasse 5</t>
  </si>
  <si>
    <t>erwin.ruoss-schuler@gmail.ch</t>
  </si>
  <si>
    <t>055 445 21 88</t>
  </si>
  <si>
    <t>Buechel</t>
  </si>
  <si>
    <t>erwin.buechel@gmail.ch</t>
  </si>
  <si>
    <t>055 442 23 68</t>
  </si>
  <si>
    <t>D' Elsa</t>
  </si>
  <si>
    <t>Ester</t>
  </si>
  <si>
    <t>Schubertstrasse 8/1</t>
  </si>
  <si>
    <t>Dunningen</t>
  </si>
  <si>
    <t>ester.d' elsa@gmail.ch</t>
  </si>
  <si>
    <t>Harder</t>
  </si>
  <si>
    <t>Esther</t>
  </si>
  <si>
    <t>Schilfstrasse 17</t>
  </si>
  <si>
    <t>esther.harder@gmail.ch</t>
  </si>
  <si>
    <t>055 442 30 75</t>
  </si>
  <si>
    <t>Eugen</t>
  </si>
  <si>
    <t>Schandelnstrasse 10</t>
  </si>
  <si>
    <t>eugen.marty@gmail.ch</t>
  </si>
  <si>
    <t>055 442 36 42</t>
  </si>
  <si>
    <t>Steiner</t>
  </si>
  <si>
    <t>Fabian</t>
  </si>
  <si>
    <t>Schaefliwiese 17</t>
  </si>
  <si>
    <t>Vorderthal</t>
  </si>
  <si>
    <t>fabian.steiner@gmail.ch</t>
  </si>
  <si>
    <t>055 446 17 17</t>
  </si>
  <si>
    <t>Bachmann-Schwegler</t>
  </si>
  <si>
    <t>Felicitas</t>
  </si>
  <si>
    <t>Saentisstrasse 10</t>
  </si>
  <si>
    <t>felicitas.bachmann-schwegler@gmail.ch</t>
  </si>
  <si>
    <t>055 442 36 36</t>
  </si>
  <si>
    <t>Ruchweg 12</t>
  </si>
  <si>
    <t>felix.benz@gmail.ch</t>
  </si>
  <si>
    <t>Kopp</t>
  </si>
  <si>
    <t>Ferdy</t>
  </si>
  <si>
    <t>Rosengartenstrasse 7</t>
  </si>
  <si>
    <t>ferdy.kopp@gmail.ch</t>
  </si>
  <si>
    <t>055 410 24 14</t>
  </si>
  <si>
    <t>Sidler</t>
  </si>
  <si>
    <t>Franz</t>
  </si>
  <si>
    <t>Im Winkel 7</t>
  </si>
  <si>
    <t>franz.sidler@gmail.ch</t>
  </si>
  <si>
    <t>055 410 15 33</t>
  </si>
  <si>
    <t>Stauffacher</t>
  </si>
  <si>
    <t>Rohrwis 5</t>
  </si>
  <si>
    <t>franz.stauffacher@gmail.ch</t>
  </si>
  <si>
    <t>055 420 23 80</t>
  </si>
  <si>
    <t>Berger</t>
  </si>
  <si>
    <t>Fredy</t>
  </si>
  <si>
    <t>Rathausplatz 4</t>
  </si>
  <si>
    <t>Rapperswil</t>
  </si>
  <si>
    <t>fredy.berger@gmail.ch</t>
  </si>
  <si>
    <t>055 210 46 33</t>
  </si>
  <si>
    <t>Maetzler</t>
  </si>
  <si>
    <t>Rietbrunnen 22 b</t>
  </si>
  <si>
    <t>fredy.maetzler@gmail.ch</t>
  </si>
  <si>
    <t>055 442 13 83</t>
  </si>
  <si>
    <t>Riedenstrasse 56</t>
  </si>
  <si>
    <t>fredy.betschart@gmail.ch</t>
  </si>
  <si>
    <t>055 242 91 40</t>
  </si>
  <si>
    <t>Zehnder</t>
  </si>
  <si>
    <t>Frieda</t>
  </si>
  <si>
    <t>Rainweg 1</t>
  </si>
  <si>
    <t>frieda.zehnder@gmail.ch</t>
  </si>
  <si>
    <t>055 440 22 02</t>
  </si>
  <si>
    <t>Friedrich</t>
  </si>
  <si>
    <t>Rainstrasse 31 B</t>
  </si>
  <si>
    <t>friedrich.zehnder@gmail.ch</t>
  </si>
  <si>
    <t>Kistler</t>
  </si>
  <si>
    <t>Fritz</t>
  </si>
  <si>
    <t>Quellenstrasse 5</t>
  </si>
  <si>
    <t>fritz.kistler@gmail.ch</t>
  </si>
  <si>
    <t>055 444 15 84</t>
  </si>
  <si>
    <t>Gabi</t>
  </si>
  <si>
    <t>Postgasse 6</t>
  </si>
  <si>
    <t>Bruetten</t>
  </si>
  <si>
    <t>gabi.bieri@gmail.ch</t>
  </si>
  <si>
    <t>052 345 29 63</t>
  </si>
  <si>
    <t>Mettler</t>
  </si>
  <si>
    <t>Georg</t>
  </si>
  <si>
    <t>Postfach 7364</t>
  </si>
  <si>
    <t>georg.mettler@gmail.ch</t>
  </si>
  <si>
    <t>Thoma</t>
  </si>
  <si>
    <t>Georges</t>
  </si>
  <si>
    <t>Postfach 16</t>
  </si>
  <si>
    <t>Oberurnen</t>
  </si>
  <si>
    <t>georges.thoma@gmail.ch</t>
  </si>
  <si>
    <t>055 610 32 18</t>
  </si>
  <si>
    <t>Walker-Kaelin</t>
  </si>
  <si>
    <t>Gertrud</t>
  </si>
  <si>
    <t>Postfach</t>
  </si>
  <si>
    <t>gertrud.walker-kaelin@gmail.ch</t>
  </si>
  <si>
    <t>044 784 28 47</t>
  </si>
  <si>
    <t>Derungs</t>
  </si>
  <si>
    <t>Gery</t>
  </si>
  <si>
    <t>Pilgerweg 22 / PF 355</t>
  </si>
  <si>
    <t>gery.derungs@gmail.ch</t>
  </si>
  <si>
    <t>044 784 74 57</t>
  </si>
  <si>
    <t>Schirmer</t>
  </si>
  <si>
    <t>Gottlieb</t>
  </si>
  <si>
    <t>Pflanzschulstrasse 36</t>
  </si>
  <si>
    <t>gottlieb.schirmer@gmail.ch</t>
  </si>
  <si>
    <t>055 444 15 80</t>
  </si>
  <si>
    <t>Haeni</t>
  </si>
  <si>
    <t>Hanni</t>
  </si>
  <si>
    <t>Pfaeffikonerstrasse 16</t>
  </si>
  <si>
    <t>hanni.haeni@gmail.ch</t>
  </si>
  <si>
    <t>055 442 26 12</t>
  </si>
  <si>
    <t>Gansner</t>
  </si>
  <si>
    <t>Hanny</t>
  </si>
  <si>
    <t>Perronweg 10</t>
  </si>
  <si>
    <t>Galgenen</t>
  </si>
  <si>
    <t>hanny.gansner@gmail.ch</t>
  </si>
  <si>
    <t>055 440 54 65</t>
  </si>
  <si>
    <t>Goeldi</t>
  </si>
  <si>
    <t>Paulistrasse 32</t>
  </si>
  <si>
    <t>hans.goeldi@gmail.ch</t>
  </si>
  <si>
    <t>055 442 31 39</t>
  </si>
  <si>
    <t>Jud</t>
  </si>
  <si>
    <t>hans.jud@gmail.ch</t>
  </si>
  <si>
    <t>Hansjoerg</t>
  </si>
  <si>
    <t>Paulistrasse 28</t>
  </si>
  <si>
    <t>hansjoerg.zimmermann@gmail.ch</t>
  </si>
  <si>
    <t>055 442 71 29</t>
  </si>
  <si>
    <t>Faux</t>
  </si>
  <si>
    <t>Hanspeter</t>
  </si>
  <si>
    <t>hanspeter.faux@gmail.ch</t>
  </si>
  <si>
    <t>055 442 47 14</t>
  </si>
  <si>
    <t>Hans-Peter</t>
  </si>
  <si>
    <t>hans-peter.meier@gmail.ch</t>
  </si>
  <si>
    <t>Gallati</t>
  </si>
  <si>
    <t>Hansruedi</t>
  </si>
  <si>
    <t>Pappelweg 6</t>
  </si>
  <si>
    <t>Rapperswil-Jona</t>
  </si>
  <si>
    <t>hansruedi.gallati@gmail.ch</t>
  </si>
  <si>
    <t>055 212 22 79</t>
  </si>
  <si>
    <t>Hans-Ruedi</t>
  </si>
  <si>
    <t>Oberwacht 7</t>
  </si>
  <si>
    <t>hans-ruedi.gallati@gmail.ch</t>
  </si>
  <si>
    <t>Schuler-Bamert</t>
  </si>
  <si>
    <t>Hedy</t>
  </si>
  <si>
    <t>Oberwacht</t>
  </si>
  <si>
    <t>hedy.schuler-bamert@gmail.ch</t>
  </si>
  <si>
    <t>055 440 41 19</t>
  </si>
  <si>
    <t>Kumli</t>
  </si>
  <si>
    <t>Niederurnen</t>
  </si>
  <si>
    <t>hedy.kumli@gmail.ch</t>
  </si>
  <si>
    <t>055 440 75 54</t>
  </si>
  <si>
    <t>Heidi</t>
  </si>
  <si>
    <t>Oberer Erlenweg 10</t>
  </si>
  <si>
    <t>heidi.diethelm@gmail.ch</t>
  </si>
  <si>
    <t>055 440 16 23</t>
  </si>
  <si>
    <t>Deuber</t>
  </si>
  <si>
    <t>Obertafletenstrasse 14</t>
  </si>
  <si>
    <t>heidi.deuber@gmail.ch</t>
  </si>
  <si>
    <t>055 442 34 82</t>
  </si>
  <si>
    <t>Oetiker</t>
  </si>
  <si>
    <t>Heinrich</t>
  </si>
  <si>
    <t>Oberdorfstrasse 44</t>
  </si>
  <si>
    <t>heinrich.oetiker@gmail.ch</t>
  </si>
  <si>
    <t>055 442 11 10</t>
  </si>
  <si>
    <t>Bruhin</t>
  </si>
  <si>
    <t>Heinz</t>
  </si>
  <si>
    <t>heinz.bruhin@gmail.ch</t>
  </si>
  <si>
    <t>055 445 17 92</t>
  </si>
  <si>
    <t>Rieter</t>
  </si>
  <si>
    <t>Oberdorfstrasse 42</t>
  </si>
  <si>
    <t>Amden</t>
  </si>
  <si>
    <t>heinz.rieter@gmail.ch</t>
  </si>
  <si>
    <t>055 611 16 33</t>
  </si>
  <si>
    <t>Bissegger</t>
  </si>
  <si>
    <t>Herbert</t>
  </si>
  <si>
    <t>herbert.bissegger@gmail.ch</t>
  </si>
  <si>
    <t>044 784 09 80</t>
  </si>
  <si>
    <t>Schuetz</t>
  </si>
  <si>
    <t>Hermann</t>
  </si>
  <si>
    <t>hermann.schuetz@gmail.ch</t>
  </si>
  <si>
    <t>055 442 76 59</t>
  </si>
  <si>
    <t>Spuehler</t>
  </si>
  <si>
    <t>Hulda</t>
  </si>
  <si>
    <t>hulda.spuehler@gmail.ch</t>
  </si>
  <si>
    <t>044 784 18 39</t>
  </si>
  <si>
    <t>Ida</t>
  </si>
  <si>
    <t>ida.deuber@gmail.ch</t>
  </si>
  <si>
    <t>Von Allmen</t>
  </si>
  <si>
    <t>Ilona</t>
  </si>
  <si>
    <t>ilona.von allmen@gmail.ch</t>
  </si>
  <si>
    <t>055 440 40 31</t>
  </si>
  <si>
    <t>Holdener</t>
  </si>
  <si>
    <t>Irene</t>
  </si>
  <si>
    <t>irene.holdener@gmail.ch</t>
  </si>
  <si>
    <t>055 442 82 54</t>
  </si>
  <si>
    <t>Jacqueline</t>
  </si>
  <si>
    <t>Oberdorferstrasse 92</t>
  </si>
  <si>
    <t>jacqueline.holdener@gmail.ch</t>
  </si>
  <si>
    <t>Hoffmann</t>
  </si>
  <si>
    <t>Jakob</t>
  </si>
  <si>
    <t>Neuheimstrasse 34</t>
  </si>
  <si>
    <t>jakob.hoffmann@gmail.ch</t>
  </si>
  <si>
    <t>055 442 16 57</t>
  </si>
  <si>
    <t>Jeanette</t>
  </si>
  <si>
    <t>Neuheimstrasse 15</t>
  </si>
  <si>
    <t>jeanette.hoffmann@gmail.ch</t>
  </si>
  <si>
    <t>Schnyder Hoffmann</t>
  </si>
  <si>
    <t>Joerg</t>
  </si>
  <si>
    <t>Nelkenweg 5</t>
  </si>
  <si>
    <t>joerg.schnyder hoffmann@gmail.ch</t>
  </si>
  <si>
    <t>Johanna</t>
  </si>
  <si>
    <t>Muschelbergweg 10</t>
  </si>
  <si>
    <t>johanna.hoffmann@gmail.ch</t>
  </si>
  <si>
    <t>Spycher</t>
  </si>
  <si>
    <t>Jonathan</t>
  </si>
  <si>
    <t>Muertschenstrasse 3</t>
  </si>
  <si>
    <t>Horgen</t>
  </si>
  <si>
    <t>jonathan.spycher@gmail.ch</t>
  </si>
  <si>
    <t>044 725 12 96</t>
  </si>
  <si>
    <t>Ziegler</t>
  </si>
  <si>
    <t>Josef</t>
  </si>
  <si>
    <t>Moosbruggerstrasse 5</t>
  </si>
  <si>
    <t>josef.ziegler@gmail.ch</t>
  </si>
  <si>
    <t>055 440 35 19</t>
  </si>
  <si>
    <t>Mosenbachstrasse 14</t>
  </si>
  <si>
    <t>josef.zueger@gmail.ch</t>
  </si>
  <si>
    <t>055 440 41 21</t>
  </si>
  <si>
    <t>Dettling</t>
  </si>
  <si>
    <t>Mosenbachstrasse  14</t>
  </si>
  <si>
    <t>josef.dettling@gmail.ch</t>
  </si>
  <si>
    <t>Bertenghi</t>
  </si>
  <si>
    <t>Mosenbachstrasse 16</t>
  </si>
  <si>
    <t>josef.bertenghi@gmail.ch</t>
  </si>
  <si>
    <t>055 442 53 25</t>
  </si>
  <si>
    <t>Rauchenstein</t>
  </si>
  <si>
    <t>Muehle</t>
  </si>
  <si>
    <t>josef.rauchenstein@gmail.ch</t>
  </si>
  <si>
    <t>055 442 31 75</t>
  </si>
  <si>
    <t>Muehlebachstrasse 1</t>
  </si>
  <si>
    <t>josef.schuetz@gmail.ch</t>
  </si>
  <si>
    <t>Muehlestrasse 2</t>
  </si>
  <si>
    <t>josef.maechler@gmail.ch</t>
  </si>
  <si>
    <t>055 442 84 53</t>
  </si>
  <si>
    <t>Wattenhofer</t>
  </si>
  <si>
    <t>josef.wattenhofer@gmail.ch</t>
  </si>
  <si>
    <t>055 442 32 20</t>
  </si>
  <si>
    <t>Josefina</t>
  </si>
  <si>
    <t>Marktstrasse 28</t>
  </si>
  <si>
    <t>josefina.zehnder@gmail.ch</t>
  </si>
  <si>
    <t>Wuhrkorperation</t>
  </si>
  <si>
    <t>Joseph</t>
  </si>
  <si>
    <t>joseph.wuhrkorperation@gmail.ch</t>
  </si>
  <si>
    <t>Wuest</t>
  </si>
  <si>
    <t>joseph.wuest@gmail.ch</t>
  </si>
  <si>
    <t>055 410 38 54</t>
  </si>
  <si>
    <t>Winteler</t>
  </si>
  <si>
    <t>Josy</t>
  </si>
  <si>
    <t>josy.winteler@gmail.ch</t>
  </si>
  <si>
    <t>055 442 19 31</t>
  </si>
  <si>
    <t>Wiedenkeller</t>
  </si>
  <si>
    <t>Jrma</t>
  </si>
  <si>
    <t>Maienwies 12</t>
  </si>
  <si>
    <t>jrma.wiedenkeller@gmail.ch</t>
  </si>
  <si>
    <t>055 442 59 84</t>
  </si>
  <si>
    <t>Judith</t>
  </si>
  <si>
    <t>Lindenbachstrasse 22</t>
  </si>
  <si>
    <t>judith.wiedenkeller@gmail.ch</t>
  </si>
  <si>
    <t>055 442 10 48</t>
  </si>
  <si>
    <t>Weber</t>
  </si>
  <si>
    <t>Julian</t>
  </si>
  <si>
    <t>Langackerweg 21</t>
  </si>
  <si>
    <t>julian.weber@gmail.ch</t>
  </si>
  <si>
    <t>055 442 15 87</t>
  </si>
  <si>
    <t>Justin</t>
  </si>
  <si>
    <t>Langackerweg 15 B</t>
  </si>
  <si>
    <t>justin.weber@gmail.ch</t>
  </si>
  <si>
    <t>Waelti</t>
  </si>
  <si>
    <t>Karl</t>
  </si>
  <si>
    <t>Langacker 11</t>
  </si>
  <si>
    <t>karl.waelti@gmail.ch</t>
  </si>
  <si>
    <t>044 784 21 67</t>
  </si>
  <si>
    <t>Langacker 14</t>
  </si>
  <si>
    <t>Verein</t>
  </si>
  <si>
    <t>Verkehrsverein Lachen</t>
  </si>
  <si>
    <t>Kreuzstattstrasse 8</t>
  </si>
  <si>
    <t>karl.verkehrsverein lachen@gmail.ch</t>
  </si>
  <si>
    <t>Langacker 17</t>
  </si>
  <si>
    <t>karl.weber@gmail.ch</t>
  </si>
  <si>
    <t>Walker</t>
  </si>
  <si>
    <t>Landsgemeindeweg 18</t>
  </si>
  <si>
    <t>karl.walker@gmail.ch</t>
  </si>
  <si>
    <t>055 440 10 47</t>
  </si>
  <si>
    <t>Summermatter</t>
  </si>
  <si>
    <t>Kaspar</t>
  </si>
  <si>
    <t>Kapellstrasse 17</t>
  </si>
  <si>
    <t>kaspar.summermatter@gmail.ch</t>
  </si>
  <si>
    <t>055 442 23 61</t>
  </si>
  <si>
    <t>Van Aelst</t>
  </si>
  <si>
    <t>Kirchstr. 62</t>
  </si>
  <si>
    <t>kaspar.van aelst@gmail.ch</t>
  </si>
  <si>
    <t>055 442 47 34</t>
  </si>
  <si>
    <t>Sportverband</t>
  </si>
  <si>
    <t>Katharina</t>
  </si>
  <si>
    <t>Kantonstrasse 9</t>
  </si>
  <si>
    <t>katharina.sportverband@gmail.ch</t>
  </si>
  <si>
    <t>Spoerri</t>
  </si>
  <si>
    <t>Kenneth</t>
  </si>
  <si>
    <t>Kantonsstr. 110</t>
  </si>
  <si>
    <t>Baech</t>
  </si>
  <si>
    <t>kenneth.spoerri@gmail.ch</t>
  </si>
  <si>
    <t>044 784 33 74</t>
  </si>
  <si>
    <t>Spieser</t>
  </si>
  <si>
    <t>Koebi</t>
  </si>
  <si>
    <t>Jaegerpfad 13</t>
  </si>
  <si>
    <t>koebi.spieser@gmail.ch</t>
  </si>
  <si>
    <t>055 442 11 40</t>
  </si>
  <si>
    <t>Seunig</t>
  </si>
  <si>
    <t>Leo</t>
  </si>
  <si>
    <t>Im Stoeckli 4</t>
  </si>
  <si>
    <t>leo.seunig@gmail.ch</t>
  </si>
  <si>
    <t>055 440 27 82</t>
  </si>
  <si>
    <t>Leopold</t>
  </si>
  <si>
    <t>im Hangetli 7</t>
  </si>
  <si>
    <t>leopold.seitz@gmail.ch</t>
  </si>
  <si>
    <t>Schwiter</t>
  </si>
  <si>
    <t>Lina</t>
  </si>
  <si>
    <t>lina.schwiter@gmail.ch</t>
  </si>
  <si>
    <t>055 442 33 09</t>
  </si>
  <si>
    <t>Lorena</t>
  </si>
  <si>
    <t>Im Hangetli 10</t>
  </si>
  <si>
    <t>lorena.schwendeler@gmail.ch</t>
  </si>
  <si>
    <t>Schweizer</t>
  </si>
  <si>
    <t>Lotte</t>
  </si>
  <si>
    <t>Hurdnerwaeldlistrasse 25</t>
  </si>
  <si>
    <t>lotte.schweizer@gmail.ch</t>
  </si>
  <si>
    <t>044 784 49 40</t>
  </si>
  <si>
    <t>Lutta</t>
  </si>
  <si>
    <t>Zuercherstrasse 61a</t>
  </si>
  <si>
    <t>lutta.meier@gmail.ch</t>
  </si>
  <si>
    <t>+41 44 242 25 74</t>
  </si>
  <si>
    <t>Maja</t>
  </si>
  <si>
    <t>maja.schuetz@gmail.ch</t>
  </si>
  <si>
    <t>Marcel</t>
  </si>
  <si>
    <t>Hotel Palazzo Salis</t>
  </si>
  <si>
    <t>marcel.schuler@gmail.ch</t>
  </si>
  <si>
    <t>055 442 36 88</t>
  </si>
  <si>
    <t>Margret</t>
  </si>
  <si>
    <t>Wilen b. Wollerau</t>
  </si>
  <si>
    <t>margret.schuler@gmail.ch</t>
  </si>
  <si>
    <t>055 420 23 06</t>
  </si>
  <si>
    <t>Schorer</t>
  </si>
  <si>
    <t>Innerthal</t>
  </si>
  <si>
    <t>margret.schorer@gmail.ch</t>
  </si>
  <si>
    <t>055 446 17 10</t>
  </si>
  <si>
    <t>Schnellmann</t>
  </si>
  <si>
    <t>Margrit</t>
  </si>
  <si>
    <t>Herrengasse 14</t>
  </si>
  <si>
    <t>margrit.schnellmann@gmail.ch</t>
  </si>
  <si>
    <t>055 440 31 53</t>
  </si>
  <si>
    <t>Hofstrasse 22</t>
  </si>
  <si>
    <t>Schmuki</t>
  </si>
  <si>
    <t>margrit.schmuki@gmail.ch</t>
  </si>
  <si>
    <t>055 442 17 82</t>
  </si>
  <si>
    <t>Schmid</t>
  </si>
  <si>
    <t>Haglen 1</t>
  </si>
  <si>
    <t>maria.schmid@gmail.ch</t>
  </si>
  <si>
    <t>055 440 24 61</t>
  </si>
  <si>
    <t>Kern</t>
  </si>
  <si>
    <t>Hermannsweidstrasse 6</t>
  </si>
  <si>
    <t>Biberach</t>
  </si>
  <si>
    <t>maria.kern@gmail.ch</t>
  </si>
  <si>
    <t>Schmalz</t>
  </si>
  <si>
    <t>Maria de Lourdes</t>
  </si>
  <si>
    <t>Gweerhofstrasse 17</t>
  </si>
  <si>
    <t>maria de lourdes.schmalz@gmail.ch</t>
  </si>
  <si>
    <t>055 212 56 08</t>
  </si>
  <si>
    <t>Schaetti</t>
  </si>
  <si>
    <t>Marianne</t>
  </si>
  <si>
    <t>Gweerhofstrasse 10</t>
  </si>
  <si>
    <t>marianne.schaetti@gmail.ch</t>
  </si>
  <si>
    <t>055 440 44 02</t>
  </si>
  <si>
    <t>Schatt</t>
  </si>
  <si>
    <t>Marie-Theres</t>
  </si>
  <si>
    <t>Gweerhofstr. 10</t>
  </si>
  <si>
    <t>marie-theres.schatt@gmail.ch</t>
  </si>
  <si>
    <t>076 433 46 10</t>
  </si>
  <si>
    <t>Schaerer</t>
  </si>
  <si>
    <t>Mario</t>
  </si>
  <si>
    <t>Gugelbergstrasse 8</t>
  </si>
  <si>
    <t>mario.schaerer@gmail.ch</t>
  </si>
  <si>
    <t>055 410 38 65</t>
  </si>
  <si>
    <t>Saglam</t>
  </si>
  <si>
    <t>Marion</t>
  </si>
  <si>
    <t>Gruetstrasse 25</t>
  </si>
  <si>
    <t>marion.saglam@gmail.ch</t>
  </si>
  <si>
    <t>044 784 80 69</t>
  </si>
  <si>
    <t>Ruoss</t>
  </si>
  <si>
    <t>Markus</t>
  </si>
  <si>
    <t>markus.ruoss@gmail.ch</t>
  </si>
  <si>
    <t>055 440 30 56</t>
  </si>
  <si>
    <t>Rueegg</t>
  </si>
  <si>
    <t>Martha</t>
  </si>
  <si>
    <t>Gruetstrasse 21</t>
  </si>
  <si>
    <t>martha.rueegg@gmail.ch</t>
  </si>
  <si>
    <t>055 410 13 94</t>
  </si>
  <si>
    <t xml:space="preserve">Martha </t>
  </si>
  <si>
    <t>Grossgadenstrass 16</t>
  </si>
  <si>
    <t>martha .rueegg@gmail.ch</t>
  </si>
  <si>
    <t>Martin</t>
  </si>
  <si>
    <t>Gnossenweg 8</t>
  </si>
  <si>
    <t>martin.rothlin@gmail.ch</t>
  </si>
  <si>
    <t>055 440 32 38</t>
  </si>
  <si>
    <t>Rechsteiner</t>
  </si>
  <si>
    <t>Pfaeffikon SZ</t>
  </si>
  <si>
    <t>martin.rechsteiner@gmail.ch</t>
  </si>
  <si>
    <t>044 784 86 50</t>
  </si>
  <si>
    <t>Rebstein</t>
  </si>
  <si>
    <t>Glarnerstrasse 47</t>
  </si>
  <si>
    <t>martin.rebstein@gmail.ch</t>
  </si>
  <si>
    <t>055 410 25 59</t>
  </si>
  <si>
    <t>Marvin</t>
  </si>
  <si>
    <t>Glaernischstrasse 8</t>
  </si>
  <si>
    <t>marvin.rauchenstein@gmail.ch</t>
  </si>
  <si>
    <t>055 442 63 04</t>
  </si>
  <si>
    <t>Monica</t>
  </si>
  <si>
    <t>monica.rauchenstein@gmail.ch</t>
  </si>
  <si>
    <t>055 442 11 17</t>
  </si>
  <si>
    <t>Ramensberger</t>
  </si>
  <si>
    <t>Glaernischstrasse 191</t>
  </si>
  <si>
    <t>Bollingen</t>
  </si>
  <si>
    <t>monica.ramensberger@gmail.ch</t>
  </si>
  <si>
    <t>055 212 63 39</t>
  </si>
  <si>
    <t>Palfner</t>
  </si>
  <si>
    <t>Monika</t>
  </si>
  <si>
    <t>monika.palfner@gmail.ch</t>
  </si>
  <si>
    <t>055 442 53 39</t>
  </si>
  <si>
    <t>Naturfreunde Schweiz</t>
  </si>
  <si>
    <t>Gerbiweg 1</t>
  </si>
  <si>
    <t>Bern</t>
  </si>
  <si>
    <t>monika.naturfreunde schweiz@gmail.ch</t>
  </si>
  <si>
    <t>Moritz</t>
  </si>
  <si>
    <t>moritz.mueller@gmail.ch</t>
  </si>
  <si>
    <t>055 410 27 56</t>
  </si>
  <si>
    <t>Myriam</t>
  </si>
  <si>
    <t>myriam.mueller@gmail.ch</t>
  </si>
  <si>
    <t>Myrta</t>
  </si>
  <si>
    <t>myrta.mueller@gmail.ch</t>
  </si>
  <si>
    <t>Nadine</t>
  </si>
  <si>
    <t>Gartenstrasse 4</t>
  </si>
  <si>
    <t>Schaenis</t>
  </si>
  <si>
    <t>nadine.mueller@gmail.ch</t>
  </si>
  <si>
    <t>055 615 17 28</t>
  </si>
  <si>
    <t>Mohn</t>
  </si>
  <si>
    <t>Nelly</t>
  </si>
  <si>
    <t>nelly.mohn@gmail.ch</t>
  </si>
  <si>
    <t>055 442 13 65</t>
  </si>
  <si>
    <t>Meister</t>
  </si>
  <si>
    <t>Oliver</t>
  </si>
  <si>
    <t>oliver.meister@gmail.ch</t>
  </si>
  <si>
    <t>055 440 31 17</t>
  </si>
  <si>
    <t>Winkelmann</t>
  </si>
  <si>
    <t>Schwarzenberg</t>
  </si>
  <si>
    <t>otto.winkelmann@gmail.ch</t>
  </si>
  <si>
    <t>041 / 320 47 15</t>
  </si>
  <si>
    <t>Patricia</t>
  </si>
  <si>
    <t>Gartenstrasse 19</t>
  </si>
  <si>
    <t>patricia.meier@gmail.ch</t>
  </si>
  <si>
    <t>055 440 22 15</t>
  </si>
  <si>
    <t>Mc Namee</t>
  </si>
  <si>
    <t>Patrick</t>
  </si>
  <si>
    <t>Gartenstrasse 16</t>
  </si>
  <si>
    <t>patrick.mc namee@gmail.ch</t>
  </si>
  <si>
    <t>055 442 46 26</t>
  </si>
  <si>
    <t>Paul</t>
  </si>
  <si>
    <t>Gartenstrasse 15</t>
  </si>
  <si>
    <t>paul.marty@gmail.ch</t>
  </si>
  <si>
    <t>Gestorben Marty</t>
  </si>
  <si>
    <t>philippe.gestorben marty@gmail.ch</t>
  </si>
  <si>
    <t>Pia</t>
  </si>
  <si>
    <t>Maechler-Diethelm</t>
  </si>
  <si>
    <t>Pirmin</t>
  </si>
  <si>
    <t>pirmin.maechler-diethelm@gmail.ch</t>
  </si>
  <si>
    <t>pius.maechler@gmail.ch</t>
  </si>
  <si>
    <t>Ramon</t>
  </si>
  <si>
    <t>ramon.maechler@gmail.ch</t>
  </si>
  <si>
    <t>Raphael</t>
  </si>
  <si>
    <t>reinhard.lang@gmail.ch</t>
  </si>
  <si>
    <t>René</t>
  </si>
  <si>
    <t>rené.laib@gmail.ch</t>
  </si>
  <si>
    <t>rené.landolt@gmail.ch</t>
  </si>
  <si>
    <t>Riccardo</t>
  </si>
  <si>
    <t>richard.kussberger@gmail.ch</t>
  </si>
  <si>
    <t>Richi</t>
  </si>
  <si>
    <t>Roes</t>
  </si>
  <si>
    <t>Roland</t>
  </si>
  <si>
    <t>roland.koepfli@gmail.ch</t>
  </si>
  <si>
    <t>Rolf</t>
  </si>
  <si>
    <t>Rosmarie</t>
  </si>
  <si>
    <t>rosmarie.king@gmail.ch</t>
  </si>
  <si>
    <t>Ruedi</t>
  </si>
  <si>
    <t>Janser</t>
  </si>
  <si>
    <t>ruedi.janser@gmail.ch</t>
  </si>
  <si>
    <t>Juengling</t>
  </si>
  <si>
    <t>ruedi.juengling@gmail.ch</t>
  </si>
  <si>
    <t>Sarah</t>
  </si>
  <si>
    <t>Buergital</t>
  </si>
  <si>
    <t>sarah.hollenstein@gmail.ch</t>
  </si>
  <si>
    <t>Saskia</t>
  </si>
  <si>
    <t>Buergerheimstrasse 9</t>
  </si>
  <si>
    <t>saskia.hollenstein@gmail.ch</t>
  </si>
  <si>
    <t>Sebastian</t>
  </si>
  <si>
    <t>Buergerheimstrasse 5</t>
  </si>
  <si>
    <t>sebastian.hollenstein@gmail.ch</t>
  </si>
  <si>
    <t>Severin</t>
  </si>
  <si>
    <t>Bueelstrasse 1a</t>
  </si>
  <si>
    <t>Gommiswald</t>
  </si>
  <si>
    <t>severin.hollenstein@gmail.ch</t>
  </si>
  <si>
    <t>055 280 33 76</t>
  </si>
  <si>
    <t>Holdener-Hollenstein</t>
  </si>
  <si>
    <t>Sibylle</t>
  </si>
  <si>
    <t>sibylle.holdener-hollenstein@gmail.ch</t>
  </si>
  <si>
    <t>Silvia</t>
  </si>
  <si>
    <t>Bueelhof 3</t>
  </si>
  <si>
    <t>silvia.holdener@gmail.ch</t>
  </si>
  <si>
    <t>055 440 27 62</t>
  </si>
  <si>
    <t>Hertenstein</t>
  </si>
  <si>
    <t>Simon</t>
  </si>
  <si>
    <t>Buchenweg 6</t>
  </si>
  <si>
    <t>simon.hertenstein@gmail.ch</t>
  </si>
  <si>
    <t>055 442 50 57</t>
  </si>
  <si>
    <t>Spreitenbach</t>
  </si>
  <si>
    <t>Buchenweg 14</t>
  </si>
  <si>
    <t>spreitenbach.hertenstein@gmail.ch</t>
  </si>
  <si>
    <t>Hegner</t>
  </si>
  <si>
    <t>Stefan</t>
  </si>
  <si>
    <t>Breitenstrasse  6</t>
  </si>
  <si>
    <t>stefan.hegner@gmail.ch</t>
  </si>
  <si>
    <t>055 442 27 47</t>
  </si>
  <si>
    <t>Stefanie</t>
  </si>
  <si>
    <t>stefanie.hegner@gmail.ch</t>
  </si>
  <si>
    <t>055 440 74 08</t>
  </si>
  <si>
    <t>Gschwend</t>
  </si>
  <si>
    <t>Susanne</t>
  </si>
  <si>
    <t>susanne.gschwend@gmail.ch</t>
  </si>
  <si>
    <t>055 442 25 68</t>
  </si>
  <si>
    <t>Gruber</t>
  </si>
  <si>
    <t>Sybille</t>
  </si>
  <si>
    <t>sybille.gruber@gmail.ch</t>
  </si>
  <si>
    <t>Glutz</t>
  </si>
  <si>
    <t>Theo</t>
  </si>
  <si>
    <t>Brandweid 36</t>
  </si>
  <si>
    <t>theo.glutz@gmail.ch</t>
  </si>
  <si>
    <t>044 784 38 02</t>
  </si>
  <si>
    <t>Theres</t>
  </si>
  <si>
    <t>theres.glutz@gmail.ch</t>
  </si>
  <si>
    <t>Glaus</t>
  </si>
  <si>
    <t>Bolenberg 71</t>
  </si>
  <si>
    <t>theres.glaus@gmail.ch</t>
  </si>
  <si>
    <t>055 440 48 41</t>
  </si>
  <si>
    <t>Theresa</t>
  </si>
  <si>
    <t>Biberzeltenstrasse 15</t>
  </si>
  <si>
    <t>theresa.faeh@gmail.ch</t>
  </si>
  <si>
    <t>055 462 15 01</t>
  </si>
  <si>
    <t>Blumenstrasse 17</t>
  </si>
  <si>
    <t>Ulrich</t>
  </si>
  <si>
    <t>Bettnaustrasse 8</t>
  </si>
  <si>
    <t>ulrich.faeh@gmail.ch</t>
  </si>
  <si>
    <t>Erni</t>
  </si>
  <si>
    <t>Urban</t>
  </si>
  <si>
    <t>Bernkastelerstrasse 41</t>
  </si>
  <si>
    <t>urban.erni@gmail.ch</t>
  </si>
  <si>
    <t>055 442 50 43</t>
  </si>
  <si>
    <t>Dubach</t>
  </si>
  <si>
    <t>Urs</t>
  </si>
  <si>
    <t>Bahnhofstrasse 7</t>
  </si>
  <si>
    <t>urs.dubach@gmail.ch</t>
  </si>
  <si>
    <t>055 442 16 45</t>
  </si>
  <si>
    <t>Dueggelin</t>
  </si>
  <si>
    <t>Bauernhofstrasse 12</t>
  </si>
  <si>
    <t>urs.dueggelin@gmail.ch</t>
  </si>
  <si>
    <t>055 442 76 58</t>
  </si>
  <si>
    <t>Doenni</t>
  </si>
  <si>
    <t>Ursula</t>
  </si>
  <si>
    <t>Ausserdorfweg 4</t>
  </si>
  <si>
    <t>ursula.doenni@gmail.ch</t>
  </si>
  <si>
    <t>055 283 26 65</t>
  </si>
  <si>
    <t>Bahnhofstrasse 11</t>
  </si>
  <si>
    <t xml:space="preserve">055 283 26 65 </t>
  </si>
  <si>
    <t>Bahnhofstrasse 59</t>
  </si>
  <si>
    <t>Gross</t>
  </si>
  <si>
    <t>ursula.dubach@gmail.ch</t>
  </si>
  <si>
    <t>Dobler</t>
  </si>
  <si>
    <t>Vera</t>
  </si>
  <si>
    <t>Appisberstrasse 2</t>
  </si>
  <si>
    <t>vera.dobler@gmail.ch</t>
  </si>
  <si>
    <t>055 440 53 72</t>
  </si>
  <si>
    <t>Verena</t>
  </si>
  <si>
    <t>Am Platz 8</t>
  </si>
  <si>
    <t>verena.diethelm@gmail.ch</t>
  </si>
  <si>
    <t>055 410 43 01</t>
  </si>
  <si>
    <t>Am Stutz 5</t>
  </si>
  <si>
    <t>Vica</t>
  </si>
  <si>
    <t>vica.diethelm@gmail.ch</t>
  </si>
  <si>
    <t>055 442 37 71</t>
  </si>
  <si>
    <t>Corsi</t>
  </si>
  <si>
    <t>Vincenzo</t>
  </si>
  <si>
    <t>Alte Wolleraustrasse 44</t>
  </si>
  <si>
    <t>vincenzo.corsi@gmail.ch</t>
  </si>
  <si>
    <t>055 440 25 03</t>
  </si>
  <si>
    <t>Vital</t>
  </si>
  <si>
    <t>Alte Wollerauerstrasse 44</t>
  </si>
  <si>
    <t>vital.corsi@gmail.ch</t>
  </si>
  <si>
    <t>Cavegn</t>
  </si>
  <si>
    <t>Volker</t>
  </si>
  <si>
    <t>Alte Wollerauerstrasse 30</t>
  </si>
  <si>
    <t>volker.cavegn@gmail.ch</t>
  </si>
  <si>
    <t>Buehrer</t>
  </si>
  <si>
    <t>Vreni</t>
  </si>
  <si>
    <t>Alte Wollerauerstr. 10</t>
  </si>
  <si>
    <t>vreni.buehrer@gmail.ch</t>
  </si>
  <si>
    <t>Bruehlmann</t>
  </si>
  <si>
    <t>Alpenblickstrasse 1</t>
  </si>
  <si>
    <t>Thayngen / SH</t>
  </si>
  <si>
    <t>walter.bruehlmann@gmail.ch</t>
  </si>
  <si>
    <t>052 640 01 43</t>
  </si>
  <si>
    <t>Barnert</t>
  </si>
  <si>
    <t>Aastrasse 8</t>
  </si>
  <si>
    <t>walter.barnert@gmail.ch</t>
  </si>
  <si>
    <t>055 440 50 33</t>
  </si>
  <si>
    <t>Adlerwiese 8</t>
  </si>
  <si>
    <t>walter.bieri@gmail.ch</t>
  </si>
  <si>
    <t>Alpenblick 3</t>
  </si>
  <si>
    <t>walter.bruhin@gmail.ch</t>
  </si>
  <si>
    <t>055 440 26 15</t>
  </si>
  <si>
    <t>Bockmuehl</t>
  </si>
  <si>
    <t>Aeussere Bahnhofstrasse 30e</t>
  </si>
  <si>
    <t>walter.bockmuehl@gmail.ch</t>
  </si>
  <si>
    <t>055 442 44 72</t>
  </si>
  <si>
    <t>Breitegger</t>
  </si>
  <si>
    <t>Allmeindstrasse 51</t>
  </si>
  <si>
    <t>walter.breitegger@gmail.ch</t>
  </si>
  <si>
    <t>055 442 48 33</t>
  </si>
  <si>
    <t>055 442 44 77</t>
  </si>
  <si>
    <t>Bueeler</t>
  </si>
  <si>
    <t>Alpenstrasse 4</t>
  </si>
  <si>
    <t>walter.bueeler@gmail.ch</t>
  </si>
  <si>
    <t>055 442 12 34</t>
  </si>
  <si>
    <t>walter.buehrer@gmail.ch</t>
  </si>
  <si>
    <t>Adlerstrasse 10</t>
  </si>
  <si>
    <t>Goldau</t>
  </si>
  <si>
    <t>walter.betschart@gmail.ch</t>
  </si>
  <si>
    <t>041 855 53 24</t>
  </si>
  <si>
    <t>Autenrieth</t>
  </si>
  <si>
    <t>Aastrasse 13</t>
  </si>
  <si>
    <t>walter.autenrieth@gmail.ch</t>
  </si>
  <si>
    <t>055 442 16 56</t>
  </si>
  <si>
    <t>Arndgen</t>
  </si>
  <si>
    <t>Werner</t>
  </si>
  <si>
    <t>Aapark 22a</t>
  </si>
  <si>
    <t>werner.arndgen@gmail.ch</t>
  </si>
  <si>
    <t>055 442 20 96</t>
  </si>
  <si>
    <t>Willi</t>
  </si>
  <si>
    <t>willi.arndgen@gmail.ch</t>
  </si>
  <si>
    <t>Yvonne</t>
  </si>
  <si>
    <t>yvonne.arndgen@gmail.ch</t>
  </si>
  <si>
    <t>Annen</t>
  </si>
  <si>
    <t>Zentralsekretariat</t>
  </si>
  <si>
    <t>Aapark 22 B</t>
  </si>
  <si>
    <t>zentralsekretariat.annen@gmail.ch</t>
  </si>
  <si>
    <t>Zita</t>
  </si>
  <si>
    <t>Aapark 20a</t>
  </si>
  <si>
    <t>zita.annen@gmail.ch</t>
  </si>
  <si>
    <t>d Moritz</t>
  </si>
  <si>
    <t>u Müller</t>
  </si>
  <si>
    <t>ter (ZH)</t>
  </si>
  <si>
    <t>HelloPerDu</t>
  </si>
  <si>
    <t>CalcRechteck</t>
  </si>
  <si>
    <t>V2.72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</si>
</sst>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.0"/>
  </numFmts>
  <fonts count="3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u/>
      <sz val="18"/>
      <color theme="1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indexed="81"/>
      <name val="Segoe UI"/>
      <family val="2"/>
    </font>
    <font>
      <b/>
      <sz val="11"/>
      <color indexed="81"/>
      <name val="Segoe UI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sz val="9"/>
      <color indexed="81"/>
      <name val="Segoe UI"/>
      <family val="2"/>
    </font>
    <font>
      <u/>
      <sz val="11"/>
      <color theme="10"/>
      <name val="Calibri"/>
      <family val="2"/>
      <scheme val="minor"/>
    </font>
    <font>
      <b/>
      <u/>
      <sz val="16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u/>
      <sz val="14"/>
      <color theme="1"/>
      <name val="Calibri"/>
      <family val="2"/>
      <scheme val="minor"/>
    </font>
    <font>
      <sz val="10"/>
      <color theme="1"/>
      <name val="Arial Unicode MS"/>
      <family val="2"/>
    </font>
    <font>
      <b/>
      <u/>
      <sz val="14"/>
      <color rgb="FF00000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i/>
      <sz val="11"/>
      <color indexed="81"/>
      <name val="Segoe UI"/>
      <family val="2"/>
    </font>
    <font>
      <i/>
      <sz val="12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</fills>
  <borders count="5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7" fillId="0" borderId="0" applyNumberFormat="0" applyFill="0" applyBorder="0" applyAlignment="0" applyProtection="0"/>
  </cellStyleXfs>
  <cellXfs count="143">
    <xf numFmtId="0" fontId="0" fillId="0" borderId="0" xfId="0"/>
    <xf numFmtId="0" fontId="18" fillId="0" borderId="0" xfId="0" applyFont="1"/>
    <xf numFmtId="0" fontId="0" fillId="33" borderId="10" xfId="0" applyFill="1" applyBorder="1"/>
    <xf numFmtId="0" fontId="0" fillId="33" borderId="10" xfId="0" applyFill="1" applyBorder="1" applyAlignment="1">
      <alignment horizontal="center"/>
    </xf>
    <xf numFmtId="0" fontId="0" fillId="0" borderId="10" xfId="0" applyBorder="1"/>
    <xf numFmtId="0" fontId="0" fillId="34" borderId="10" xfId="0" applyFill="1" applyBorder="1"/>
    <xf numFmtId="0" fontId="0" fillId="0" borderId="10" xfId="0" applyBorder="1" applyAlignment="1">
      <alignment horizontal="center"/>
    </xf>
    <xf numFmtId="0" fontId="0" fillId="35" borderId="11" xfId="0" applyFill="1" applyBorder="1"/>
    <xf numFmtId="0" fontId="0" fillId="35" borderId="12" xfId="0" applyFill="1" applyBorder="1"/>
    <xf numFmtId="0" fontId="0" fillId="35" borderId="13" xfId="0" applyFill="1" applyBorder="1"/>
    <xf numFmtId="0" fontId="0" fillId="35" borderId="14" xfId="0" applyFill="1" applyBorder="1"/>
    <xf numFmtId="0" fontId="0" fillId="35" borderId="0" xfId="0" applyFill="1" applyBorder="1"/>
    <xf numFmtId="0" fontId="0" fillId="35" borderId="15" xfId="0" applyFill="1" applyBorder="1"/>
    <xf numFmtId="0" fontId="19" fillId="35" borderId="14" xfId="0" applyFont="1" applyFill="1" applyBorder="1" applyAlignment="1">
      <alignment horizontal="right"/>
    </xf>
    <xf numFmtId="0" fontId="0" fillId="35" borderId="16" xfId="0" applyFill="1" applyBorder="1"/>
    <xf numFmtId="0" fontId="0" fillId="35" borderId="17" xfId="0" applyFill="1" applyBorder="1"/>
    <xf numFmtId="0" fontId="0" fillId="35" borderId="18" xfId="0" applyFill="1" applyBorder="1"/>
    <xf numFmtId="0" fontId="0" fillId="0" borderId="0" xfId="0" quotePrefix="1"/>
    <xf numFmtId="0" fontId="20" fillId="0" borderId="10" xfId="0" applyFont="1" applyBorder="1"/>
    <xf numFmtId="0" fontId="20" fillId="33" borderId="10" xfId="0" applyFont="1" applyFill="1" applyBorder="1"/>
    <xf numFmtId="0" fontId="20" fillId="0" borderId="0" xfId="0" applyFont="1"/>
    <xf numFmtId="0" fontId="21" fillId="33" borderId="10" xfId="0" applyFont="1" applyFill="1" applyBorder="1"/>
    <xf numFmtId="0" fontId="21" fillId="0" borderId="10" xfId="0" applyFont="1" applyBorder="1"/>
    <xf numFmtId="0" fontId="21" fillId="0" borderId="0" xfId="0" applyFont="1"/>
    <xf numFmtId="0" fontId="0" fillId="36" borderId="19" xfId="0" applyFill="1" applyBorder="1"/>
    <xf numFmtId="0" fontId="0" fillId="0" borderId="24" xfId="0" applyBorder="1"/>
    <xf numFmtId="0" fontId="0" fillId="0" borderId="26" xfId="0" applyBorder="1"/>
    <xf numFmtId="0" fontId="0" fillId="0" borderId="27" xfId="0" applyBorder="1"/>
    <xf numFmtId="0" fontId="0" fillId="34" borderId="10" xfId="0" quotePrefix="1" applyFill="1" applyBorder="1"/>
    <xf numFmtId="0" fontId="0" fillId="33" borderId="28" xfId="0" applyFill="1" applyBorder="1"/>
    <xf numFmtId="0" fontId="0" fillId="33" borderId="29" xfId="0" applyFill="1" applyBorder="1"/>
    <xf numFmtId="0" fontId="0" fillId="0" borderId="0" xfId="0" applyBorder="1"/>
    <xf numFmtId="0" fontId="0" fillId="0" borderId="21" xfId="0" applyBorder="1"/>
    <xf numFmtId="0" fontId="0" fillId="0" borderId="22" xfId="0" applyBorder="1"/>
    <xf numFmtId="0" fontId="0" fillId="0" borderId="30" xfId="0" applyBorder="1"/>
    <xf numFmtId="0" fontId="0" fillId="0" borderId="31" xfId="0" applyBorder="1"/>
    <xf numFmtId="0" fontId="0" fillId="0" borderId="32" xfId="0" applyBorder="1"/>
    <xf numFmtId="0" fontId="0" fillId="0" borderId="33" xfId="0" applyBorder="1"/>
    <xf numFmtId="0" fontId="0" fillId="0" borderId="0" xfId="0" applyFill="1" applyBorder="1"/>
    <xf numFmtId="0" fontId="0" fillId="37" borderId="10" xfId="0" applyFill="1" applyBorder="1"/>
    <xf numFmtId="4" fontId="0" fillId="0" borderId="10" xfId="0" applyNumberFormat="1" applyBorder="1"/>
    <xf numFmtId="0" fontId="0" fillId="0" borderId="39" xfId="0" applyBorder="1"/>
    <xf numFmtId="0" fontId="0" fillId="0" borderId="40" xfId="0" applyBorder="1"/>
    <xf numFmtId="0" fontId="27" fillId="0" borderId="0" xfId="42"/>
    <xf numFmtId="0" fontId="0" fillId="35" borderId="10" xfId="0" applyFill="1" applyBorder="1"/>
    <xf numFmtId="0" fontId="0" fillId="35" borderId="20" xfId="0" applyFill="1" applyBorder="1" applyAlignment="1">
      <alignment horizontal="right"/>
    </xf>
    <xf numFmtId="0" fontId="0" fillId="35" borderId="22" xfId="0" applyFill="1" applyBorder="1" applyAlignment="1">
      <alignment horizontal="left"/>
    </xf>
    <xf numFmtId="0" fontId="0" fillId="35" borderId="23" xfId="0" applyFill="1" applyBorder="1" applyAlignment="1">
      <alignment horizontal="right"/>
    </xf>
    <xf numFmtId="0" fontId="0" fillId="35" borderId="24" xfId="0" applyFill="1" applyBorder="1" applyAlignment="1">
      <alignment horizontal="left"/>
    </xf>
    <xf numFmtId="0" fontId="0" fillId="35" borderId="24" xfId="0" applyFill="1" applyBorder="1"/>
    <xf numFmtId="0" fontId="0" fillId="35" borderId="25" xfId="0" applyFill="1" applyBorder="1" applyAlignment="1">
      <alignment horizontal="right"/>
    </xf>
    <xf numFmtId="164" fontId="0" fillId="35" borderId="24" xfId="0" applyNumberFormat="1" applyFill="1" applyBorder="1" applyAlignment="1">
      <alignment horizontal="center"/>
    </xf>
    <xf numFmtId="0" fontId="0" fillId="35" borderId="20" xfId="0" applyFill="1" applyBorder="1" applyAlignment="1">
      <alignment horizontal="center" vertical="center"/>
    </xf>
    <xf numFmtId="0" fontId="0" fillId="35" borderId="21" xfId="0" applyFill="1" applyBorder="1"/>
    <xf numFmtId="0" fontId="0" fillId="35" borderId="22" xfId="0" applyFill="1" applyBorder="1"/>
    <xf numFmtId="0" fontId="0" fillId="35" borderId="23" xfId="0" quotePrefix="1" applyFill="1" applyBorder="1" applyAlignment="1">
      <alignment horizontal="right"/>
    </xf>
    <xf numFmtId="0" fontId="0" fillId="35" borderId="25" xfId="0" applyFill="1" applyBorder="1"/>
    <xf numFmtId="0" fontId="0" fillId="35" borderId="26" xfId="0" applyFill="1" applyBorder="1"/>
    <xf numFmtId="0" fontId="0" fillId="36" borderId="10" xfId="0" applyFill="1" applyBorder="1"/>
    <xf numFmtId="4" fontId="0" fillId="36" borderId="10" xfId="0" applyNumberFormat="1" applyFill="1" applyBorder="1"/>
    <xf numFmtId="0" fontId="0" fillId="37" borderId="0" xfId="0" applyFill="1" applyBorder="1"/>
    <xf numFmtId="0" fontId="0" fillId="37" borderId="41" xfId="0" applyFill="1" applyBorder="1"/>
    <xf numFmtId="0" fontId="0" fillId="37" borderId="43" xfId="0" applyFill="1" applyBorder="1"/>
    <xf numFmtId="0" fontId="0" fillId="37" borderId="35" xfId="0" applyFill="1" applyBorder="1"/>
    <xf numFmtId="4" fontId="0" fillId="0" borderId="42" xfId="0" applyNumberFormat="1" applyBorder="1"/>
    <xf numFmtId="4" fontId="0" fillId="36" borderId="19" xfId="0" applyNumberFormat="1" applyFill="1" applyBorder="1"/>
    <xf numFmtId="0" fontId="0" fillId="36" borderId="30" xfId="0" applyFill="1" applyBorder="1"/>
    <xf numFmtId="4" fontId="0" fillId="36" borderId="31" xfId="0" applyNumberFormat="1" applyFill="1" applyBorder="1"/>
    <xf numFmtId="0" fontId="28" fillId="0" borderId="0" xfId="0" applyFont="1"/>
    <xf numFmtId="0" fontId="0" fillId="33" borderId="42" xfId="0" applyFill="1" applyBorder="1"/>
    <xf numFmtId="0" fontId="0" fillId="0" borderId="43" xfId="0" applyBorder="1"/>
    <xf numFmtId="0" fontId="0" fillId="0" borderId="41" xfId="0" applyBorder="1"/>
    <xf numFmtId="0" fontId="0" fillId="36" borderId="35" xfId="0" applyFill="1" applyBorder="1"/>
    <xf numFmtId="0" fontId="21" fillId="0" borderId="10" xfId="0" quotePrefix="1" applyFont="1" applyBorder="1" applyAlignment="1">
      <alignment horizontal="left"/>
    </xf>
    <xf numFmtId="0" fontId="30" fillId="0" borderId="0" xfId="0" applyFont="1"/>
    <xf numFmtId="0" fontId="0" fillId="33" borderId="19" xfId="0" applyFill="1" applyBorder="1" applyAlignment="1">
      <alignment horizontal="right"/>
    </xf>
    <xf numFmtId="0" fontId="0" fillId="39" borderId="36" xfId="0" applyFill="1" applyBorder="1" applyAlignment="1">
      <alignment horizontal="right"/>
    </xf>
    <xf numFmtId="0" fontId="0" fillId="38" borderId="34" xfId="0" applyFill="1" applyBorder="1" applyAlignment="1">
      <alignment horizontal="right"/>
    </xf>
    <xf numFmtId="0" fontId="0" fillId="36" borderId="38" xfId="0" applyFill="1" applyBorder="1"/>
    <xf numFmtId="0" fontId="0" fillId="0" borderId="30" xfId="0" applyBorder="1" applyAlignment="1">
      <alignment horizontal="right"/>
    </xf>
    <xf numFmtId="0" fontId="0" fillId="36" borderId="31" xfId="0" applyFill="1" applyBorder="1" applyAlignment="1">
      <alignment horizontal="left"/>
    </xf>
    <xf numFmtId="0" fontId="0" fillId="40" borderId="11" xfId="0" applyFill="1" applyBorder="1"/>
    <xf numFmtId="0" fontId="0" fillId="40" borderId="12" xfId="0" applyFill="1" applyBorder="1"/>
    <xf numFmtId="0" fontId="0" fillId="40" borderId="13" xfId="0" applyFill="1" applyBorder="1"/>
    <xf numFmtId="0" fontId="0" fillId="40" borderId="14" xfId="0" applyFill="1" applyBorder="1"/>
    <xf numFmtId="0" fontId="32" fillId="40" borderId="0" xfId="0" applyFont="1" applyFill="1" applyBorder="1"/>
    <xf numFmtId="0" fontId="0" fillId="40" borderId="0" xfId="0" applyFill="1" applyBorder="1"/>
    <xf numFmtId="0" fontId="0" fillId="40" borderId="15" xfId="0" applyFill="1" applyBorder="1"/>
    <xf numFmtId="0" fontId="0" fillId="40" borderId="0" xfId="0" applyFill="1" applyBorder="1" applyAlignment="1">
      <alignment horizontal="right"/>
    </xf>
    <xf numFmtId="0" fontId="0" fillId="40" borderId="16" xfId="0" applyFill="1" applyBorder="1"/>
    <xf numFmtId="0" fontId="0" fillId="40" borderId="17" xfId="0" applyFill="1" applyBorder="1"/>
    <xf numFmtId="0" fontId="0" fillId="40" borderId="18" xfId="0" applyFill="1" applyBorder="1"/>
    <xf numFmtId="0" fontId="0" fillId="33" borderId="37" xfId="0" applyFill="1" applyBorder="1" applyAlignment="1">
      <alignment horizontal="right"/>
    </xf>
    <xf numFmtId="0" fontId="0" fillId="33" borderId="34" xfId="0" applyFill="1" applyBorder="1" applyAlignment="1">
      <alignment horizontal="right"/>
    </xf>
    <xf numFmtId="0" fontId="0" fillId="40" borderId="30" xfId="0" applyFill="1" applyBorder="1" applyAlignment="1">
      <alignment horizontal="right"/>
    </xf>
    <xf numFmtId="164" fontId="0" fillId="40" borderId="31" xfId="0" applyNumberFormat="1" applyFill="1" applyBorder="1"/>
    <xf numFmtId="0" fontId="33" fillId="0" borderId="0" xfId="0" applyFont="1"/>
    <xf numFmtId="0" fontId="32" fillId="0" borderId="0" xfId="0" applyFont="1" applyFill="1" applyBorder="1"/>
    <xf numFmtId="0" fontId="0" fillId="0" borderId="0" xfId="0" applyFill="1" applyBorder="1" applyAlignment="1">
      <alignment horizontal="right"/>
    </xf>
    <xf numFmtId="164" fontId="0" fillId="0" borderId="0" xfId="0" applyNumberFormat="1" applyFill="1" applyBorder="1"/>
    <xf numFmtId="164" fontId="35" fillId="40" borderId="0" xfId="0" applyNumberFormat="1" applyFont="1" applyFill="1" applyBorder="1"/>
    <xf numFmtId="0" fontId="34" fillId="40" borderId="46" xfId="0" applyFont="1" applyFill="1" applyBorder="1" applyAlignment="1">
      <alignment horizontal="center"/>
    </xf>
    <xf numFmtId="164" fontId="35" fillId="40" borderId="47" xfId="0" applyNumberFormat="1" applyFont="1" applyFill="1" applyBorder="1" applyAlignment="1">
      <alignment horizontal="center"/>
    </xf>
    <xf numFmtId="164" fontId="0" fillId="35" borderId="27" xfId="0" applyNumberFormat="1" applyFill="1" applyBorder="1" applyAlignment="1">
      <alignment horizontal="left"/>
    </xf>
    <xf numFmtId="164" fontId="0" fillId="0" borderId="0" xfId="0" applyNumberFormat="1"/>
    <xf numFmtId="0" fontId="0" fillId="41" borderId="12" xfId="0" applyFill="1" applyBorder="1"/>
    <xf numFmtId="0" fontId="0" fillId="41" borderId="13" xfId="0" applyFill="1" applyBorder="1"/>
    <xf numFmtId="0" fontId="0" fillId="41" borderId="0" xfId="0" applyFill="1" applyBorder="1"/>
    <xf numFmtId="0" fontId="32" fillId="41" borderId="0" xfId="0" applyFont="1" applyFill="1" applyBorder="1"/>
    <xf numFmtId="0" fontId="0" fillId="41" borderId="15" xfId="0" applyFill="1" applyBorder="1"/>
    <xf numFmtId="0" fontId="0" fillId="41" borderId="0" xfId="0" applyFill="1" applyBorder="1" applyAlignment="1">
      <alignment horizontal="right"/>
    </xf>
    <xf numFmtId="0" fontId="0" fillId="41" borderId="17" xfId="0" applyFill="1" applyBorder="1"/>
    <xf numFmtId="0" fontId="0" fillId="41" borderId="18" xfId="0" applyFill="1" applyBorder="1"/>
    <xf numFmtId="0" fontId="0" fillId="41" borderId="0" xfId="0" applyFill="1" applyBorder="1" applyAlignment="1">
      <alignment horizontal="left"/>
    </xf>
    <xf numFmtId="164" fontId="0" fillId="41" borderId="0" xfId="0" applyNumberFormat="1" applyFill="1" applyBorder="1" applyAlignment="1">
      <alignment horizontal="left"/>
    </xf>
    <xf numFmtId="0" fontId="34" fillId="41" borderId="46" xfId="0" applyFont="1" applyFill="1" applyBorder="1" applyAlignment="1">
      <alignment horizontal="center"/>
    </xf>
    <xf numFmtId="164" fontId="35" fillId="41" borderId="47" xfId="0" applyNumberFormat="1" applyFont="1" applyFill="1" applyBorder="1" applyAlignment="1">
      <alignment horizontal="center"/>
    </xf>
    <xf numFmtId="0" fontId="34" fillId="40" borderId="30" xfId="0" applyFont="1" applyFill="1" applyBorder="1" applyAlignment="1">
      <alignment horizontal="right"/>
    </xf>
    <xf numFmtId="164" fontId="34" fillId="40" borderId="31" xfId="0" applyNumberFormat="1" applyFont="1" applyFill="1" applyBorder="1" applyAlignment="1">
      <alignment horizontal="left"/>
    </xf>
    <xf numFmtId="2" fontId="0" fillId="0" borderId="0" xfId="0" applyNumberFormat="1"/>
    <xf numFmtId="0" fontId="0" fillId="34" borderId="15" xfId="0" applyFill="1" applyBorder="1"/>
    <xf numFmtId="0" fontId="0" fillId="34" borderId="11" xfId="0" applyFill="1" applyBorder="1"/>
    <xf numFmtId="0" fontId="0" fillId="34" borderId="13" xfId="0" applyFill="1" applyBorder="1"/>
    <xf numFmtId="0" fontId="0" fillId="34" borderId="14" xfId="0" applyFill="1" applyBorder="1"/>
    <xf numFmtId="0" fontId="0" fillId="34" borderId="16" xfId="0" applyFill="1" applyBorder="1"/>
    <xf numFmtId="0" fontId="0" fillId="34" borderId="18" xfId="0" applyFill="1" applyBorder="1"/>
    <xf numFmtId="16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37" fillId="41" borderId="0" xfId="0" applyFont="1" applyFill="1" applyBorder="1"/>
    <xf numFmtId="0" fontId="0" fillId="42" borderId="20" xfId="0" applyFill="1" applyBorder="1"/>
    <xf numFmtId="0" fontId="0" fillId="42" borderId="21" xfId="0" applyFill="1" applyBorder="1"/>
    <xf numFmtId="0" fontId="0" fillId="42" borderId="22" xfId="0" applyFill="1" applyBorder="1"/>
    <xf numFmtId="0" fontId="0" fillId="42" borderId="23" xfId="0" applyFill="1" applyBorder="1"/>
    <xf numFmtId="0" fontId="0" fillId="42" borderId="25" xfId="0" applyFill="1" applyBorder="1"/>
    <xf numFmtId="0" fontId="31" fillId="33" borderId="48" xfId="0" applyFont="1" applyFill="1" applyBorder="1" applyAlignment="1">
      <alignment vertical="center"/>
    </xf>
    <xf numFmtId="0" fontId="31" fillId="0" borderId="49" xfId="0" applyFont="1" applyBorder="1" applyAlignment="1">
      <alignment vertical="center"/>
    </xf>
    <xf numFmtId="0" fontId="0" fillId="0" borderId="45" xfId="0" applyBorder="1"/>
    <xf numFmtId="0" fontId="0" fillId="0" borderId="50" xfId="0" applyBorder="1"/>
    <xf numFmtId="0" fontId="31" fillId="0" borderId="23" xfId="0" applyFont="1" applyBorder="1" applyAlignment="1">
      <alignment vertical="center"/>
    </xf>
    <xf numFmtId="0" fontId="31" fillId="0" borderId="25" xfId="0" applyFont="1" applyBorder="1" applyAlignment="1">
      <alignment vertical="center"/>
    </xf>
    <xf numFmtId="0" fontId="29" fillId="0" borderId="42" xfId="0" applyFont="1" applyBorder="1" applyAlignment="1">
      <alignment vertical="top" wrapText="1"/>
    </xf>
    <xf numFmtId="0" fontId="29" fillId="0" borderId="44" xfId="0" applyFont="1" applyBorder="1" applyAlignment="1">
      <alignment vertical="top" wrapText="1"/>
    </xf>
    <xf numFmtId="0" fontId="29" fillId="0" borderId="45" xfId="0" applyFont="1" applyBorder="1" applyAlignment="1">
      <alignment vertical="top" wrapText="1"/>
    </xf>
  </cellXfs>
  <cellStyles count="43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Link" xfId="42" builtinId="8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112"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theme="0" tint="-0.14996795556505021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C000"/>
        </patternFill>
      </fill>
    </dxf>
    <dxf>
      <fill>
        <patternFill>
          <bgColor rgb="FF92D050"/>
        </patternFill>
      </fill>
    </dxf>
    <dxf>
      <fill>
        <patternFill>
          <bgColor rgb="FFFF66CC"/>
        </patternFill>
      </fill>
    </dxf>
    <dxf>
      <fill>
        <patternFill>
          <bgColor rgb="FFFF0000"/>
        </patternFill>
      </fill>
    </dxf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>
      <tableStyleElement type="wholeTable" dxfId="111"/>
      <tableStyleElement type="headerRow" dxfId="11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Anzahl</a:t>
            </a:r>
            <a:r>
              <a:rPr lang="de-CH" baseline="0"/>
              <a:t> bezahlte/nich bezahlte Mitgliederbeiträge </a:t>
            </a:r>
            <a:endParaRPr lang="de-CH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Datenaufbereitung!$S$64:$U$64</c:f>
              <c:numCache>
                <c:formatCode>General</c:formatCode>
                <c:ptCount val="2"/>
                <c:pt idx="0">
                  <c:v>17</c:v>
                </c:pt>
                <c:pt idx="1">
                  <c:v>10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Offener Rechnungs-Betrag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de-DE"/>
              </a:p>
            </c:txPr>
            <c:dLblPos val="bestFit"/>
            <c:showLegendKey val="0"/>
            <c:showVal val="1"/>
            <c:showCatName val="0"/>
            <c:showSerName val="0"/>
            <c:showPercent val="0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Datenaufbereitung!$Z$64:$AA$64</c:f>
              <c:numCache>
                <c:formatCode>#,##0.00</c:formatCode>
                <c:ptCount val="2"/>
                <c:pt idx="0">
                  <c:v>1508.5</c:v>
                </c:pt>
                <c:pt idx="1">
                  <c:v>3090.32</c:v>
                </c:pt>
              </c:numCache>
            </c:numRef>
          </c:val>
        </c:ser>
        <c:dLbls>
          <c:dLblPos val="bestFit"/>
          <c:showLegendKey val="0"/>
          <c:showVal val="1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2er-Potenzen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v>2er-Potenzen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Potenzen!$C$10:$M$10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Potenzen!$C$11:$M$11</c:f>
              <c:numCache>
                <c:formatCode>General</c:formatCode>
                <c:ptCount val="11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8</c:v>
                </c:pt>
                <c:pt idx="4">
                  <c:v>16</c:v>
                </c:pt>
                <c:pt idx="5">
                  <c:v>32</c:v>
                </c:pt>
                <c:pt idx="6">
                  <c:v>64</c:v>
                </c:pt>
                <c:pt idx="7">
                  <c:v>128</c:v>
                </c:pt>
                <c:pt idx="8">
                  <c:v>256</c:v>
                </c:pt>
                <c:pt idx="9">
                  <c:v>512</c:v>
                </c:pt>
                <c:pt idx="10">
                  <c:v>1024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09624"/>
        <c:axId val="716910016"/>
      </c:scatterChart>
      <c:valAx>
        <c:axId val="7169096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10016"/>
        <c:crosses val="autoZero"/>
        <c:crossBetween val="midCat"/>
      </c:valAx>
      <c:valAx>
        <c:axId val="7169100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96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de-CH"/>
              <a:t>Quadratische Funktion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QuadratischeFunktion!$B$11</c:f>
              <c:strCache>
                <c:ptCount val="1"/>
                <c:pt idx="0">
                  <c:v>y1 = 0.5x^2 - 3x + 5: 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QuadratischeFunktion!$C$11:$W$11</c:f>
              <c:numCache>
                <c:formatCode>General</c:formatCode>
                <c:ptCount val="21"/>
                <c:pt idx="0">
                  <c:v>22.5</c:v>
                </c:pt>
                <c:pt idx="1">
                  <c:v>8.5</c:v>
                </c:pt>
                <c:pt idx="2">
                  <c:v>-1.5</c:v>
                </c:pt>
                <c:pt idx="3">
                  <c:v>-7.5</c:v>
                </c:pt>
                <c:pt idx="4">
                  <c:v>-9.5</c:v>
                </c:pt>
                <c:pt idx="5">
                  <c:v>-7.5</c:v>
                </c:pt>
                <c:pt idx="6">
                  <c:v>-1.5</c:v>
                </c:pt>
                <c:pt idx="7">
                  <c:v>8.5</c:v>
                </c:pt>
                <c:pt idx="8">
                  <c:v>22.5</c:v>
                </c:pt>
                <c:pt idx="9">
                  <c:v>40.5</c:v>
                </c:pt>
                <c:pt idx="10">
                  <c:v>62.5</c:v>
                </c:pt>
                <c:pt idx="11">
                  <c:v>88.5</c:v>
                </c:pt>
                <c:pt idx="12">
                  <c:v>118.5</c:v>
                </c:pt>
                <c:pt idx="13">
                  <c:v>152.5</c:v>
                </c:pt>
                <c:pt idx="14">
                  <c:v>190.5</c:v>
                </c:pt>
                <c:pt idx="15">
                  <c:v>232.5</c:v>
                </c:pt>
                <c:pt idx="16">
                  <c:v>278.5</c:v>
                </c:pt>
                <c:pt idx="17">
                  <c:v>328.5</c:v>
                </c:pt>
                <c:pt idx="18">
                  <c:v>382.5</c:v>
                </c:pt>
                <c:pt idx="19">
                  <c:v>440.5</c:v>
                </c:pt>
                <c:pt idx="20">
                  <c:v>502.5</c:v>
                </c:pt>
              </c:numCache>
            </c:numRef>
          </c:yVal>
          <c:smooth val="1"/>
        </c:ser>
        <c:ser>
          <c:idx val="1"/>
          <c:order val="1"/>
          <c:tx>
            <c:strRef>
              <c:f>QuadratischeFunktion!$B$12</c:f>
              <c:strCache>
                <c:ptCount val="1"/>
                <c:pt idx="0">
                  <c:v>y2 = x^2 -10x - 8: 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xVal>
            <c:numRef>
              <c:f>QuadratischeFunktion!$C$10:$W$10</c:f>
              <c:numCache>
                <c:formatCode>General</c:formatCode>
                <c:ptCount val="21"/>
                <c:pt idx="0">
                  <c:v>-5</c:v>
                </c:pt>
                <c:pt idx="1">
                  <c:v>-3</c:v>
                </c:pt>
                <c:pt idx="2">
                  <c:v>-1</c:v>
                </c:pt>
                <c:pt idx="3">
                  <c:v>1</c:v>
                </c:pt>
                <c:pt idx="4">
                  <c:v>3</c:v>
                </c:pt>
                <c:pt idx="5">
                  <c:v>5</c:v>
                </c:pt>
                <c:pt idx="6">
                  <c:v>7</c:v>
                </c:pt>
                <c:pt idx="7">
                  <c:v>9</c:v>
                </c:pt>
                <c:pt idx="8">
                  <c:v>11</c:v>
                </c:pt>
                <c:pt idx="9">
                  <c:v>13</c:v>
                </c:pt>
                <c:pt idx="10">
                  <c:v>15</c:v>
                </c:pt>
                <c:pt idx="11">
                  <c:v>17</c:v>
                </c:pt>
                <c:pt idx="12">
                  <c:v>19</c:v>
                </c:pt>
                <c:pt idx="13">
                  <c:v>21</c:v>
                </c:pt>
                <c:pt idx="14">
                  <c:v>23</c:v>
                </c:pt>
                <c:pt idx="15">
                  <c:v>25</c:v>
                </c:pt>
                <c:pt idx="16">
                  <c:v>27</c:v>
                </c:pt>
                <c:pt idx="17">
                  <c:v>29</c:v>
                </c:pt>
                <c:pt idx="18">
                  <c:v>31</c:v>
                </c:pt>
                <c:pt idx="19">
                  <c:v>33</c:v>
                </c:pt>
                <c:pt idx="20">
                  <c:v>35</c:v>
                </c:pt>
              </c:numCache>
            </c:numRef>
          </c:xVal>
          <c:yVal>
            <c:numRef>
              <c:f>QuadratischeFunktion!$C$12:$W$12</c:f>
              <c:numCache>
                <c:formatCode>General</c:formatCode>
                <c:ptCount val="21"/>
                <c:pt idx="0">
                  <c:v>67</c:v>
                </c:pt>
                <c:pt idx="1">
                  <c:v>31</c:v>
                </c:pt>
                <c:pt idx="2">
                  <c:v>3</c:v>
                </c:pt>
                <c:pt idx="3">
                  <c:v>-17</c:v>
                </c:pt>
                <c:pt idx="4">
                  <c:v>-29</c:v>
                </c:pt>
                <c:pt idx="5">
                  <c:v>-33</c:v>
                </c:pt>
                <c:pt idx="6">
                  <c:v>-29</c:v>
                </c:pt>
                <c:pt idx="7">
                  <c:v>-17</c:v>
                </c:pt>
                <c:pt idx="8">
                  <c:v>3</c:v>
                </c:pt>
                <c:pt idx="9">
                  <c:v>31</c:v>
                </c:pt>
                <c:pt idx="10">
                  <c:v>67</c:v>
                </c:pt>
                <c:pt idx="11">
                  <c:v>111</c:v>
                </c:pt>
                <c:pt idx="12">
                  <c:v>163</c:v>
                </c:pt>
                <c:pt idx="13">
                  <c:v>223</c:v>
                </c:pt>
                <c:pt idx="14">
                  <c:v>291</c:v>
                </c:pt>
                <c:pt idx="15">
                  <c:v>367</c:v>
                </c:pt>
                <c:pt idx="16">
                  <c:v>451</c:v>
                </c:pt>
                <c:pt idx="17">
                  <c:v>543</c:v>
                </c:pt>
                <c:pt idx="18">
                  <c:v>643</c:v>
                </c:pt>
                <c:pt idx="19">
                  <c:v>751</c:v>
                </c:pt>
                <c:pt idx="20">
                  <c:v>867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16913544"/>
        <c:axId val="716904528"/>
      </c:scatterChart>
      <c:valAx>
        <c:axId val="71691354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04528"/>
        <c:crosses val="autoZero"/>
        <c:crossBetween val="midCat"/>
      </c:valAx>
      <c:valAx>
        <c:axId val="716904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de-DE"/>
          </a:p>
        </c:txPr>
        <c:crossAx val="716913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hyperlink" Target="#Aufgaben!A1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.xml"/><Relationship Id="rId1" Type="http://schemas.openxmlformats.org/officeDocument/2006/relationships/hyperlink" Target="#Aufgaben!A1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hyperlink" Target="#Aufgaben!A1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hyperlink" Target="#Aufgaben!A1"/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hyperlink" Target="#Aufgaben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392206</xdr:colOff>
      <xdr:row>3</xdr:row>
      <xdr:rowOff>154641</xdr:rowOff>
    </xdr:from>
    <xdr:to>
      <xdr:col>6</xdr:col>
      <xdr:colOff>67235</xdr:colOff>
      <xdr:row>6</xdr:row>
      <xdr:rowOff>33616</xdr:rowOff>
    </xdr:to>
    <xdr:sp macro="[0]!Prepare_Datenaufbereitung" textlink="">
      <xdr:nvSpPr>
        <xdr:cNvPr id="5" name="Rechteck 4"/>
        <xdr:cNvSpPr/>
      </xdr:nvSpPr>
      <xdr:spPr>
        <a:xfrm>
          <a:off x="2678206" y="826994"/>
          <a:ext cx="196102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Prepare</a:t>
          </a:r>
        </a:p>
        <a:p>
          <a:pPr algn="ctr"/>
          <a:r>
            <a:rPr lang="de-CH" sz="1200">
              <a:solidFill>
                <a:schemeClr val="tx1">
                  <a:lumMod val="95000"/>
                  <a:lumOff val="5000"/>
                </a:schemeClr>
              </a:solidFill>
            </a:rPr>
            <a:t>Datenaufbereitung</a:t>
          </a:r>
        </a:p>
      </xdr:txBody>
    </xdr:sp>
    <xdr:clientData/>
  </xdr:twoCellAnchor>
  <xdr:twoCellAnchor>
    <xdr:from>
      <xdr:col>0</xdr:col>
      <xdr:colOff>750793</xdr:colOff>
      <xdr:row>6</xdr:row>
      <xdr:rowOff>87406</xdr:rowOff>
    </xdr:from>
    <xdr:to>
      <xdr:col>3</xdr:col>
      <xdr:colOff>100852</xdr:colOff>
      <xdr:row>8</xdr:row>
      <xdr:rowOff>179293</xdr:rowOff>
    </xdr:to>
    <xdr:sp macro="[0]!Show_UserLoginFm" textlink="">
      <xdr:nvSpPr>
        <xdr:cNvPr id="3" name="Rechteck 2"/>
        <xdr:cNvSpPr/>
      </xdr:nvSpPr>
      <xdr:spPr>
        <a:xfrm>
          <a:off x="750793" y="1353671"/>
          <a:ext cx="1636059" cy="472887"/>
        </a:xfrm>
        <a:prstGeom prst="rect">
          <a:avLst/>
        </a:prstGeom>
        <a:solidFill>
          <a:schemeClr val="bg1">
            <a:lumMod val="5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de-CH" sz="1600">
              <a:solidFill>
                <a:schemeClr val="tx1">
                  <a:lumMod val="95000"/>
                  <a:lumOff val="5000"/>
                </a:schemeClr>
              </a:solidFill>
            </a:rPr>
            <a:t>Login</a:t>
          </a:r>
        </a:p>
      </xdr:txBody>
    </xdr:sp>
    <xdr:clientData/>
  </xdr:twoCellAnchor>
  <xdr:oneCellAnchor>
    <xdr:from>
      <xdr:col>0</xdr:col>
      <xdr:colOff>705970</xdr:colOff>
      <xdr:row>2</xdr:row>
      <xdr:rowOff>134470</xdr:rowOff>
    </xdr:from>
    <xdr:ext cx="11138645" cy="2017060"/>
    <xdr:sp macro="" textlink="">
      <xdr:nvSpPr>
        <xdr:cNvPr id="4" name="Textfeld 3"/>
        <xdr:cNvSpPr txBox="1"/>
      </xdr:nvSpPr>
      <xdr:spPr>
        <a:xfrm>
          <a:off x="705970" y="616323"/>
          <a:ext cx="11138645" cy="201706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Nachdem Sie sich eingelogged haben, speichern Sie dieses Excelfile unter folgendem Namenmuster ab:</a:t>
          </a:r>
          <a:br>
            <a:rPr lang="de-CH" sz="1800"/>
          </a:br>
          <a:r>
            <a:rPr lang="de-CH" sz="1800"/>
            <a:t>	</a:t>
          </a:r>
          <a:r>
            <a:rPr lang="de-CH" sz="1800" b="1"/>
            <a:t>Vorname_Nachname_yyyy_mm_dd.xlsm</a:t>
          </a:r>
          <a:br>
            <a:rPr lang="de-CH" sz="1800" b="1"/>
          </a:br>
          <a:r>
            <a:rPr lang="de-CH" sz="1800" b="1"/>
            <a:t>     </a:t>
          </a:r>
          <a:r>
            <a:rPr lang="de-CH" sz="1800" b="0"/>
            <a:t>z.B.</a:t>
          </a:r>
          <a:r>
            <a:rPr lang="de-CH" sz="1800" b="0" baseline="0"/>
            <a:t> Walter_Rothlin_2020_10_22.xlsm (Wird das File nicht mit diesem Namen hochgeladen  ==&gt; 1 Note Abzug!)</a:t>
          </a:r>
          <a:endParaRPr lang="de-CH" sz="1800" b="0"/>
        </a:p>
        <a:p>
          <a:pPr marL="228600" indent="-228600">
            <a:buFont typeface="+mj-lt"/>
            <a:buAutoNum type="arabicPeriod"/>
          </a:pPr>
          <a:r>
            <a:rPr lang="de-CH" sz="1800"/>
            <a:t>Auf den </a:t>
          </a:r>
          <a:r>
            <a:rPr lang="de-CH" sz="1800">
              <a:solidFill>
                <a:srgbClr val="FF0000"/>
              </a:solidFill>
            </a:rPr>
            <a:t>roten</a:t>
          </a:r>
          <a:r>
            <a:rPr lang="de-CH" sz="1800" baseline="0">
              <a:solidFill>
                <a:srgbClr val="FF0000"/>
              </a:solidFill>
            </a:rPr>
            <a:t> </a:t>
          </a:r>
          <a:r>
            <a:rPr lang="de-CH" sz="1800" baseline="0"/>
            <a:t>Spreadsheets finden Sie die Aufgaben mit den Erklärungen zu den Teilaufgaben.</a:t>
          </a:r>
        </a:p>
        <a:p>
          <a:pPr marL="228600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Ein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 grosser Teil der Aufgaben werden automatisch korrigiert.</a:t>
          </a:r>
        </a:p>
        <a:p>
          <a:pPr marL="228600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Aendern Sie nur Felder die entsprechend markiert sind und auf </a:t>
          </a:r>
          <a:r>
            <a:rPr lang="de-CH" sz="1800" b="1" baseline="0">
              <a:solidFill>
                <a:schemeClr val="tx1"/>
              </a:solidFill>
              <a:latin typeface="+mn-lt"/>
              <a:ea typeface="+mn-ea"/>
              <a:cs typeface="+mn-cs"/>
            </a:rPr>
            <a:t>keinen Fall </a:t>
          </a: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Test-Daten oder vorgegebene Formeln.</a:t>
          </a:r>
          <a:endParaRPr lang="de-CH" sz="180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112059</xdr:colOff>
      <xdr:row>6</xdr:row>
      <xdr:rowOff>168087</xdr:rowOff>
    </xdr:from>
    <xdr:ext cx="10981765" cy="4964205"/>
    <xdr:sp macro="" textlink="">
      <xdr:nvSpPr>
        <xdr:cNvPr id="2" name="Textfeld 1"/>
        <xdr:cNvSpPr txBox="1"/>
      </xdr:nvSpPr>
      <xdr:spPr>
        <a:xfrm>
          <a:off x="112059" y="1434912"/>
          <a:ext cx="10981765" cy="4964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800"/>
            <a:t>Formeln programmieren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weissen und gelben Felder verändern Sie nicht.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Die Spezifikation der Spalte finden Sie im Header der Spalte als Kommentar (mit der Maus darüber fahren).</a:t>
          </a:r>
          <a:endParaRPr lang="de-CH" sz="1100" baseline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685800" lvl="1" indent="-228600">
            <a:buFont typeface="+mj-lt"/>
            <a:buAutoNum type="arabicPeriod"/>
          </a:pPr>
          <a:r>
            <a:rPr lang="de-CH" sz="1800"/>
            <a:t>Ersetzen</a:t>
          </a:r>
          <a:r>
            <a:rPr lang="de-CH" sz="1800" baseline="0"/>
            <a:t> Sie auf Zeile 37 im </a:t>
          </a:r>
          <a:r>
            <a:rPr lang="de-CH" sz="1800" baseline="0">
              <a:solidFill>
                <a:srgbClr val="FF0000"/>
              </a:solidFill>
            </a:rPr>
            <a:t>DatenAufbereiten</a:t>
          </a:r>
          <a:r>
            <a:rPr lang="de-CH" sz="1800" baseline="0"/>
            <a:t> das </a:t>
          </a:r>
          <a:r>
            <a:rPr lang="de-CH" sz="1800" baseline="0">
              <a:solidFill>
                <a:srgbClr val="FFC000"/>
              </a:solidFill>
            </a:rPr>
            <a:t>orange  </a:t>
          </a:r>
          <a:r>
            <a:rPr lang="de-CH" sz="1800" baseline="0"/>
            <a:t>Feld durch ein Formeln.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Kopieren Sie anschliessend die Formel  auf die restlichen Felder dieser Spalte bis Zeile 63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/>
            <a:t>Nun sollten alle Felder grün werden. Haben Sie noch pinke Felder ist die Formel noch nicht ganz richtig.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Korrigieren Sie diese Formel bis das Feld grün wird.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Denken Sie aber daran, diese Formeln am Schluss auf alle Zellen dieser Spalte zu kopieren! 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/>
            <a:t>Beim korrigieren wird zuerst die Formel in jeder Spalte von Zeile 37 auf die anderen Zellen kopiert!</a:t>
          </a:r>
        </a:p>
        <a:p>
          <a:pPr marL="1143000" lvl="2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Statistische Diagramme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Erstellen Sie ein "Kuchendiagramm" welches zeigt, wieviele Personen den Beitrag bezahlt und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wieviele diesen noch nicht bezahlt haben.</a:t>
          </a:r>
        </a:p>
        <a:p>
          <a:pPr marL="685800" lvl="1" indent="-228600">
            <a:buFont typeface="+mj-lt"/>
            <a:buAutoNum type="arabicPeriod"/>
          </a:pP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Berechnen Sie die Summe der Rechnungsbeträge und der eingegangenen Zahlungen und erstellen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Sie ein "Kuchendiagramm", welches die zwei Beträge eingegangene Zahlung und Offener Betrag in 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  <a:t>einem Verhältnis zeigt.</a:t>
          </a:r>
          <a:br>
            <a:rPr lang="de-CH" sz="1800" baseline="0">
              <a:solidFill>
                <a:schemeClr val="tx1"/>
              </a:solidFill>
              <a:latin typeface="+mn-lt"/>
              <a:ea typeface="+mn-ea"/>
              <a:cs typeface="+mn-cs"/>
            </a:rPr>
          </a:br>
          <a:endParaRPr lang="de-CH" sz="1800" baseline="0">
            <a:solidFill>
              <a:schemeClr val="tx1"/>
            </a:solidFill>
            <a:latin typeface="+mn-lt"/>
            <a:ea typeface="+mn-ea"/>
            <a:cs typeface="+mn-cs"/>
          </a:endParaRPr>
        </a:p>
      </xdr:txBody>
    </xdr:sp>
    <xdr:clientData/>
  </xdr:oneCellAnchor>
  <xdr:twoCellAnchor>
    <xdr:from>
      <xdr:col>24</xdr:col>
      <xdr:colOff>293596</xdr:colOff>
      <xdr:row>12</xdr:row>
      <xdr:rowOff>112060</xdr:rowOff>
    </xdr:from>
    <xdr:to>
      <xdr:col>25</xdr:col>
      <xdr:colOff>840442</xdr:colOff>
      <xdr:row>16</xdr:row>
      <xdr:rowOff>11205</xdr:rowOff>
    </xdr:to>
    <xdr:sp macro="[0]!Korrektur_Datenaufbereitung" textlink="">
      <xdr:nvSpPr>
        <xdr:cNvPr id="5" name="Rechteck 4"/>
        <xdr:cNvSpPr/>
      </xdr:nvSpPr>
      <xdr:spPr>
        <a:xfrm>
          <a:off x="24315646" y="2588560"/>
          <a:ext cx="1718421" cy="718295"/>
        </a:xfrm>
        <a:prstGeom prst="rect">
          <a:avLst/>
        </a:prstGeom>
        <a:effectLst>
          <a:outerShdw blurRad="50800" dist="38100" dir="2700000" algn="tl" rotWithShape="0">
            <a:prstClr val="black">
              <a:alpha val="40000"/>
            </a:prstClr>
          </a:outerShdw>
        </a:effectLst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de-CH" sz="1100"/>
            <a:t>korrigieren</a:t>
          </a:r>
        </a:p>
        <a:p>
          <a:pPr algn="ctr"/>
          <a:r>
            <a:rPr lang="de-CH" sz="1100"/>
            <a:t>(Vorsicht</a:t>
          </a:r>
          <a:r>
            <a:rPr lang="de-CH" sz="1100" baseline="0"/>
            <a:t> Formeln werden überschrieben!)</a:t>
          </a:r>
          <a:endParaRPr lang="de-CH" sz="1100"/>
        </a:p>
      </xdr:txBody>
    </xdr:sp>
    <xdr:clientData/>
  </xdr:twoCellAnchor>
  <xdr:twoCellAnchor>
    <xdr:from>
      <xdr:col>1</xdr:col>
      <xdr:colOff>168088</xdr:colOff>
      <xdr:row>2</xdr:row>
      <xdr:rowOff>89647</xdr:rowOff>
    </xdr:from>
    <xdr:to>
      <xdr:col>2</xdr:col>
      <xdr:colOff>-1</xdr:colOff>
      <xdr:row>4</xdr:row>
      <xdr:rowOff>145676</xdr:rowOff>
    </xdr:to>
    <xdr:sp macro="" textlink="">
      <xdr:nvSpPr>
        <xdr:cNvPr id="6" name="Pfeil nach links 5">
          <a:hlinkClick xmlns:r="http://schemas.openxmlformats.org/officeDocument/2006/relationships" r:id="rId1"/>
        </xdr:cNvPr>
        <xdr:cNvSpPr/>
      </xdr:nvSpPr>
      <xdr:spPr>
        <a:xfrm>
          <a:off x="549088" y="584947"/>
          <a:ext cx="832036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17</xdr:col>
      <xdr:colOff>560294</xdr:colOff>
      <xdr:row>65</xdr:row>
      <xdr:rowOff>56029</xdr:rowOff>
    </xdr:from>
    <xdr:to>
      <xdr:col>22</xdr:col>
      <xdr:colOff>784412</xdr:colOff>
      <xdr:row>78</xdr:row>
      <xdr:rowOff>66114</xdr:rowOff>
    </xdr:to>
    <xdr:graphicFrame macro="">
      <xdr:nvGraphicFramePr>
        <xdr:cNvPr id="7" name="Diagramm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515470</xdr:colOff>
      <xdr:row>66</xdr:row>
      <xdr:rowOff>0</xdr:rowOff>
    </xdr:from>
    <xdr:to>
      <xdr:col>26</xdr:col>
      <xdr:colOff>728383</xdr:colOff>
      <xdr:row>78</xdr:row>
      <xdr:rowOff>22411</xdr:rowOff>
    </xdr:to>
    <xdr:graphicFrame macro="">
      <xdr:nvGraphicFramePr>
        <xdr:cNvPr id="8" name="Diagramm 7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11208</xdr:colOff>
      <xdr:row>14</xdr:row>
      <xdr:rowOff>123263</xdr:rowOff>
    </xdr:from>
    <xdr:ext cx="11004176" cy="997325"/>
    <xdr:sp macro="" textlink="">
      <xdr:nvSpPr>
        <xdr:cNvPr id="2" name="Textfeld 1"/>
        <xdr:cNvSpPr txBox="1"/>
      </xdr:nvSpPr>
      <xdr:spPr>
        <a:xfrm>
          <a:off x="392208" y="2933138"/>
          <a:ext cx="11004176" cy="99732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nur Aenderungen in den rosa Feldern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Gruppe (sind aufsteigend nach Schwierigkeit)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"Programmieren" Sie eine Formel und kopieren diese auf alle Testfälle einer Gruppe</a:t>
          </a:r>
        </a:p>
      </xdr:txBody>
    </xdr:sp>
    <xdr:clientData/>
  </xdr:oneCellAnchor>
  <xdr:twoCellAnchor>
    <xdr:from>
      <xdr:col>1</xdr:col>
      <xdr:colOff>0</xdr:colOff>
      <xdr:row>3</xdr:row>
      <xdr:rowOff>0</xdr:rowOff>
    </xdr:from>
    <xdr:to>
      <xdr:col>1</xdr:col>
      <xdr:colOff>829235</xdr:colOff>
      <xdr:row>5</xdr:row>
      <xdr:rowOff>56029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81000" y="694765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oneCellAnchor>
    <xdr:from>
      <xdr:col>1</xdr:col>
      <xdr:colOff>1445559</xdr:colOff>
      <xdr:row>3</xdr:row>
      <xdr:rowOff>67235</xdr:rowOff>
    </xdr:from>
    <xdr:ext cx="3843618" cy="1015919"/>
    <xdr:sp macro="" textlink="">
      <xdr:nvSpPr>
        <xdr:cNvPr id="5" name="Textfeld 4"/>
        <xdr:cNvSpPr txBox="1"/>
      </xdr:nvSpPr>
      <xdr:spPr>
        <a:xfrm>
          <a:off x="1826559" y="762000"/>
          <a:ext cx="3843618" cy="1015919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 der Korrektur, 1. Formel jeder Gruppe auf die Zellen der folgenden Zellen kopieren!</a:t>
          </a:r>
          <a:endParaRPr lang="de-CH" sz="1600">
            <a:effectLst/>
          </a:endParaRPr>
        </a:p>
        <a:p>
          <a:endParaRPr lang="de-CH" sz="11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oneCellAnchor>
    <xdr:from>
      <xdr:col>1</xdr:col>
      <xdr:colOff>19051</xdr:colOff>
      <xdr:row>2</xdr:row>
      <xdr:rowOff>180976</xdr:rowOff>
    </xdr:from>
    <xdr:ext cx="9163050" cy="857250"/>
    <xdr:sp macro="" textlink="">
      <xdr:nvSpPr>
        <xdr:cNvPr id="3" name="Textfeld 2"/>
        <xdr:cNvSpPr txBox="1"/>
      </xdr:nvSpPr>
      <xdr:spPr>
        <a:xfrm>
          <a:off x="781051" y="609601"/>
          <a:ext cx="9163050" cy="857250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/>
            <a:t>Erstellen Sie in diesem Worksheet "Potenzen"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Wertetabelle mit </a:t>
          </a:r>
          <a:r>
            <a:rPr lang="de-CH" sz="1200" b="1"/>
            <a:t>x [0..10</a:t>
          </a:r>
          <a:r>
            <a:rPr lang="de-CH" sz="1200"/>
            <a:t>] und </a:t>
          </a:r>
          <a:r>
            <a:rPr lang="de-CH" sz="1200" b="1"/>
            <a:t>y = 2^x</a:t>
          </a:r>
        </a:p>
        <a:p>
          <a:pPr marL="1143000" lvl="2" indent="-228600">
            <a:buFont typeface="+mj-lt"/>
            <a:buAutoNum type="arabicPeriod"/>
          </a:pPr>
          <a:r>
            <a:rPr lang="de-CH" sz="1200"/>
            <a:t>Erstellen Sie eine </a:t>
          </a:r>
          <a:r>
            <a:rPr lang="de-CH" sz="1200" b="1"/>
            <a:t>x-y Plotter </a:t>
          </a:r>
          <a:r>
            <a:rPr lang="de-CH" sz="1200"/>
            <a:t>(Grafik von dieser Wertetabelle)</a:t>
          </a:r>
        </a:p>
      </xdr:txBody>
    </xdr:sp>
    <xdr:clientData/>
  </xdr:oneCellAnchor>
  <xdr:twoCellAnchor>
    <xdr:from>
      <xdr:col>6</xdr:col>
      <xdr:colOff>180975</xdr:colOff>
      <xdr:row>0</xdr:row>
      <xdr:rowOff>114300</xdr:rowOff>
    </xdr:from>
    <xdr:to>
      <xdr:col>7</xdr:col>
      <xdr:colOff>248210</xdr:colOff>
      <xdr:row>2</xdr:row>
      <xdr:rowOff>122704</xdr:rowOff>
    </xdr:to>
    <xdr:sp macro="" textlink="">
      <xdr:nvSpPr>
        <xdr:cNvPr id="4" name="Pfeil nach links 3">
          <a:hlinkClick xmlns:r="http://schemas.openxmlformats.org/officeDocument/2006/relationships" r:id="rId1"/>
        </xdr:cNvPr>
        <xdr:cNvSpPr/>
      </xdr:nvSpPr>
      <xdr:spPr>
        <a:xfrm>
          <a:off x="4791075" y="1143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13</xdr:row>
      <xdr:rowOff>0</xdr:rowOff>
    </xdr:from>
    <xdr:to>
      <xdr:col>12</xdr:col>
      <xdr:colOff>752476</xdr:colOff>
      <xdr:row>29</xdr:row>
      <xdr:rowOff>114300</xdr:rowOff>
    </xdr:to>
    <xdr:graphicFrame macro="">
      <xdr:nvGraphicFramePr>
        <xdr:cNvPr id="5" name="Diagramm 4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752475</xdr:colOff>
      <xdr:row>2</xdr:row>
      <xdr:rowOff>47626</xdr:rowOff>
    </xdr:from>
    <xdr:ext cx="17249775" cy="962024"/>
    <xdr:sp macro="" textlink="">
      <xdr:nvSpPr>
        <xdr:cNvPr id="3" name="Textfeld 2"/>
        <xdr:cNvSpPr txBox="1"/>
      </xdr:nvSpPr>
      <xdr:spPr>
        <a:xfrm>
          <a:off x="752475" y="476251"/>
          <a:ext cx="17249775" cy="962024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685800" lvl="1" indent="-228600">
            <a:buFont typeface="+mj-lt"/>
            <a:buAutoNum type="arabicPeriod"/>
          </a:pPr>
          <a:r>
            <a:rPr lang="de-CH" sz="1800">
              <a:solidFill>
                <a:schemeClr val="tx1"/>
              </a:solidFill>
              <a:latin typeface="+mn-lt"/>
              <a:ea typeface="+mn-ea"/>
              <a:cs typeface="+mn-cs"/>
            </a:rPr>
            <a:t>Erstellen Sie in diesem Worksheet "Quadratische Funktion"</a:t>
          </a: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Wertetabelle mit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 (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20 Werte)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y1 = 0.5x^2 - 3x + 5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und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y2 = x^2 -10x - 8</a:t>
          </a:r>
          <a:r>
            <a:rPr lang="de-CH" sz="1100" b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 x-Werte machen Sie mit Formeln, so dass 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min </a:t>
          </a:r>
          <a:r>
            <a:rPr lang="de-CH" sz="1100" b="1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-5)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und S</a:t>
          </a:r>
          <a:r>
            <a:rPr lang="de-CH" sz="11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tep-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Grösse </a:t>
          </a:r>
          <a:r>
            <a:rPr lang="de-CH" sz="1100" b="0" baseline="0">
              <a:solidFill>
                <a:srgbClr val="92D050"/>
              </a:solidFill>
              <a:effectLst/>
              <a:latin typeface="+mn-lt"/>
              <a:ea typeface="+mn-ea"/>
              <a:cs typeface="+mn-cs"/>
            </a:rPr>
            <a:t>(z.B. 2) (in einem separaten Feld) </a:t>
          </a: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1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dynamisch geändert werden kann.</a:t>
          </a:r>
          <a:endParaRPr lang="de-CH" sz="1100" b="0">
            <a:solidFill>
              <a:schemeClr val="tx1"/>
            </a:solidFill>
            <a:effectLst/>
            <a:latin typeface="+mn-lt"/>
            <a:ea typeface="+mn-ea"/>
            <a:cs typeface="+mn-cs"/>
          </a:endParaRPr>
        </a:p>
        <a:p>
          <a:pPr marL="1143000" lvl="2" indent="-228600">
            <a:buFont typeface="+mj-lt"/>
            <a:buAutoNum type="arabicPeriod"/>
          </a:pP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Erstellen Sie eine </a:t>
          </a:r>
          <a:r>
            <a:rPr lang="de-CH" sz="11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x-y Plotter </a:t>
          </a:r>
          <a:r>
            <a:rPr lang="de-CH" sz="11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von diesen 2 Funktionen in einem Diagramm (Grafik von dieser Wertetabelle)</a:t>
          </a:r>
        </a:p>
      </xdr:txBody>
    </xdr:sp>
    <xdr:clientData/>
  </xdr:oneCellAnchor>
  <xdr:oneCellAnchor>
    <xdr:from>
      <xdr:col>15</xdr:col>
      <xdr:colOff>504825</xdr:colOff>
      <xdr:row>32</xdr:row>
      <xdr:rowOff>133350</xdr:rowOff>
    </xdr:from>
    <xdr:ext cx="184731" cy="264560"/>
    <xdr:sp macro="" textlink="">
      <xdr:nvSpPr>
        <xdr:cNvPr id="4" name="Textfeld 3"/>
        <xdr:cNvSpPr txBox="1"/>
      </xdr:nvSpPr>
      <xdr:spPr>
        <a:xfrm>
          <a:off x="12401550" y="63912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de-CH" sz="1100"/>
        </a:p>
      </xdr:txBody>
    </xdr:sp>
    <xdr:clientData/>
  </xdr:oneCellAnchor>
  <xdr:twoCellAnchor>
    <xdr:from>
      <xdr:col>6</xdr:col>
      <xdr:colOff>542925</xdr:colOff>
      <xdr:row>0</xdr:row>
      <xdr:rowOff>38100</xdr:rowOff>
    </xdr:from>
    <xdr:to>
      <xdr:col>7</xdr:col>
      <xdr:colOff>610160</xdr:colOff>
      <xdr:row>1</xdr:row>
      <xdr:rowOff>198904</xdr:rowOff>
    </xdr:to>
    <xdr:sp macro="" textlink="">
      <xdr:nvSpPr>
        <xdr:cNvPr id="5" name="Pfeil nach links 4">
          <a:hlinkClick xmlns:r="http://schemas.openxmlformats.org/officeDocument/2006/relationships" r:id="rId1"/>
        </xdr:cNvPr>
        <xdr:cNvSpPr/>
      </xdr:nvSpPr>
      <xdr:spPr>
        <a:xfrm>
          <a:off x="5581650" y="381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  <xdr:twoCellAnchor>
    <xdr:from>
      <xdr:col>1</xdr:col>
      <xdr:colOff>0</xdr:colOff>
      <xdr:row>15</xdr:row>
      <xdr:rowOff>0</xdr:rowOff>
    </xdr:from>
    <xdr:to>
      <xdr:col>14</xdr:col>
      <xdr:colOff>257175</xdr:colOff>
      <xdr:row>43</xdr:row>
      <xdr:rowOff>142875</xdr:rowOff>
    </xdr:to>
    <xdr:graphicFrame macro="">
      <xdr:nvGraphicFramePr>
        <xdr:cNvPr id="6" name="Diagramm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514351</xdr:colOff>
      <xdr:row>2</xdr:row>
      <xdr:rowOff>40822</xdr:rowOff>
    </xdr:from>
    <xdr:ext cx="12289970" cy="3129642"/>
    <xdr:sp macro="" textlink="">
      <xdr:nvSpPr>
        <xdr:cNvPr id="2" name="Textfeld 1"/>
        <xdr:cNvSpPr txBox="1"/>
      </xdr:nvSpPr>
      <xdr:spPr>
        <a:xfrm>
          <a:off x="514351" y="478972"/>
          <a:ext cx="12289970" cy="3129642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lvl="0" indent="-228600">
            <a:buFont typeface="+mj-lt"/>
            <a:buAutoNum type="arabicPeriod"/>
          </a:pPr>
          <a:r>
            <a:rPr lang="de-CH" sz="28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Daten von Extern Laden</a:t>
          </a:r>
        </a:p>
        <a:p>
          <a:pPr marL="685800" lvl="1" indent="-228600">
            <a:buFont typeface="+mj-lt"/>
            <a:buAutoNum type="arabicPeriod"/>
          </a:pP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Laden Sie die Daten von </a:t>
          </a:r>
          <a:r>
            <a:rPr lang="de-CH" sz="1600" b="1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http://hwz.peterliwiese.ch/examples/Adressliste.txt 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in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dieses</a:t>
          </a:r>
          <a:r>
            <a:rPr lang="de-CH" sz="16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(ab Zelle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A22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)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Splitten Sie die Daten auf Spalten auf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die Spalten so breit, dass die Daten nicht überlappend 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Formatieren Sie die Tabelle mit Rahmen und Farben, so dass diese übersichtlicher wird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Fügen Sie Autofilter dazu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Sortieren Sie die Daten nach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Vornamen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aufsteigend. Bei gleichen Vornamen zusätzlich nach Strasse absteigend</a:t>
          </a:r>
        </a:p>
        <a:p>
          <a:pPr marL="685800" lvl="1" indent="-228600">
            <a:buFont typeface="+mj-lt"/>
            <a:buAutoNum type="arabicPeriod"/>
          </a:pP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Zeigen Sie nur Adressen von Personen in </a:t>
          </a:r>
          <a:r>
            <a:rPr lang="de-CH" sz="1600" b="1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Lachen</a:t>
          </a:r>
          <a:r>
            <a:rPr lang="de-CH" sz="1600" b="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  <a:endParaRPr lang="de-CH" sz="1600" b="1">
            <a:effectLst/>
          </a:endParaRPr>
        </a:p>
      </xdr:txBody>
    </xdr:sp>
    <xdr:clientData/>
  </xdr:oneCellAnchor>
  <xdr:twoCellAnchor editAs="oneCell">
    <xdr:from>
      <xdr:col>11</xdr:col>
      <xdr:colOff>136071</xdr:colOff>
      <xdr:row>23</xdr:row>
      <xdr:rowOff>108858</xdr:rowOff>
    </xdr:from>
    <xdr:to>
      <xdr:col>23</xdr:col>
      <xdr:colOff>258536</xdr:colOff>
      <xdr:row>52</xdr:row>
      <xdr:rowOff>108858</xdr:rowOff>
    </xdr:to>
    <xdr:pic>
      <xdr:nvPicPr>
        <xdr:cNvPr id="3" name="Grafik 2"/>
        <xdr:cNvPicPr>
          <a:picLocks noChangeAspect="1"/>
        </xdr:cNvPicPr>
      </xdr:nvPicPr>
      <xdr:blipFill rotWithShape="1">
        <a:blip xmlns:r="http://schemas.openxmlformats.org/officeDocument/2006/relationships" r:embed="rId1"/>
        <a:srcRect l="198" t="26172" r="32234" b="6835"/>
        <a:stretch/>
      </xdr:blipFill>
      <xdr:spPr>
        <a:xfrm>
          <a:off x="13661571" y="4642758"/>
          <a:ext cx="9266465" cy="5534025"/>
        </a:xfrm>
        <a:prstGeom prst="rect">
          <a:avLst/>
        </a:prstGeom>
      </xdr:spPr>
    </xdr:pic>
    <xdr:clientData/>
  </xdr:twoCellAnchor>
  <xdr:twoCellAnchor>
    <xdr:from>
      <xdr:col>4</xdr:col>
      <xdr:colOff>816428</xdr:colOff>
      <xdr:row>0</xdr:row>
      <xdr:rowOff>217714</xdr:rowOff>
    </xdr:from>
    <xdr:to>
      <xdr:col>4</xdr:col>
      <xdr:colOff>1645663</xdr:colOff>
      <xdr:row>1</xdr:row>
      <xdr:rowOff>205707</xdr:rowOff>
    </xdr:to>
    <xdr:sp macro="" textlink="">
      <xdr:nvSpPr>
        <xdr:cNvPr id="4" name="Pfeil nach links 3">
          <a:hlinkClick xmlns:r="http://schemas.openxmlformats.org/officeDocument/2006/relationships" r:id="rId2"/>
        </xdr:cNvPr>
        <xdr:cNvSpPr/>
      </xdr:nvSpPr>
      <xdr:spPr>
        <a:xfrm>
          <a:off x="4966607" y="217714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268942</xdr:colOff>
      <xdr:row>13</xdr:row>
      <xdr:rowOff>134469</xdr:rowOff>
    </xdr:from>
    <xdr:ext cx="11093823" cy="3059205"/>
    <xdr:sp macro="" textlink="">
      <xdr:nvSpPr>
        <xdr:cNvPr id="2" name="Textfeld 1"/>
        <xdr:cNvSpPr txBox="1"/>
      </xdr:nvSpPr>
      <xdr:spPr>
        <a:xfrm>
          <a:off x="268942" y="2801469"/>
          <a:ext cx="11093823" cy="3059205"/>
        </a:xfrm>
        <a:prstGeom prst="rect">
          <a:avLst/>
        </a:prstGeom>
        <a:solidFill>
          <a:srgbClr val="FFFF00"/>
        </a:solidFill>
        <a:ln>
          <a:solidFill>
            <a:schemeClr val="tx1">
              <a:lumMod val="95000"/>
              <a:lumOff val="5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Analysieren Sie die Testfälle einer Funktion (Reihenfolge ist frei wählbar) 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Machen Sie </a:t>
          </a:r>
          <a:r>
            <a:rPr lang="de-CH" sz="1600" b="1" u="sng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keine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Aenderungen an igrend welchen Zellen!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Oeffnen Sie den Makro-Editor (alt-F11) und das 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Funktion definiert?</a:t>
          </a:r>
        </a:p>
        <a:p>
          <a:pPr marL="685800" marR="0" lvl="1" indent="-22860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 typeface="+mj-lt"/>
            <a:buAutoNum type="arabicPeriod"/>
            <a:tabLst/>
            <a:defRPr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Then: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Passen Sie die Implementation so an (Fehler beheben), bis die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sind</a:t>
          </a:r>
        </a:p>
        <a:p>
          <a:pPr marL="685800" lvl="1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Else: </a:t>
          </a:r>
          <a:b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   -- Definieren Sie  diese Funktion als Dummy (richtige Funktions-Signatur und Returnwert) im  VBA-Module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IhreLoesungen.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/>
          </a:r>
          <a:b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   -- Dadurch vermeiden Sie die 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#NAME? </a:t>
          </a:r>
          <a:r>
            <a:rPr lang="de-CH" sz="1600" b="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im</a:t>
          </a:r>
          <a:r>
            <a:rPr lang="de-CH" sz="1600" b="1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 </a:t>
          </a: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Test-Cases</a:t>
          </a:r>
          <a:b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</a:br>
          <a:r>
            <a:rPr lang="de-CH" sz="1600" baseline="0"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    </a:t>
          </a:r>
          <a:r>
            <a:rPr lang="de-CH" sz="1600" baseline="0">
              <a:solidFill>
                <a:schemeClr val="tx1">
                  <a:lumMod val="95000"/>
                  <a:lumOff val="5000"/>
                </a:schemeClr>
              </a:solidFill>
              <a:effectLst/>
              <a:latin typeface="+mn-lt"/>
              <a:ea typeface="+mn-ea"/>
              <a:cs typeface="+mn-cs"/>
            </a:rPr>
            <a:t>-- Nun 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implenetieren Sie die Funktion bis allse Tests </a:t>
          </a:r>
          <a:r>
            <a:rPr lang="de-CH" sz="1600" baseline="0">
              <a:solidFill>
                <a:srgbClr val="00B050"/>
              </a:solidFill>
              <a:effectLst/>
              <a:latin typeface="+mn-lt"/>
              <a:ea typeface="+mn-ea"/>
              <a:cs typeface="+mn-cs"/>
            </a:rPr>
            <a:t>ok</a:t>
          </a: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 sind.</a:t>
          </a:r>
        </a:p>
        <a:p>
          <a:pPr marL="228600" indent="-228600">
            <a:buFont typeface="+mj-lt"/>
            <a:buAutoNum type="arabicPeriod"/>
          </a:pPr>
          <a:r>
            <a:rPr lang="de-CH" sz="1600" baseline="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Gehen Sie zur nächsten Funktion und beginnen mit Punkt 2</a:t>
          </a:r>
        </a:p>
      </xdr:txBody>
    </xdr:sp>
    <xdr:clientData/>
  </xdr:oneCellAnchor>
  <xdr:twoCellAnchor>
    <xdr:from>
      <xdr:col>1</xdr:col>
      <xdr:colOff>11206</xdr:colOff>
      <xdr:row>2</xdr:row>
      <xdr:rowOff>78441</xdr:rowOff>
    </xdr:from>
    <xdr:to>
      <xdr:col>1</xdr:col>
      <xdr:colOff>840441</xdr:colOff>
      <xdr:row>4</xdr:row>
      <xdr:rowOff>78441</xdr:rowOff>
    </xdr:to>
    <xdr:sp macro="" textlink="">
      <xdr:nvSpPr>
        <xdr:cNvPr id="3" name="Pfeil nach links 2">
          <a:hlinkClick xmlns:r="http://schemas.openxmlformats.org/officeDocument/2006/relationships" r:id="rId1"/>
        </xdr:cNvPr>
        <xdr:cNvSpPr/>
      </xdr:nvSpPr>
      <xdr:spPr>
        <a:xfrm>
          <a:off x="392206" y="571500"/>
          <a:ext cx="829235" cy="437029"/>
        </a:xfrm>
        <a:prstGeom prst="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CH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"/>
  <dimension ref="B2:O114"/>
  <sheetViews>
    <sheetView showGridLines="0" tabSelected="1" zoomScale="85" zoomScaleNormal="85" workbookViewId="0">
      <selection activeCell="Q17" sqref="Q17"/>
    </sheetView>
  </sheetViews>
  <sheetFormatPr baseColWidth="10" defaultRowHeight="15" x14ac:dyDescent="0.25"/>
  <cols>
    <col min="13" max="13" width="17" customWidth="1"/>
    <col min="14" max="15" width="24.28515625" customWidth="1"/>
  </cols>
  <sheetData>
    <row r="2" spans="2:6" ht="23.25" x14ac:dyDescent="0.35">
      <c r="B2" s="1" t="s">
        <v>0</v>
      </c>
      <c r="F2" t="s">
        <v>1268</v>
      </c>
    </row>
    <row r="4" spans="2:6" ht="15.75" thickBot="1" x14ac:dyDescent="0.3"/>
    <row r="5" spans="2:6" ht="15.75" thickBot="1" x14ac:dyDescent="0.3">
      <c r="B5" s="34" t="s">
        <v>268</v>
      </c>
      <c r="C5" s="35"/>
    </row>
    <row r="6" spans="2:6" x14ac:dyDescent="0.25">
      <c r="B6" s="36"/>
      <c r="C6" s="37"/>
    </row>
    <row r="22" spans="2:15" x14ac:dyDescent="0.25">
      <c r="B22" s="17"/>
    </row>
    <row r="23" spans="2:15" x14ac:dyDescent="0.25">
      <c r="B23" s="17"/>
    </row>
    <row r="25" spans="2:15" ht="18.75" x14ac:dyDescent="0.3">
      <c r="B25" s="74" t="s">
        <v>334</v>
      </c>
    </row>
    <row r="26" spans="2:15" ht="15.75" thickBot="1" x14ac:dyDescent="0.3">
      <c r="H26" t="s">
        <v>340</v>
      </c>
      <c r="I26" t="s">
        <v>341</v>
      </c>
    </row>
    <row r="27" spans="2:15" x14ac:dyDescent="0.25">
      <c r="B27" s="43" t="str">
        <f>Datenaufbereitung!B2</f>
        <v>M100: Datenaufbereitung mit Formeln in Excel</v>
      </c>
      <c r="H27" s="126">
        <f>Datenaufbereitung!R17</f>
        <v>6</v>
      </c>
      <c r="I27" s="127">
        <v>3</v>
      </c>
      <c r="J27" s="119">
        <f>H27*I27</f>
        <v>18</v>
      </c>
      <c r="M27" s="129" t="s">
        <v>346</v>
      </c>
      <c r="N27" s="130" t="s">
        <v>347</v>
      </c>
      <c r="O27" s="131" t="s">
        <v>16</v>
      </c>
    </row>
    <row r="28" spans="2:15" x14ac:dyDescent="0.25">
      <c r="B28" s="43" t="str">
        <f>StringFormeln!B2</f>
        <v>M100: String-Formeln</v>
      </c>
      <c r="H28" s="126">
        <f>StringFormeln!G7</f>
        <v>6</v>
      </c>
      <c r="I28" s="127">
        <v>2</v>
      </c>
      <c r="J28" s="119">
        <f t="shared" ref="J28:J31" si="0">H28*I28</f>
        <v>12</v>
      </c>
      <c r="M28" s="132" t="s">
        <v>348</v>
      </c>
      <c r="N28" s="4" t="s">
        <v>251</v>
      </c>
      <c r="O28" s="25" t="s">
        <v>148</v>
      </c>
    </row>
    <row r="29" spans="2:15" ht="15.75" thickBot="1" x14ac:dyDescent="0.3">
      <c r="B29" s="43" t="str">
        <f>Potenzen!B2</f>
        <v>M100: Grafische Datenauswertung (Potenzen)</v>
      </c>
      <c r="H29" s="126">
        <f>Potenzen!V27</f>
        <v>6</v>
      </c>
      <c r="I29" s="127">
        <v>1</v>
      </c>
      <c r="J29" s="119">
        <f t="shared" si="0"/>
        <v>6</v>
      </c>
      <c r="M29" s="133" t="s">
        <v>349</v>
      </c>
      <c r="N29" s="26" t="s">
        <v>324</v>
      </c>
      <c r="O29" s="27" t="s">
        <v>286</v>
      </c>
    </row>
    <row r="30" spans="2:15" x14ac:dyDescent="0.25">
      <c r="B30" s="43" t="str">
        <f>QuadratischeFunktion!B2</f>
        <v>M100: Grafische Datenauswertung (Quadratische Funktion)</v>
      </c>
      <c r="H30" s="126">
        <f>QuadratischeFunktion!$V$31</f>
        <v>6</v>
      </c>
      <c r="I30" s="127">
        <v>1</v>
      </c>
      <c r="J30" s="119">
        <f t="shared" si="0"/>
        <v>6</v>
      </c>
    </row>
    <row r="31" spans="2:15" ht="15.75" thickBot="1" x14ac:dyDescent="0.3">
      <c r="B31" s="43" t="str">
        <f>TXT_Daten!B2</f>
        <v>M100: Datenaufbereiten (laden und Text--&gt;Spalten)</v>
      </c>
      <c r="H31" s="126">
        <f>TXT_Daten!$R$16</f>
        <v>6</v>
      </c>
      <c r="I31" s="127">
        <v>2</v>
      </c>
      <c r="J31" s="119">
        <f t="shared" si="0"/>
        <v>12</v>
      </c>
    </row>
    <row r="32" spans="2:15" ht="19.5" thickBot="1" x14ac:dyDescent="0.35">
      <c r="H32" s="104"/>
      <c r="I32" s="117" t="s">
        <v>342</v>
      </c>
      <c r="J32" s="118">
        <f>SUM(J27:J31)/SUM(I27:I31)</f>
        <v>6</v>
      </c>
    </row>
    <row r="33" spans="2:10" x14ac:dyDescent="0.25">
      <c r="H33" s="104"/>
    </row>
    <row r="34" spans="2:10" x14ac:dyDescent="0.25">
      <c r="H34" s="104"/>
    </row>
    <row r="35" spans="2:10" ht="15.75" thickBot="1" x14ac:dyDescent="0.3">
      <c r="B35" s="43" t="str">
        <f>VBA_Programmierung!$B$2</f>
        <v>M403: Funktionen in VBA programmieren</v>
      </c>
      <c r="H35" s="104">
        <f>VBA_Programmierung!$N$16</f>
        <v>6</v>
      </c>
    </row>
    <row r="36" spans="2:10" ht="19.5" thickBot="1" x14ac:dyDescent="0.35">
      <c r="I36" s="117" t="s">
        <v>343</v>
      </c>
      <c r="J36" s="118">
        <f>H35</f>
        <v>6</v>
      </c>
    </row>
    <row r="100" spans="3:10" ht="21" x14ac:dyDescent="0.35">
      <c r="C100" s="68" t="s">
        <v>192</v>
      </c>
    </row>
    <row r="101" spans="3:10" x14ac:dyDescent="0.25">
      <c r="C101" s="69" t="s">
        <v>193</v>
      </c>
      <c r="D101" s="69"/>
      <c r="E101" s="69"/>
      <c r="F101" s="69"/>
      <c r="J101" t="s">
        <v>40</v>
      </c>
    </row>
    <row r="102" spans="3:10" x14ac:dyDescent="0.25">
      <c r="C102" s="72" t="s">
        <v>194</v>
      </c>
      <c r="D102" s="70"/>
      <c r="E102" s="70"/>
      <c r="F102" s="71"/>
      <c r="J102" t="s">
        <v>48</v>
      </c>
    </row>
    <row r="103" spans="3:10" x14ac:dyDescent="0.25">
      <c r="C103" s="72" t="s">
        <v>195</v>
      </c>
      <c r="D103" s="70"/>
      <c r="E103" s="70"/>
      <c r="F103" s="71"/>
    </row>
    <row r="104" spans="3:10" x14ac:dyDescent="0.25">
      <c r="C104" s="72" t="s">
        <v>196</v>
      </c>
      <c r="D104" s="70"/>
      <c r="E104" s="70"/>
      <c r="F104" s="71"/>
    </row>
    <row r="105" spans="3:10" x14ac:dyDescent="0.25">
      <c r="C105" s="72" t="s">
        <v>197</v>
      </c>
      <c r="D105" s="70"/>
      <c r="E105" s="70"/>
      <c r="F105" s="71"/>
    </row>
    <row r="106" spans="3:10" x14ac:dyDescent="0.25">
      <c r="C106" s="72" t="s">
        <v>198</v>
      </c>
      <c r="D106" s="70"/>
      <c r="E106" s="70"/>
      <c r="F106" s="71"/>
    </row>
    <row r="107" spans="3:10" x14ac:dyDescent="0.25">
      <c r="C107" s="72" t="s">
        <v>199</v>
      </c>
      <c r="D107" s="70"/>
      <c r="E107" s="70"/>
      <c r="F107" s="71"/>
    </row>
    <row r="108" spans="3:10" x14ac:dyDescent="0.25">
      <c r="C108" s="72" t="s">
        <v>200</v>
      </c>
      <c r="D108" s="70"/>
      <c r="E108" s="70"/>
      <c r="F108" s="71"/>
    </row>
    <row r="109" spans="3:10" x14ac:dyDescent="0.25">
      <c r="C109" s="72" t="s">
        <v>201</v>
      </c>
      <c r="D109" s="70"/>
      <c r="E109" s="70"/>
      <c r="F109" s="71"/>
    </row>
    <row r="110" spans="3:10" x14ac:dyDescent="0.25">
      <c r="C110" s="72" t="s">
        <v>202</v>
      </c>
      <c r="D110" s="70"/>
      <c r="E110" s="70"/>
      <c r="F110" s="71"/>
    </row>
    <row r="111" spans="3:10" x14ac:dyDescent="0.25">
      <c r="C111" s="72" t="s">
        <v>203</v>
      </c>
      <c r="D111" s="70"/>
      <c r="E111" s="70"/>
      <c r="F111" s="71"/>
    </row>
    <row r="112" spans="3:10" x14ac:dyDescent="0.25">
      <c r="C112" s="72" t="s">
        <v>204</v>
      </c>
      <c r="D112" s="70"/>
      <c r="E112" s="70"/>
      <c r="F112" s="71"/>
    </row>
    <row r="113" spans="3:6" x14ac:dyDescent="0.25">
      <c r="C113" s="72" t="s">
        <v>205</v>
      </c>
      <c r="D113" s="70"/>
      <c r="E113" s="70"/>
      <c r="F113" s="71"/>
    </row>
    <row r="114" spans="3:6" x14ac:dyDescent="0.25">
      <c r="C114" s="72" t="s">
        <v>206</v>
      </c>
      <c r="D114" s="70"/>
      <c r="E114" s="70"/>
      <c r="F114" s="71"/>
    </row>
  </sheetData>
  <conditionalFormatting sqref="F2">
    <cfRule type="expression" dxfId="109" priority="1">
      <formula>$B$6&lt;&gt;""</formula>
    </cfRule>
  </conditionalFormatting>
  <hyperlinks>
    <hyperlink ref="B27" location="Datenaufbereitung!A1" display="Datenaufbereitung!A1"/>
    <hyperlink ref="B28" location="StringFormeln!A1" display="StringFormeln!A1"/>
    <hyperlink ref="B29" location="Potenzen!A1" display="Potenzen!A1"/>
    <hyperlink ref="B30" location="QuadratischeFunktion!A1" display="QuadratischeFunktion!A1"/>
    <hyperlink ref="B31" location="TXT_Daten!A1" display="TXT_Daten!A1"/>
    <hyperlink ref="B35" location="VBA_Programmierung!A1" display="VBA_Programmierung!A1"/>
  </hyperlinks>
  <pageMargins left="0.7" right="0.7" top="0.78740157499999996" bottom="0.78740157499999996" header="0.3" footer="0.3"/>
  <pageSetup paperSize="9" orientation="portrait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0000"/>
    <pageSetUpPr fitToPage="1"/>
  </sheetPr>
  <dimension ref="A1:AD83"/>
  <sheetViews>
    <sheetView zoomScale="85" zoomScaleNormal="85" workbookViewId="0">
      <selection activeCell="O42" sqref="O42"/>
    </sheetView>
  </sheetViews>
  <sheetFormatPr baseColWidth="10" defaultRowHeight="15" x14ac:dyDescent="0.25"/>
  <cols>
    <col min="1" max="1" width="5.7109375" customWidth="1"/>
    <col min="2" max="2" width="15" customWidth="1"/>
    <col min="4" max="4" width="9.85546875" customWidth="1"/>
    <col min="5" max="5" width="8.140625" hidden="1" customWidth="1"/>
    <col min="6" max="6" width="15.42578125" customWidth="1"/>
    <col min="7" max="7" width="8.140625" hidden="1" customWidth="1"/>
    <col min="8" max="8" width="19.28515625" customWidth="1"/>
    <col min="9" max="9" width="7.7109375" customWidth="1"/>
    <col min="10" max="10" width="17.28515625" customWidth="1"/>
    <col min="11" max="11" width="5.28515625" customWidth="1"/>
    <col min="12" max="12" width="24.7109375" customWidth="1"/>
    <col min="13" max="13" width="8.140625" hidden="1" customWidth="1"/>
    <col min="14" max="14" width="37.140625" customWidth="1"/>
    <col min="15" max="15" width="32.140625" customWidth="1"/>
    <col min="16" max="16" width="8.140625" hidden="1" customWidth="1"/>
    <col min="17" max="17" width="17" customWidth="1"/>
    <col min="18" max="18" width="14.85546875" customWidth="1"/>
    <col min="19" max="19" width="12.28515625" customWidth="1"/>
    <col min="20" max="20" width="8.140625" hidden="1" customWidth="1"/>
    <col min="21" max="21" width="13.28515625" customWidth="1"/>
    <col min="22" max="22" width="8.140625" hidden="1" customWidth="1"/>
    <col min="23" max="23" width="32.140625" customWidth="1"/>
    <col min="24" max="24" width="8.140625" hidden="1" customWidth="1"/>
    <col min="25" max="25" width="17.5703125" customWidth="1"/>
    <col min="26" max="26" width="23.140625" customWidth="1"/>
    <col min="27" max="27" width="20.5703125" customWidth="1"/>
    <col min="28" max="28" width="8.140625" hidden="1" customWidth="1"/>
  </cols>
  <sheetData>
    <row r="1" spans="2:26" ht="15.75" thickBot="1" x14ac:dyDescent="0.3"/>
    <row r="2" spans="2:26" ht="23.25" x14ac:dyDescent="0.35">
      <c r="B2" s="1" t="s">
        <v>279</v>
      </c>
      <c r="J2" s="52" t="s">
        <v>188</v>
      </c>
      <c r="K2" s="53"/>
      <c r="L2" s="54"/>
    </row>
    <row r="3" spans="2:26" x14ac:dyDescent="0.25">
      <c r="J3" s="47" t="s">
        <v>190</v>
      </c>
      <c r="K3" s="44">
        <f>SUM(E65:AD65)</f>
        <v>220</v>
      </c>
      <c r="L3" s="51"/>
    </row>
    <row r="4" spans="2:26" x14ac:dyDescent="0.25">
      <c r="J4" s="47" t="s">
        <v>189</v>
      </c>
      <c r="K4" s="44">
        <f>SUM(E66:AD66)</f>
        <v>0</v>
      </c>
      <c r="L4" s="49"/>
    </row>
    <row r="5" spans="2:26" x14ac:dyDescent="0.25">
      <c r="J5" s="55" t="s">
        <v>191</v>
      </c>
      <c r="K5" s="44">
        <f>SUM(E67:AD67)</f>
        <v>0</v>
      </c>
      <c r="L5" s="49"/>
    </row>
    <row r="6" spans="2:26" ht="15.75" thickBot="1" x14ac:dyDescent="0.3">
      <c r="J6" s="56"/>
      <c r="K6" s="57">
        <f>SUM(K3:K5)</f>
        <v>220</v>
      </c>
      <c r="L6" s="51">
        <f>(5*K3/K6)+1</f>
        <v>6</v>
      </c>
    </row>
    <row r="7" spans="2:26" ht="15.75" thickBot="1" x14ac:dyDescent="0.3"/>
    <row r="8" spans="2:26" x14ac:dyDescent="0.25">
      <c r="O8" s="105"/>
      <c r="P8" s="105"/>
      <c r="Q8" s="105"/>
      <c r="R8" s="105"/>
      <c r="S8" s="105"/>
      <c r="T8" s="105"/>
      <c r="U8" s="105"/>
      <c r="V8" s="105"/>
      <c r="W8" s="105"/>
      <c r="X8" s="105"/>
      <c r="Y8" s="105"/>
      <c r="Z8" s="106"/>
    </row>
    <row r="9" spans="2:26" ht="18.75" x14ac:dyDescent="0.3">
      <c r="O9" s="108" t="s">
        <v>287</v>
      </c>
      <c r="P9" s="107"/>
      <c r="Q9" s="107"/>
      <c r="R9" s="107"/>
      <c r="S9" s="107"/>
      <c r="T9" s="107"/>
      <c r="U9" s="107"/>
      <c r="V9" s="107"/>
      <c r="W9" s="107"/>
      <c r="X9" s="107"/>
      <c r="Y9" s="107"/>
      <c r="Z9" s="109"/>
    </row>
    <row r="10" spans="2:26" ht="15.75" thickBot="1" x14ac:dyDescent="0.3">
      <c r="O10" s="107"/>
      <c r="P10" s="107"/>
      <c r="Q10" s="107"/>
      <c r="R10" s="107"/>
      <c r="S10" s="107"/>
      <c r="T10" s="107"/>
      <c r="U10" s="107"/>
      <c r="V10" s="107"/>
      <c r="W10" s="107"/>
      <c r="X10" s="107"/>
      <c r="Y10" s="107"/>
      <c r="Z10" s="109"/>
    </row>
    <row r="11" spans="2:26" ht="15.75" x14ac:dyDescent="0.25">
      <c r="O11" s="128" t="s">
        <v>344</v>
      </c>
      <c r="P11" s="107"/>
      <c r="Q11" s="107"/>
      <c r="R11" s="107"/>
      <c r="S11" s="107"/>
      <c r="T11" s="107"/>
      <c r="U11" s="107"/>
      <c r="V11" s="107"/>
      <c r="W11" s="107"/>
      <c r="X11" s="107"/>
      <c r="Y11" s="121"/>
      <c r="Z11" s="122"/>
    </row>
    <row r="12" spans="2:26" x14ac:dyDescent="0.25">
      <c r="O12" s="107" t="s">
        <v>304</v>
      </c>
      <c r="P12" s="107"/>
      <c r="Q12" s="107"/>
      <c r="R12" s="107"/>
      <c r="S12" s="107"/>
      <c r="T12" s="107"/>
      <c r="U12" s="107"/>
      <c r="V12" s="107"/>
      <c r="W12" s="113" t="s">
        <v>40</v>
      </c>
      <c r="X12" s="107"/>
      <c r="Y12" s="123" t="s">
        <v>345</v>
      </c>
      <c r="Z12" s="120"/>
    </row>
    <row r="13" spans="2:26" x14ac:dyDescent="0.25">
      <c r="O13" s="107" t="s">
        <v>338</v>
      </c>
      <c r="P13" s="107"/>
      <c r="Q13" s="107"/>
      <c r="R13" s="107"/>
      <c r="S13" s="107"/>
      <c r="T13" s="107"/>
      <c r="U13" s="107"/>
      <c r="V13" s="107"/>
      <c r="W13" s="113" t="s">
        <v>40</v>
      </c>
      <c r="X13" s="107"/>
      <c r="Y13" s="123"/>
      <c r="Z13" s="120"/>
    </row>
    <row r="14" spans="2:26" x14ac:dyDescent="0.25">
      <c r="O14" s="107" t="s">
        <v>337</v>
      </c>
      <c r="P14" s="107"/>
      <c r="Q14" s="107"/>
      <c r="R14" s="107"/>
      <c r="S14" s="107"/>
      <c r="T14" s="107"/>
      <c r="U14" s="107"/>
      <c r="V14" s="107"/>
      <c r="W14" s="113" t="s">
        <v>40</v>
      </c>
      <c r="X14" s="107"/>
      <c r="Y14" s="123"/>
      <c r="Z14" s="120"/>
    </row>
    <row r="15" spans="2:26" ht="15.75" thickBot="1" x14ac:dyDescent="0.3">
      <c r="O15" s="107"/>
      <c r="P15" s="107"/>
      <c r="Q15" s="107"/>
      <c r="R15" s="107"/>
      <c r="S15" s="107"/>
      <c r="T15" s="107"/>
      <c r="U15" s="110" t="s">
        <v>299</v>
      </c>
      <c r="V15" s="107"/>
      <c r="W15" s="113">
        <f>COUNTIF(W12:W14,"&lt;&gt; ")</f>
        <v>3</v>
      </c>
      <c r="X15" s="107"/>
      <c r="Y15" s="123"/>
      <c r="Z15" s="120"/>
    </row>
    <row r="16" spans="2:26" ht="18.75" x14ac:dyDescent="0.3">
      <c r="O16" s="107"/>
      <c r="P16" s="107"/>
      <c r="Q16" s="107"/>
      <c r="R16" s="115" t="s">
        <v>323</v>
      </c>
      <c r="S16" s="107"/>
      <c r="T16" s="107"/>
      <c r="U16" s="110" t="s">
        <v>300</v>
      </c>
      <c r="V16" s="107"/>
      <c r="W16" s="113">
        <f>COUNTIF(W12:W14,"=Ja")</f>
        <v>3</v>
      </c>
      <c r="X16" s="107"/>
      <c r="Y16" s="123"/>
      <c r="Z16" s="120"/>
    </row>
    <row r="17" spans="15:26" ht="21.75" thickBot="1" x14ac:dyDescent="0.4">
      <c r="O17" s="107"/>
      <c r="P17" s="107"/>
      <c r="Q17" s="107"/>
      <c r="R17" s="116">
        <f>(L6-0.5) + (W17/12)</f>
        <v>6</v>
      </c>
      <c r="S17" s="107"/>
      <c r="T17" s="107"/>
      <c r="U17" s="110" t="s">
        <v>316</v>
      </c>
      <c r="V17" s="107"/>
      <c r="W17" s="114">
        <f>(5/W15)*W16+1</f>
        <v>6</v>
      </c>
      <c r="X17" s="107"/>
      <c r="Y17" s="124"/>
      <c r="Z17" s="125"/>
    </row>
    <row r="18" spans="15:26" x14ac:dyDescent="0.25">
      <c r="O18" s="107"/>
      <c r="P18" s="107"/>
      <c r="Q18" s="107"/>
      <c r="R18" s="107"/>
      <c r="S18" s="107"/>
      <c r="T18" s="107"/>
      <c r="U18" s="107"/>
      <c r="V18" s="107"/>
      <c r="W18" s="107"/>
      <c r="X18" s="107"/>
      <c r="Y18" s="107"/>
      <c r="Z18" s="109"/>
    </row>
    <row r="19" spans="15:26" ht="15.75" thickBot="1" x14ac:dyDescent="0.3">
      <c r="O19" s="111"/>
      <c r="P19" s="111"/>
      <c r="Q19" s="111"/>
      <c r="R19" s="111"/>
      <c r="S19" s="111"/>
      <c r="T19" s="111"/>
      <c r="U19" s="111"/>
      <c r="V19" s="111"/>
      <c r="W19" s="111"/>
      <c r="X19" s="111"/>
      <c r="Y19" s="111"/>
      <c r="Z19" s="112"/>
    </row>
    <row r="36" spans="1:30" x14ac:dyDescent="0.25">
      <c r="A36" s="2" t="s">
        <v>187</v>
      </c>
      <c r="B36" s="2" t="s">
        <v>17</v>
      </c>
      <c r="C36" s="2" t="s">
        <v>16</v>
      </c>
      <c r="D36" s="2" t="s">
        <v>186</v>
      </c>
      <c r="E36" s="2" t="s">
        <v>170</v>
      </c>
      <c r="F36" s="2" t="s">
        <v>185</v>
      </c>
      <c r="G36" s="2" t="s">
        <v>170</v>
      </c>
      <c r="H36" s="2" t="s">
        <v>184</v>
      </c>
      <c r="I36" s="2" t="s">
        <v>19</v>
      </c>
      <c r="J36" s="2" t="s">
        <v>20</v>
      </c>
      <c r="K36" s="2" t="s">
        <v>18</v>
      </c>
      <c r="L36" s="2" t="s">
        <v>183</v>
      </c>
      <c r="M36" s="2" t="s">
        <v>170</v>
      </c>
      <c r="N36" s="2" t="s">
        <v>182</v>
      </c>
      <c r="O36" s="2" t="s">
        <v>181</v>
      </c>
      <c r="P36" s="2" t="s">
        <v>170</v>
      </c>
      <c r="Q36" s="2" t="s">
        <v>180</v>
      </c>
      <c r="R36" s="2" t="s">
        <v>179</v>
      </c>
      <c r="S36" s="2" t="s">
        <v>178</v>
      </c>
      <c r="T36" s="2" t="s">
        <v>170</v>
      </c>
      <c r="U36" s="2" t="s">
        <v>177</v>
      </c>
      <c r="V36" s="2" t="s">
        <v>170</v>
      </c>
      <c r="W36" s="2" t="s">
        <v>176</v>
      </c>
      <c r="X36" s="2" t="s">
        <v>170</v>
      </c>
      <c r="Y36" s="2" t="s">
        <v>175</v>
      </c>
      <c r="Z36" s="2" t="s">
        <v>174</v>
      </c>
      <c r="AA36" s="2" t="s">
        <v>173</v>
      </c>
      <c r="AB36" s="2" t="s">
        <v>170</v>
      </c>
      <c r="AC36" s="2" t="s">
        <v>172</v>
      </c>
      <c r="AD36" s="2" t="s">
        <v>171</v>
      </c>
    </row>
    <row r="37" spans="1:30" x14ac:dyDescent="0.25">
      <c r="A37" s="4">
        <v>1</v>
      </c>
      <c r="B37" s="4" t="s">
        <v>169</v>
      </c>
      <c r="C37" s="4" t="s">
        <v>168</v>
      </c>
      <c r="D37" s="58" t="str">
        <f>PROPER(CONCATENATE(LEFT(C37,1),"."))</f>
        <v>R.</v>
      </c>
      <c r="E37" s="39" t="str">
        <f t="shared" ref="E37:E63" si="0">IF(D37=PROPER(CONCATENATE(LEFT(C37,1),".")),"ok",IF(D37="","--","nok"))</f>
        <v>ok</v>
      </c>
      <c r="F37" s="58" t="str">
        <f>PROPER(CONCATENATE(D37,B37))</f>
        <v>R.Hollenstein</v>
      </c>
      <c r="G37" s="39" t="str">
        <f t="shared" ref="G37:G63" si="1">IF(F37=PROPER(CONCATENATE(D37,B37)),"ok",IF(F37="","--","nok"))</f>
        <v>ok</v>
      </c>
      <c r="H37" s="4" t="s">
        <v>167</v>
      </c>
      <c r="I37" s="4">
        <v>8853</v>
      </c>
      <c r="J37" s="4" t="s">
        <v>50</v>
      </c>
      <c r="K37" s="4" t="s">
        <v>22</v>
      </c>
      <c r="L37" s="58" t="str">
        <f>CONCATENATE(K37,"-",I37," ",J37)</f>
        <v>CH-8853 Lachen</v>
      </c>
      <c r="M37" s="39" t="str">
        <f t="shared" ref="M37:M63" si="2">IF(L37=CONCATENATE(K37,"-",I37," ",J37),"ok",IF(L37="","--","nok"))</f>
        <v>ok</v>
      </c>
      <c r="N37" s="4" t="s">
        <v>166</v>
      </c>
      <c r="O37" s="58" t="str">
        <f>CONCATENATE(LOWER(C37),".",LOWER(B37),"@","bzu.ch")</f>
        <v>ruth.hollenstein@bzu.ch</v>
      </c>
      <c r="P37" s="39" t="str">
        <f t="shared" ref="P37:P63" si="3">IF(O37=CONCATENATE(LOWER(C37),".",LOWER(B37),"@","bzu.ch"),"ok",IF(O37="","--","nok"))</f>
        <v>ok</v>
      </c>
      <c r="Q37" s="4" t="s">
        <v>165</v>
      </c>
      <c r="R37" s="4" t="s">
        <v>48</v>
      </c>
      <c r="S37" s="58">
        <f>IF(R37="Ja",1,0)</f>
        <v>0</v>
      </c>
      <c r="T37" s="39" t="str">
        <f t="shared" ref="T37:T63" si="4">IF(S37="","--",IF(S37=IF(R37="Ja",1,0),"ok","nok"))</f>
        <v>ok</v>
      </c>
      <c r="U37" s="58">
        <f>IF(R37="Nein",1,0)</f>
        <v>1</v>
      </c>
      <c r="V37" s="39" t="str">
        <f t="shared" ref="V37:V63" si="5">IF(U37="","--",IF(U37=IF(R37="Ja",0,1),"ok","nok"))</f>
        <v>ok</v>
      </c>
      <c r="W37" s="58" t="str">
        <f>IF(R37="Nein",IF(N37&lt;&gt;"",N37,O37),"")</f>
        <v>ruth.hollenstein@gmail.ch</v>
      </c>
      <c r="X37" s="39" t="str">
        <f t="shared" ref="X37:X63" si="6">IF(W37=IF(R37="Nein",IF(N37&lt;&gt;"",N37,O37),""),"ok",IF(W37="","--","nok"))</f>
        <v>ok</v>
      </c>
      <c r="Y37" s="40">
        <v>50</v>
      </c>
      <c r="Z37" s="40">
        <v>49.5</v>
      </c>
      <c r="AA37" s="59">
        <f>Y37-Z37</f>
        <v>0.5</v>
      </c>
      <c r="AB37" s="39" t="str">
        <f t="shared" ref="AB37:AB63" si="7">IF(AA37=Y37-Z37,"ok",IF(AA37="","--","nok"))</f>
        <v>ok</v>
      </c>
      <c r="AC37" s="4" t="s">
        <v>53</v>
      </c>
      <c r="AD37" s="4" t="s">
        <v>40</v>
      </c>
    </row>
    <row r="38" spans="1:30" x14ac:dyDescent="0.25">
      <c r="A38" s="4">
        <v>2</v>
      </c>
      <c r="B38" s="4" t="s">
        <v>164</v>
      </c>
      <c r="C38" s="4" t="s">
        <v>163</v>
      </c>
      <c r="D38" s="58" t="str">
        <f t="shared" ref="D38:D63" si="8">PROPER(CONCATENATE(LEFT(C38,1),"."))</f>
        <v>R.</v>
      </c>
      <c r="E38" s="39" t="str">
        <f t="shared" si="0"/>
        <v>ok</v>
      </c>
      <c r="F38" s="58" t="str">
        <f t="shared" ref="F38:F63" si="9">PROPER(CONCATENATE(D38,B38))</f>
        <v>R.Mueller</v>
      </c>
      <c r="G38" s="39" t="str">
        <f t="shared" si="1"/>
        <v>ok</v>
      </c>
      <c r="H38" s="4" t="s">
        <v>162</v>
      </c>
      <c r="I38" s="4">
        <v>8853</v>
      </c>
      <c r="J38" s="4" t="s">
        <v>50</v>
      </c>
      <c r="K38" s="4" t="s">
        <v>22</v>
      </c>
      <c r="L38" s="58" t="str">
        <f t="shared" ref="L38:L63" si="10">CONCATENATE(K38,"-",I38," ",J38)</f>
        <v>CH-8853 Lachen</v>
      </c>
      <c r="M38" s="39" t="str">
        <f t="shared" si="2"/>
        <v>ok</v>
      </c>
      <c r="N38" s="4" t="s">
        <v>161</v>
      </c>
      <c r="O38" s="58" t="str">
        <f t="shared" ref="O38:O63" si="11">CONCATENATE(LOWER(C38),".",LOWER(B38),"@","bzu.ch")</f>
        <v>ruedi.mueller@bzu.ch</v>
      </c>
      <c r="P38" s="39" t="str">
        <f t="shared" si="3"/>
        <v>ok</v>
      </c>
      <c r="Q38" s="4" t="s">
        <v>160</v>
      </c>
      <c r="R38" s="4" t="s">
        <v>40</v>
      </c>
      <c r="S38" s="58">
        <f t="shared" ref="S38:S63" si="12">IF(R38="Ja",1,0)</f>
        <v>1</v>
      </c>
      <c r="T38" s="39" t="str">
        <f t="shared" si="4"/>
        <v>ok</v>
      </c>
      <c r="U38" s="58">
        <f t="shared" ref="U38:U63" si="13">IF(R38="Nein",1,0)</f>
        <v>0</v>
      </c>
      <c r="V38" s="39" t="str">
        <f t="shared" si="5"/>
        <v>ok</v>
      </c>
      <c r="W38" s="58" t="str">
        <f t="shared" ref="W38:W63" si="14">IF(R38="Nein",IF(N38&lt;&gt;"",N38,O38),"")</f>
        <v/>
      </c>
      <c r="X38" s="39" t="str">
        <f t="shared" si="6"/>
        <v>ok</v>
      </c>
      <c r="Y38" s="40">
        <v>68</v>
      </c>
      <c r="Z38" s="40">
        <v>30</v>
      </c>
      <c r="AA38" s="59">
        <f t="shared" ref="AA38:AA63" si="15">Y38-Z38</f>
        <v>38</v>
      </c>
      <c r="AB38" s="39" t="str">
        <f t="shared" si="7"/>
        <v>ok</v>
      </c>
      <c r="AC38" s="4" t="s">
        <v>53</v>
      </c>
      <c r="AD38" s="4" t="s">
        <v>48</v>
      </c>
    </row>
    <row r="39" spans="1:30" x14ac:dyDescent="0.25">
      <c r="A39" s="4">
        <v>3</v>
      </c>
      <c r="B39" s="4" t="s">
        <v>159</v>
      </c>
      <c r="C39" s="4" t="s">
        <v>158</v>
      </c>
      <c r="D39" s="58" t="str">
        <f t="shared" si="8"/>
        <v>M.</v>
      </c>
      <c r="E39" s="39" t="str">
        <f t="shared" si="0"/>
        <v>ok</v>
      </c>
      <c r="F39" s="58" t="str">
        <f t="shared" si="9"/>
        <v>M.Janser</v>
      </c>
      <c r="G39" s="39" t="str">
        <f t="shared" si="1"/>
        <v>ok</v>
      </c>
      <c r="H39" s="4" t="s">
        <v>157</v>
      </c>
      <c r="I39" s="4">
        <v>8853</v>
      </c>
      <c r="J39" s="4" t="s">
        <v>50</v>
      </c>
      <c r="K39" s="4" t="s">
        <v>22</v>
      </c>
      <c r="L39" s="58" t="str">
        <f t="shared" si="10"/>
        <v>CH-8853 Lachen</v>
      </c>
      <c r="M39" s="39" t="str">
        <f t="shared" si="2"/>
        <v>ok</v>
      </c>
      <c r="N39" s="4"/>
      <c r="O39" s="58" t="str">
        <f t="shared" si="11"/>
        <v>maria.janser@bzu.ch</v>
      </c>
      <c r="P39" s="39" t="str">
        <f t="shared" si="3"/>
        <v>ok</v>
      </c>
      <c r="Q39" s="4" t="s">
        <v>156</v>
      </c>
      <c r="R39" s="4" t="s">
        <v>48</v>
      </c>
      <c r="S39" s="58">
        <f t="shared" si="12"/>
        <v>0</v>
      </c>
      <c r="T39" s="39" t="str">
        <f t="shared" si="4"/>
        <v>ok</v>
      </c>
      <c r="U39" s="58">
        <f t="shared" si="13"/>
        <v>1</v>
      </c>
      <c r="V39" s="39" t="str">
        <f t="shared" si="5"/>
        <v>ok</v>
      </c>
      <c r="W39" s="58" t="str">
        <f t="shared" si="14"/>
        <v>maria.janser@bzu.ch</v>
      </c>
      <c r="X39" s="39" t="str">
        <f t="shared" si="6"/>
        <v>ok</v>
      </c>
      <c r="Y39" s="40">
        <v>123</v>
      </c>
      <c r="Z39" s="40">
        <v>100</v>
      </c>
      <c r="AA39" s="59">
        <f t="shared" si="15"/>
        <v>23</v>
      </c>
      <c r="AB39" s="39" t="str">
        <f t="shared" si="7"/>
        <v>ok</v>
      </c>
      <c r="AC39" s="4" t="s">
        <v>64</v>
      </c>
      <c r="AD39" s="4" t="s">
        <v>40</v>
      </c>
    </row>
    <row r="40" spans="1:30" x14ac:dyDescent="0.25">
      <c r="A40" s="4">
        <v>4</v>
      </c>
      <c r="B40" s="4" t="s">
        <v>155</v>
      </c>
      <c r="C40" s="4" t="s">
        <v>154</v>
      </c>
      <c r="D40" s="58" t="str">
        <f t="shared" si="8"/>
        <v>C.</v>
      </c>
      <c r="E40" s="39" t="str">
        <f t="shared" si="0"/>
        <v>ok</v>
      </c>
      <c r="F40" s="58" t="str">
        <f t="shared" si="9"/>
        <v>C.Meier</v>
      </c>
      <c r="G40" s="39" t="str">
        <f t="shared" si="1"/>
        <v>ok</v>
      </c>
      <c r="H40" s="4" t="s">
        <v>153</v>
      </c>
      <c r="I40" s="4">
        <v>53175</v>
      </c>
      <c r="J40" s="4" t="s">
        <v>152</v>
      </c>
      <c r="K40" s="4" t="s">
        <v>24</v>
      </c>
      <c r="L40" s="58" t="str">
        <f t="shared" si="10"/>
        <v>DE-53175 Bonn</v>
      </c>
      <c r="M40" s="39" t="str">
        <f t="shared" si="2"/>
        <v>ok</v>
      </c>
      <c r="N40" s="4" t="s">
        <v>151</v>
      </c>
      <c r="O40" s="58" t="str">
        <f t="shared" si="11"/>
        <v>claudia.meier@bzu.ch</v>
      </c>
      <c r="P40" s="39" t="str">
        <f t="shared" si="3"/>
        <v>ok</v>
      </c>
      <c r="Q40" s="4" t="s">
        <v>150</v>
      </c>
      <c r="R40" s="4" t="s">
        <v>40</v>
      </c>
      <c r="S40" s="58">
        <f t="shared" si="12"/>
        <v>1</v>
      </c>
      <c r="T40" s="39" t="str">
        <f t="shared" si="4"/>
        <v>ok</v>
      </c>
      <c r="U40" s="58">
        <f t="shared" si="13"/>
        <v>0</v>
      </c>
      <c r="V40" s="39" t="str">
        <f t="shared" si="5"/>
        <v>ok</v>
      </c>
      <c r="W40" s="58" t="str">
        <f t="shared" si="14"/>
        <v/>
      </c>
      <c r="X40" s="39" t="str">
        <f t="shared" si="6"/>
        <v>ok</v>
      </c>
      <c r="Y40" s="40">
        <v>45.3</v>
      </c>
      <c r="Z40" s="40">
        <v>30</v>
      </c>
      <c r="AA40" s="59">
        <f t="shared" si="15"/>
        <v>15.299999999999997</v>
      </c>
      <c r="AB40" s="39" t="str">
        <f t="shared" si="7"/>
        <v>ok</v>
      </c>
      <c r="AC40" s="4" t="s">
        <v>64</v>
      </c>
      <c r="AD40" s="4" t="s">
        <v>48</v>
      </c>
    </row>
    <row r="41" spans="1:30" x14ac:dyDescent="0.25">
      <c r="A41" s="4">
        <v>5</v>
      </c>
      <c r="B41" s="4" t="s">
        <v>149</v>
      </c>
      <c r="C41" s="4" t="s">
        <v>148</v>
      </c>
      <c r="D41" s="58" t="str">
        <f t="shared" si="8"/>
        <v>W.</v>
      </c>
      <c r="E41" s="39" t="str">
        <f t="shared" si="0"/>
        <v>ok</v>
      </c>
      <c r="F41" s="58" t="str">
        <f t="shared" si="9"/>
        <v>W.King</v>
      </c>
      <c r="G41" s="39" t="str">
        <f t="shared" si="1"/>
        <v>ok</v>
      </c>
      <c r="H41" s="4" t="s">
        <v>147</v>
      </c>
      <c r="I41" s="4">
        <v>78713</v>
      </c>
      <c r="J41" s="4" t="s">
        <v>113</v>
      </c>
      <c r="K41" s="4" t="s">
        <v>24</v>
      </c>
      <c r="L41" s="58" t="str">
        <f t="shared" si="10"/>
        <v xml:space="preserve">DE-78713 Schramberg </v>
      </c>
      <c r="M41" s="39" t="str">
        <f t="shared" si="2"/>
        <v>ok</v>
      </c>
      <c r="N41" s="4"/>
      <c r="O41" s="58" t="str">
        <f t="shared" si="11"/>
        <v>walter.king@bzu.ch</v>
      </c>
      <c r="P41" s="39" t="str">
        <f t="shared" si="3"/>
        <v>ok</v>
      </c>
      <c r="Q41" s="4" t="s">
        <v>146</v>
      </c>
      <c r="R41" s="4" t="s">
        <v>48</v>
      </c>
      <c r="S41" s="58">
        <f t="shared" si="12"/>
        <v>0</v>
      </c>
      <c r="T41" s="39" t="str">
        <f t="shared" si="4"/>
        <v>ok</v>
      </c>
      <c r="U41" s="58">
        <f t="shared" si="13"/>
        <v>1</v>
      </c>
      <c r="V41" s="39" t="str">
        <f t="shared" si="5"/>
        <v>ok</v>
      </c>
      <c r="W41" s="58" t="str">
        <f t="shared" si="14"/>
        <v>walter.king@bzu.ch</v>
      </c>
      <c r="X41" s="39" t="str">
        <f t="shared" si="6"/>
        <v>ok</v>
      </c>
      <c r="Y41" s="40">
        <v>312.56</v>
      </c>
      <c r="Z41" s="40">
        <v>50</v>
      </c>
      <c r="AA41" s="59">
        <f t="shared" si="15"/>
        <v>262.56</v>
      </c>
      <c r="AB41" s="39" t="str">
        <f t="shared" si="7"/>
        <v>ok</v>
      </c>
      <c r="AC41" s="4" t="s">
        <v>41</v>
      </c>
      <c r="AD41" s="4" t="s">
        <v>40</v>
      </c>
    </row>
    <row r="42" spans="1:30" x14ac:dyDescent="0.25">
      <c r="A42" s="4">
        <v>6</v>
      </c>
      <c r="B42" s="4" t="s">
        <v>145</v>
      </c>
      <c r="C42" s="4" t="s">
        <v>144</v>
      </c>
      <c r="D42" s="58" t="str">
        <f t="shared" si="8"/>
        <v>R.</v>
      </c>
      <c r="E42" s="39" t="str">
        <f t="shared" si="0"/>
        <v>ok</v>
      </c>
      <c r="F42" s="58" t="str">
        <f t="shared" si="9"/>
        <v>R.Koch</v>
      </c>
      <c r="G42" s="39" t="str">
        <f t="shared" si="1"/>
        <v>ok</v>
      </c>
      <c r="H42" s="4" t="s">
        <v>143</v>
      </c>
      <c r="I42" s="4">
        <v>8808</v>
      </c>
      <c r="J42" s="4" t="s">
        <v>142</v>
      </c>
      <c r="K42" s="4" t="s">
        <v>22</v>
      </c>
      <c r="L42" s="58" t="str">
        <f t="shared" si="10"/>
        <v>CH-8808 Pfaeffikon</v>
      </c>
      <c r="M42" s="39" t="str">
        <f t="shared" si="2"/>
        <v>ok</v>
      </c>
      <c r="N42" s="4" t="s">
        <v>141</v>
      </c>
      <c r="O42" s="58" t="str">
        <f t="shared" si="11"/>
        <v>roman.koch@bzu.ch</v>
      </c>
      <c r="P42" s="39" t="str">
        <f t="shared" si="3"/>
        <v>ok</v>
      </c>
      <c r="Q42" s="4" t="s">
        <v>140</v>
      </c>
      <c r="R42" s="4" t="s">
        <v>40</v>
      </c>
      <c r="S42" s="58">
        <f t="shared" si="12"/>
        <v>1</v>
      </c>
      <c r="T42" s="39" t="str">
        <f t="shared" si="4"/>
        <v>ok</v>
      </c>
      <c r="U42" s="58">
        <f t="shared" si="13"/>
        <v>0</v>
      </c>
      <c r="V42" s="39" t="str">
        <f t="shared" si="5"/>
        <v>ok</v>
      </c>
      <c r="W42" s="58" t="str">
        <f t="shared" si="14"/>
        <v/>
      </c>
      <c r="X42" s="39" t="str">
        <f t="shared" si="6"/>
        <v>ok</v>
      </c>
      <c r="Y42" s="40">
        <v>21.3</v>
      </c>
      <c r="Z42" s="40">
        <v>10</v>
      </c>
      <c r="AA42" s="59">
        <f t="shared" si="15"/>
        <v>11.3</v>
      </c>
      <c r="AB42" s="39" t="str">
        <f t="shared" si="7"/>
        <v>ok</v>
      </c>
      <c r="AC42" s="4" t="s">
        <v>41</v>
      </c>
      <c r="AD42" s="4" t="s">
        <v>48</v>
      </c>
    </row>
    <row r="43" spans="1:30" x14ac:dyDescent="0.25">
      <c r="A43" s="4">
        <v>7</v>
      </c>
      <c r="B43" s="4" t="s">
        <v>139</v>
      </c>
      <c r="C43" s="4" t="s">
        <v>138</v>
      </c>
      <c r="D43" s="58" t="str">
        <f t="shared" si="8"/>
        <v>R.</v>
      </c>
      <c r="E43" s="39" t="str">
        <f t="shared" si="0"/>
        <v>ok</v>
      </c>
      <c r="F43" s="58" t="str">
        <f t="shared" si="9"/>
        <v>R.Koller</v>
      </c>
      <c r="G43" s="39" t="str">
        <f t="shared" si="1"/>
        <v>ok</v>
      </c>
      <c r="H43" s="4" t="s">
        <v>137</v>
      </c>
      <c r="I43" s="4">
        <v>8854</v>
      </c>
      <c r="J43" s="4" t="s">
        <v>77</v>
      </c>
      <c r="K43" s="4" t="s">
        <v>22</v>
      </c>
      <c r="L43" s="58" t="str">
        <f t="shared" si="10"/>
        <v>CH-8854 Siebnen</v>
      </c>
      <c r="M43" s="39" t="str">
        <f t="shared" si="2"/>
        <v>ok</v>
      </c>
      <c r="N43" s="4" t="s">
        <v>136</v>
      </c>
      <c r="O43" s="58" t="str">
        <f t="shared" si="11"/>
        <v>rasi.koller@bzu.ch</v>
      </c>
      <c r="P43" s="39" t="str">
        <f t="shared" si="3"/>
        <v>ok</v>
      </c>
      <c r="Q43" s="4" t="s">
        <v>135</v>
      </c>
      <c r="R43" s="4" t="s">
        <v>40</v>
      </c>
      <c r="S43" s="58">
        <f t="shared" si="12"/>
        <v>1</v>
      </c>
      <c r="T43" s="39" t="str">
        <f t="shared" si="4"/>
        <v>ok</v>
      </c>
      <c r="U43" s="58">
        <f t="shared" si="13"/>
        <v>0</v>
      </c>
      <c r="V43" s="39" t="str">
        <f t="shared" si="5"/>
        <v>ok</v>
      </c>
      <c r="W43" s="58" t="str">
        <f t="shared" si="14"/>
        <v/>
      </c>
      <c r="X43" s="39" t="str">
        <f t="shared" si="6"/>
        <v>ok</v>
      </c>
      <c r="Y43" s="40">
        <v>45.7</v>
      </c>
      <c r="Z43" s="40">
        <v>0</v>
      </c>
      <c r="AA43" s="59">
        <f t="shared" si="15"/>
        <v>45.7</v>
      </c>
      <c r="AB43" s="39" t="str">
        <f t="shared" si="7"/>
        <v>ok</v>
      </c>
      <c r="AC43" s="4" t="s">
        <v>64</v>
      </c>
      <c r="AD43" s="4" t="s">
        <v>40</v>
      </c>
    </row>
    <row r="44" spans="1:30" x14ac:dyDescent="0.25">
      <c r="A44" s="4">
        <v>8</v>
      </c>
      <c r="B44" s="4" t="s">
        <v>134</v>
      </c>
      <c r="C44" s="4" t="s">
        <v>133</v>
      </c>
      <c r="D44" s="58" t="str">
        <f t="shared" si="8"/>
        <v>M.</v>
      </c>
      <c r="E44" s="39" t="str">
        <f t="shared" si="0"/>
        <v>ok</v>
      </c>
      <c r="F44" s="58" t="str">
        <f t="shared" si="9"/>
        <v>M.Koepfli</v>
      </c>
      <c r="G44" s="39" t="str">
        <f t="shared" si="1"/>
        <v>ok</v>
      </c>
      <c r="H44" s="4" t="s">
        <v>132</v>
      </c>
      <c r="I44" s="4">
        <v>8045</v>
      </c>
      <c r="J44" s="4" t="s">
        <v>131</v>
      </c>
      <c r="K44" s="4" t="s">
        <v>22</v>
      </c>
      <c r="L44" s="58" t="str">
        <f t="shared" si="10"/>
        <v>CH-8045 Zuerich</v>
      </c>
      <c r="M44" s="39" t="str">
        <f t="shared" si="2"/>
        <v>ok</v>
      </c>
      <c r="N44" s="4"/>
      <c r="O44" s="58" t="str">
        <f t="shared" si="11"/>
        <v>melanie.koepfli@bzu.ch</v>
      </c>
      <c r="P44" s="39" t="str">
        <f t="shared" si="3"/>
        <v>ok</v>
      </c>
      <c r="Q44" s="4" t="s">
        <v>130</v>
      </c>
      <c r="R44" s="4" t="s">
        <v>48</v>
      </c>
      <c r="S44" s="58">
        <f t="shared" si="12"/>
        <v>0</v>
      </c>
      <c r="T44" s="39" t="str">
        <f t="shared" si="4"/>
        <v>ok</v>
      </c>
      <c r="U44" s="58">
        <f t="shared" si="13"/>
        <v>1</v>
      </c>
      <c r="V44" s="39" t="str">
        <f t="shared" si="5"/>
        <v>ok</v>
      </c>
      <c r="W44" s="58" t="str">
        <f t="shared" si="14"/>
        <v>melanie.koepfli@bzu.ch</v>
      </c>
      <c r="X44" s="39" t="str">
        <f t="shared" si="6"/>
        <v>ok</v>
      </c>
      <c r="Y44" s="40">
        <v>427.8</v>
      </c>
      <c r="Z44" s="40">
        <v>250</v>
      </c>
      <c r="AA44" s="59">
        <f t="shared" si="15"/>
        <v>177.8</v>
      </c>
      <c r="AB44" s="39" t="str">
        <f t="shared" si="7"/>
        <v>ok</v>
      </c>
      <c r="AC44" s="4" t="s">
        <v>64</v>
      </c>
      <c r="AD44" s="4" t="s">
        <v>48</v>
      </c>
    </row>
    <row r="45" spans="1:30" x14ac:dyDescent="0.25">
      <c r="A45" s="4">
        <v>9</v>
      </c>
      <c r="B45" s="4" t="s">
        <v>124</v>
      </c>
      <c r="C45" s="4" t="s">
        <v>129</v>
      </c>
      <c r="D45" s="58" t="str">
        <f t="shared" si="8"/>
        <v>H.</v>
      </c>
      <c r="E45" s="39" t="str">
        <f t="shared" si="0"/>
        <v>ok</v>
      </c>
      <c r="F45" s="58" t="str">
        <f t="shared" si="9"/>
        <v>H.Krieg</v>
      </c>
      <c r="G45" s="39" t="str">
        <f t="shared" si="1"/>
        <v>ok</v>
      </c>
      <c r="H45" s="4" t="s">
        <v>128</v>
      </c>
      <c r="I45" s="4">
        <v>8853</v>
      </c>
      <c r="J45" s="4" t="s">
        <v>50</v>
      </c>
      <c r="K45" s="4" t="s">
        <v>22</v>
      </c>
      <c r="L45" s="58" t="str">
        <f t="shared" si="10"/>
        <v>CH-8853 Lachen</v>
      </c>
      <c r="M45" s="39" t="str">
        <f t="shared" si="2"/>
        <v>ok</v>
      </c>
      <c r="N45" s="4" t="s">
        <v>127</v>
      </c>
      <c r="O45" s="58" t="str">
        <f t="shared" si="11"/>
        <v>hans.krieg@bzu.ch</v>
      </c>
      <c r="P45" s="39" t="str">
        <f t="shared" si="3"/>
        <v>ok</v>
      </c>
      <c r="Q45" s="4" t="s">
        <v>121</v>
      </c>
      <c r="R45" s="4" t="s">
        <v>48</v>
      </c>
      <c r="S45" s="58">
        <f t="shared" si="12"/>
        <v>0</v>
      </c>
      <c r="T45" s="39" t="str">
        <f t="shared" si="4"/>
        <v>ok</v>
      </c>
      <c r="U45" s="58">
        <f t="shared" si="13"/>
        <v>1</v>
      </c>
      <c r="V45" s="39" t="str">
        <f t="shared" si="5"/>
        <v>ok</v>
      </c>
      <c r="W45" s="58" t="str">
        <f t="shared" si="14"/>
        <v>roes.krieg@gmail.ch</v>
      </c>
      <c r="X45" s="39" t="str">
        <f t="shared" si="6"/>
        <v>ok</v>
      </c>
      <c r="Y45" s="40">
        <v>34.700000000000003</v>
      </c>
      <c r="Z45" s="40">
        <v>0</v>
      </c>
      <c r="AA45" s="59">
        <f t="shared" si="15"/>
        <v>34.700000000000003</v>
      </c>
      <c r="AB45" s="39" t="str">
        <f t="shared" si="7"/>
        <v>ok</v>
      </c>
      <c r="AC45" s="4" t="s">
        <v>41</v>
      </c>
      <c r="AD45" s="4" t="s">
        <v>40</v>
      </c>
    </row>
    <row r="46" spans="1:30" x14ac:dyDescent="0.25">
      <c r="A46" s="4">
        <v>10</v>
      </c>
      <c r="B46" s="4" t="s">
        <v>124</v>
      </c>
      <c r="C46" s="4" t="s">
        <v>110</v>
      </c>
      <c r="D46" s="58" t="str">
        <f t="shared" si="8"/>
        <v>R.</v>
      </c>
      <c r="E46" s="39" t="str">
        <f t="shared" si="0"/>
        <v>ok</v>
      </c>
      <c r="F46" s="58" t="str">
        <f t="shared" si="9"/>
        <v>R.Krieg</v>
      </c>
      <c r="G46" s="39" t="str">
        <f t="shared" si="1"/>
        <v>ok</v>
      </c>
      <c r="H46" s="4" t="s">
        <v>126</v>
      </c>
      <c r="I46" s="4">
        <v>8853</v>
      </c>
      <c r="J46" s="4" t="s">
        <v>50</v>
      </c>
      <c r="K46" s="4" t="s">
        <v>22</v>
      </c>
      <c r="L46" s="58" t="str">
        <f t="shared" si="10"/>
        <v>CH-8853 Lachen</v>
      </c>
      <c r="M46" s="39" t="str">
        <f t="shared" si="2"/>
        <v>ok</v>
      </c>
      <c r="N46" s="4" t="s">
        <v>125</v>
      </c>
      <c r="O46" s="58" t="str">
        <f t="shared" si="11"/>
        <v>rita.krieg@bzu.ch</v>
      </c>
      <c r="P46" s="39" t="str">
        <f t="shared" si="3"/>
        <v>ok</v>
      </c>
      <c r="Q46" s="4" t="s">
        <v>121</v>
      </c>
      <c r="R46" s="4" t="s">
        <v>48</v>
      </c>
      <c r="S46" s="58">
        <f t="shared" si="12"/>
        <v>0</v>
      </c>
      <c r="T46" s="39" t="str">
        <f t="shared" si="4"/>
        <v>ok</v>
      </c>
      <c r="U46" s="58">
        <f t="shared" si="13"/>
        <v>1</v>
      </c>
      <c r="V46" s="39" t="str">
        <f t="shared" si="5"/>
        <v>ok</v>
      </c>
      <c r="W46" s="58" t="str">
        <f t="shared" si="14"/>
        <v>rita.krieg@gmail.ch</v>
      </c>
      <c r="X46" s="39" t="str">
        <f t="shared" si="6"/>
        <v>ok</v>
      </c>
      <c r="Y46" s="40">
        <v>35.9</v>
      </c>
      <c r="Z46" s="40">
        <v>0</v>
      </c>
      <c r="AA46" s="59">
        <f t="shared" si="15"/>
        <v>35.9</v>
      </c>
      <c r="AB46" s="39" t="str">
        <f t="shared" si="7"/>
        <v>ok</v>
      </c>
      <c r="AC46" s="4" t="s">
        <v>64</v>
      </c>
      <c r="AD46" s="4" t="s">
        <v>48</v>
      </c>
    </row>
    <row r="47" spans="1:30" x14ac:dyDescent="0.25">
      <c r="A47" s="4">
        <v>11</v>
      </c>
      <c r="B47" s="4" t="s">
        <v>124</v>
      </c>
      <c r="C47" s="4" t="s">
        <v>123</v>
      </c>
      <c r="D47" s="58" t="str">
        <f t="shared" si="8"/>
        <v>R.</v>
      </c>
      <c r="E47" s="39" t="str">
        <f t="shared" si="0"/>
        <v>ok</v>
      </c>
      <c r="F47" s="58" t="str">
        <f t="shared" si="9"/>
        <v>R.Krieg</v>
      </c>
      <c r="G47" s="39" t="str">
        <f t="shared" si="1"/>
        <v>ok</v>
      </c>
      <c r="H47" s="4" t="s">
        <v>122</v>
      </c>
      <c r="I47" s="4">
        <v>8853</v>
      </c>
      <c r="J47" s="4" t="s">
        <v>50</v>
      </c>
      <c r="K47" s="4" t="s">
        <v>22</v>
      </c>
      <c r="L47" s="58" t="str">
        <f t="shared" si="10"/>
        <v>CH-8853 Lachen</v>
      </c>
      <c r="M47" s="39" t="str">
        <f t="shared" si="2"/>
        <v>ok</v>
      </c>
      <c r="N47" s="4"/>
      <c r="O47" s="58" t="str">
        <f t="shared" si="11"/>
        <v>roberta.krieg@bzu.ch</v>
      </c>
      <c r="P47" s="39" t="str">
        <f t="shared" si="3"/>
        <v>ok</v>
      </c>
      <c r="Q47" s="4" t="s">
        <v>121</v>
      </c>
      <c r="R47" s="4" t="s">
        <v>40</v>
      </c>
      <c r="S47" s="58">
        <f t="shared" si="12"/>
        <v>1</v>
      </c>
      <c r="T47" s="39" t="str">
        <f t="shared" si="4"/>
        <v>ok</v>
      </c>
      <c r="U47" s="58">
        <f t="shared" si="13"/>
        <v>0</v>
      </c>
      <c r="V47" s="39" t="str">
        <f t="shared" si="5"/>
        <v>ok</v>
      </c>
      <c r="W47" s="58" t="str">
        <f t="shared" si="14"/>
        <v/>
      </c>
      <c r="X47" s="39" t="str">
        <f t="shared" si="6"/>
        <v>ok</v>
      </c>
      <c r="Y47" s="40">
        <v>17.8</v>
      </c>
      <c r="Z47" s="40">
        <v>0</v>
      </c>
      <c r="AA47" s="59">
        <f t="shared" si="15"/>
        <v>17.8</v>
      </c>
      <c r="AB47" s="39" t="str">
        <f t="shared" si="7"/>
        <v>ok</v>
      </c>
      <c r="AC47" s="4" t="s">
        <v>53</v>
      </c>
      <c r="AD47" s="4" t="s">
        <v>40</v>
      </c>
    </row>
    <row r="48" spans="1:30" x14ac:dyDescent="0.25">
      <c r="A48" s="4">
        <v>12</v>
      </c>
      <c r="B48" s="4" t="s">
        <v>120</v>
      </c>
      <c r="C48" s="4" t="s">
        <v>119</v>
      </c>
      <c r="D48" s="58" t="str">
        <f t="shared" si="8"/>
        <v>R.</v>
      </c>
      <c r="E48" s="39" t="str">
        <f t="shared" si="0"/>
        <v>ok</v>
      </c>
      <c r="F48" s="58" t="str">
        <f t="shared" si="9"/>
        <v>R.Krieger</v>
      </c>
      <c r="G48" s="39" t="str">
        <f t="shared" si="1"/>
        <v>ok</v>
      </c>
      <c r="H48" s="4" t="s">
        <v>118</v>
      </c>
      <c r="I48" s="4">
        <v>8853</v>
      </c>
      <c r="J48" s="4" t="s">
        <v>50</v>
      </c>
      <c r="K48" s="4" t="s">
        <v>22</v>
      </c>
      <c r="L48" s="58" t="str">
        <f t="shared" si="10"/>
        <v>CH-8853 Lachen</v>
      </c>
      <c r="M48" s="39" t="str">
        <f t="shared" si="2"/>
        <v>ok</v>
      </c>
      <c r="N48" s="4" t="s">
        <v>117</v>
      </c>
      <c r="O48" s="58" t="str">
        <f t="shared" si="11"/>
        <v>ricarda.krieger@bzu.ch</v>
      </c>
      <c r="P48" s="39" t="str">
        <f t="shared" si="3"/>
        <v>ok</v>
      </c>
      <c r="Q48" s="4" t="s">
        <v>93</v>
      </c>
      <c r="R48" s="4" t="s">
        <v>48</v>
      </c>
      <c r="S48" s="58">
        <f t="shared" si="12"/>
        <v>0</v>
      </c>
      <c r="T48" s="39" t="str">
        <f t="shared" si="4"/>
        <v>ok</v>
      </c>
      <c r="U48" s="58">
        <f t="shared" si="13"/>
        <v>1</v>
      </c>
      <c r="V48" s="39" t="str">
        <f t="shared" si="5"/>
        <v>ok</v>
      </c>
      <c r="W48" s="58" t="str">
        <f t="shared" si="14"/>
        <v>richi.krieger@gmail.ch</v>
      </c>
      <c r="X48" s="39" t="str">
        <f t="shared" si="6"/>
        <v>ok</v>
      </c>
      <c r="Y48" s="40">
        <v>68</v>
      </c>
      <c r="Z48" s="40">
        <v>20</v>
      </c>
      <c r="AA48" s="59">
        <f t="shared" si="15"/>
        <v>48</v>
      </c>
      <c r="AB48" s="39" t="str">
        <f t="shared" si="7"/>
        <v>ok</v>
      </c>
      <c r="AC48" s="4" t="s">
        <v>64</v>
      </c>
      <c r="AD48" s="4" t="s">
        <v>48</v>
      </c>
    </row>
    <row r="49" spans="1:30" x14ac:dyDescent="0.25">
      <c r="A49" s="4">
        <v>13</v>
      </c>
      <c r="B49" s="4" t="s">
        <v>116</v>
      </c>
      <c r="C49" s="4" t="s">
        <v>115</v>
      </c>
      <c r="D49" s="58" t="str">
        <f t="shared" si="8"/>
        <v>R.</v>
      </c>
      <c r="E49" s="39" t="str">
        <f t="shared" si="0"/>
        <v>ok</v>
      </c>
      <c r="F49" s="58" t="str">
        <f t="shared" si="9"/>
        <v>R.Kussberger</v>
      </c>
      <c r="G49" s="39" t="str">
        <f t="shared" si="1"/>
        <v>ok</v>
      </c>
      <c r="H49" s="4" t="s">
        <v>114</v>
      </c>
      <c r="I49" s="4">
        <v>78713</v>
      </c>
      <c r="J49" s="4" t="s">
        <v>113</v>
      </c>
      <c r="K49" s="4" t="s">
        <v>24</v>
      </c>
      <c r="L49" s="58" t="str">
        <f t="shared" si="10"/>
        <v xml:space="preserve">DE-78713 Schramberg </v>
      </c>
      <c r="M49" s="39" t="str">
        <f t="shared" si="2"/>
        <v>ok</v>
      </c>
      <c r="N49" s="4"/>
      <c r="O49" s="58" t="str">
        <f t="shared" si="11"/>
        <v>richard.kussberger@bzu.ch</v>
      </c>
      <c r="P49" s="39" t="str">
        <f t="shared" si="3"/>
        <v>ok</v>
      </c>
      <c r="Q49" s="4" t="s">
        <v>112</v>
      </c>
      <c r="R49" s="4" t="s">
        <v>40</v>
      </c>
      <c r="S49" s="58">
        <f t="shared" si="12"/>
        <v>1</v>
      </c>
      <c r="T49" s="39" t="str">
        <f t="shared" si="4"/>
        <v>ok</v>
      </c>
      <c r="U49" s="58">
        <f t="shared" si="13"/>
        <v>0</v>
      </c>
      <c r="V49" s="39" t="str">
        <f t="shared" si="5"/>
        <v>ok</v>
      </c>
      <c r="W49" s="58" t="str">
        <f t="shared" si="14"/>
        <v/>
      </c>
      <c r="X49" s="39" t="str">
        <f t="shared" si="6"/>
        <v>ok</v>
      </c>
      <c r="Y49" s="40">
        <v>32</v>
      </c>
      <c r="Z49" s="40">
        <v>0</v>
      </c>
      <c r="AA49" s="59">
        <f t="shared" si="15"/>
        <v>32</v>
      </c>
      <c r="AB49" s="39" t="str">
        <f t="shared" si="7"/>
        <v>ok</v>
      </c>
      <c r="AC49" s="4" t="s">
        <v>41</v>
      </c>
      <c r="AD49" s="4" t="s">
        <v>40</v>
      </c>
    </row>
    <row r="50" spans="1:30" x14ac:dyDescent="0.25">
      <c r="A50" s="4">
        <v>14</v>
      </c>
      <c r="B50" s="4" t="s">
        <v>111</v>
      </c>
      <c r="C50" s="4" t="s">
        <v>110</v>
      </c>
      <c r="D50" s="58" t="str">
        <f t="shared" si="8"/>
        <v>R.</v>
      </c>
      <c r="E50" s="39" t="str">
        <f t="shared" si="0"/>
        <v>ok</v>
      </c>
      <c r="F50" s="58" t="str">
        <f t="shared" si="9"/>
        <v>R.Kuettel</v>
      </c>
      <c r="G50" s="39" t="str">
        <f t="shared" si="1"/>
        <v>ok</v>
      </c>
      <c r="H50" s="4" t="s">
        <v>109</v>
      </c>
      <c r="I50" s="4">
        <v>8832</v>
      </c>
      <c r="J50" s="4" t="s">
        <v>108</v>
      </c>
      <c r="K50" s="4" t="s">
        <v>22</v>
      </c>
      <c r="L50" s="58" t="str">
        <f t="shared" si="10"/>
        <v>CH-8832 Wollerau</v>
      </c>
      <c r="M50" s="39" t="str">
        <f t="shared" si="2"/>
        <v>ok</v>
      </c>
      <c r="N50" s="4" t="s">
        <v>107</v>
      </c>
      <c r="O50" s="58" t="str">
        <f t="shared" si="11"/>
        <v>rita.kuettel@bzu.ch</v>
      </c>
      <c r="P50" s="39" t="str">
        <f t="shared" si="3"/>
        <v>ok</v>
      </c>
      <c r="Q50" s="4" t="s">
        <v>106</v>
      </c>
      <c r="R50" s="4" t="s">
        <v>40</v>
      </c>
      <c r="S50" s="58">
        <f t="shared" si="12"/>
        <v>1</v>
      </c>
      <c r="T50" s="39" t="str">
        <f t="shared" si="4"/>
        <v>ok</v>
      </c>
      <c r="U50" s="58">
        <f t="shared" si="13"/>
        <v>0</v>
      </c>
      <c r="V50" s="39" t="str">
        <f t="shared" si="5"/>
        <v>ok</v>
      </c>
      <c r="W50" s="58" t="str">
        <f t="shared" si="14"/>
        <v/>
      </c>
      <c r="X50" s="39" t="str">
        <f t="shared" si="6"/>
        <v>ok</v>
      </c>
      <c r="Y50" s="40">
        <v>123</v>
      </c>
      <c r="Z50" s="40">
        <v>50</v>
      </c>
      <c r="AA50" s="59">
        <f t="shared" si="15"/>
        <v>73</v>
      </c>
      <c r="AB50" s="39" t="str">
        <f t="shared" si="7"/>
        <v>ok</v>
      </c>
      <c r="AC50" s="4" t="s">
        <v>64</v>
      </c>
      <c r="AD50" s="4" t="s">
        <v>48</v>
      </c>
    </row>
    <row r="51" spans="1:30" x14ac:dyDescent="0.25">
      <c r="A51" s="4">
        <v>15</v>
      </c>
      <c r="B51" s="4" t="s">
        <v>105</v>
      </c>
      <c r="C51" s="4" t="s">
        <v>104</v>
      </c>
      <c r="D51" s="58" t="str">
        <f t="shared" si="8"/>
        <v>R.</v>
      </c>
      <c r="E51" s="39" t="str">
        <f t="shared" si="0"/>
        <v>ok</v>
      </c>
      <c r="F51" s="58" t="str">
        <f t="shared" si="9"/>
        <v>R.Laib</v>
      </c>
      <c r="G51" s="39" t="str">
        <f t="shared" si="1"/>
        <v>ok</v>
      </c>
      <c r="H51" s="4" t="s">
        <v>99</v>
      </c>
      <c r="I51" s="4">
        <v>8855</v>
      </c>
      <c r="J51" s="4" t="s">
        <v>103</v>
      </c>
      <c r="K51" s="4" t="s">
        <v>22</v>
      </c>
      <c r="L51" s="58" t="str">
        <f t="shared" si="10"/>
        <v>CH-8855 Nuolen</v>
      </c>
      <c r="M51" s="39" t="str">
        <f t="shared" si="2"/>
        <v>ok</v>
      </c>
      <c r="N51" s="4" t="s">
        <v>102</v>
      </c>
      <c r="O51" s="58" t="str">
        <f t="shared" si="11"/>
        <v>rene.laib@bzu.ch</v>
      </c>
      <c r="P51" s="39" t="str">
        <f t="shared" si="3"/>
        <v>ok</v>
      </c>
      <c r="Q51" s="4" t="s">
        <v>101</v>
      </c>
      <c r="R51" s="4" t="s">
        <v>40</v>
      </c>
      <c r="S51" s="58">
        <f t="shared" si="12"/>
        <v>1</v>
      </c>
      <c r="T51" s="39" t="str">
        <f t="shared" si="4"/>
        <v>ok</v>
      </c>
      <c r="U51" s="58">
        <f t="shared" si="13"/>
        <v>0</v>
      </c>
      <c r="V51" s="39" t="str">
        <f t="shared" si="5"/>
        <v>ok</v>
      </c>
      <c r="W51" s="58" t="str">
        <f t="shared" si="14"/>
        <v/>
      </c>
      <c r="X51" s="39" t="str">
        <f t="shared" si="6"/>
        <v>ok</v>
      </c>
      <c r="Y51" s="40">
        <v>45.3</v>
      </c>
      <c r="Z51" s="40">
        <v>0</v>
      </c>
      <c r="AA51" s="59">
        <f t="shared" si="15"/>
        <v>45.3</v>
      </c>
      <c r="AB51" s="39" t="str">
        <f t="shared" si="7"/>
        <v>ok</v>
      </c>
      <c r="AC51" s="4" t="s">
        <v>64</v>
      </c>
      <c r="AD51" s="4" t="s">
        <v>40</v>
      </c>
    </row>
    <row r="52" spans="1:30" x14ac:dyDescent="0.25">
      <c r="A52" s="4">
        <v>16</v>
      </c>
      <c r="B52" s="4" t="s">
        <v>32</v>
      </c>
      <c r="C52" s="4" t="s">
        <v>100</v>
      </c>
      <c r="D52" s="58" t="str">
        <f t="shared" si="8"/>
        <v>M.</v>
      </c>
      <c r="E52" s="39" t="str">
        <f t="shared" si="0"/>
        <v>ok</v>
      </c>
      <c r="F52" s="58" t="str">
        <f t="shared" si="9"/>
        <v>M.Landolt</v>
      </c>
      <c r="G52" s="39" t="str">
        <f t="shared" si="1"/>
        <v>ok</v>
      </c>
      <c r="H52" s="4" t="s">
        <v>99</v>
      </c>
      <c r="I52" s="4">
        <v>8807</v>
      </c>
      <c r="J52" s="4" t="s">
        <v>67</v>
      </c>
      <c r="K52" s="4" t="s">
        <v>22</v>
      </c>
      <c r="L52" s="58" t="str">
        <f t="shared" si="10"/>
        <v>CH-8807 Freienbach</v>
      </c>
      <c r="M52" s="39" t="str">
        <f t="shared" si="2"/>
        <v>ok</v>
      </c>
      <c r="N52" s="4" t="s">
        <v>98</v>
      </c>
      <c r="O52" s="58" t="str">
        <f t="shared" si="11"/>
        <v>margrith.landolt@bzu.ch</v>
      </c>
      <c r="P52" s="39" t="str">
        <f t="shared" si="3"/>
        <v>ok</v>
      </c>
      <c r="Q52" s="4" t="s">
        <v>97</v>
      </c>
      <c r="R52" s="4" t="s">
        <v>40</v>
      </c>
      <c r="S52" s="58">
        <f t="shared" si="12"/>
        <v>1</v>
      </c>
      <c r="T52" s="39" t="str">
        <f t="shared" si="4"/>
        <v>ok</v>
      </c>
      <c r="U52" s="58">
        <f t="shared" si="13"/>
        <v>0</v>
      </c>
      <c r="V52" s="39" t="str">
        <f t="shared" si="5"/>
        <v>ok</v>
      </c>
      <c r="W52" s="58" t="str">
        <f t="shared" si="14"/>
        <v/>
      </c>
      <c r="X52" s="39" t="str">
        <f t="shared" si="6"/>
        <v>ok</v>
      </c>
      <c r="Y52" s="40">
        <v>312.56</v>
      </c>
      <c r="Z52" s="40">
        <v>0</v>
      </c>
      <c r="AA52" s="59">
        <f t="shared" si="15"/>
        <v>312.56</v>
      </c>
      <c r="AB52" s="39" t="str">
        <f t="shared" si="7"/>
        <v>ok</v>
      </c>
      <c r="AC52" s="4" t="s">
        <v>64</v>
      </c>
      <c r="AD52" s="4" t="s">
        <v>48</v>
      </c>
    </row>
    <row r="53" spans="1:30" x14ac:dyDescent="0.25">
      <c r="A53" s="4">
        <v>17</v>
      </c>
      <c r="B53" s="4" t="s">
        <v>96</v>
      </c>
      <c r="C53" s="4" t="s">
        <v>95</v>
      </c>
      <c r="D53" s="58" t="str">
        <f t="shared" si="8"/>
        <v>R.</v>
      </c>
      <c r="E53" s="39" t="str">
        <f t="shared" si="0"/>
        <v>ok</v>
      </c>
      <c r="F53" s="58" t="str">
        <f t="shared" si="9"/>
        <v>R.Lang</v>
      </c>
      <c r="G53" s="39" t="str">
        <f t="shared" si="1"/>
        <v>ok</v>
      </c>
      <c r="H53" s="4" t="s">
        <v>94</v>
      </c>
      <c r="I53" s="4">
        <v>8853</v>
      </c>
      <c r="J53" s="4" t="s">
        <v>50</v>
      </c>
      <c r="K53" s="4" t="s">
        <v>22</v>
      </c>
      <c r="L53" s="58" t="str">
        <f t="shared" si="10"/>
        <v>CH-8853 Lachen</v>
      </c>
      <c r="M53" s="39" t="str">
        <f t="shared" si="2"/>
        <v>ok</v>
      </c>
      <c r="N53" s="4"/>
      <c r="O53" s="58" t="str">
        <f t="shared" si="11"/>
        <v>reinhard.lang@bzu.ch</v>
      </c>
      <c r="P53" s="39" t="str">
        <f t="shared" si="3"/>
        <v>ok</v>
      </c>
      <c r="Q53" s="4" t="s">
        <v>93</v>
      </c>
      <c r="R53" s="4" t="s">
        <v>40</v>
      </c>
      <c r="S53" s="58">
        <f t="shared" si="12"/>
        <v>1</v>
      </c>
      <c r="T53" s="39" t="str">
        <f t="shared" si="4"/>
        <v>ok</v>
      </c>
      <c r="U53" s="58">
        <f t="shared" si="13"/>
        <v>0</v>
      </c>
      <c r="V53" s="39" t="str">
        <f t="shared" si="5"/>
        <v>ok</v>
      </c>
      <c r="W53" s="58" t="str">
        <f t="shared" si="14"/>
        <v/>
      </c>
      <c r="X53" s="39" t="str">
        <f t="shared" si="6"/>
        <v>ok</v>
      </c>
      <c r="Y53" s="40">
        <v>84</v>
      </c>
      <c r="Z53" s="40">
        <v>24</v>
      </c>
      <c r="AA53" s="59">
        <f t="shared" si="15"/>
        <v>60</v>
      </c>
      <c r="AB53" s="39" t="str">
        <f t="shared" si="7"/>
        <v>ok</v>
      </c>
      <c r="AC53" s="4" t="s">
        <v>41</v>
      </c>
      <c r="AD53" s="4" t="s">
        <v>40</v>
      </c>
    </row>
    <row r="54" spans="1:30" x14ac:dyDescent="0.25">
      <c r="A54" s="4">
        <v>18</v>
      </c>
      <c r="B54" s="4" t="s">
        <v>92</v>
      </c>
      <c r="C54" s="4" t="s">
        <v>91</v>
      </c>
      <c r="D54" s="58" t="str">
        <f t="shared" si="8"/>
        <v>R.</v>
      </c>
      <c r="E54" s="39" t="str">
        <f t="shared" si="0"/>
        <v>ok</v>
      </c>
      <c r="F54" s="58" t="str">
        <f t="shared" si="9"/>
        <v>R.Laeubli</v>
      </c>
      <c r="G54" s="39" t="str">
        <f t="shared" si="1"/>
        <v>ok</v>
      </c>
      <c r="H54" s="4" t="s">
        <v>90</v>
      </c>
      <c r="I54" s="4">
        <v>8808</v>
      </c>
      <c r="J54" s="4" t="s">
        <v>89</v>
      </c>
      <c r="K54" s="4" t="s">
        <v>22</v>
      </c>
      <c r="L54" s="58" t="str">
        <f t="shared" si="10"/>
        <v>CH-8808 Pfäffikon</v>
      </c>
      <c r="M54" s="39" t="str">
        <f t="shared" si="2"/>
        <v>ok</v>
      </c>
      <c r="N54" s="4" t="s">
        <v>88</v>
      </c>
      <c r="O54" s="58" t="str">
        <f t="shared" si="11"/>
        <v>raphaela.laeubli@bzu.ch</v>
      </c>
      <c r="P54" s="39" t="str">
        <f t="shared" si="3"/>
        <v>ok</v>
      </c>
      <c r="Q54" s="4" t="s">
        <v>87</v>
      </c>
      <c r="R54" s="4" t="s">
        <v>48</v>
      </c>
      <c r="S54" s="58">
        <f t="shared" si="12"/>
        <v>0</v>
      </c>
      <c r="T54" s="39" t="str">
        <f t="shared" si="4"/>
        <v>ok</v>
      </c>
      <c r="U54" s="58">
        <f t="shared" si="13"/>
        <v>1</v>
      </c>
      <c r="V54" s="39" t="str">
        <f t="shared" si="5"/>
        <v>ok</v>
      </c>
      <c r="W54" s="58" t="str">
        <f t="shared" si="14"/>
        <v>raphael.laeubli@gmail.ch</v>
      </c>
      <c r="X54" s="39" t="str">
        <f t="shared" si="6"/>
        <v>ok</v>
      </c>
      <c r="Y54" s="40">
        <v>45.7</v>
      </c>
      <c r="Z54" s="40">
        <v>25</v>
      </c>
      <c r="AA54" s="59">
        <f t="shared" si="15"/>
        <v>20.700000000000003</v>
      </c>
      <c r="AB54" s="39" t="str">
        <f t="shared" si="7"/>
        <v>ok</v>
      </c>
      <c r="AC54" s="4" t="s">
        <v>64</v>
      </c>
      <c r="AD54" s="4" t="s">
        <v>48</v>
      </c>
    </row>
    <row r="55" spans="1:30" x14ac:dyDescent="0.25">
      <c r="A55" s="4">
        <v>19</v>
      </c>
      <c r="B55" s="4" t="s">
        <v>86</v>
      </c>
      <c r="C55" s="4" t="s">
        <v>82</v>
      </c>
      <c r="D55" s="58" t="str">
        <f t="shared" si="8"/>
        <v>R.</v>
      </c>
      <c r="E55" s="39" t="str">
        <f t="shared" si="0"/>
        <v>ok</v>
      </c>
      <c r="F55" s="58" t="str">
        <f t="shared" si="9"/>
        <v>R.Lurati</v>
      </c>
      <c r="G55" s="39" t="str">
        <f t="shared" si="1"/>
        <v>ok</v>
      </c>
      <c r="H55" s="4" t="s">
        <v>81</v>
      </c>
      <c r="I55" s="4">
        <v>8634</v>
      </c>
      <c r="J55" s="4" t="s">
        <v>85</v>
      </c>
      <c r="K55" s="4" t="s">
        <v>22</v>
      </c>
      <c r="L55" s="58" t="str">
        <f t="shared" si="10"/>
        <v>CH-8634 Hombrechtikon</v>
      </c>
      <c r="M55" s="39" t="str">
        <f t="shared" si="2"/>
        <v>ok</v>
      </c>
      <c r="N55" s="4" t="s">
        <v>84</v>
      </c>
      <c r="O55" s="58" t="str">
        <f t="shared" si="11"/>
        <v>ramona.lurati@bzu.ch</v>
      </c>
      <c r="P55" s="39" t="str">
        <f t="shared" si="3"/>
        <v>ok</v>
      </c>
      <c r="Q55" s="4" t="s">
        <v>83</v>
      </c>
      <c r="R55" s="4" t="s">
        <v>40</v>
      </c>
      <c r="S55" s="58">
        <f t="shared" si="12"/>
        <v>1</v>
      </c>
      <c r="T55" s="39" t="str">
        <f t="shared" si="4"/>
        <v>ok</v>
      </c>
      <c r="U55" s="58">
        <f t="shared" si="13"/>
        <v>0</v>
      </c>
      <c r="V55" s="39" t="str">
        <f t="shared" si="5"/>
        <v>ok</v>
      </c>
      <c r="W55" s="58" t="str">
        <f t="shared" si="14"/>
        <v/>
      </c>
      <c r="X55" s="39" t="str">
        <f t="shared" si="6"/>
        <v>ok</v>
      </c>
      <c r="Y55" s="40">
        <v>1427.8</v>
      </c>
      <c r="Z55" s="40"/>
      <c r="AA55" s="59">
        <f t="shared" si="15"/>
        <v>1427.8</v>
      </c>
      <c r="AB55" s="39" t="str">
        <f t="shared" si="7"/>
        <v>ok</v>
      </c>
      <c r="AC55" s="4" t="s">
        <v>64</v>
      </c>
      <c r="AD55" s="4" t="s">
        <v>40</v>
      </c>
    </row>
    <row r="56" spans="1:30" x14ac:dyDescent="0.25">
      <c r="A56" s="4">
        <v>20</v>
      </c>
      <c r="B56" s="4" t="s">
        <v>79</v>
      </c>
      <c r="C56" s="4" t="s">
        <v>82</v>
      </c>
      <c r="D56" s="58" t="str">
        <f t="shared" si="8"/>
        <v>R.</v>
      </c>
      <c r="E56" s="39" t="str">
        <f t="shared" si="0"/>
        <v>ok</v>
      </c>
      <c r="F56" s="58" t="str">
        <f t="shared" si="9"/>
        <v>R.Maechler</v>
      </c>
      <c r="G56" s="39" t="str">
        <f t="shared" si="1"/>
        <v>ok</v>
      </c>
      <c r="H56" s="4" t="s">
        <v>81</v>
      </c>
      <c r="I56" s="4">
        <v>8853</v>
      </c>
      <c r="J56" s="4" t="s">
        <v>50</v>
      </c>
      <c r="K56" s="4" t="s">
        <v>22</v>
      </c>
      <c r="L56" s="58" t="str">
        <f t="shared" si="10"/>
        <v>CH-8853 Lachen</v>
      </c>
      <c r="M56" s="39" t="str">
        <f t="shared" si="2"/>
        <v>ok</v>
      </c>
      <c r="N56" s="4"/>
      <c r="O56" s="58" t="str">
        <f t="shared" si="11"/>
        <v>ramona.maechler@bzu.ch</v>
      </c>
      <c r="P56" s="39" t="str">
        <f t="shared" si="3"/>
        <v>ok</v>
      </c>
      <c r="Q56" s="4" t="s">
        <v>80</v>
      </c>
      <c r="R56" s="4" t="s">
        <v>40</v>
      </c>
      <c r="S56" s="58">
        <f t="shared" si="12"/>
        <v>1</v>
      </c>
      <c r="T56" s="39" t="str">
        <f t="shared" si="4"/>
        <v>ok</v>
      </c>
      <c r="U56" s="58">
        <f t="shared" si="13"/>
        <v>0</v>
      </c>
      <c r="V56" s="39" t="str">
        <f t="shared" si="5"/>
        <v>ok</v>
      </c>
      <c r="W56" s="58" t="str">
        <f t="shared" si="14"/>
        <v/>
      </c>
      <c r="X56" s="39" t="str">
        <f t="shared" si="6"/>
        <v>ok</v>
      </c>
      <c r="Y56" s="40">
        <v>439</v>
      </c>
      <c r="Z56" s="40">
        <v>400</v>
      </c>
      <c r="AA56" s="59">
        <f t="shared" si="15"/>
        <v>39</v>
      </c>
      <c r="AB56" s="39" t="str">
        <f t="shared" si="7"/>
        <v>ok</v>
      </c>
      <c r="AC56" s="4" t="s">
        <v>64</v>
      </c>
      <c r="AD56" s="4" t="s">
        <v>48</v>
      </c>
    </row>
    <row r="57" spans="1:30" x14ac:dyDescent="0.25">
      <c r="A57" s="4">
        <v>21</v>
      </c>
      <c r="B57" s="4" t="s">
        <v>79</v>
      </c>
      <c r="C57" s="4" t="s">
        <v>78</v>
      </c>
      <c r="D57" s="58" t="str">
        <f t="shared" si="8"/>
        <v>L.</v>
      </c>
      <c r="E57" s="39" t="str">
        <f t="shared" si="0"/>
        <v>ok</v>
      </c>
      <c r="F57" s="58" t="str">
        <f t="shared" si="9"/>
        <v>L.Maechler</v>
      </c>
      <c r="G57" s="39" t="str">
        <f t="shared" si="1"/>
        <v>ok</v>
      </c>
      <c r="H57" s="4" t="s">
        <v>73</v>
      </c>
      <c r="I57" s="4">
        <v>8854</v>
      </c>
      <c r="J57" s="4" t="s">
        <v>77</v>
      </c>
      <c r="K57" s="4" t="s">
        <v>22</v>
      </c>
      <c r="L57" s="58" t="str">
        <f t="shared" si="10"/>
        <v>CH-8854 Siebnen</v>
      </c>
      <c r="M57" s="39" t="str">
        <f t="shared" si="2"/>
        <v>ok</v>
      </c>
      <c r="N57" s="4"/>
      <c r="O57" s="58" t="str">
        <f t="shared" si="11"/>
        <v>luisa.maechler@bzu.ch</v>
      </c>
      <c r="P57" s="39" t="str">
        <f t="shared" si="3"/>
        <v>ok</v>
      </c>
      <c r="Q57" s="4" t="s">
        <v>76</v>
      </c>
      <c r="R57" s="4" t="s">
        <v>40</v>
      </c>
      <c r="S57" s="58">
        <f t="shared" si="12"/>
        <v>1</v>
      </c>
      <c r="T57" s="39" t="str">
        <f t="shared" si="4"/>
        <v>ok</v>
      </c>
      <c r="U57" s="58">
        <f t="shared" si="13"/>
        <v>0</v>
      </c>
      <c r="V57" s="39" t="str">
        <f t="shared" si="5"/>
        <v>ok</v>
      </c>
      <c r="W57" s="58" t="str">
        <f t="shared" si="14"/>
        <v/>
      </c>
      <c r="X57" s="39" t="str">
        <f t="shared" si="6"/>
        <v>ok</v>
      </c>
      <c r="Y57" s="40">
        <v>32.5</v>
      </c>
      <c r="Z57" s="40">
        <v>0</v>
      </c>
      <c r="AA57" s="59">
        <f t="shared" si="15"/>
        <v>32.5</v>
      </c>
      <c r="AB57" s="39" t="str">
        <f t="shared" si="7"/>
        <v>ok</v>
      </c>
      <c r="AC57" s="4" t="s">
        <v>64</v>
      </c>
      <c r="AD57" s="4" t="s">
        <v>40</v>
      </c>
    </row>
    <row r="58" spans="1:30" x14ac:dyDescent="0.25">
      <c r="A58" s="4">
        <v>22</v>
      </c>
      <c r="B58" s="4" t="s">
        <v>75</v>
      </c>
      <c r="C58" s="4" t="s">
        <v>74</v>
      </c>
      <c r="D58" s="58" t="str">
        <f t="shared" si="8"/>
        <v>P.</v>
      </c>
      <c r="E58" s="39" t="str">
        <f t="shared" si="0"/>
        <v>ok</v>
      </c>
      <c r="F58" s="58" t="str">
        <f t="shared" si="9"/>
        <v>P.Diethelm</v>
      </c>
      <c r="G58" s="39" t="str">
        <f t="shared" si="1"/>
        <v>ok</v>
      </c>
      <c r="H58" s="4" t="s">
        <v>73</v>
      </c>
      <c r="I58" s="4">
        <v>8863</v>
      </c>
      <c r="J58" s="4" t="s">
        <v>72</v>
      </c>
      <c r="K58" s="4" t="s">
        <v>22</v>
      </c>
      <c r="L58" s="58" t="str">
        <f t="shared" si="10"/>
        <v>CH-8863 Buttikon</v>
      </c>
      <c r="M58" s="39" t="str">
        <f t="shared" si="2"/>
        <v>ok</v>
      </c>
      <c r="N58" s="4"/>
      <c r="O58" s="58" t="str">
        <f t="shared" si="11"/>
        <v>paula.diethelm@bzu.ch</v>
      </c>
      <c r="P58" s="39" t="str">
        <f t="shared" si="3"/>
        <v>ok</v>
      </c>
      <c r="Q58" s="4" t="s">
        <v>71</v>
      </c>
      <c r="R58" s="4" t="s">
        <v>48</v>
      </c>
      <c r="S58" s="58">
        <f t="shared" si="12"/>
        <v>0</v>
      </c>
      <c r="T58" s="39" t="str">
        <f t="shared" si="4"/>
        <v>ok</v>
      </c>
      <c r="U58" s="58">
        <f t="shared" si="13"/>
        <v>1</v>
      </c>
      <c r="V58" s="39" t="str">
        <f t="shared" si="5"/>
        <v>ok</v>
      </c>
      <c r="W58" s="58" t="str">
        <f t="shared" si="14"/>
        <v>paula.diethelm@bzu.ch</v>
      </c>
      <c r="X58" s="39" t="str">
        <f t="shared" si="6"/>
        <v>ok</v>
      </c>
      <c r="Y58" s="40">
        <v>53</v>
      </c>
      <c r="Z58" s="40">
        <v>0</v>
      </c>
      <c r="AA58" s="59">
        <f t="shared" si="15"/>
        <v>53</v>
      </c>
      <c r="AB58" s="39" t="str">
        <f t="shared" si="7"/>
        <v>ok</v>
      </c>
      <c r="AC58" s="4" t="s">
        <v>64</v>
      </c>
      <c r="AD58" s="4" t="s">
        <v>48</v>
      </c>
    </row>
    <row r="59" spans="1:30" x14ac:dyDescent="0.25">
      <c r="A59" s="4">
        <v>23</v>
      </c>
      <c r="B59" s="4" t="s">
        <v>70</v>
      </c>
      <c r="C59" s="4" t="s">
        <v>69</v>
      </c>
      <c r="D59" s="58" t="str">
        <f t="shared" si="8"/>
        <v>P.</v>
      </c>
      <c r="E59" s="39" t="str">
        <f t="shared" si="0"/>
        <v>ok</v>
      </c>
      <c r="F59" s="58" t="str">
        <f t="shared" si="9"/>
        <v>P.Maeder</v>
      </c>
      <c r="G59" s="39" t="str">
        <f t="shared" si="1"/>
        <v>ok</v>
      </c>
      <c r="H59" s="4" t="s">
        <v>68</v>
      </c>
      <c r="I59" s="4">
        <v>8807</v>
      </c>
      <c r="J59" s="4" t="s">
        <v>67</v>
      </c>
      <c r="K59" s="4" t="s">
        <v>22</v>
      </c>
      <c r="L59" s="58" t="str">
        <f t="shared" si="10"/>
        <v>CH-8807 Freienbach</v>
      </c>
      <c r="M59" s="39" t="str">
        <f t="shared" si="2"/>
        <v>ok</v>
      </c>
      <c r="N59" s="4" t="s">
        <v>66</v>
      </c>
      <c r="O59" s="58" t="str">
        <f t="shared" si="11"/>
        <v>pia.maeder@bzu.ch</v>
      </c>
      <c r="P59" s="39" t="str">
        <f t="shared" si="3"/>
        <v>ok</v>
      </c>
      <c r="Q59" s="4" t="s">
        <v>65</v>
      </c>
      <c r="R59" s="4" t="s">
        <v>48</v>
      </c>
      <c r="S59" s="58">
        <f t="shared" si="12"/>
        <v>0</v>
      </c>
      <c r="T59" s="39" t="str">
        <f t="shared" si="4"/>
        <v>ok</v>
      </c>
      <c r="U59" s="58">
        <f t="shared" si="13"/>
        <v>1</v>
      </c>
      <c r="V59" s="39" t="str">
        <f t="shared" si="5"/>
        <v>ok</v>
      </c>
      <c r="W59" s="58" t="str">
        <f t="shared" si="14"/>
        <v>pia.maeder@gmail.ch</v>
      </c>
      <c r="X59" s="39" t="str">
        <f t="shared" si="6"/>
        <v>ok</v>
      </c>
      <c r="Y59" s="40">
        <v>15.7</v>
      </c>
      <c r="Z59" s="40">
        <v>0</v>
      </c>
      <c r="AA59" s="59">
        <f t="shared" si="15"/>
        <v>15.7</v>
      </c>
      <c r="AB59" s="39" t="str">
        <f t="shared" si="7"/>
        <v>ok</v>
      </c>
      <c r="AC59" s="4" t="s">
        <v>64</v>
      </c>
      <c r="AD59" s="4" t="s">
        <v>40</v>
      </c>
    </row>
    <row r="60" spans="1:30" x14ac:dyDescent="0.25">
      <c r="A60" s="4">
        <v>24</v>
      </c>
      <c r="B60" s="4" t="s">
        <v>59</v>
      </c>
      <c r="C60" s="4" t="s">
        <v>63</v>
      </c>
      <c r="D60" s="58" t="str">
        <f t="shared" si="8"/>
        <v>P.</v>
      </c>
      <c r="E60" s="39" t="str">
        <f t="shared" si="0"/>
        <v>ok</v>
      </c>
      <c r="F60" s="58" t="str">
        <f t="shared" si="9"/>
        <v>P.Mannhart</v>
      </c>
      <c r="G60" s="39" t="str">
        <f t="shared" si="1"/>
        <v>ok</v>
      </c>
      <c r="H60" s="4" t="s">
        <v>62</v>
      </c>
      <c r="I60" s="4">
        <v>8708</v>
      </c>
      <c r="J60" s="4" t="s">
        <v>61</v>
      </c>
      <c r="K60" s="4" t="s">
        <v>22</v>
      </c>
      <c r="L60" s="58" t="str">
        <f t="shared" si="10"/>
        <v>CH-8708 Männedorf</v>
      </c>
      <c r="M60" s="39" t="str">
        <f t="shared" si="2"/>
        <v>ok</v>
      </c>
      <c r="N60" s="4" t="s">
        <v>60</v>
      </c>
      <c r="O60" s="58" t="str">
        <f t="shared" si="11"/>
        <v>pius.mannhart@bzu.ch</v>
      </c>
      <c r="P60" s="39" t="str">
        <f t="shared" si="3"/>
        <v>ok</v>
      </c>
      <c r="Q60" s="4" t="s">
        <v>54</v>
      </c>
      <c r="R60" s="4" t="s">
        <v>40</v>
      </c>
      <c r="S60" s="58">
        <f t="shared" si="12"/>
        <v>1</v>
      </c>
      <c r="T60" s="39" t="str">
        <f t="shared" si="4"/>
        <v>ok</v>
      </c>
      <c r="U60" s="58">
        <f t="shared" si="13"/>
        <v>0</v>
      </c>
      <c r="V60" s="39" t="str">
        <f t="shared" si="5"/>
        <v>ok</v>
      </c>
      <c r="W60" s="58" t="str">
        <f t="shared" si="14"/>
        <v/>
      </c>
      <c r="X60" s="39" t="str">
        <f t="shared" si="6"/>
        <v>ok</v>
      </c>
      <c r="Y60" s="40">
        <v>68</v>
      </c>
      <c r="Z60" s="40">
        <v>0</v>
      </c>
      <c r="AA60" s="59">
        <f t="shared" si="15"/>
        <v>68</v>
      </c>
      <c r="AB60" s="39" t="str">
        <f t="shared" si="7"/>
        <v>ok</v>
      </c>
      <c r="AC60" s="4" t="s">
        <v>41</v>
      </c>
      <c r="AD60" s="4" t="s">
        <v>48</v>
      </c>
    </row>
    <row r="61" spans="1:30" x14ac:dyDescent="0.25">
      <c r="A61" s="4">
        <v>25</v>
      </c>
      <c r="B61" s="4" t="s">
        <v>59</v>
      </c>
      <c r="C61" s="4" t="s">
        <v>58</v>
      </c>
      <c r="D61" s="58" t="str">
        <f t="shared" si="8"/>
        <v>M.</v>
      </c>
      <c r="E61" s="39" t="str">
        <f t="shared" si="0"/>
        <v>ok</v>
      </c>
      <c r="F61" s="58" t="str">
        <f t="shared" si="9"/>
        <v>M.Mannhart</v>
      </c>
      <c r="G61" s="39" t="str">
        <f t="shared" si="1"/>
        <v>ok</v>
      </c>
      <c r="H61" s="4" t="s">
        <v>57</v>
      </c>
      <c r="I61" s="4">
        <v>8708</v>
      </c>
      <c r="J61" s="4" t="s">
        <v>56</v>
      </c>
      <c r="K61" s="4" t="s">
        <v>22</v>
      </c>
      <c r="L61" s="58" t="str">
        <f t="shared" si="10"/>
        <v>CH-8708 Maennedorf</v>
      </c>
      <c r="M61" s="39" t="str">
        <f t="shared" si="2"/>
        <v>ok</v>
      </c>
      <c r="N61" s="4" t="s">
        <v>55</v>
      </c>
      <c r="O61" s="58" t="str">
        <f t="shared" si="11"/>
        <v>mia.mannhart@bzu.ch</v>
      </c>
      <c r="P61" s="39" t="str">
        <f t="shared" si="3"/>
        <v>ok</v>
      </c>
      <c r="Q61" s="4" t="s">
        <v>54</v>
      </c>
      <c r="R61" s="4" t="s">
        <v>40</v>
      </c>
      <c r="S61" s="58">
        <f t="shared" si="12"/>
        <v>1</v>
      </c>
      <c r="T61" s="39" t="str">
        <f t="shared" si="4"/>
        <v>ok</v>
      </c>
      <c r="U61" s="58">
        <f t="shared" si="13"/>
        <v>0</v>
      </c>
      <c r="V61" s="39" t="str">
        <f t="shared" si="5"/>
        <v>ok</v>
      </c>
      <c r="W61" s="58" t="str">
        <f t="shared" si="14"/>
        <v/>
      </c>
      <c r="X61" s="39" t="str">
        <f t="shared" si="6"/>
        <v>ok</v>
      </c>
      <c r="Y61" s="40">
        <v>658</v>
      </c>
      <c r="Z61" s="40">
        <v>470</v>
      </c>
      <c r="AA61" s="59">
        <f t="shared" si="15"/>
        <v>188</v>
      </c>
      <c r="AB61" s="39" t="str">
        <f t="shared" si="7"/>
        <v>ok</v>
      </c>
      <c r="AC61" s="4" t="s">
        <v>53</v>
      </c>
      <c r="AD61" s="4" t="s">
        <v>40</v>
      </c>
    </row>
    <row r="62" spans="1:30" x14ac:dyDescent="0.25">
      <c r="A62" s="4">
        <v>26</v>
      </c>
      <c r="B62" s="4" t="s">
        <v>47</v>
      </c>
      <c r="C62" s="4" t="s">
        <v>52</v>
      </c>
      <c r="D62" s="58" t="str">
        <f t="shared" si="8"/>
        <v>P.</v>
      </c>
      <c r="E62" s="39" t="str">
        <f t="shared" si="0"/>
        <v>ok</v>
      </c>
      <c r="F62" s="58" t="str">
        <f t="shared" si="9"/>
        <v>P.Marty</v>
      </c>
      <c r="G62" s="39" t="str">
        <f t="shared" si="1"/>
        <v>ok</v>
      </c>
      <c r="H62" s="4" t="s">
        <v>51</v>
      </c>
      <c r="I62" s="4">
        <v>8853</v>
      </c>
      <c r="J62" s="4" t="s">
        <v>50</v>
      </c>
      <c r="K62" s="4" t="s">
        <v>22</v>
      </c>
      <c r="L62" s="58" t="str">
        <f t="shared" si="10"/>
        <v>CH-8853 Lachen</v>
      </c>
      <c r="M62" s="39" t="str">
        <f t="shared" si="2"/>
        <v>ok</v>
      </c>
      <c r="N62" s="4"/>
      <c r="O62" s="58" t="str">
        <f t="shared" si="11"/>
        <v>philippe.marty@bzu.ch</v>
      </c>
      <c r="P62" s="39" t="str">
        <f t="shared" si="3"/>
        <v>ok</v>
      </c>
      <c r="Q62" s="4" t="s">
        <v>49</v>
      </c>
      <c r="R62" s="4" t="s">
        <v>40</v>
      </c>
      <c r="S62" s="58">
        <f t="shared" si="12"/>
        <v>1</v>
      </c>
      <c r="T62" s="39" t="str">
        <f t="shared" si="4"/>
        <v>ok</v>
      </c>
      <c r="U62" s="58">
        <f t="shared" si="13"/>
        <v>0</v>
      </c>
      <c r="V62" s="39" t="str">
        <f t="shared" si="5"/>
        <v>ok</v>
      </c>
      <c r="W62" s="58" t="str">
        <f t="shared" si="14"/>
        <v/>
      </c>
      <c r="X62" s="39" t="str">
        <f t="shared" si="6"/>
        <v>ok</v>
      </c>
      <c r="Y62" s="40">
        <v>7.4</v>
      </c>
      <c r="Z62" s="40">
        <v>0</v>
      </c>
      <c r="AA62" s="59">
        <f t="shared" si="15"/>
        <v>7.4</v>
      </c>
      <c r="AB62" s="39" t="str">
        <f t="shared" si="7"/>
        <v>ok</v>
      </c>
      <c r="AC62" s="4" t="s">
        <v>41</v>
      </c>
      <c r="AD62" s="4" t="s">
        <v>48</v>
      </c>
    </row>
    <row r="63" spans="1:30" ht="15.75" thickBot="1" x14ac:dyDescent="0.3">
      <c r="A63" s="4">
        <v>27</v>
      </c>
      <c r="B63" s="4" t="s">
        <v>47</v>
      </c>
      <c r="C63" s="4" t="s">
        <v>46</v>
      </c>
      <c r="D63" s="58" t="str">
        <f t="shared" si="8"/>
        <v>P.</v>
      </c>
      <c r="E63" s="39" t="str">
        <f t="shared" si="0"/>
        <v>ok</v>
      </c>
      <c r="F63" s="58" t="str">
        <f t="shared" si="9"/>
        <v>P.Marty</v>
      </c>
      <c r="G63" s="39" t="str">
        <f t="shared" si="1"/>
        <v>ok</v>
      </c>
      <c r="H63" s="4" t="s">
        <v>45</v>
      </c>
      <c r="I63" s="4">
        <v>8852</v>
      </c>
      <c r="J63" s="4" t="s">
        <v>44</v>
      </c>
      <c r="K63" s="4" t="s">
        <v>22</v>
      </c>
      <c r="L63" s="58" t="str">
        <f t="shared" si="10"/>
        <v>CH-8852 Altendorf</v>
      </c>
      <c r="M63" s="39" t="str">
        <f t="shared" si="2"/>
        <v>ok</v>
      </c>
      <c r="N63" s="4" t="s">
        <v>43</v>
      </c>
      <c r="O63" s="58" t="str">
        <f t="shared" si="11"/>
        <v>peter.marty@bzu.ch</v>
      </c>
      <c r="P63" s="39" t="str">
        <f t="shared" si="3"/>
        <v>ok</v>
      </c>
      <c r="Q63" s="4" t="s">
        <v>42</v>
      </c>
      <c r="R63" s="4" t="s">
        <v>40</v>
      </c>
      <c r="S63" s="58">
        <f t="shared" si="12"/>
        <v>1</v>
      </c>
      <c r="T63" s="39" t="str">
        <f t="shared" si="4"/>
        <v>ok</v>
      </c>
      <c r="U63" s="58">
        <f t="shared" si="13"/>
        <v>0</v>
      </c>
      <c r="V63" s="63" t="str">
        <f t="shared" si="5"/>
        <v>ok</v>
      </c>
      <c r="W63" s="58" t="str">
        <f t="shared" si="14"/>
        <v/>
      </c>
      <c r="X63" s="61" t="str">
        <f t="shared" si="6"/>
        <v>ok</v>
      </c>
      <c r="Y63" s="64">
        <v>4.8</v>
      </c>
      <c r="Z63" s="64">
        <v>0</v>
      </c>
      <c r="AA63" s="59">
        <f t="shared" si="15"/>
        <v>4.8</v>
      </c>
      <c r="AB63" s="39" t="str">
        <f t="shared" si="7"/>
        <v>ok</v>
      </c>
      <c r="AC63" s="4" t="s">
        <v>41</v>
      </c>
      <c r="AD63" s="4" t="s">
        <v>40</v>
      </c>
    </row>
    <row r="64" spans="1:30" ht="15.75" thickBot="1" x14ac:dyDescent="0.3">
      <c r="A64" s="31"/>
      <c r="B64" s="31"/>
      <c r="C64" s="31"/>
      <c r="D64" s="31"/>
      <c r="E64" s="31"/>
      <c r="F64" s="31"/>
      <c r="G64" s="31"/>
      <c r="H64" s="31"/>
      <c r="I64" s="31"/>
      <c r="J64" s="31"/>
      <c r="K64" s="31"/>
      <c r="L64" s="31"/>
      <c r="M64" s="31"/>
      <c r="N64" s="31"/>
      <c r="O64" s="31"/>
      <c r="P64" s="31"/>
      <c r="Q64" s="31"/>
      <c r="R64" s="31"/>
      <c r="S64" s="24">
        <f>SUM(S37:S63)</f>
        <v>17</v>
      </c>
      <c r="T64" s="62" t="str">
        <f>IF(S64="","--",IF(S64=17,"ok","nok"))</f>
        <v>ok</v>
      </c>
      <c r="U64" s="66">
        <f>SUM(U37:U63)</f>
        <v>10</v>
      </c>
      <c r="V64" s="39" t="str">
        <f>IF(U64="","--",IF(U64=10,"ok","nok"))</f>
        <v>ok</v>
      </c>
      <c r="W64" s="31"/>
      <c r="X64" s="39" t="str">
        <f>IF(Y64="","--",IF(EqualsWithinTolerance(Y64,4598.82,1),"ok","nok"))</f>
        <v>ok</v>
      </c>
      <c r="Y64" s="67">
        <f>SUM(Y37:Y63)</f>
        <v>4598.82</v>
      </c>
      <c r="Z64" s="65">
        <f>SUM(Z37:Z63)</f>
        <v>1508.5</v>
      </c>
      <c r="AA64" s="65">
        <f>SUM(AA37:AA63)</f>
        <v>3090.32</v>
      </c>
      <c r="AB64" s="61" t="str">
        <f>IF(AA64="","--",IF(EqualsWithinTolerance(AA64,3074.52,1),"ok","nok"))</f>
        <v>ok</v>
      </c>
      <c r="AC64" s="31"/>
      <c r="AD64" s="31"/>
    </row>
    <row r="65" spans="1:30" x14ac:dyDescent="0.25">
      <c r="A65" s="31"/>
      <c r="B65" s="31"/>
      <c r="C65" s="31"/>
      <c r="D65" s="31"/>
      <c r="E65" s="60">
        <f>COUNTIFS(E37:E63,"ok")</f>
        <v>27</v>
      </c>
      <c r="F65" s="31"/>
      <c r="G65" s="60">
        <f>COUNTIFS(G37:G63,"ok")</f>
        <v>27</v>
      </c>
      <c r="H65" s="31"/>
      <c r="I65" s="31"/>
      <c r="J65" s="31"/>
      <c r="K65" s="31"/>
      <c r="L65" s="31"/>
      <c r="M65" s="60">
        <f>COUNTIFS(M37:M63,"ok")</f>
        <v>27</v>
      </c>
      <c r="N65" s="31"/>
      <c r="O65" s="31"/>
      <c r="P65" s="60">
        <f>COUNTIFS(P37:P63,"ok")</f>
        <v>27</v>
      </c>
      <c r="Q65" s="31"/>
      <c r="R65" s="31"/>
      <c r="S65" s="38"/>
      <c r="T65" s="60">
        <f>COUNTIFS(T37:T64,"ok")</f>
        <v>28</v>
      </c>
      <c r="U65" s="31"/>
      <c r="V65" s="60">
        <f>COUNTIFS(V37:V64,"ok")</f>
        <v>28</v>
      </c>
      <c r="W65" s="31"/>
      <c r="X65" s="60">
        <f>COUNTIFS(X37:X64,"ok")</f>
        <v>28</v>
      </c>
      <c r="Y65" s="31"/>
      <c r="Z65" s="31"/>
      <c r="AA65" s="31"/>
      <c r="AB65" s="60">
        <f>COUNTIFS(AB37:AB64,"ok")</f>
        <v>28</v>
      </c>
      <c r="AC65" s="31"/>
      <c r="AD65" s="31"/>
    </row>
    <row r="66" spans="1:30" x14ac:dyDescent="0.25">
      <c r="A66" s="31"/>
      <c r="B66" s="31"/>
      <c r="C66" s="31"/>
      <c r="D66" s="31"/>
      <c r="E66" s="60">
        <f>COUNTIFS(E37:E63,"nok")</f>
        <v>0</v>
      </c>
      <c r="F66" s="31"/>
      <c r="G66" s="60">
        <f>COUNTIFS(G37:G63,"nok")</f>
        <v>0</v>
      </c>
      <c r="H66" s="31"/>
      <c r="I66" s="31"/>
      <c r="J66" s="31"/>
      <c r="K66" s="31"/>
      <c r="L66" s="31"/>
      <c r="M66" s="60">
        <f>COUNTIFS(M37:M63,"nok")</f>
        <v>0</v>
      </c>
      <c r="N66" s="31"/>
      <c r="O66" s="31"/>
      <c r="P66" s="60">
        <f>COUNTIFS(P37:P63,"nok")</f>
        <v>0</v>
      </c>
      <c r="Q66" s="31"/>
      <c r="R66" s="31"/>
      <c r="S66" s="31"/>
      <c r="T66" s="60">
        <f>COUNTIFS(T37:T64,"nok")</f>
        <v>0</v>
      </c>
      <c r="U66" s="31"/>
      <c r="V66" s="60">
        <f>COUNTIFS(V37:V64,"nok")</f>
        <v>0</v>
      </c>
      <c r="W66" s="31"/>
      <c r="X66" s="60">
        <f>COUNTIFS(X37:X64,"nok")</f>
        <v>0</v>
      </c>
      <c r="Y66" s="31"/>
      <c r="Z66" s="31"/>
      <c r="AA66" s="31"/>
      <c r="AB66" s="60">
        <f>COUNTIFS(AB37:AB64,"nok")</f>
        <v>0</v>
      </c>
      <c r="AC66" s="31"/>
      <c r="AD66" s="31"/>
    </row>
    <row r="67" spans="1:30" x14ac:dyDescent="0.25">
      <c r="A67" s="31"/>
      <c r="B67" s="31"/>
      <c r="C67" s="31"/>
      <c r="D67" s="31"/>
      <c r="E67" s="60">
        <f>COUNTIFS(E37:E63,"--")</f>
        <v>0</v>
      </c>
      <c r="F67" s="31"/>
      <c r="G67" s="60">
        <f>COUNTIFS(G37:G63,"--")</f>
        <v>0</v>
      </c>
      <c r="H67" s="31"/>
      <c r="I67" s="31"/>
      <c r="J67" s="31"/>
      <c r="K67" s="31"/>
      <c r="L67" s="31"/>
      <c r="M67" s="60">
        <f>COUNTIFS(M37:M63,"--")</f>
        <v>0</v>
      </c>
      <c r="N67" s="31"/>
      <c r="O67" s="31"/>
      <c r="P67" s="60">
        <f>COUNTIFS(P37:P63,"--")</f>
        <v>0</v>
      </c>
      <c r="Q67" s="31"/>
      <c r="R67" s="31"/>
      <c r="S67" s="31"/>
      <c r="T67" s="60">
        <f>COUNTIFS(T37:T64,"--")</f>
        <v>0</v>
      </c>
      <c r="U67" s="31"/>
      <c r="V67" s="60">
        <f>COUNTIFS(V37:V64,"--")</f>
        <v>0</v>
      </c>
      <c r="W67" s="31"/>
      <c r="X67" s="60">
        <f>COUNTIFS(X37:X64,"--")</f>
        <v>0</v>
      </c>
      <c r="Y67" s="31"/>
      <c r="Z67" s="31"/>
      <c r="AA67" s="31"/>
      <c r="AB67" s="60">
        <f>COUNTIFS(AB37:AB64,"--")</f>
        <v>0</v>
      </c>
      <c r="AC67" s="31"/>
      <c r="AD67" s="31"/>
    </row>
    <row r="72" spans="1:30" x14ac:dyDescent="0.25">
      <c r="D72" s="38"/>
      <c r="E72" s="38"/>
      <c r="F72" s="38"/>
      <c r="G72" s="38"/>
      <c r="H72" s="38"/>
      <c r="I72" s="38"/>
      <c r="J72" s="38"/>
      <c r="K72" s="38"/>
    </row>
    <row r="73" spans="1:30" ht="18.75" x14ac:dyDescent="0.3">
      <c r="D73" s="38"/>
      <c r="E73" s="97"/>
      <c r="F73" s="38"/>
      <c r="G73" s="38"/>
      <c r="H73" s="38"/>
      <c r="I73" s="38"/>
      <c r="J73" s="38"/>
      <c r="K73" s="38"/>
    </row>
    <row r="74" spans="1:30" x14ac:dyDescent="0.25">
      <c r="D74" s="38"/>
      <c r="E74" s="38"/>
      <c r="F74" s="38"/>
      <c r="G74" s="38"/>
      <c r="H74" s="38"/>
      <c r="I74" s="38"/>
      <c r="J74" s="38"/>
      <c r="K74" s="38"/>
    </row>
    <row r="75" spans="1:30" x14ac:dyDescent="0.25">
      <c r="D75" s="38"/>
      <c r="E75" s="38"/>
      <c r="F75" s="38"/>
      <c r="G75" s="38"/>
      <c r="H75" s="38"/>
      <c r="I75" s="38"/>
      <c r="J75" s="38"/>
      <c r="K75" s="38"/>
    </row>
    <row r="76" spans="1:30" x14ac:dyDescent="0.25">
      <c r="D76" s="38"/>
      <c r="E76" s="38"/>
      <c r="F76" s="38"/>
      <c r="G76" s="38"/>
      <c r="H76" s="38"/>
      <c r="I76" s="38"/>
      <c r="J76" s="38"/>
      <c r="K76" s="38"/>
    </row>
    <row r="77" spans="1:30" x14ac:dyDescent="0.25">
      <c r="D77" s="38"/>
      <c r="E77" s="38"/>
      <c r="F77" s="38"/>
      <c r="G77" s="38"/>
      <c r="H77" s="38"/>
      <c r="I77" s="38"/>
      <c r="J77" s="38"/>
      <c r="K77" s="38"/>
    </row>
    <row r="78" spans="1:30" x14ac:dyDescent="0.25">
      <c r="D78" s="38"/>
      <c r="E78" s="38"/>
      <c r="F78" s="38"/>
      <c r="G78" s="38"/>
      <c r="H78" s="38"/>
      <c r="I78" s="38"/>
      <c r="J78" s="38"/>
      <c r="K78" s="38"/>
    </row>
    <row r="79" spans="1:30" x14ac:dyDescent="0.25">
      <c r="D79" s="38"/>
      <c r="E79" s="38"/>
      <c r="F79" s="38"/>
      <c r="G79" s="38"/>
      <c r="H79" s="38"/>
      <c r="I79" s="38"/>
      <c r="J79" s="38"/>
      <c r="K79" s="38"/>
      <c r="M79" s="38"/>
    </row>
    <row r="80" spans="1:30" x14ac:dyDescent="0.25">
      <c r="D80" s="38"/>
      <c r="E80" s="38"/>
      <c r="F80" s="38"/>
      <c r="G80" s="38"/>
      <c r="H80" s="38"/>
      <c r="I80" s="98"/>
      <c r="J80" s="38"/>
      <c r="K80" s="38"/>
    </row>
    <row r="81" spans="4:11" x14ac:dyDescent="0.25">
      <c r="D81" s="38"/>
      <c r="E81" s="38"/>
      <c r="F81" s="38"/>
      <c r="G81" s="38"/>
      <c r="H81" s="38"/>
      <c r="I81" s="98"/>
      <c r="J81" s="99"/>
      <c r="K81" s="38"/>
    </row>
    <row r="82" spans="4:11" x14ac:dyDescent="0.25">
      <c r="D82" s="38"/>
      <c r="E82" s="38"/>
      <c r="F82" s="38"/>
      <c r="G82" s="38"/>
      <c r="H82" s="38"/>
      <c r="I82" s="38"/>
      <c r="J82" s="38"/>
      <c r="K82" s="38"/>
    </row>
    <row r="83" spans="4:11" x14ac:dyDescent="0.25">
      <c r="D83" s="38"/>
      <c r="E83" s="38"/>
      <c r="F83" s="38"/>
      <c r="G83" s="38"/>
      <c r="H83" s="38"/>
      <c r="I83" s="38"/>
      <c r="J83" s="38"/>
      <c r="K83" s="38"/>
    </row>
  </sheetData>
  <conditionalFormatting sqref="D37:D63">
    <cfRule type="expression" dxfId="108" priority="60">
      <formula>E37="nok"</formula>
    </cfRule>
    <cfRule type="expression" dxfId="107" priority="61">
      <formula>E37="ok"</formula>
    </cfRule>
    <cfRule type="expression" dxfId="106" priority="62">
      <formula>E37="--"</formula>
    </cfRule>
  </conditionalFormatting>
  <conditionalFormatting sqref="F37:F63">
    <cfRule type="expression" dxfId="105" priority="57">
      <formula>G37="nok"</formula>
    </cfRule>
    <cfRule type="expression" dxfId="104" priority="58">
      <formula>G37="ok"</formula>
    </cfRule>
    <cfRule type="expression" dxfId="103" priority="59">
      <formula>G37="--"</formula>
    </cfRule>
  </conditionalFormatting>
  <conditionalFormatting sqref="L37:L63">
    <cfRule type="expression" dxfId="102" priority="54">
      <formula>M37="nok"</formula>
    </cfRule>
    <cfRule type="expression" dxfId="101" priority="55">
      <formula>M37="ok"</formula>
    </cfRule>
    <cfRule type="expression" dxfId="100" priority="56">
      <formula>M37="--"</formula>
    </cfRule>
  </conditionalFormatting>
  <conditionalFormatting sqref="O37:O63">
    <cfRule type="expression" dxfId="99" priority="48">
      <formula>P37="nok"</formula>
    </cfRule>
    <cfRule type="expression" dxfId="98" priority="49">
      <formula>P37="ok"</formula>
    </cfRule>
    <cfRule type="expression" dxfId="97" priority="50">
      <formula>P37="--"</formula>
    </cfRule>
  </conditionalFormatting>
  <conditionalFormatting sqref="S37:S63">
    <cfRule type="expression" dxfId="96" priority="45">
      <formula>T37="nok"</formula>
    </cfRule>
    <cfRule type="expression" dxfId="95" priority="46">
      <formula>T37="ok"</formula>
    </cfRule>
    <cfRule type="expression" dxfId="94" priority="47">
      <formula>T37="--"</formula>
    </cfRule>
  </conditionalFormatting>
  <conditionalFormatting sqref="U37:U63">
    <cfRule type="expression" dxfId="93" priority="42">
      <formula>V37="nok"</formula>
    </cfRule>
    <cfRule type="expression" dxfId="92" priority="43">
      <formula>V37="ok"</formula>
    </cfRule>
    <cfRule type="expression" dxfId="91" priority="44">
      <formula>V37="--"</formula>
    </cfRule>
  </conditionalFormatting>
  <conditionalFormatting sqref="AA37:AA63">
    <cfRule type="expression" dxfId="90" priority="39">
      <formula>AB37="nok"</formula>
    </cfRule>
    <cfRule type="expression" dxfId="89" priority="40">
      <formula>AB37="ok"</formula>
    </cfRule>
    <cfRule type="expression" dxfId="88" priority="41">
      <formula>AB37="--"</formula>
    </cfRule>
  </conditionalFormatting>
  <conditionalFormatting sqref="W37:W63">
    <cfRule type="expression" dxfId="87" priority="33">
      <formula>X37="nok"</formula>
    </cfRule>
    <cfRule type="expression" dxfId="86" priority="34">
      <formula>X37="ok"</formula>
    </cfRule>
    <cfRule type="expression" dxfId="85" priority="35">
      <formula>X37="--"</formula>
    </cfRule>
  </conditionalFormatting>
  <conditionalFormatting sqref="S65">
    <cfRule type="expression" dxfId="84" priority="72">
      <formula>T66="nok"</formula>
    </cfRule>
    <cfRule type="expression" dxfId="83" priority="73">
      <formula>T66="ok"</formula>
    </cfRule>
    <cfRule type="expression" dxfId="82" priority="74">
      <formula>T66="--"</formula>
    </cfRule>
  </conditionalFormatting>
  <conditionalFormatting sqref="L3">
    <cfRule type="cellIs" dxfId="81" priority="26" stopIfTrue="1" operator="equal">
      <formula>"Not defined"</formula>
    </cfRule>
    <cfRule type="cellIs" dxfId="80" priority="27" stopIfTrue="1" operator="greaterThan">
      <formula>5.7</formula>
    </cfRule>
    <cfRule type="cellIs" dxfId="79" priority="28" stopIfTrue="1" operator="greaterThan">
      <formula>5</formula>
    </cfRule>
    <cfRule type="cellIs" dxfId="78" priority="29" stopIfTrue="1" operator="greaterThan">
      <formula>4.5</formula>
    </cfRule>
    <cfRule type="cellIs" dxfId="77" priority="30" stopIfTrue="1" operator="greaterThanOrEqual">
      <formula>4</formula>
    </cfRule>
    <cfRule type="cellIs" dxfId="76" priority="31" stopIfTrue="1" operator="greaterThanOrEqual">
      <formula>3</formula>
    </cfRule>
    <cfRule type="cellIs" dxfId="75" priority="32" stopIfTrue="1" operator="greaterThanOrEqual">
      <formula>1</formula>
    </cfRule>
  </conditionalFormatting>
  <conditionalFormatting sqref="S64">
    <cfRule type="expression" dxfId="74" priority="23">
      <formula>T64="nok"</formula>
    </cfRule>
    <cfRule type="expression" dxfId="73" priority="24">
      <formula>T64="ok"</formula>
    </cfRule>
    <cfRule type="expression" dxfId="72" priority="25">
      <formula>T64="--"</formula>
    </cfRule>
  </conditionalFormatting>
  <conditionalFormatting sqref="U64">
    <cfRule type="expression" dxfId="71" priority="20">
      <formula>V64="nok"</formula>
    </cfRule>
    <cfRule type="expression" dxfId="70" priority="21">
      <formula>V64="ok"</formula>
    </cfRule>
    <cfRule type="expression" dxfId="69" priority="22">
      <formula>V64="--"</formula>
    </cfRule>
  </conditionalFormatting>
  <conditionalFormatting sqref="AA64">
    <cfRule type="expression" dxfId="68" priority="17">
      <formula>AB64="nok"</formula>
    </cfRule>
    <cfRule type="expression" dxfId="67" priority="18">
      <formula>AB64="ok"</formula>
    </cfRule>
    <cfRule type="expression" dxfId="66" priority="19">
      <formula>AB64="--"</formula>
    </cfRule>
  </conditionalFormatting>
  <conditionalFormatting sqref="X64">
    <cfRule type="expression" dxfId="65" priority="14">
      <formula>Y64="nok"</formula>
    </cfRule>
    <cfRule type="expression" dxfId="64" priority="15">
      <formula>Y64="ok"</formula>
    </cfRule>
    <cfRule type="expression" dxfId="63" priority="16">
      <formula>Y64="--"</formula>
    </cfRule>
  </conditionalFormatting>
  <conditionalFormatting sqref="Y64">
    <cfRule type="expression" dxfId="62" priority="11">
      <formula>X64="nok"</formula>
    </cfRule>
    <cfRule type="expression" dxfId="61" priority="12">
      <formula>X64="ok"</formula>
    </cfRule>
    <cfRule type="expression" dxfId="60" priority="13">
      <formula>X64="--"</formula>
    </cfRule>
  </conditionalFormatting>
  <conditionalFormatting sqref="L6">
    <cfRule type="cellIs" dxfId="59" priority="1" stopIfTrue="1" operator="equal">
      <formula>"Not defined"</formula>
    </cfRule>
    <cfRule type="cellIs" dxfId="58" priority="2" stopIfTrue="1" operator="greaterThan">
      <formula>5.7</formula>
    </cfRule>
    <cfRule type="cellIs" dxfId="57" priority="3" stopIfTrue="1" operator="greaterThan">
      <formula>5</formula>
    </cfRule>
    <cfRule type="cellIs" dxfId="56" priority="4" stopIfTrue="1" operator="greaterThan">
      <formula>4.5</formula>
    </cfRule>
    <cfRule type="cellIs" dxfId="55" priority="5" stopIfTrue="1" operator="greaterThanOrEqual">
      <formula>4</formula>
    </cfRule>
    <cfRule type="cellIs" dxfId="54" priority="6" stopIfTrue="1" operator="greaterThanOrEqual">
      <formula>3</formula>
    </cfRule>
    <cfRule type="cellIs" dxfId="53" priority="7" stopIfTrue="1" operator="greaterThanOrEqual">
      <formula>1</formula>
    </cfRule>
  </conditionalFormatting>
  <conditionalFormatting sqref="Z64">
    <cfRule type="expression" dxfId="52" priority="75">
      <formula>#REF!="nok"</formula>
    </cfRule>
    <cfRule type="expression" dxfId="51" priority="76">
      <formula>#REF!="ok"</formula>
    </cfRule>
    <cfRule type="expression" dxfId="50" priority="77">
      <formula>#REF!="--"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J76:J78 W12:W14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8">
    <tabColor rgb="FFFF0000"/>
    <pageSetUpPr fitToPage="1"/>
  </sheetPr>
  <dimension ref="B1:J110"/>
  <sheetViews>
    <sheetView zoomScale="85" zoomScaleNormal="85" workbookViewId="0">
      <selection activeCell="K9" sqref="K9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27.7109375" hidden="1" customWidth="1"/>
    <col min="10" max="10" width="29.85546875" customWidth="1"/>
    <col min="11" max="11" width="15" customWidth="1"/>
    <col min="14" max="14" width="16.140625" customWidth="1"/>
    <col min="15" max="15" width="19.28515625" customWidth="1"/>
    <col min="17" max="17" width="17.28515625" customWidth="1"/>
    <col min="18" max="18" width="7" customWidth="1"/>
    <col min="19" max="19" width="24.7109375" customWidth="1"/>
    <col min="20" max="20" width="28.5703125" customWidth="1"/>
    <col min="21" max="21" width="13.140625" customWidth="1"/>
    <col min="22" max="22" width="32.140625" customWidth="1"/>
    <col min="23" max="23" width="17" customWidth="1"/>
    <col min="24" max="24" width="14.85546875" customWidth="1"/>
    <col min="25" max="26" width="12.28515625" customWidth="1"/>
    <col min="27" max="27" width="32.140625" customWidth="1"/>
    <col min="28" max="28" width="17.5703125" customWidth="1"/>
    <col min="29" max="29" width="23.140625" customWidth="1"/>
    <col min="30" max="30" width="20.5703125" customWidth="1"/>
    <col min="31" max="31" width="58.85546875" customWidth="1"/>
    <col min="32" max="32" width="17.140625" customWidth="1"/>
  </cols>
  <sheetData>
    <row r="1" spans="2:10" ht="15.75" thickBot="1" x14ac:dyDescent="0.3"/>
    <row r="2" spans="2:10" ht="23.25" x14ac:dyDescent="0.35">
      <c r="B2" s="1" t="s">
        <v>280</v>
      </c>
      <c r="E2" s="7"/>
      <c r="F2" s="8"/>
      <c r="G2" s="8"/>
      <c r="H2" s="9"/>
    </row>
    <row r="3" spans="2:10" ht="15.75" thickBot="1" x14ac:dyDescent="0.3">
      <c r="E3" s="13" t="s">
        <v>12</v>
      </c>
      <c r="F3" s="11"/>
      <c r="G3" s="11"/>
      <c r="H3" s="12"/>
      <c r="J3" s="17"/>
    </row>
    <row r="4" spans="2:10" x14ac:dyDescent="0.25">
      <c r="E4" s="10"/>
      <c r="F4" s="45" t="s">
        <v>10</v>
      </c>
      <c r="G4" s="46">
        <f>COUNTIF(H22:H110,"=ok")</f>
        <v>52</v>
      </c>
      <c r="H4" s="12"/>
    </row>
    <row r="5" spans="2:10" x14ac:dyDescent="0.25">
      <c r="E5" s="10"/>
      <c r="F5" s="47" t="s">
        <v>11</v>
      </c>
      <c r="G5" s="48">
        <f>COUNTIF(H22:H110,"=Not ok")</f>
        <v>0</v>
      </c>
      <c r="H5" s="12"/>
    </row>
    <row r="6" spans="2:10" x14ac:dyDescent="0.25">
      <c r="E6" s="10"/>
      <c r="F6" s="47" t="s">
        <v>210</v>
      </c>
      <c r="G6" s="48">
        <f>COUNTIF(H22:H110,"=--")</f>
        <v>0</v>
      </c>
      <c r="H6" s="12"/>
    </row>
    <row r="7" spans="2:10" ht="15.75" thickBot="1" x14ac:dyDescent="0.3">
      <c r="E7" s="10"/>
      <c r="F7" s="50" t="s">
        <v>13</v>
      </c>
      <c r="G7" s="103">
        <f>IF(G4+G5+G6&gt;0,ROUNDDOWN(((5*G4)/(G4+G5+G6))+1,1),"Not defined")</f>
        <v>6</v>
      </c>
      <c r="H7" s="12"/>
    </row>
    <row r="8" spans="2:10" x14ac:dyDescent="0.25">
      <c r="E8" s="10"/>
      <c r="F8" s="11"/>
      <c r="G8" s="11"/>
      <c r="H8" s="12"/>
    </row>
    <row r="9" spans="2:10" x14ac:dyDescent="0.25">
      <c r="E9" s="10"/>
      <c r="F9" s="11"/>
      <c r="G9" s="11"/>
      <c r="H9" s="12"/>
    </row>
    <row r="10" spans="2:10" x14ac:dyDescent="0.25">
      <c r="E10" s="10"/>
      <c r="F10" s="11"/>
      <c r="G10" s="11"/>
      <c r="H10" s="12"/>
    </row>
    <row r="11" spans="2:10" ht="15.75" thickBot="1" x14ac:dyDescent="0.3">
      <c r="E11" s="14"/>
      <c r="F11" s="15"/>
      <c r="G11" s="15"/>
      <c r="H11" s="16"/>
    </row>
    <row r="12" spans="2:10" x14ac:dyDescent="0.25">
      <c r="E12" s="38"/>
      <c r="F12" s="38"/>
      <c r="G12" s="38"/>
      <c r="H12" s="38"/>
    </row>
    <row r="13" spans="2:10" x14ac:dyDescent="0.25">
      <c r="E13" s="38"/>
      <c r="F13" s="38"/>
      <c r="G13" s="38"/>
      <c r="H13" s="38"/>
    </row>
    <row r="14" spans="2:10" x14ac:dyDescent="0.25">
      <c r="E14" s="38"/>
      <c r="F14" s="38"/>
      <c r="G14" s="38"/>
      <c r="H14" s="38"/>
    </row>
    <row r="15" spans="2:10" x14ac:dyDescent="0.25">
      <c r="E15" s="38"/>
      <c r="F15" s="38"/>
      <c r="G15" s="38"/>
      <c r="H15" s="38"/>
    </row>
    <row r="16" spans="2:10" x14ac:dyDescent="0.25">
      <c r="E16" s="38"/>
      <c r="F16" s="38"/>
      <c r="G16" s="38"/>
      <c r="H16" s="38"/>
    </row>
    <row r="17" spans="2:9" x14ac:dyDescent="0.25">
      <c r="E17" s="38"/>
      <c r="F17" s="38"/>
      <c r="G17" s="38"/>
      <c r="H17" s="38"/>
    </row>
    <row r="18" spans="2:9" x14ac:dyDescent="0.25">
      <c r="E18" s="38"/>
      <c r="F18" s="38"/>
      <c r="G18" s="38"/>
      <c r="H18" s="38"/>
    </row>
    <row r="19" spans="2:9" x14ac:dyDescent="0.25">
      <c r="E19" s="38"/>
      <c r="F19" s="38"/>
      <c r="G19" s="38"/>
      <c r="H19" s="38"/>
    </row>
    <row r="20" spans="2:9" x14ac:dyDescent="0.25">
      <c r="E20" s="38"/>
      <c r="F20" s="38"/>
      <c r="G20" s="38"/>
      <c r="H20" s="38"/>
    </row>
    <row r="22" spans="2:9" x14ac:dyDescent="0.25">
      <c r="B22" s="2" t="s">
        <v>208</v>
      </c>
      <c r="C22" s="2" t="s">
        <v>207</v>
      </c>
      <c r="D22" s="21" t="s">
        <v>243</v>
      </c>
      <c r="E22" s="21"/>
      <c r="F22" s="21"/>
      <c r="G22" s="19" t="s">
        <v>7</v>
      </c>
      <c r="H22" s="3" t="s">
        <v>3</v>
      </c>
      <c r="I22" s="3" t="s">
        <v>8</v>
      </c>
    </row>
    <row r="23" spans="2:9" x14ac:dyDescent="0.25">
      <c r="B23" s="140" t="s">
        <v>209</v>
      </c>
      <c r="C23" s="5">
        <f>FIND(" ",D23) + 1</f>
        <v>6</v>
      </c>
      <c r="D23" s="22" t="s">
        <v>211</v>
      </c>
      <c r="E23" s="22"/>
      <c r="F23" s="22"/>
      <c r="G23" s="18">
        <v>6</v>
      </c>
      <c r="H23" s="6" t="str">
        <f>IF(G23=C23,"ok",IF(C23="","--","Not ok"))</f>
        <v>ok</v>
      </c>
      <c r="I23" s="4" t="e">
        <f ca="1">IF(C23=L_Hello(D23),TRUE,FALSE)</f>
        <v>#NAME?</v>
      </c>
    </row>
    <row r="24" spans="2:9" x14ac:dyDescent="0.25">
      <c r="B24" s="141"/>
      <c r="C24" s="5">
        <f t="shared" ref="C24:C26" si="0">FIND(" ",D24) + 1</f>
        <v>5</v>
      </c>
      <c r="D24" s="22" t="s">
        <v>4</v>
      </c>
      <c r="E24" s="22"/>
      <c r="F24" s="22"/>
      <c r="G24" s="18">
        <v>5</v>
      </c>
      <c r="H24" s="6" t="str">
        <f t="shared" ref="H24:H26" si="1">IF(G24=C24,"ok",IF(C24="","--","Not ok"))</f>
        <v>ok</v>
      </c>
      <c r="I24" s="4" t="e">
        <f ca="1">IF(C24=L_Hello(D24),TRUE,FALSE)</f>
        <v>#NAME?</v>
      </c>
    </row>
    <row r="25" spans="2:9" x14ac:dyDescent="0.25">
      <c r="B25" s="141"/>
      <c r="C25" s="5">
        <f t="shared" si="0"/>
        <v>6</v>
      </c>
      <c r="D25" s="22" t="s">
        <v>213</v>
      </c>
      <c r="E25" s="22"/>
      <c r="F25" s="22"/>
      <c r="G25" s="18">
        <v>6</v>
      </c>
      <c r="H25" s="6" t="str">
        <f t="shared" si="1"/>
        <v>ok</v>
      </c>
      <c r="I25" s="4" t="e">
        <f ca="1">IF(C25=L_Hello(D25),TRUE,FALSE)</f>
        <v>#NAME?</v>
      </c>
    </row>
    <row r="26" spans="2:9" x14ac:dyDescent="0.25">
      <c r="B26" s="142"/>
      <c r="C26" s="5">
        <f t="shared" si="0"/>
        <v>14</v>
      </c>
      <c r="D26" s="22" t="s">
        <v>212</v>
      </c>
      <c r="E26" s="22"/>
      <c r="F26" s="22"/>
      <c r="G26" s="18">
        <v>14</v>
      </c>
      <c r="H26" s="6" t="str">
        <f t="shared" si="1"/>
        <v>ok</v>
      </c>
      <c r="I26" s="4" t="e">
        <f ca="1">IF(C26=L_Hello(D26),TRUE,FALSE)</f>
        <v>#NAME?</v>
      </c>
    </row>
    <row r="27" spans="2:9" x14ac:dyDescent="0.25">
      <c r="D27" s="23"/>
      <c r="E27" s="23"/>
      <c r="F27" s="23"/>
      <c r="G27" s="20"/>
    </row>
    <row r="29" spans="2:9" x14ac:dyDescent="0.25">
      <c r="B29" s="2" t="s">
        <v>208</v>
      </c>
      <c r="C29" s="2" t="s">
        <v>207</v>
      </c>
      <c r="D29" s="21" t="s">
        <v>243</v>
      </c>
      <c r="E29" s="21"/>
      <c r="F29" s="21"/>
      <c r="G29" s="19" t="s">
        <v>7</v>
      </c>
      <c r="H29" s="3" t="s">
        <v>3</v>
      </c>
    </row>
    <row r="30" spans="2:9" x14ac:dyDescent="0.25">
      <c r="B30" s="140" t="s">
        <v>214</v>
      </c>
      <c r="C30" s="5">
        <f>FIND(" ",D30,FIND(" ",D30)+1)</f>
        <v>12</v>
      </c>
      <c r="D30" s="22" t="s">
        <v>211</v>
      </c>
      <c r="E30" s="22"/>
      <c r="F30" s="22"/>
      <c r="G30" s="18">
        <v>12</v>
      </c>
      <c r="H30" s="6" t="str">
        <f>IF(G30=C30,"ok",IF(C30="","--","Not ok"))</f>
        <v>ok</v>
      </c>
    </row>
    <row r="31" spans="2:9" x14ac:dyDescent="0.25">
      <c r="B31" s="141"/>
      <c r="C31" s="5">
        <f t="shared" ref="C31:C33" si="2">FIND(" ",D31,FIND(" ",D31)+1)</f>
        <v>8</v>
      </c>
      <c r="D31" s="22" t="s">
        <v>4</v>
      </c>
      <c r="E31" s="22"/>
      <c r="F31" s="22"/>
      <c r="G31" s="18">
        <v>8</v>
      </c>
      <c r="H31" s="6" t="str">
        <f t="shared" ref="H31:H33" si="3">IF(G31=C31,"ok",IF(C31="","--","Not ok"))</f>
        <v>ok</v>
      </c>
    </row>
    <row r="32" spans="2:9" x14ac:dyDescent="0.25">
      <c r="B32" s="141"/>
      <c r="C32" s="5">
        <f t="shared" si="2"/>
        <v>13</v>
      </c>
      <c r="D32" s="22" t="s">
        <v>213</v>
      </c>
      <c r="E32" s="22"/>
      <c r="F32" s="22"/>
      <c r="G32" s="18">
        <v>13</v>
      </c>
      <c r="H32" s="6" t="str">
        <f t="shared" si="3"/>
        <v>ok</v>
      </c>
    </row>
    <row r="33" spans="2:8" x14ac:dyDescent="0.25">
      <c r="B33" s="142"/>
      <c r="C33" s="5">
        <f t="shared" si="2"/>
        <v>19</v>
      </c>
      <c r="D33" s="22" t="s">
        <v>212</v>
      </c>
      <c r="E33" s="22"/>
      <c r="F33" s="22"/>
      <c r="G33" s="18">
        <v>19</v>
      </c>
      <c r="H33" s="6" t="str">
        <f t="shared" si="3"/>
        <v>ok</v>
      </c>
    </row>
    <row r="36" spans="2:8" x14ac:dyDescent="0.25">
      <c r="B36" s="2" t="s">
        <v>208</v>
      </c>
      <c r="C36" s="2" t="s">
        <v>207</v>
      </c>
      <c r="D36" s="21" t="s">
        <v>243</v>
      </c>
      <c r="E36" s="21"/>
      <c r="F36" s="21"/>
      <c r="G36" s="19" t="s">
        <v>7</v>
      </c>
      <c r="H36" s="3" t="s">
        <v>3</v>
      </c>
    </row>
    <row r="37" spans="2:8" x14ac:dyDescent="0.25">
      <c r="B37" s="140" t="s">
        <v>221</v>
      </c>
      <c r="C37" s="5" t="str">
        <f>LEFT(D37,8)</f>
        <v>8855 Wan</v>
      </c>
      <c r="D37" s="22" t="s">
        <v>211</v>
      </c>
      <c r="E37" s="22"/>
      <c r="F37" s="22"/>
      <c r="G37" s="18" t="s">
        <v>217</v>
      </c>
      <c r="H37" s="6" t="str">
        <f>IF(G37=C37,"ok",IF(C37="","--","Not ok"))</f>
        <v>ok</v>
      </c>
    </row>
    <row r="38" spans="2:8" x14ac:dyDescent="0.25">
      <c r="B38" s="141"/>
      <c r="C38" s="5" t="str">
        <f t="shared" ref="C38:C40" si="4">LEFT(D38,8)</f>
        <v xml:space="preserve">Max und </v>
      </c>
      <c r="D38" s="22" t="s">
        <v>4</v>
      </c>
      <c r="E38" s="22"/>
      <c r="F38" s="22"/>
      <c r="G38" s="18" t="s">
        <v>218</v>
      </c>
      <c r="H38" s="6" t="str">
        <f t="shared" ref="H38:H40" si="5">IF(G38=C38,"ok",IF(C38="","--","Not ok"))</f>
        <v>ok</v>
      </c>
    </row>
    <row r="39" spans="2:8" x14ac:dyDescent="0.25">
      <c r="B39" s="141"/>
      <c r="C39" s="5" t="str">
        <f t="shared" si="4"/>
        <v>Sehr gee</v>
      </c>
      <c r="D39" s="22" t="s">
        <v>213</v>
      </c>
      <c r="E39" s="22"/>
      <c r="F39" s="22"/>
      <c r="G39" s="18" t="s">
        <v>219</v>
      </c>
      <c r="H39" s="6" t="str">
        <f t="shared" si="5"/>
        <v>ok</v>
      </c>
    </row>
    <row r="40" spans="2:8" x14ac:dyDescent="0.25">
      <c r="B40" s="142"/>
      <c r="C40" s="5" t="str">
        <f t="shared" si="4"/>
        <v>Berufssc</v>
      </c>
      <c r="D40" s="22" t="s">
        <v>212</v>
      </c>
      <c r="E40" s="22"/>
      <c r="F40" s="22"/>
      <c r="G40" s="18" t="s">
        <v>220</v>
      </c>
      <c r="H40" s="6" t="str">
        <f t="shared" si="5"/>
        <v>ok</v>
      </c>
    </row>
    <row r="43" spans="2:8" x14ac:dyDescent="0.25">
      <c r="B43" s="2" t="s">
        <v>208</v>
      </c>
      <c r="C43" s="2" t="s">
        <v>207</v>
      </c>
      <c r="D43" s="21" t="s">
        <v>243</v>
      </c>
      <c r="E43" s="21"/>
      <c r="F43" s="21"/>
      <c r="G43" s="19" t="s">
        <v>7</v>
      </c>
      <c r="H43" s="3" t="s">
        <v>3</v>
      </c>
    </row>
    <row r="44" spans="2:8" x14ac:dyDescent="0.25">
      <c r="B44" s="140" t="s">
        <v>222</v>
      </c>
      <c r="C44" s="5" t="str">
        <f>RIGHT(D44,8)</f>
        <v>gen (SZ)</v>
      </c>
      <c r="D44" s="22" t="s">
        <v>211</v>
      </c>
      <c r="E44" s="22"/>
      <c r="F44" s="22"/>
      <c r="G44" s="18" t="s">
        <v>223</v>
      </c>
      <c r="H44" s="6" t="str">
        <f>IF(G44=C44,"ok",IF(C44="","--","Not ok"))</f>
        <v>ok</v>
      </c>
    </row>
    <row r="45" spans="2:8" x14ac:dyDescent="0.25">
      <c r="B45" s="141"/>
      <c r="C45" s="5" t="str">
        <f t="shared" ref="C45:C47" si="6">RIGHT(D45,8)</f>
        <v>d Moritz</v>
      </c>
      <c r="D45" s="22" t="s">
        <v>4</v>
      </c>
      <c r="E45" s="22"/>
      <c r="F45" s="22"/>
      <c r="G45" s="18" t="s">
        <v>1263</v>
      </c>
      <c r="H45" s="6" t="str">
        <f t="shared" ref="H45:H47" si="7">IF(G45=C45,"ok",IF(C45="","--","Not ok"))</f>
        <v>ok</v>
      </c>
    </row>
    <row r="46" spans="2:8" x14ac:dyDescent="0.25">
      <c r="B46" s="141"/>
      <c r="C46" s="5" t="str">
        <f t="shared" si="6"/>
        <v>u Müller</v>
      </c>
      <c r="D46" s="22" t="s">
        <v>213</v>
      </c>
      <c r="E46" s="22"/>
      <c r="F46" s="22"/>
      <c r="G46" s="18" t="s">
        <v>1264</v>
      </c>
      <c r="H46" s="6" t="str">
        <f t="shared" si="7"/>
        <v>ok</v>
      </c>
    </row>
    <row r="47" spans="2:8" x14ac:dyDescent="0.25">
      <c r="B47" s="142"/>
      <c r="C47" s="5" t="str">
        <f t="shared" si="6"/>
        <v>ter (ZH)</v>
      </c>
      <c r="D47" s="22" t="s">
        <v>212</v>
      </c>
      <c r="E47" s="22"/>
      <c r="F47" s="22"/>
      <c r="G47" s="18" t="s">
        <v>1265</v>
      </c>
      <c r="H47" s="6" t="str">
        <f t="shared" si="7"/>
        <v>ok</v>
      </c>
    </row>
    <row r="50" spans="2:8" x14ac:dyDescent="0.25">
      <c r="B50" s="2" t="s">
        <v>208</v>
      </c>
      <c r="C50" s="2" t="s">
        <v>207</v>
      </c>
      <c r="D50" s="21" t="s">
        <v>243</v>
      </c>
      <c r="E50" s="21"/>
      <c r="F50" s="21"/>
      <c r="G50" s="19" t="s">
        <v>7</v>
      </c>
      <c r="H50" s="3" t="s">
        <v>3</v>
      </c>
    </row>
    <row r="51" spans="2:8" x14ac:dyDescent="0.25">
      <c r="B51" s="140" t="s">
        <v>224</v>
      </c>
      <c r="C51" s="5" t="str">
        <f>UPPER(D51)</f>
        <v>8855 WANGEN (SZ)</v>
      </c>
      <c r="D51" s="22" t="s">
        <v>211</v>
      </c>
      <c r="E51" s="22"/>
      <c r="F51" s="22"/>
      <c r="G51" s="18" t="s">
        <v>225</v>
      </c>
      <c r="H51" s="6" t="str">
        <f>IF(G51=C51,"ok",IF(C51="","--","Not ok"))</f>
        <v>ok</v>
      </c>
    </row>
    <row r="52" spans="2:8" x14ac:dyDescent="0.25">
      <c r="B52" s="141"/>
      <c r="C52" s="5" t="str">
        <f t="shared" ref="C52:C54" si="8">UPPER(D52)</f>
        <v>MAX UND MORITZ</v>
      </c>
      <c r="D52" s="22" t="s">
        <v>4</v>
      </c>
      <c r="E52" s="22"/>
      <c r="F52" s="22"/>
      <c r="G52" s="18" t="s">
        <v>226</v>
      </c>
      <c r="H52" s="6" t="str">
        <f t="shared" ref="H52:H54" si="9">IF(G52=C52,"ok",IF(C52="","--","Not ok"))</f>
        <v>ok</v>
      </c>
    </row>
    <row r="53" spans="2:8" x14ac:dyDescent="0.25">
      <c r="B53" s="141"/>
      <c r="C53" s="5" t="str">
        <f t="shared" si="8"/>
        <v>SEHR GEEHRTE FRAU MÜLLER</v>
      </c>
      <c r="D53" s="22" t="s">
        <v>213</v>
      </c>
      <c r="E53" s="22"/>
      <c r="F53" s="22"/>
      <c r="G53" s="18" t="s">
        <v>227</v>
      </c>
      <c r="H53" s="6" t="str">
        <f t="shared" si="9"/>
        <v>ok</v>
      </c>
    </row>
    <row r="54" spans="2:8" x14ac:dyDescent="0.25">
      <c r="B54" s="142"/>
      <c r="C54" s="5" t="str">
        <f t="shared" si="8"/>
        <v>BERUFSSCHULE USTER (ZH)</v>
      </c>
      <c r="D54" s="22" t="s">
        <v>212</v>
      </c>
      <c r="E54" s="22"/>
      <c r="F54" s="22"/>
      <c r="G54" s="18" t="s">
        <v>228</v>
      </c>
      <c r="H54" s="6" t="str">
        <f t="shared" si="9"/>
        <v>ok</v>
      </c>
    </row>
    <row r="57" spans="2:8" x14ac:dyDescent="0.25">
      <c r="B57" s="2" t="s">
        <v>208</v>
      </c>
      <c r="C57" s="2" t="s">
        <v>207</v>
      </c>
      <c r="D57" s="21" t="s">
        <v>243</v>
      </c>
      <c r="E57" s="21"/>
      <c r="F57" s="21"/>
      <c r="G57" s="19" t="s">
        <v>7</v>
      </c>
      <c r="H57" s="3" t="s">
        <v>3</v>
      </c>
    </row>
    <row r="58" spans="2:8" x14ac:dyDescent="0.25">
      <c r="B58" s="140" t="s">
        <v>229</v>
      </c>
      <c r="C58" s="5" t="str">
        <f>LOWER(D58)</f>
        <v>8855 wangen (sz)</v>
      </c>
      <c r="D58" s="22" t="s">
        <v>211</v>
      </c>
      <c r="E58" s="22"/>
      <c r="F58" s="22"/>
      <c r="G58" s="18" t="s">
        <v>230</v>
      </c>
      <c r="H58" s="6" t="str">
        <f>IF(G58=C58,"ok",IF(C58="","--","Not ok"))</f>
        <v>ok</v>
      </c>
    </row>
    <row r="59" spans="2:8" x14ac:dyDescent="0.25">
      <c r="B59" s="141"/>
      <c r="C59" s="5" t="str">
        <f t="shared" ref="C59:C61" si="10">LOWER(D59)</f>
        <v>max und moritz</v>
      </c>
      <c r="D59" s="22" t="s">
        <v>4</v>
      </c>
      <c r="E59" s="22"/>
      <c r="F59" s="22"/>
      <c r="G59" s="18" t="s">
        <v>231</v>
      </c>
      <c r="H59" s="6" t="str">
        <f t="shared" ref="H59:H61" si="11">IF(G59=C59,"ok",IF(C59="","--","Not ok"))</f>
        <v>ok</v>
      </c>
    </row>
    <row r="60" spans="2:8" x14ac:dyDescent="0.25">
      <c r="B60" s="141"/>
      <c r="C60" s="5" t="str">
        <f t="shared" si="10"/>
        <v>sehr geehrte frau müller</v>
      </c>
      <c r="D60" s="22" t="s">
        <v>213</v>
      </c>
      <c r="E60" s="22"/>
      <c r="F60" s="22"/>
      <c r="G60" s="18" t="s">
        <v>232</v>
      </c>
      <c r="H60" s="6" t="str">
        <f t="shared" si="11"/>
        <v>ok</v>
      </c>
    </row>
    <row r="61" spans="2:8" x14ac:dyDescent="0.25">
      <c r="B61" s="142"/>
      <c r="C61" s="5" t="str">
        <f t="shared" si="10"/>
        <v>berufsschule uster (zh)</v>
      </c>
      <c r="D61" s="22" t="s">
        <v>212</v>
      </c>
      <c r="E61" s="22"/>
      <c r="F61" s="22"/>
      <c r="G61" s="18" t="s">
        <v>233</v>
      </c>
      <c r="H61" s="6" t="str">
        <f t="shared" si="11"/>
        <v>ok</v>
      </c>
    </row>
    <row r="64" spans="2:8" x14ac:dyDescent="0.25">
      <c r="B64" s="2" t="s">
        <v>208</v>
      </c>
      <c r="C64" s="2" t="s">
        <v>207</v>
      </c>
      <c r="D64" s="21" t="s">
        <v>243</v>
      </c>
      <c r="E64" s="21"/>
      <c r="F64" s="21"/>
      <c r="G64" s="19" t="s">
        <v>7</v>
      </c>
      <c r="H64" s="3" t="s">
        <v>3</v>
      </c>
    </row>
    <row r="65" spans="2:8" x14ac:dyDescent="0.25">
      <c r="B65" s="140" t="s">
        <v>234</v>
      </c>
      <c r="C65" s="5" t="str">
        <f>PROPER(D65)</f>
        <v>8855 Wangen (Sz)</v>
      </c>
      <c r="D65" s="22" t="s">
        <v>211</v>
      </c>
      <c r="E65" s="22"/>
      <c r="F65" s="22"/>
      <c r="G65" s="18" t="s">
        <v>235</v>
      </c>
      <c r="H65" s="6" t="str">
        <f>IF(G65=C65,"ok",IF(C65="","--","Not ok"))</f>
        <v>ok</v>
      </c>
    </row>
    <row r="66" spans="2:8" x14ac:dyDescent="0.25">
      <c r="B66" s="141"/>
      <c r="C66" s="5" t="str">
        <f t="shared" ref="C66:C68" si="12">PROPER(D66)</f>
        <v>Max Und Moritz</v>
      </c>
      <c r="D66" s="22" t="s">
        <v>4</v>
      </c>
      <c r="E66" s="22"/>
      <c r="F66" s="22"/>
      <c r="G66" s="18" t="s">
        <v>236</v>
      </c>
      <c r="H66" s="6" t="str">
        <f t="shared" ref="H66:H68" si="13">IF(G66=C66,"ok",IF(C66="","--","Not ok"))</f>
        <v>ok</v>
      </c>
    </row>
    <row r="67" spans="2:8" x14ac:dyDescent="0.25">
      <c r="B67" s="141"/>
      <c r="C67" s="5" t="str">
        <f t="shared" si="12"/>
        <v>Sehr Geehrte Frau Müller</v>
      </c>
      <c r="D67" s="22" t="s">
        <v>213</v>
      </c>
      <c r="E67" s="22"/>
      <c r="F67" s="22"/>
      <c r="G67" s="18" t="s">
        <v>237</v>
      </c>
      <c r="H67" s="6" t="str">
        <f t="shared" si="13"/>
        <v>ok</v>
      </c>
    </row>
    <row r="68" spans="2:8" x14ac:dyDescent="0.25">
      <c r="B68" s="142"/>
      <c r="C68" s="5" t="str">
        <f t="shared" si="12"/>
        <v>Berufsschule Uster (Zh)</v>
      </c>
      <c r="D68" s="22" t="s">
        <v>212</v>
      </c>
      <c r="E68" s="22"/>
      <c r="F68" s="22"/>
      <c r="G68" s="18" t="s">
        <v>238</v>
      </c>
      <c r="H68" s="6" t="str">
        <f t="shared" si="13"/>
        <v>ok</v>
      </c>
    </row>
    <row r="71" spans="2:8" x14ac:dyDescent="0.25">
      <c r="B71" s="2" t="s">
        <v>208</v>
      </c>
      <c r="C71" s="2" t="s">
        <v>207</v>
      </c>
      <c r="D71" s="21" t="s">
        <v>243</v>
      </c>
      <c r="E71" s="21"/>
      <c r="F71" s="21"/>
      <c r="G71" s="19" t="s">
        <v>7</v>
      </c>
      <c r="H71" s="3" t="s">
        <v>3</v>
      </c>
    </row>
    <row r="72" spans="2:8" x14ac:dyDescent="0.25">
      <c r="B72" s="140" t="s">
        <v>239</v>
      </c>
      <c r="C72" s="5" t="str">
        <f>MID(D72,5,3)</f>
        <v xml:space="preserve"> Wa</v>
      </c>
      <c r="D72" s="22" t="s">
        <v>211</v>
      </c>
      <c r="E72" s="22"/>
      <c r="F72" s="22"/>
      <c r="G72" s="18" t="s">
        <v>240</v>
      </c>
      <c r="H72" s="6" t="str">
        <f>IF(G72=C72,"ok",IF(C72="","--","Not ok"))</f>
        <v>ok</v>
      </c>
    </row>
    <row r="73" spans="2:8" x14ac:dyDescent="0.25">
      <c r="B73" s="141"/>
      <c r="C73" s="5" t="str">
        <f t="shared" ref="C73:C75" si="14">MID(D73,5,3)</f>
        <v>und</v>
      </c>
      <c r="D73" s="22" t="s">
        <v>4</v>
      </c>
      <c r="E73" s="22"/>
      <c r="F73" s="22"/>
      <c r="G73" s="18" t="s">
        <v>216</v>
      </c>
      <c r="H73" s="6" t="str">
        <f t="shared" ref="H73:H75" si="15">IF(G73=C73,"ok",IF(C73="","--","Not ok"))</f>
        <v>ok</v>
      </c>
    </row>
    <row r="74" spans="2:8" x14ac:dyDescent="0.25">
      <c r="B74" s="141"/>
      <c r="C74" s="5" t="str">
        <f t="shared" si="14"/>
        <v xml:space="preserve"> ge</v>
      </c>
      <c r="D74" s="22" t="s">
        <v>213</v>
      </c>
      <c r="E74" s="22"/>
      <c r="F74" s="22"/>
      <c r="G74" s="18" t="s">
        <v>241</v>
      </c>
      <c r="H74" s="6" t="str">
        <f t="shared" si="15"/>
        <v>ok</v>
      </c>
    </row>
    <row r="75" spans="2:8" x14ac:dyDescent="0.25">
      <c r="B75" s="142"/>
      <c r="C75" s="5" t="str">
        <f t="shared" si="14"/>
        <v>fss</v>
      </c>
      <c r="D75" s="22" t="s">
        <v>212</v>
      </c>
      <c r="E75" s="22"/>
      <c r="F75" s="22"/>
      <c r="G75" s="18" t="s">
        <v>242</v>
      </c>
      <c r="H75" s="6" t="str">
        <f t="shared" si="15"/>
        <v>ok</v>
      </c>
    </row>
    <row r="78" spans="2:8" x14ac:dyDescent="0.25">
      <c r="B78" s="2" t="s">
        <v>208</v>
      </c>
      <c r="C78" s="2" t="s">
        <v>207</v>
      </c>
      <c r="D78" s="21" t="s">
        <v>243</v>
      </c>
      <c r="E78" s="21"/>
      <c r="F78" s="21"/>
      <c r="G78" s="19" t="s">
        <v>7</v>
      </c>
      <c r="H78" s="3" t="s">
        <v>3</v>
      </c>
    </row>
    <row r="79" spans="2:8" x14ac:dyDescent="0.25">
      <c r="B79" s="140" t="s">
        <v>244</v>
      </c>
      <c r="C79" s="5">
        <f>LEN(D79)</f>
        <v>16</v>
      </c>
      <c r="D79" s="22" t="s">
        <v>211</v>
      </c>
      <c r="E79" s="22"/>
      <c r="F79" s="22"/>
      <c r="G79" s="18">
        <v>16</v>
      </c>
      <c r="H79" s="6" t="str">
        <f>IF(G79=C79,"ok",IF(C79="","--","Not ok"))</f>
        <v>ok</v>
      </c>
    </row>
    <row r="80" spans="2:8" x14ac:dyDescent="0.25">
      <c r="B80" s="141"/>
      <c r="C80" s="5">
        <f t="shared" ref="C80:C82" si="16">LEN(D80)</f>
        <v>14</v>
      </c>
      <c r="D80" s="22" t="s">
        <v>4</v>
      </c>
      <c r="E80" s="22"/>
      <c r="F80" s="22"/>
      <c r="G80" s="18">
        <v>14</v>
      </c>
      <c r="H80" s="6" t="str">
        <f t="shared" ref="H80:H82" si="17">IF(G80=C80,"ok",IF(C80="","--","Not ok"))</f>
        <v>ok</v>
      </c>
    </row>
    <row r="81" spans="2:8" x14ac:dyDescent="0.25">
      <c r="B81" s="141"/>
      <c r="C81" s="5">
        <f t="shared" si="16"/>
        <v>24</v>
      </c>
      <c r="D81" s="22" t="s">
        <v>213</v>
      </c>
      <c r="E81" s="22"/>
      <c r="F81" s="22"/>
      <c r="G81" s="18">
        <v>24</v>
      </c>
      <c r="H81" s="6" t="str">
        <f t="shared" si="17"/>
        <v>ok</v>
      </c>
    </row>
    <row r="82" spans="2:8" x14ac:dyDescent="0.25">
      <c r="B82" s="142"/>
      <c r="C82" s="5">
        <f t="shared" si="16"/>
        <v>23</v>
      </c>
      <c r="D82" s="22" t="s">
        <v>212</v>
      </c>
      <c r="E82" s="22"/>
      <c r="F82" s="22"/>
      <c r="G82" s="18">
        <v>23</v>
      </c>
      <c r="H82" s="6" t="str">
        <f t="shared" si="17"/>
        <v>ok</v>
      </c>
    </row>
    <row r="85" spans="2:8" x14ac:dyDescent="0.25">
      <c r="B85" s="2" t="s">
        <v>208</v>
      </c>
      <c r="C85" s="2" t="s">
        <v>207</v>
      </c>
      <c r="D85" s="21" t="s">
        <v>245</v>
      </c>
      <c r="E85" s="21" t="s">
        <v>246</v>
      </c>
      <c r="F85" s="21" t="s">
        <v>248</v>
      </c>
      <c r="G85" s="19" t="s">
        <v>7</v>
      </c>
      <c r="H85" s="3" t="s">
        <v>3</v>
      </c>
    </row>
    <row r="86" spans="2:8" x14ac:dyDescent="0.25">
      <c r="B86" s="140" t="s">
        <v>247</v>
      </c>
      <c r="C86" s="5" t="str">
        <f>CONCATENATE(D86,"-",E86,"-",F86)</f>
        <v>8855-Wangen-SZ</v>
      </c>
      <c r="D86" s="22">
        <v>8855</v>
      </c>
      <c r="E86" s="22" t="s">
        <v>23</v>
      </c>
      <c r="F86" s="22" t="s">
        <v>249</v>
      </c>
      <c r="G86" s="18" t="s">
        <v>257</v>
      </c>
      <c r="H86" s="6" t="str">
        <f>IF(G86=C86,"ok",IF(C86="","--","Not ok"))</f>
        <v>ok</v>
      </c>
    </row>
    <row r="87" spans="2:8" x14ac:dyDescent="0.25">
      <c r="B87" s="141"/>
      <c r="C87" s="5" t="str">
        <f t="shared" ref="C87:C89" si="18">CONCATENATE(D87,"-",E87,"-",F87)</f>
        <v>Walter-Max-Rothlin</v>
      </c>
      <c r="D87" s="22" t="s">
        <v>148</v>
      </c>
      <c r="E87" s="22" t="s">
        <v>250</v>
      </c>
      <c r="F87" s="22" t="s">
        <v>251</v>
      </c>
      <c r="G87" s="18" t="s">
        <v>258</v>
      </c>
      <c r="H87" s="6" t="str">
        <f t="shared" ref="H87:H89" si="19">IF(G87=C87,"ok",IF(C87="","--","Not ok"))</f>
        <v>ok</v>
      </c>
    </row>
    <row r="88" spans="2:8" x14ac:dyDescent="0.25">
      <c r="B88" s="141"/>
      <c r="C88" s="5" t="str">
        <f t="shared" si="18"/>
        <v>Audi-R8-Turbo</v>
      </c>
      <c r="D88" s="22" t="s">
        <v>252</v>
      </c>
      <c r="E88" s="22" t="s">
        <v>253</v>
      </c>
      <c r="F88" s="22" t="s">
        <v>254</v>
      </c>
      <c r="G88" s="18" t="s">
        <v>259</v>
      </c>
      <c r="H88" s="6" t="str">
        <f t="shared" si="19"/>
        <v>ok</v>
      </c>
    </row>
    <row r="89" spans="2:8" x14ac:dyDescent="0.25">
      <c r="B89" s="142"/>
      <c r="C89" s="5" t="str">
        <f t="shared" si="18"/>
        <v>CH58-12345-UBS</v>
      </c>
      <c r="D89" s="22" t="s">
        <v>255</v>
      </c>
      <c r="E89" s="22">
        <v>12345</v>
      </c>
      <c r="F89" s="22" t="s">
        <v>256</v>
      </c>
      <c r="G89" s="18" t="s">
        <v>260</v>
      </c>
      <c r="H89" s="6" t="str">
        <f t="shared" si="19"/>
        <v>ok</v>
      </c>
    </row>
    <row r="92" spans="2:8" x14ac:dyDescent="0.25">
      <c r="B92" s="2" t="s">
        <v>208</v>
      </c>
      <c r="C92" s="2" t="s">
        <v>207</v>
      </c>
      <c r="D92" s="21" t="s">
        <v>245</v>
      </c>
      <c r="E92" s="21"/>
      <c r="F92" s="21"/>
      <c r="G92" s="19" t="s">
        <v>7</v>
      </c>
      <c r="H92" s="3" t="s">
        <v>3</v>
      </c>
    </row>
    <row r="93" spans="2:8" x14ac:dyDescent="0.25">
      <c r="B93" s="140" t="s">
        <v>262</v>
      </c>
      <c r="C93" s="5" t="str">
        <f>TRIM(D93)</f>
        <v>8855</v>
      </c>
      <c r="D93" s="73" t="s">
        <v>264</v>
      </c>
      <c r="E93" s="22"/>
      <c r="F93" s="22"/>
      <c r="G93" s="18" t="s">
        <v>267</v>
      </c>
      <c r="H93" s="6" t="str">
        <f>IF(G93=C93,"ok",IF(C93="","--","Not ok"))</f>
        <v>ok</v>
      </c>
    </row>
    <row r="94" spans="2:8" x14ac:dyDescent="0.25">
      <c r="B94" s="141"/>
      <c r="C94" s="5" t="str">
        <f t="shared" ref="C94:C96" si="20">TRIM(D94)</f>
        <v>Walter Rothlin</v>
      </c>
      <c r="D94" s="22" t="s">
        <v>261</v>
      </c>
      <c r="E94" s="22"/>
      <c r="F94" s="22"/>
      <c r="G94" s="18" t="s">
        <v>268</v>
      </c>
      <c r="H94" s="6" t="str">
        <f t="shared" ref="H94:H96" si="21">IF(G94=C94,"ok",IF(C94="","--","Not ok"))</f>
        <v>ok</v>
      </c>
    </row>
    <row r="95" spans="2:8" x14ac:dyDescent="0.25">
      <c r="B95" s="141"/>
      <c r="C95" s="5" t="str">
        <f t="shared" si="20"/>
        <v>Audi R8 Turbo</v>
      </c>
      <c r="D95" s="22" t="s">
        <v>265</v>
      </c>
      <c r="E95" s="22"/>
      <c r="F95" s="22"/>
      <c r="G95" s="18" t="s">
        <v>269</v>
      </c>
      <c r="H95" s="6" t="str">
        <f t="shared" si="21"/>
        <v>ok</v>
      </c>
    </row>
    <row r="96" spans="2:8" x14ac:dyDescent="0.25">
      <c r="B96" s="142"/>
      <c r="C96" s="5" t="str">
        <f t="shared" si="20"/>
        <v>CH 58</v>
      </c>
      <c r="D96" s="22" t="s">
        <v>266</v>
      </c>
      <c r="E96" s="22"/>
      <c r="F96" s="22"/>
      <c r="G96" s="18" t="s">
        <v>270</v>
      </c>
      <c r="H96" s="6" t="str">
        <f t="shared" si="21"/>
        <v>ok</v>
      </c>
    </row>
    <row r="99" spans="2:8" x14ac:dyDescent="0.25">
      <c r="B99" s="2" t="s">
        <v>208</v>
      </c>
      <c r="C99" s="2" t="s">
        <v>207</v>
      </c>
      <c r="D99" s="21" t="s">
        <v>245</v>
      </c>
      <c r="E99" s="21"/>
      <c r="F99" s="21"/>
      <c r="G99" s="19" t="s">
        <v>7</v>
      </c>
      <c r="H99" s="3" t="s">
        <v>3</v>
      </c>
    </row>
    <row r="100" spans="2:8" x14ac:dyDescent="0.25">
      <c r="B100" s="140" t="s">
        <v>276</v>
      </c>
      <c r="C100" s="5" t="str">
        <f>IF(LEN(D100)&gt;12,"ok","nok")</f>
        <v>nok</v>
      </c>
      <c r="D100" s="73" t="s">
        <v>263</v>
      </c>
      <c r="E100" s="22"/>
      <c r="F100" s="22"/>
      <c r="G100" s="18" t="s">
        <v>277</v>
      </c>
      <c r="H100" s="6" t="str">
        <f>IF(G100=C100,"ok",IF(C100="","--","Not ok"))</f>
        <v>ok</v>
      </c>
    </row>
    <row r="101" spans="2:8" x14ac:dyDescent="0.25">
      <c r="B101" s="141"/>
      <c r="C101" s="5" t="str">
        <f t="shared" ref="C101:C103" si="22">IF(LEN(D101)&gt;12,"ok","nok")</f>
        <v>ok</v>
      </c>
      <c r="D101" s="22" t="s">
        <v>261</v>
      </c>
      <c r="E101" s="22"/>
      <c r="F101" s="22"/>
      <c r="G101" s="18" t="s">
        <v>278</v>
      </c>
      <c r="H101" s="6" t="str">
        <f t="shared" ref="H101:H103" si="23">IF(G101=C101,"ok",IF(C101="","--","Not ok"))</f>
        <v>ok</v>
      </c>
    </row>
    <row r="102" spans="2:8" x14ac:dyDescent="0.25">
      <c r="B102" s="141"/>
      <c r="C102" s="5" t="str">
        <f t="shared" si="22"/>
        <v>ok</v>
      </c>
      <c r="D102" s="22" t="s">
        <v>265</v>
      </c>
      <c r="E102" s="22"/>
      <c r="F102" s="22"/>
      <c r="G102" s="18" t="s">
        <v>278</v>
      </c>
      <c r="H102" s="6" t="str">
        <f t="shared" si="23"/>
        <v>ok</v>
      </c>
    </row>
    <row r="103" spans="2:8" x14ac:dyDescent="0.25">
      <c r="B103" s="142"/>
      <c r="C103" s="5" t="str">
        <f t="shared" si="22"/>
        <v>nok</v>
      </c>
      <c r="D103" s="22" t="s">
        <v>266</v>
      </c>
      <c r="E103" s="22"/>
      <c r="F103" s="22"/>
      <c r="G103" s="18" t="s">
        <v>277</v>
      </c>
      <c r="H103" s="6" t="str">
        <f t="shared" si="23"/>
        <v>ok</v>
      </c>
    </row>
    <row r="106" spans="2:8" x14ac:dyDescent="0.25">
      <c r="B106" s="2" t="s">
        <v>271</v>
      </c>
      <c r="C106" s="2" t="s">
        <v>207</v>
      </c>
      <c r="D106" s="21" t="s">
        <v>15</v>
      </c>
      <c r="E106" s="21"/>
      <c r="F106" s="21"/>
      <c r="G106" s="19" t="s">
        <v>7</v>
      </c>
      <c r="H106" s="3" t="s">
        <v>3</v>
      </c>
    </row>
    <row r="107" spans="2:8" x14ac:dyDescent="0.25">
      <c r="B107" s="140" t="s">
        <v>215</v>
      </c>
      <c r="C107" s="5" t="str">
        <f>MID(D107,FIND(" ",D107),FIND(" ",D107,FIND(" ",D107)+1)-FIND(" ",D107))</f>
        <v xml:space="preserve"> Wangen</v>
      </c>
      <c r="D107" s="22" t="s">
        <v>211</v>
      </c>
      <c r="E107" s="22"/>
      <c r="F107" s="22"/>
      <c r="G107" s="18" t="s">
        <v>272</v>
      </c>
      <c r="H107" s="6" t="str">
        <f>IF(G107=C107,"ok",IF(C107="","--","Not ok"))</f>
        <v>ok</v>
      </c>
    </row>
    <row r="108" spans="2:8" x14ac:dyDescent="0.25">
      <c r="B108" s="141"/>
      <c r="C108" s="5" t="str">
        <f t="shared" ref="C108:C110" si="24">MID(D108,FIND(" ",D108),FIND(" ",D108,FIND(" ",D108)+1)-FIND(" ",D108))</f>
        <v xml:space="preserve"> und</v>
      </c>
      <c r="D108" s="22" t="s">
        <v>4</v>
      </c>
      <c r="E108" s="22"/>
      <c r="F108" s="22"/>
      <c r="G108" s="18" t="s">
        <v>273</v>
      </c>
      <c r="H108" s="6" t="str">
        <f t="shared" ref="H108:H110" si="25">IF(G108=C108,"ok",IF(C108="","--","Not ok"))</f>
        <v>ok</v>
      </c>
    </row>
    <row r="109" spans="2:8" x14ac:dyDescent="0.25">
      <c r="B109" s="141"/>
      <c r="C109" s="5" t="str">
        <f t="shared" si="24"/>
        <v xml:space="preserve"> geehrte</v>
      </c>
      <c r="D109" s="22" t="s">
        <v>213</v>
      </c>
      <c r="E109" s="22"/>
      <c r="F109" s="22"/>
      <c r="G109" s="18" t="s">
        <v>274</v>
      </c>
      <c r="H109" s="6" t="str">
        <f t="shared" si="25"/>
        <v>ok</v>
      </c>
    </row>
    <row r="110" spans="2:8" x14ac:dyDescent="0.25">
      <c r="B110" s="142"/>
      <c r="C110" s="5" t="str">
        <f t="shared" si="24"/>
        <v xml:space="preserve"> Uster</v>
      </c>
      <c r="D110" s="22" t="s">
        <v>212</v>
      </c>
      <c r="E110" s="22"/>
      <c r="F110" s="22"/>
      <c r="G110" s="18" t="s">
        <v>275</v>
      </c>
      <c r="H110" s="6" t="str">
        <f t="shared" si="25"/>
        <v>ok</v>
      </c>
    </row>
  </sheetData>
  <mergeCells count="13">
    <mergeCell ref="B107:B110"/>
    <mergeCell ref="B65:B68"/>
    <mergeCell ref="B72:B75"/>
    <mergeCell ref="B79:B82"/>
    <mergeCell ref="B86:B89"/>
    <mergeCell ref="B93:B96"/>
    <mergeCell ref="B100:B103"/>
    <mergeCell ref="B58:B61"/>
    <mergeCell ref="B23:B26"/>
    <mergeCell ref="B30:B33"/>
    <mergeCell ref="B37:B40"/>
    <mergeCell ref="B44:B47"/>
    <mergeCell ref="B51:B54"/>
  </mergeCells>
  <conditionalFormatting sqref="H23:H26">
    <cfRule type="cellIs" dxfId="49" priority="32" operator="equal">
      <formula>"Not ok"</formula>
    </cfRule>
    <cfRule type="cellIs" dxfId="48" priority="33" operator="equal">
      <formula>"ok"</formula>
    </cfRule>
  </conditionalFormatting>
  <conditionalFormatting sqref="G7">
    <cfRule type="cellIs" dxfId="47" priority="25" stopIfTrue="1" operator="equal">
      <formula>"Not defined"</formula>
    </cfRule>
    <cfRule type="cellIs" dxfId="46" priority="26" stopIfTrue="1" operator="greaterThan">
      <formula>5.7</formula>
    </cfRule>
    <cfRule type="cellIs" dxfId="45" priority="27" stopIfTrue="1" operator="greaterThan">
      <formula>5</formula>
    </cfRule>
    <cfRule type="cellIs" dxfId="44" priority="28" stopIfTrue="1" operator="greaterThan">
      <formula>4.5</formula>
    </cfRule>
    <cfRule type="cellIs" dxfId="43" priority="29" stopIfTrue="1" operator="greaterThanOrEqual">
      <formula>4</formula>
    </cfRule>
    <cfRule type="cellIs" dxfId="42" priority="30" stopIfTrue="1" operator="greaterThanOrEqual">
      <formula>3</formula>
    </cfRule>
    <cfRule type="cellIs" dxfId="41" priority="31" stopIfTrue="1" operator="greaterThanOrEqual">
      <formula>1</formula>
    </cfRule>
  </conditionalFormatting>
  <conditionalFormatting sqref="H30:H33">
    <cfRule type="cellIs" dxfId="40" priority="23" operator="equal">
      <formula>"Not ok"</formula>
    </cfRule>
    <cfRule type="cellIs" dxfId="39" priority="24" operator="equal">
      <formula>"ok"</formula>
    </cfRule>
  </conditionalFormatting>
  <conditionalFormatting sqref="H107:H110">
    <cfRule type="cellIs" dxfId="38" priority="21" operator="equal">
      <formula>"Not ok"</formula>
    </cfRule>
    <cfRule type="cellIs" dxfId="37" priority="22" operator="equal">
      <formula>"ok"</formula>
    </cfRule>
  </conditionalFormatting>
  <conditionalFormatting sqref="H37:H40">
    <cfRule type="cellIs" dxfId="36" priority="19" operator="equal">
      <formula>"Not ok"</formula>
    </cfRule>
    <cfRule type="cellIs" dxfId="35" priority="20" operator="equal">
      <formula>"ok"</formula>
    </cfRule>
  </conditionalFormatting>
  <conditionalFormatting sqref="H44:H47">
    <cfRule type="cellIs" dxfId="34" priority="17" operator="equal">
      <formula>"Not ok"</formula>
    </cfRule>
    <cfRule type="cellIs" dxfId="33" priority="18" operator="equal">
      <formula>"ok"</formula>
    </cfRule>
  </conditionalFormatting>
  <conditionalFormatting sqref="H51:H54">
    <cfRule type="cellIs" dxfId="32" priority="15" operator="equal">
      <formula>"Not ok"</formula>
    </cfRule>
    <cfRule type="cellIs" dxfId="31" priority="16" operator="equal">
      <formula>"ok"</formula>
    </cfRule>
  </conditionalFormatting>
  <conditionalFormatting sqref="H58:H61">
    <cfRule type="cellIs" dxfId="30" priority="13" operator="equal">
      <formula>"Not ok"</formula>
    </cfRule>
    <cfRule type="cellIs" dxfId="29" priority="14" operator="equal">
      <formula>"ok"</formula>
    </cfRule>
  </conditionalFormatting>
  <conditionalFormatting sqref="H65:H68">
    <cfRule type="cellIs" dxfId="28" priority="11" operator="equal">
      <formula>"Not ok"</formula>
    </cfRule>
    <cfRule type="cellIs" dxfId="27" priority="12" operator="equal">
      <formula>"ok"</formula>
    </cfRule>
  </conditionalFormatting>
  <conditionalFormatting sqref="H72:H75">
    <cfRule type="cellIs" dxfId="26" priority="9" operator="equal">
      <formula>"Not ok"</formula>
    </cfRule>
    <cfRule type="cellIs" dxfId="25" priority="10" operator="equal">
      <formula>"ok"</formula>
    </cfRule>
  </conditionalFormatting>
  <conditionalFormatting sqref="H79:H82">
    <cfRule type="cellIs" dxfId="24" priority="7" operator="equal">
      <formula>"Not ok"</formula>
    </cfRule>
    <cfRule type="cellIs" dxfId="23" priority="8" operator="equal">
      <formula>"ok"</formula>
    </cfRule>
  </conditionalFormatting>
  <conditionalFormatting sqref="H86:H89">
    <cfRule type="cellIs" dxfId="22" priority="5" operator="equal">
      <formula>"Not ok"</formula>
    </cfRule>
    <cfRule type="cellIs" dxfId="21" priority="6" operator="equal">
      <formula>"ok"</formula>
    </cfRule>
  </conditionalFormatting>
  <conditionalFormatting sqref="H93:H96">
    <cfRule type="cellIs" dxfId="20" priority="3" operator="equal">
      <formula>"Not ok"</formula>
    </cfRule>
    <cfRule type="cellIs" dxfId="19" priority="4" operator="equal">
      <formula>"ok"</formula>
    </cfRule>
  </conditionalFormatting>
  <conditionalFormatting sqref="H100:H103">
    <cfRule type="cellIs" dxfId="18" priority="1" operator="equal">
      <formula>"Not ok"</formula>
    </cfRule>
    <cfRule type="cellIs" dxfId="17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1">
    <tabColor rgb="FFFF0000"/>
  </sheetPr>
  <dimension ref="B2:W29"/>
  <sheetViews>
    <sheetView workbookViewId="0"/>
  </sheetViews>
  <sheetFormatPr baseColWidth="10" defaultRowHeight="15" x14ac:dyDescent="0.25"/>
  <cols>
    <col min="3" max="3" width="12" bestFit="1" customWidth="1"/>
  </cols>
  <sheetData>
    <row r="2" spans="2:23" ht="18.75" x14ac:dyDescent="0.3">
      <c r="B2" s="74" t="s">
        <v>335</v>
      </c>
    </row>
    <row r="9" spans="2:23" ht="15.75" thickBot="1" x14ac:dyDescent="0.3"/>
    <row r="10" spans="2:23" x14ac:dyDescent="0.25">
      <c r="B10" s="92" t="s">
        <v>281</v>
      </c>
      <c r="C10" s="42">
        <v>0</v>
      </c>
      <c r="D10" s="32">
        <f>C10+1</f>
        <v>1</v>
      </c>
      <c r="E10" s="32">
        <f t="shared" ref="E10:M10" si="0">D10+1</f>
        <v>2</v>
      </c>
      <c r="F10" s="32">
        <f t="shared" si="0"/>
        <v>3</v>
      </c>
      <c r="G10" s="32">
        <f t="shared" si="0"/>
        <v>4</v>
      </c>
      <c r="H10" s="32">
        <f t="shared" si="0"/>
        <v>5</v>
      </c>
      <c r="I10" s="32">
        <f t="shared" si="0"/>
        <v>6</v>
      </c>
      <c r="J10" s="32">
        <f t="shared" si="0"/>
        <v>7</v>
      </c>
      <c r="K10" s="32">
        <f t="shared" si="0"/>
        <v>8</v>
      </c>
      <c r="L10" s="32">
        <f t="shared" si="0"/>
        <v>9</v>
      </c>
      <c r="M10" s="33">
        <f t="shared" si="0"/>
        <v>10</v>
      </c>
    </row>
    <row r="11" spans="2:23" ht="15.75" thickBot="1" x14ac:dyDescent="0.3">
      <c r="B11" s="93" t="s">
        <v>282</v>
      </c>
      <c r="C11" s="41">
        <f t="shared" ref="C11:M11" si="1">2^C10</f>
        <v>1</v>
      </c>
      <c r="D11" s="26">
        <f t="shared" si="1"/>
        <v>2</v>
      </c>
      <c r="E11" s="26">
        <f t="shared" si="1"/>
        <v>4</v>
      </c>
      <c r="F11" s="26">
        <f t="shared" si="1"/>
        <v>8</v>
      </c>
      <c r="G11" s="26">
        <f t="shared" si="1"/>
        <v>16</v>
      </c>
      <c r="H11" s="26">
        <f t="shared" si="1"/>
        <v>32</v>
      </c>
      <c r="I11" s="26">
        <f t="shared" si="1"/>
        <v>64</v>
      </c>
      <c r="J11" s="26">
        <f t="shared" si="1"/>
        <v>128</v>
      </c>
      <c r="K11" s="26">
        <f t="shared" si="1"/>
        <v>256</v>
      </c>
      <c r="L11" s="26">
        <f t="shared" si="1"/>
        <v>512</v>
      </c>
      <c r="M11" s="27">
        <f t="shared" si="1"/>
        <v>1024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301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302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293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303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/>
      <c r="R25" s="86"/>
      <c r="S25" s="86"/>
      <c r="T25" s="86"/>
      <c r="U25" s="86" t="s">
        <v>299</v>
      </c>
      <c r="V25" s="86">
        <f>COUNTIF(V18:V24,"&lt;&gt; ")</f>
        <v>7</v>
      </c>
      <c r="W25" s="87"/>
    </row>
    <row r="26" spans="16:23" ht="15.75" thickBot="1" x14ac:dyDescent="0.3">
      <c r="P26" s="84"/>
      <c r="Q26" s="86"/>
      <c r="R26" s="86"/>
      <c r="S26" s="86"/>
      <c r="T26" s="86"/>
      <c r="U26" s="88" t="s">
        <v>300</v>
      </c>
      <c r="V26" s="86">
        <f>COUNTIF(V18:V24,"=Ja")</f>
        <v>7</v>
      </c>
      <c r="W26" s="87"/>
    </row>
    <row r="27" spans="16:23" ht="15.75" thickBot="1" x14ac:dyDescent="0.3">
      <c r="P27" s="84"/>
      <c r="Q27" s="86"/>
      <c r="R27" s="86"/>
      <c r="S27" s="86"/>
      <c r="T27" s="86"/>
      <c r="U27" s="94" t="s">
        <v>13</v>
      </c>
      <c r="V27" s="95">
        <f>(5/V25)*V26+1</f>
        <v>6</v>
      </c>
      <c r="W27" s="87"/>
    </row>
    <row r="28" spans="16:23" x14ac:dyDescent="0.25">
      <c r="P28" s="84"/>
      <c r="Q28" s="86"/>
      <c r="R28" s="86"/>
      <c r="S28" s="86"/>
      <c r="T28" s="86"/>
      <c r="U28" s="86"/>
      <c r="V28" s="86"/>
      <c r="W28" s="87"/>
    </row>
    <row r="29" spans="16:23" ht="15.75" thickBot="1" x14ac:dyDescent="0.3">
      <c r="P29" s="89"/>
      <c r="Q29" s="90"/>
      <c r="R29" s="90"/>
      <c r="S29" s="90"/>
      <c r="T29" s="90"/>
      <c r="U29" s="90"/>
      <c r="V29" s="90"/>
      <c r="W29" s="91"/>
    </row>
  </sheetData>
  <pageMargins left="0.7" right="0.7" top="0.78740157499999996" bottom="0.78740157499999996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V18:V24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2">
    <tabColor rgb="FFFF0000"/>
  </sheetPr>
  <dimension ref="B1:W33"/>
  <sheetViews>
    <sheetView workbookViewId="0">
      <selection activeCell="V18" sqref="V18:V28"/>
    </sheetView>
  </sheetViews>
  <sheetFormatPr baseColWidth="10" defaultRowHeight="15" x14ac:dyDescent="0.25"/>
  <cols>
    <col min="2" max="2" width="18.42578125" customWidth="1"/>
  </cols>
  <sheetData>
    <row r="1" spans="2:23" ht="21.75" customHeight="1" x14ac:dyDescent="0.25"/>
    <row r="2" spans="2:23" ht="18.75" x14ac:dyDescent="0.3">
      <c r="B2" s="74" t="s">
        <v>336</v>
      </c>
    </row>
    <row r="8" spans="2:23" ht="15.75" thickBot="1" x14ac:dyDescent="0.3"/>
    <row r="9" spans="2:23" ht="15.75" thickBot="1" x14ac:dyDescent="0.3">
      <c r="C9" s="79" t="s">
        <v>285</v>
      </c>
      <c r="D9" s="80">
        <v>2</v>
      </c>
    </row>
    <row r="10" spans="2:23" ht="15.75" thickBot="1" x14ac:dyDescent="0.3">
      <c r="B10" s="75" t="s">
        <v>281</v>
      </c>
      <c r="C10" s="78">
        <v>-5</v>
      </c>
      <c r="D10" s="29">
        <f>C10+$D$9</f>
        <v>-3</v>
      </c>
      <c r="E10" s="29">
        <f t="shared" ref="E10:W10" si="0">D10+$D$9</f>
        <v>-1</v>
      </c>
      <c r="F10" s="29">
        <f t="shared" si="0"/>
        <v>1</v>
      </c>
      <c r="G10" s="29">
        <f t="shared" si="0"/>
        <v>3</v>
      </c>
      <c r="H10" s="29">
        <f t="shared" si="0"/>
        <v>5</v>
      </c>
      <c r="I10" s="29">
        <f t="shared" si="0"/>
        <v>7</v>
      </c>
      <c r="J10" s="29">
        <f t="shared" si="0"/>
        <v>9</v>
      </c>
      <c r="K10" s="29">
        <f t="shared" si="0"/>
        <v>11</v>
      </c>
      <c r="L10" s="29">
        <f t="shared" si="0"/>
        <v>13</v>
      </c>
      <c r="M10" s="29">
        <f t="shared" si="0"/>
        <v>15</v>
      </c>
      <c r="N10" s="29">
        <f t="shared" si="0"/>
        <v>17</v>
      </c>
      <c r="O10" s="29">
        <f t="shared" si="0"/>
        <v>19</v>
      </c>
      <c r="P10" s="29">
        <f t="shared" si="0"/>
        <v>21</v>
      </c>
      <c r="Q10" s="29">
        <f t="shared" si="0"/>
        <v>23</v>
      </c>
      <c r="R10" s="29">
        <f t="shared" si="0"/>
        <v>25</v>
      </c>
      <c r="S10" s="29">
        <f t="shared" si="0"/>
        <v>27</v>
      </c>
      <c r="T10" s="29">
        <f t="shared" si="0"/>
        <v>29</v>
      </c>
      <c r="U10" s="29">
        <f t="shared" si="0"/>
        <v>31</v>
      </c>
      <c r="V10" s="29">
        <f t="shared" si="0"/>
        <v>33</v>
      </c>
      <c r="W10" s="29">
        <f t="shared" si="0"/>
        <v>35</v>
      </c>
    </row>
    <row r="11" spans="2:23" x14ac:dyDescent="0.25">
      <c r="B11" s="76" t="s">
        <v>283</v>
      </c>
      <c r="C11" s="37">
        <f>0.5*C10^2 - 3*C10-5</f>
        <v>22.5</v>
      </c>
      <c r="D11" s="37">
        <f t="shared" ref="D11:W11" si="1">0.5*D10^2 - 3*D10-5</f>
        <v>8.5</v>
      </c>
      <c r="E11" s="37">
        <f t="shared" si="1"/>
        <v>-1.5</v>
      </c>
      <c r="F11" s="37">
        <f t="shared" si="1"/>
        <v>-7.5</v>
      </c>
      <c r="G11" s="37">
        <f t="shared" si="1"/>
        <v>-9.5</v>
      </c>
      <c r="H11" s="37">
        <f t="shared" si="1"/>
        <v>-7.5</v>
      </c>
      <c r="I11" s="37">
        <f t="shared" si="1"/>
        <v>-1.5</v>
      </c>
      <c r="J11" s="37">
        <f t="shared" si="1"/>
        <v>8.5</v>
      </c>
      <c r="K11" s="37">
        <f t="shared" si="1"/>
        <v>22.5</v>
      </c>
      <c r="L11" s="37">
        <f t="shared" si="1"/>
        <v>40.5</v>
      </c>
      <c r="M11" s="37">
        <f t="shared" si="1"/>
        <v>62.5</v>
      </c>
      <c r="N11" s="37">
        <f t="shared" si="1"/>
        <v>88.5</v>
      </c>
      <c r="O11" s="37">
        <f t="shared" si="1"/>
        <v>118.5</v>
      </c>
      <c r="P11" s="37">
        <f t="shared" si="1"/>
        <v>152.5</v>
      </c>
      <c r="Q11" s="37">
        <f t="shared" si="1"/>
        <v>190.5</v>
      </c>
      <c r="R11" s="37">
        <f t="shared" si="1"/>
        <v>232.5</v>
      </c>
      <c r="S11" s="37">
        <f t="shared" si="1"/>
        <v>278.5</v>
      </c>
      <c r="T11" s="37">
        <f t="shared" si="1"/>
        <v>328.5</v>
      </c>
      <c r="U11" s="37">
        <f t="shared" si="1"/>
        <v>382.5</v>
      </c>
      <c r="V11" s="37">
        <f t="shared" si="1"/>
        <v>440.5</v>
      </c>
      <c r="W11" s="37">
        <f t="shared" si="1"/>
        <v>502.5</v>
      </c>
    </row>
    <row r="12" spans="2:23" ht="15.75" thickBot="1" x14ac:dyDescent="0.3">
      <c r="B12" s="77" t="s">
        <v>284</v>
      </c>
      <c r="C12" s="41">
        <f>C10^2 - 10*C10 - 8</f>
        <v>67</v>
      </c>
      <c r="D12" s="41">
        <f t="shared" ref="D12:W12" si="2">D10^2 - 10*D10 - 8</f>
        <v>31</v>
      </c>
      <c r="E12" s="41">
        <f t="shared" si="2"/>
        <v>3</v>
      </c>
      <c r="F12" s="41">
        <f t="shared" si="2"/>
        <v>-17</v>
      </c>
      <c r="G12" s="41">
        <f t="shared" si="2"/>
        <v>-29</v>
      </c>
      <c r="H12" s="41">
        <f t="shared" si="2"/>
        <v>-33</v>
      </c>
      <c r="I12" s="41">
        <f t="shared" si="2"/>
        <v>-29</v>
      </c>
      <c r="J12" s="41">
        <f t="shared" si="2"/>
        <v>-17</v>
      </c>
      <c r="K12" s="41">
        <f t="shared" si="2"/>
        <v>3</v>
      </c>
      <c r="L12" s="41">
        <f t="shared" si="2"/>
        <v>31</v>
      </c>
      <c r="M12" s="41">
        <f t="shared" si="2"/>
        <v>67</v>
      </c>
      <c r="N12" s="41">
        <f t="shared" si="2"/>
        <v>111</v>
      </c>
      <c r="O12" s="41">
        <f t="shared" si="2"/>
        <v>163</v>
      </c>
      <c r="P12" s="41">
        <f t="shared" si="2"/>
        <v>223</v>
      </c>
      <c r="Q12" s="41">
        <f t="shared" si="2"/>
        <v>291</v>
      </c>
      <c r="R12" s="41">
        <f t="shared" si="2"/>
        <v>367</v>
      </c>
      <c r="S12" s="41">
        <f t="shared" si="2"/>
        <v>451</v>
      </c>
      <c r="T12" s="41">
        <f t="shared" si="2"/>
        <v>543</v>
      </c>
      <c r="U12" s="41">
        <f t="shared" si="2"/>
        <v>643</v>
      </c>
      <c r="V12" s="41">
        <f t="shared" si="2"/>
        <v>751</v>
      </c>
      <c r="W12" s="41">
        <f t="shared" si="2"/>
        <v>867</v>
      </c>
    </row>
    <row r="14" spans="2:23" ht="15.75" thickBot="1" x14ac:dyDescent="0.3"/>
    <row r="15" spans="2:23" x14ac:dyDescent="0.25">
      <c r="P15" s="81"/>
      <c r="Q15" s="82"/>
      <c r="R15" s="82"/>
      <c r="S15" s="82"/>
      <c r="T15" s="82"/>
      <c r="U15" s="82"/>
      <c r="V15" s="82"/>
      <c r="W15" s="83"/>
    </row>
    <row r="16" spans="2:23" ht="18.75" x14ac:dyDescent="0.3">
      <c r="P16" s="84"/>
      <c r="Q16" s="85" t="s">
        <v>287</v>
      </c>
      <c r="R16" s="86"/>
      <c r="S16" s="86"/>
      <c r="T16" s="86"/>
      <c r="U16" s="86"/>
      <c r="V16" s="86"/>
      <c r="W16" s="87"/>
    </row>
    <row r="17" spans="16:23" x14ac:dyDescent="0.25">
      <c r="P17" s="84"/>
      <c r="Q17" s="86"/>
      <c r="R17" s="86"/>
      <c r="S17" s="86"/>
      <c r="T17" s="86"/>
      <c r="U17" s="86"/>
      <c r="V17" s="86"/>
      <c r="W17" s="87"/>
    </row>
    <row r="18" spans="16:23" x14ac:dyDescent="0.25">
      <c r="P18" s="84"/>
      <c r="Q18" s="86" t="s">
        <v>298</v>
      </c>
      <c r="R18" s="86"/>
      <c r="S18" s="86"/>
      <c r="T18" s="86"/>
      <c r="U18" s="86"/>
      <c r="V18" s="86" t="s">
        <v>40</v>
      </c>
      <c r="W18" s="87"/>
    </row>
    <row r="19" spans="16:23" x14ac:dyDescent="0.25">
      <c r="P19" s="84"/>
      <c r="Q19" s="86" t="s">
        <v>288</v>
      </c>
      <c r="R19" s="86"/>
      <c r="S19" s="86"/>
      <c r="T19" s="86"/>
      <c r="U19" s="86"/>
      <c r="V19" s="86" t="s">
        <v>40</v>
      </c>
      <c r="W19" s="87"/>
    </row>
    <row r="20" spans="16:23" x14ac:dyDescent="0.25">
      <c r="P20" s="84"/>
      <c r="Q20" s="86" t="s">
        <v>289</v>
      </c>
      <c r="R20" s="86"/>
      <c r="S20" s="86"/>
      <c r="T20" s="86"/>
      <c r="U20" s="86"/>
      <c r="V20" s="86" t="s">
        <v>40</v>
      </c>
      <c r="W20" s="87"/>
    </row>
    <row r="21" spans="16:23" x14ac:dyDescent="0.25">
      <c r="P21" s="84"/>
      <c r="Q21" s="86" t="s">
        <v>290</v>
      </c>
      <c r="R21" s="86"/>
      <c r="S21" s="86"/>
      <c r="T21" s="86"/>
      <c r="U21" s="86"/>
      <c r="V21" s="86" t="s">
        <v>40</v>
      </c>
      <c r="W21" s="87"/>
    </row>
    <row r="22" spans="16:23" x14ac:dyDescent="0.25">
      <c r="P22" s="84"/>
      <c r="Q22" s="86" t="s">
        <v>291</v>
      </c>
      <c r="R22" s="86"/>
      <c r="S22" s="86"/>
      <c r="T22" s="86"/>
      <c r="U22" s="86"/>
      <c r="V22" s="86" t="s">
        <v>40</v>
      </c>
      <c r="W22" s="87"/>
    </row>
    <row r="23" spans="16:23" x14ac:dyDescent="0.25">
      <c r="P23" s="84"/>
      <c r="Q23" s="86" t="s">
        <v>292</v>
      </c>
      <c r="R23" s="86"/>
      <c r="S23" s="86"/>
      <c r="T23" s="86"/>
      <c r="U23" s="86"/>
      <c r="V23" s="86" t="s">
        <v>40</v>
      </c>
      <c r="W23" s="87"/>
    </row>
    <row r="24" spans="16:23" x14ac:dyDescent="0.25">
      <c r="P24" s="84"/>
      <c r="Q24" s="86" t="s">
        <v>293</v>
      </c>
      <c r="R24" s="86"/>
      <c r="S24" s="86"/>
      <c r="T24" s="86"/>
      <c r="U24" s="86"/>
      <c r="V24" s="86" t="s">
        <v>40</v>
      </c>
      <c r="W24" s="87"/>
    </row>
    <row r="25" spans="16:23" x14ac:dyDescent="0.25">
      <c r="P25" s="84"/>
      <c r="Q25" s="86" t="s">
        <v>294</v>
      </c>
      <c r="R25" s="86"/>
      <c r="S25" s="86"/>
      <c r="T25" s="86"/>
      <c r="U25" s="86"/>
      <c r="V25" s="86" t="s">
        <v>40</v>
      </c>
      <c r="W25" s="87"/>
    </row>
    <row r="26" spans="16:23" x14ac:dyDescent="0.25">
      <c r="P26" s="84"/>
      <c r="Q26" s="86" t="s">
        <v>295</v>
      </c>
      <c r="R26" s="86"/>
      <c r="S26" s="86"/>
      <c r="T26" s="86"/>
      <c r="U26" s="86"/>
      <c r="V26" s="86" t="s">
        <v>40</v>
      </c>
      <c r="W26" s="87"/>
    </row>
    <row r="27" spans="16:23" x14ac:dyDescent="0.25">
      <c r="P27" s="84"/>
      <c r="Q27" s="86" t="s">
        <v>296</v>
      </c>
      <c r="R27" s="86"/>
      <c r="S27" s="86"/>
      <c r="T27" s="86"/>
      <c r="U27" s="86"/>
      <c r="V27" s="86" t="s">
        <v>40</v>
      </c>
      <c r="W27" s="87"/>
    </row>
    <row r="28" spans="16:23" x14ac:dyDescent="0.25">
      <c r="P28" s="84"/>
      <c r="Q28" s="86" t="s">
        <v>297</v>
      </c>
      <c r="R28" s="86"/>
      <c r="S28" s="86"/>
      <c r="T28" s="86"/>
      <c r="U28" s="86"/>
      <c r="V28" s="86" t="s">
        <v>40</v>
      </c>
      <c r="W28" s="87"/>
    </row>
    <row r="29" spans="16:23" x14ac:dyDescent="0.25">
      <c r="P29" s="84"/>
      <c r="Q29" s="86"/>
      <c r="R29" s="86"/>
      <c r="S29" s="86"/>
      <c r="T29" s="86"/>
      <c r="U29" s="86" t="s">
        <v>299</v>
      </c>
      <c r="V29" s="86">
        <f>COUNTIF(V18:V28,"&lt;&gt; ")</f>
        <v>11</v>
      </c>
      <c r="W29" s="87"/>
    </row>
    <row r="30" spans="16:23" ht="15.75" thickBot="1" x14ac:dyDescent="0.3">
      <c r="P30" s="84"/>
      <c r="Q30" s="86"/>
      <c r="R30" s="86"/>
      <c r="S30" s="86"/>
      <c r="T30" s="86"/>
      <c r="U30" s="88" t="s">
        <v>300</v>
      </c>
      <c r="V30" s="86">
        <f>COUNTIF(V18:V28,"=Ja")</f>
        <v>11</v>
      </c>
      <c r="W30" s="87"/>
    </row>
    <row r="31" spans="16:23" ht="15.75" thickBot="1" x14ac:dyDescent="0.3">
      <c r="P31" s="84"/>
      <c r="Q31" s="86"/>
      <c r="R31" s="86"/>
      <c r="S31" s="86"/>
      <c r="T31" s="86"/>
      <c r="U31" s="94" t="s">
        <v>13</v>
      </c>
      <c r="V31" s="95">
        <f>(5/V29)*V30+1</f>
        <v>6</v>
      </c>
      <c r="W31" s="87"/>
    </row>
    <row r="32" spans="16:23" x14ac:dyDescent="0.25">
      <c r="P32" s="84"/>
      <c r="Q32" s="86"/>
      <c r="R32" s="86"/>
      <c r="S32" s="86"/>
      <c r="T32" s="86"/>
      <c r="U32" s="86"/>
      <c r="V32" s="86"/>
      <c r="W32" s="87"/>
    </row>
    <row r="33" spans="16:23" ht="15.75" thickBot="1" x14ac:dyDescent="0.3">
      <c r="P33" s="89"/>
      <c r="Q33" s="90"/>
      <c r="R33" s="90"/>
      <c r="S33" s="90"/>
      <c r="T33" s="90"/>
      <c r="U33" s="90"/>
      <c r="V33" s="90"/>
      <c r="W33" s="91"/>
    </row>
  </sheetData>
  <pageMargins left="0.7" right="0.7" top="0.78740157499999996" bottom="0.78740157499999996" header="0.3" footer="0.3"/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V18:V28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13">
    <tabColor rgb="FFFF0000"/>
  </sheetPr>
  <dimension ref="A1:S295"/>
  <sheetViews>
    <sheetView zoomScale="70" zoomScaleNormal="70" workbookViewId="0">
      <selection activeCell="K30" sqref="K30"/>
    </sheetView>
  </sheetViews>
  <sheetFormatPr baseColWidth="10" defaultRowHeight="15" x14ac:dyDescent="0.25"/>
  <cols>
    <col min="1" max="1" width="7.7109375" customWidth="1"/>
    <col min="3" max="3" width="23.7109375" customWidth="1"/>
    <col min="4" max="4" width="19.28515625" customWidth="1"/>
    <col min="5" max="5" width="29.85546875" customWidth="1"/>
    <col min="6" max="6" width="7.140625" customWidth="1"/>
    <col min="7" max="7" width="23.85546875" customWidth="1"/>
    <col min="9" max="9" width="38.28515625" customWidth="1"/>
    <col min="10" max="10" width="18.7109375" customWidth="1"/>
  </cols>
  <sheetData>
    <row r="1" spans="1:19" ht="35.25" customHeight="1" thickBot="1" x14ac:dyDescent="0.3">
      <c r="A1" s="43"/>
    </row>
    <row r="2" spans="1:19" ht="18.75" x14ac:dyDescent="0.3">
      <c r="B2" s="74" t="s">
        <v>339</v>
      </c>
      <c r="L2" s="81"/>
      <c r="M2" s="82"/>
      <c r="N2" s="82"/>
      <c r="O2" s="82"/>
      <c r="P2" s="82"/>
      <c r="Q2" s="82"/>
      <c r="R2" s="82"/>
      <c r="S2" s="83"/>
    </row>
    <row r="3" spans="1:19" ht="18.75" x14ac:dyDescent="0.3">
      <c r="L3" s="84"/>
      <c r="M3" s="85" t="s">
        <v>287</v>
      </c>
      <c r="N3" s="86"/>
      <c r="O3" s="86"/>
      <c r="P3" s="86"/>
      <c r="Q3" s="86"/>
      <c r="R3" s="86"/>
      <c r="S3" s="87"/>
    </row>
    <row r="4" spans="1:19" x14ac:dyDescent="0.25">
      <c r="L4" s="84"/>
      <c r="M4" s="86"/>
      <c r="N4" s="86"/>
      <c r="O4" s="86"/>
      <c r="P4" s="86"/>
      <c r="Q4" s="86"/>
      <c r="R4" s="86"/>
      <c r="S4" s="87"/>
    </row>
    <row r="5" spans="1:19" x14ac:dyDescent="0.25">
      <c r="L5" s="84"/>
      <c r="M5" s="86" t="s">
        <v>298</v>
      </c>
      <c r="N5" s="86"/>
      <c r="O5" s="86"/>
      <c r="P5" s="86"/>
      <c r="Q5" s="86"/>
      <c r="R5" s="86" t="s">
        <v>40</v>
      </c>
      <c r="S5" s="87"/>
    </row>
    <row r="6" spans="1:19" x14ac:dyDescent="0.25">
      <c r="L6" s="84"/>
      <c r="M6" s="86" t="s">
        <v>305</v>
      </c>
      <c r="N6" s="86"/>
      <c r="O6" s="86"/>
      <c r="P6" s="86"/>
      <c r="Q6" s="86"/>
      <c r="R6" s="86" t="s">
        <v>40</v>
      </c>
      <c r="S6" s="87"/>
    </row>
    <row r="7" spans="1:19" x14ac:dyDescent="0.25">
      <c r="L7" s="84"/>
      <c r="M7" s="86" t="s">
        <v>306</v>
      </c>
      <c r="N7" s="86"/>
      <c r="O7" s="86"/>
      <c r="P7" s="86"/>
      <c r="Q7" s="86"/>
      <c r="R7" s="86" t="s">
        <v>40</v>
      </c>
      <c r="S7" s="87"/>
    </row>
    <row r="8" spans="1:19" x14ac:dyDescent="0.25">
      <c r="L8" s="84"/>
      <c r="M8" s="86" t="s">
        <v>307</v>
      </c>
      <c r="N8" s="86"/>
      <c r="O8" s="86"/>
      <c r="P8" s="86"/>
      <c r="Q8" s="86"/>
      <c r="R8" s="86" t="s">
        <v>40</v>
      </c>
      <c r="S8" s="87"/>
    </row>
    <row r="9" spans="1:19" x14ac:dyDescent="0.25">
      <c r="L9" s="84"/>
      <c r="M9" s="86" t="s">
        <v>308</v>
      </c>
      <c r="N9" s="86"/>
      <c r="O9" s="86"/>
      <c r="P9" s="86"/>
      <c r="Q9" s="86"/>
      <c r="R9" s="86" t="s">
        <v>40</v>
      </c>
      <c r="S9" s="87"/>
    </row>
    <row r="10" spans="1:19" x14ac:dyDescent="0.25">
      <c r="L10" s="84"/>
      <c r="M10" s="86" t="s">
        <v>309</v>
      </c>
      <c r="N10" s="86"/>
      <c r="O10" s="86"/>
      <c r="P10" s="86"/>
      <c r="Q10" s="86"/>
      <c r="R10" s="86" t="s">
        <v>40</v>
      </c>
      <c r="S10" s="87"/>
    </row>
    <row r="11" spans="1:19" x14ac:dyDescent="0.25">
      <c r="L11" s="84"/>
      <c r="M11" s="86" t="s">
        <v>310</v>
      </c>
      <c r="N11" s="86"/>
      <c r="O11" s="86"/>
      <c r="P11" s="86"/>
      <c r="Q11" s="86"/>
      <c r="R11" s="86" t="s">
        <v>40</v>
      </c>
      <c r="S11" s="87"/>
    </row>
    <row r="12" spans="1:19" x14ac:dyDescent="0.25">
      <c r="L12" s="84"/>
      <c r="M12" s="86" t="s">
        <v>311</v>
      </c>
      <c r="N12" s="86"/>
      <c r="O12" s="86"/>
      <c r="P12" s="86"/>
      <c r="Q12" s="86"/>
      <c r="R12" s="86" t="s">
        <v>40</v>
      </c>
      <c r="S12" s="87"/>
    </row>
    <row r="13" spans="1:19" x14ac:dyDescent="0.25">
      <c r="L13" s="84"/>
      <c r="M13" s="86" t="s">
        <v>312</v>
      </c>
      <c r="N13" s="86"/>
      <c r="O13" s="86"/>
      <c r="P13" s="86"/>
      <c r="Q13" s="86"/>
      <c r="R13" s="86" t="s">
        <v>40</v>
      </c>
      <c r="S13" s="87"/>
    </row>
    <row r="14" spans="1:19" x14ac:dyDescent="0.25">
      <c r="L14" s="84"/>
      <c r="M14" s="86"/>
      <c r="N14" s="86"/>
      <c r="O14" s="86"/>
      <c r="P14" s="86"/>
      <c r="Q14" s="86" t="s">
        <v>299</v>
      </c>
      <c r="R14" s="86">
        <f>COUNTIF(R5:R13,"&lt;&gt; ")</f>
        <v>9</v>
      </c>
      <c r="S14" s="87"/>
    </row>
    <row r="15" spans="1:19" ht="15.75" thickBot="1" x14ac:dyDescent="0.3">
      <c r="L15" s="84"/>
      <c r="M15" s="86"/>
      <c r="N15" s="86"/>
      <c r="O15" s="86"/>
      <c r="P15" s="86"/>
      <c r="Q15" s="88" t="s">
        <v>300</v>
      </c>
      <c r="R15" s="86">
        <f>COUNTIF(R5:R13,"=Ja")</f>
        <v>9</v>
      </c>
      <c r="S15" s="87"/>
    </row>
    <row r="16" spans="1:19" ht="15.75" thickBot="1" x14ac:dyDescent="0.3">
      <c r="L16" s="84"/>
      <c r="M16" s="86"/>
      <c r="N16" s="86"/>
      <c r="O16" s="86"/>
      <c r="P16" s="86"/>
      <c r="Q16" s="94" t="s">
        <v>13</v>
      </c>
      <c r="R16" s="95">
        <f>(5/R14)*R15+1</f>
        <v>6</v>
      </c>
      <c r="S16" s="87"/>
    </row>
    <row r="17" spans="1:19" x14ac:dyDescent="0.25">
      <c r="L17" s="84"/>
      <c r="M17" s="86"/>
      <c r="N17" s="86"/>
      <c r="O17" s="86"/>
      <c r="P17" s="86"/>
      <c r="Q17" s="86"/>
      <c r="R17" s="86"/>
      <c r="S17" s="87"/>
    </row>
    <row r="18" spans="1:19" ht="15.75" thickBot="1" x14ac:dyDescent="0.3">
      <c r="L18" s="89"/>
      <c r="M18" s="90"/>
      <c r="N18" s="90"/>
      <c r="O18" s="90"/>
      <c r="P18" s="90"/>
      <c r="Q18" s="90"/>
      <c r="R18" s="90"/>
      <c r="S18" s="91"/>
    </row>
    <row r="21" spans="1:19" ht="15.75" thickBot="1" x14ac:dyDescent="0.3"/>
    <row r="22" spans="1:19" ht="15.75" thickBot="1" x14ac:dyDescent="0.3">
      <c r="A22" s="134" t="s">
        <v>187</v>
      </c>
      <c r="B22" s="29" t="s">
        <v>172</v>
      </c>
      <c r="C22" s="29" t="s">
        <v>17</v>
      </c>
      <c r="D22" s="29" t="s">
        <v>16</v>
      </c>
      <c r="E22" s="29" t="s">
        <v>184</v>
      </c>
      <c r="F22" s="29" t="s">
        <v>19</v>
      </c>
      <c r="G22" s="29" t="s">
        <v>20</v>
      </c>
      <c r="H22" s="29" t="s">
        <v>18</v>
      </c>
      <c r="I22" s="29" t="s">
        <v>350</v>
      </c>
      <c r="J22" s="30" t="s">
        <v>180</v>
      </c>
      <c r="L22" s="96" t="s">
        <v>313</v>
      </c>
    </row>
    <row r="23" spans="1:19" x14ac:dyDescent="0.25">
      <c r="A23" s="135">
        <v>401</v>
      </c>
      <c r="B23" s="136" t="s">
        <v>64</v>
      </c>
      <c r="C23" s="136" t="s">
        <v>351</v>
      </c>
      <c r="D23" s="136" t="s">
        <v>352</v>
      </c>
      <c r="E23" s="136" t="s">
        <v>353</v>
      </c>
      <c r="F23" s="136">
        <v>8006</v>
      </c>
      <c r="G23" s="136" t="s">
        <v>131</v>
      </c>
      <c r="H23" s="136" t="s">
        <v>22</v>
      </c>
      <c r="I23" s="136" t="s">
        <v>354</v>
      </c>
      <c r="J23" s="137" t="s">
        <v>355</v>
      </c>
    </row>
    <row r="24" spans="1:19" x14ac:dyDescent="0.25">
      <c r="A24" s="138">
        <v>400</v>
      </c>
      <c r="B24" s="4" t="s">
        <v>64</v>
      </c>
      <c r="C24" s="4" t="s">
        <v>356</v>
      </c>
      <c r="D24" s="4" t="s">
        <v>357</v>
      </c>
      <c r="E24" s="4" t="s">
        <v>353</v>
      </c>
      <c r="F24" s="4">
        <v>8862</v>
      </c>
      <c r="G24" s="4" t="s">
        <v>358</v>
      </c>
      <c r="H24" s="4" t="s">
        <v>22</v>
      </c>
      <c r="I24" s="4" t="s">
        <v>359</v>
      </c>
      <c r="J24" s="25" t="s">
        <v>360</v>
      </c>
    </row>
    <row r="25" spans="1:19" x14ac:dyDescent="0.25">
      <c r="A25" s="138">
        <v>399</v>
      </c>
      <c r="B25" s="4" t="s">
        <v>64</v>
      </c>
      <c r="C25" s="4" t="s">
        <v>361</v>
      </c>
      <c r="D25" s="4" t="s">
        <v>362</v>
      </c>
      <c r="E25" s="4" t="s">
        <v>363</v>
      </c>
      <c r="F25" s="4">
        <v>8852</v>
      </c>
      <c r="G25" s="4" t="s">
        <v>44</v>
      </c>
      <c r="H25" s="4" t="s">
        <v>22</v>
      </c>
      <c r="I25" s="4" t="s">
        <v>364</v>
      </c>
      <c r="J25" s="25" t="s">
        <v>365</v>
      </c>
    </row>
    <row r="26" spans="1:19" x14ac:dyDescent="0.25">
      <c r="A26" s="138">
        <v>397</v>
      </c>
      <c r="B26" s="4" t="s">
        <v>64</v>
      </c>
      <c r="C26" s="4" t="s">
        <v>361</v>
      </c>
      <c r="D26" s="4" t="s">
        <v>366</v>
      </c>
      <c r="E26" s="4" t="s">
        <v>367</v>
      </c>
      <c r="F26" s="4">
        <v>8852</v>
      </c>
      <c r="G26" s="4" t="s">
        <v>44</v>
      </c>
      <c r="H26" s="4" t="s">
        <v>22</v>
      </c>
      <c r="I26" s="4" t="s">
        <v>368</v>
      </c>
      <c r="J26" s="25" t="s">
        <v>365</v>
      </c>
    </row>
    <row r="27" spans="1:19" x14ac:dyDescent="0.25">
      <c r="A27" s="138">
        <v>396</v>
      </c>
      <c r="B27" s="4" t="s">
        <v>64</v>
      </c>
      <c r="C27" s="4" t="s">
        <v>369</v>
      </c>
      <c r="D27" s="4" t="s">
        <v>370</v>
      </c>
      <c r="E27" s="4" t="s">
        <v>371</v>
      </c>
      <c r="F27" s="4">
        <v>8832</v>
      </c>
      <c r="G27" s="4" t="s">
        <v>108</v>
      </c>
      <c r="H27" s="4" t="s">
        <v>22</v>
      </c>
      <c r="I27" s="4" t="s">
        <v>372</v>
      </c>
      <c r="J27" s="25" t="s">
        <v>373</v>
      </c>
    </row>
    <row r="28" spans="1:19" x14ac:dyDescent="0.25">
      <c r="A28" s="138">
        <v>395</v>
      </c>
      <c r="B28" s="4" t="s">
        <v>41</v>
      </c>
      <c r="C28" s="4" t="s">
        <v>374</v>
      </c>
      <c r="D28" s="4" t="s">
        <v>375</v>
      </c>
      <c r="E28" s="4" t="s">
        <v>371</v>
      </c>
      <c r="F28" s="4">
        <v>8853</v>
      </c>
      <c r="G28" s="4" t="s">
        <v>50</v>
      </c>
      <c r="H28" s="4" t="s">
        <v>22</v>
      </c>
      <c r="I28" s="4" t="s">
        <v>376</v>
      </c>
      <c r="J28" s="25" t="s">
        <v>377</v>
      </c>
    </row>
    <row r="29" spans="1:19" x14ac:dyDescent="0.25">
      <c r="A29" s="138">
        <v>394</v>
      </c>
      <c r="B29" s="4" t="s">
        <v>41</v>
      </c>
      <c r="C29" s="4" t="s">
        <v>378</v>
      </c>
      <c r="D29" s="4" t="s">
        <v>379</v>
      </c>
      <c r="E29" s="4" t="s">
        <v>371</v>
      </c>
      <c r="F29" s="4">
        <v>8853</v>
      </c>
      <c r="G29" s="4" t="s">
        <v>50</v>
      </c>
      <c r="H29" s="4" t="s">
        <v>22</v>
      </c>
      <c r="I29" s="4" t="s">
        <v>380</v>
      </c>
      <c r="J29" s="25"/>
    </row>
    <row r="30" spans="1:19" x14ac:dyDescent="0.25">
      <c r="A30" s="138">
        <v>393</v>
      </c>
      <c r="B30" s="4" t="s">
        <v>64</v>
      </c>
      <c r="C30" s="4" t="s">
        <v>381</v>
      </c>
      <c r="D30" s="4" t="s">
        <v>379</v>
      </c>
      <c r="E30" s="4" t="s">
        <v>382</v>
      </c>
      <c r="F30" s="4">
        <v>8645</v>
      </c>
      <c r="G30" s="4" t="s">
        <v>383</v>
      </c>
      <c r="H30" s="4" t="s">
        <v>22</v>
      </c>
      <c r="I30" s="4" t="s">
        <v>384</v>
      </c>
      <c r="J30" s="25" t="s">
        <v>385</v>
      </c>
    </row>
    <row r="31" spans="1:19" x14ac:dyDescent="0.25">
      <c r="A31" s="138">
        <v>392</v>
      </c>
      <c r="B31" s="4" t="s">
        <v>41</v>
      </c>
      <c r="C31" s="4" t="s">
        <v>386</v>
      </c>
      <c r="D31" s="4" t="s">
        <v>387</v>
      </c>
      <c r="E31" s="4" t="s">
        <v>388</v>
      </c>
      <c r="F31" s="4">
        <v>8852</v>
      </c>
      <c r="G31" s="4" t="s">
        <v>44</v>
      </c>
      <c r="H31" s="4" t="s">
        <v>22</v>
      </c>
      <c r="I31" s="4" t="s">
        <v>389</v>
      </c>
      <c r="J31" s="25" t="s">
        <v>390</v>
      </c>
    </row>
    <row r="32" spans="1:19" x14ac:dyDescent="0.25">
      <c r="A32" s="138">
        <v>391</v>
      </c>
      <c r="B32" s="4" t="s">
        <v>64</v>
      </c>
      <c r="C32" s="4" t="s">
        <v>391</v>
      </c>
      <c r="D32" s="4" t="s">
        <v>392</v>
      </c>
      <c r="E32" s="4" t="s">
        <v>393</v>
      </c>
      <c r="F32" s="4">
        <v>8853</v>
      </c>
      <c r="G32" s="4" t="s">
        <v>50</v>
      </c>
      <c r="H32" s="4" t="s">
        <v>22</v>
      </c>
      <c r="I32" s="4" t="s">
        <v>394</v>
      </c>
      <c r="J32" s="25" t="s">
        <v>395</v>
      </c>
    </row>
    <row r="33" spans="1:19" x14ac:dyDescent="0.25">
      <c r="A33" s="138">
        <v>389</v>
      </c>
      <c r="B33" s="4" t="s">
        <v>41</v>
      </c>
      <c r="C33" s="4" t="s">
        <v>396</v>
      </c>
      <c r="D33" s="4" t="s">
        <v>397</v>
      </c>
      <c r="E33" s="4" t="s">
        <v>398</v>
      </c>
      <c r="F33" s="4">
        <v>8853</v>
      </c>
      <c r="G33" s="4" t="s">
        <v>50</v>
      </c>
      <c r="H33" s="4" t="s">
        <v>22</v>
      </c>
      <c r="I33" s="4" t="s">
        <v>399</v>
      </c>
      <c r="J33" s="25"/>
    </row>
    <row r="34" spans="1:19" x14ac:dyDescent="0.25">
      <c r="A34" s="138">
        <v>390</v>
      </c>
      <c r="B34" s="4" t="s">
        <v>53</v>
      </c>
      <c r="C34" s="4" t="s">
        <v>391</v>
      </c>
      <c r="D34" s="4" t="s">
        <v>397</v>
      </c>
      <c r="E34" s="4" t="s">
        <v>393</v>
      </c>
      <c r="F34" s="4">
        <v>8853</v>
      </c>
      <c r="G34" s="4" t="s">
        <v>50</v>
      </c>
      <c r="H34" s="4" t="s">
        <v>22</v>
      </c>
      <c r="I34" s="4" t="s">
        <v>400</v>
      </c>
      <c r="J34" s="25" t="s">
        <v>395</v>
      </c>
    </row>
    <row r="35" spans="1:19" x14ac:dyDescent="0.25">
      <c r="A35" s="138">
        <v>388</v>
      </c>
      <c r="B35" s="4" t="s">
        <v>41</v>
      </c>
      <c r="C35" s="4" t="s">
        <v>401</v>
      </c>
      <c r="D35" s="4" t="s">
        <v>402</v>
      </c>
      <c r="E35" s="4" t="s">
        <v>403</v>
      </c>
      <c r="F35" s="4">
        <v>8853</v>
      </c>
      <c r="G35" s="4" t="s">
        <v>50</v>
      </c>
      <c r="H35" s="4" t="s">
        <v>22</v>
      </c>
      <c r="I35" s="4" t="s">
        <v>404</v>
      </c>
      <c r="J35" s="25" t="s">
        <v>405</v>
      </c>
    </row>
    <row r="36" spans="1:19" x14ac:dyDescent="0.25">
      <c r="A36" s="138">
        <v>387</v>
      </c>
      <c r="B36" s="4" t="s">
        <v>64</v>
      </c>
      <c r="C36" s="4" t="s">
        <v>406</v>
      </c>
      <c r="D36" s="4" t="s">
        <v>407</v>
      </c>
      <c r="E36" s="4" t="s">
        <v>408</v>
      </c>
      <c r="F36" s="4">
        <v>8852</v>
      </c>
      <c r="G36" s="4" t="s">
        <v>44</v>
      </c>
      <c r="H36" s="4" t="s">
        <v>22</v>
      </c>
      <c r="I36" s="4" t="s">
        <v>409</v>
      </c>
      <c r="J36" s="25" t="s">
        <v>410</v>
      </c>
    </row>
    <row r="37" spans="1:19" x14ac:dyDescent="0.25">
      <c r="A37" s="138">
        <v>386</v>
      </c>
      <c r="B37" s="4" t="s">
        <v>53</v>
      </c>
      <c r="C37" s="4" t="s">
        <v>406</v>
      </c>
      <c r="D37" s="4" t="s">
        <v>411</v>
      </c>
      <c r="E37" s="4" t="s">
        <v>412</v>
      </c>
      <c r="F37" s="4">
        <v>8852</v>
      </c>
      <c r="G37" s="4" t="s">
        <v>44</v>
      </c>
      <c r="H37" s="4" t="s">
        <v>22</v>
      </c>
      <c r="I37" s="4" t="s">
        <v>413</v>
      </c>
      <c r="J37" s="25" t="s">
        <v>410</v>
      </c>
    </row>
    <row r="38" spans="1:19" x14ac:dyDescent="0.25">
      <c r="A38" s="138">
        <v>385</v>
      </c>
      <c r="B38" s="4" t="s">
        <v>41</v>
      </c>
      <c r="C38" s="4" t="s">
        <v>414</v>
      </c>
      <c r="D38" s="4" t="s">
        <v>415</v>
      </c>
      <c r="E38" s="4" t="s">
        <v>416</v>
      </c>
      <c r="F38" s="4">
        <v>8854</v>
      </c>
      <c r="G38" s="4" t="s">
        <v>77</v>
      </c>
      <c r="H38" s="4" t="s">
        <v>22</v>
      </c>
      <c r="I38" s="4" t="s">
        <v>417</v>
      </c>
      <c r="J38" s="25" t="s">
        <v>418</v>
      </c>
      <c r="L38" s="38"/>
      <c r="M38" s="38"/>
      <c r="N38" s="38"/>
      <c r="O38" s="38"/>
      <c r="P38" s="38"/>
      <c r="Q38" s="38"/>
      <c r="R38" s="38"/>
      <c r="S38" s="38"/>
    </row>
    <row r="39" spans="1:19" ht="15.75" customHeight="1" x14ac:dyDescent="0.3">
      <c r="A39" s="138">
        <v>384</v>
      </c>
      <c r="B39" s="4" t="s">
        <v>64</v>
      </c>
      <c r="C39" s="4" t="s">
        <v>419</v>
      </c>
      <c r="D39" s="4" t="s">
        <v>415</v>
      </c>
      <c r="E39" s="4" t="s">
        <v>420</v>
      </c>
      <c r="F39" s="4">
        <v>8752</v>
      </c>
      <c r="G39" s="4" t="s">
        <v>421</v>
      </c>
      <c r="H39" s="4" t="s">
        <v>22</v>
      </c>
      <c r="I39" s="4" t="s">
        <v>422</v>
      </c>
      <c r="J39" s="25" t="s">
        <v>423</v>
      </c>
      <c r="L39" s="38"/>
      <c r="M39" s="97"/>
      <c r="N39" s="38"/>
      <c r="O39" s="38"/>
      <c r="P39" s="38"/>
      <c r="Q39" s="38"/>
      <c r="R39" s="38"/>
      <c r="S39" s="38"/>
    </row>
    <row r="40" spans="1:19" x14ac:dyDescent="0.25">
      <c r="A40" s="138">
        <v>383</v>
      </c>
      <c r="B40" s="4" t="s">
        <v>41</v>
      </c>
      <c r="C40" s="4" t="s">
        <v>424</v>
      </c>
      <c r="D40" s="4" t="s">
        <v>425</v>
      </c>
      <c r="E40" s="4" t="s">
        <v>420</v>
      </c>
      <c r="F40" s="4">
        <v>8852</v>
      </c>
      <c r="G40" s="4" t="s">
        <v>44</v>
      </c>
      <c r="H40" s="4" t="s">
        <v>22</v>
      </c>
      <c r="I40" s="4" t="s">
        <v>426</v>
      </c>
      <c r="J40" s="25" t="s">
        <v>427</v>
      </c>
      <c r="L40" s="38"/>
      <c r="M40" s="38"/>
      <c r="N40" s="38"/>
      <c r="O40" s="38"/>
      <c r="P40" s="38"/>
      <c r="Q40" s="38"/>
      <c r="R40" s="38"/>
      <c r="S40" s="38"/>
    </row>
    <row r="41" spans="1:19" x14ac:dyDescent="0.25">
      <c r="A41" s="138">
        <v>382</v>
      </c>
      <c r="B41" s="4" t="s">
        <v>64</v>
      </c>
      <c r="C41" s="4" t="s">
        <v>428</v>
      </c>
      <c r="D41" s="4" t="s">
        <v>429</v>
      </c>
      <c r="E41" s="4" t="s">
        <v>420</v>
      </c>
      <c r="F41" s="4">
        <v>8854</v>
      </c>
      <c r="G41" s="4" t="s">
        <v>77</v>
      </c>
      <c r="H41" s="4" t="s">
        <v>22</v>
      </c>
      <c r="I41" s="4" t="s">
        <v>430</v>
      </c>
      <c r="J41" s="25" t="s">
        <v>431</v>
      </c>
      <c r="L41" s="38"/>
      <c r="M41" s="38"/>
      <c r="N41" s="38"/>
      <c r="O41" s="38"/>
      <c r="P41" s="38"/>
      <c r="Q41" s="38"/>
      <c r="R41" s="38"/>
      <c r="S41" s="38"/>
    </row>
    <row r="42" spans="1:19" x14ac:dyDescent="0.25">
      <c r="A42" s="138">
        <v>381</v>
      </c>
      <c r="B42" s="4" t="s">
        <v>64</v>
      </c>
      <c r="C42" s="4" t="s">
        <v>432</v>
      </c>
      <c r="D42" s="4" t="s">
        <v>433</v>
      </c>
      <c r="E42" s="4" t="s">
        <v>434</v>
      </c>
      <c r="F42" s="4">
        <v>8853</v>
      </c>
      <c r="G42" s="4" t="s">
        <v>50</v>
      </c>
      <c r="H42" s="4" t="s">
        <v>22</v>
      </c>
      <c r="I42" s="4" t="s">
        <v>435</v>
      </c>
      <c r="J42" s="25" t="s">
        <v>436</v>
      </c>
      <c r="L42" s="38"/>
      <c r="M42" s="38"/>
      <c r="N42" s="38"/>
      <c r="O42" s="38"/>
      <c r="P42" s="38"/>
      <c r="Q42" s="38"/>
      <c r="R42" s="38"/>
      <c r="S42" s="38"/>
    </row>
    <row r="43" spans="1:19" x14ac:dyDescent="0.25">
      <c r="A43" s="138">
        <v>379</v>
      </c>
      <c r="B43" s="4" t="s">
        <v>64</v>
      </c>
      <c r="C43" s="4" t="s">
        <v>437</v>
      </c>
      <c r="D43" s="4" t="s">
        <v>438</v>
      </c>
      <c r="E43" s="4" t="s">
        <v>439</v>
      </c>
      <c r="F43" s="4">
        <v>8834</v>
      </c>
      <c r="G43" s="4" t="s">
        <v>440</v>
      </c>
      <c r="H43" s="4" t="s">
        <v>22</v>
      </c>
      <c r="I43" s="4" t="s">
        <v>441</v>
      </c>
      <c r="J43" s="25" t="s">
        <v>442</v>
      </c>
      <c r="L43" s="38"/>
      <c r="M43" s="38"/>
      <c r="N43" s="38"/>
      <c r="O43" s="38"/>
      <c r="P43" s="38"/>
      <c r="Q43" s="38"/>
      <c r="R43" s="38"/>
      <c r="S43" s="38"/>
    </row>
    <row r="44" spans="1:19" x14ac:dyDescent="0.25">
      <c r="A44" s="138">
        <v>380</v>
      </c>
      <c r="B44" s="4" t="s">
        <v>41</v>
      </c>
      <c r="C44" s="4" t="s">
        <v>443</v>
      </c>
      <c r="D44" s="4" t="s">
        <v>438</v>
      </c>
      <c r="E44" s="4" t="s">
        <v>444</v>
      </c>
      <c r="F44" s="4">
        <v>8807</v>
      </c>
      <c r="G44" s="4" t="s">
        <v>67</v>
      </c>
      <c r="H44" s="4" t="s">
        <v>22</v>
      </c>
      <c r="I44" s="4" t="s">
        <v>445</v>
      </c>
      <c r="J44" s="25"/>
      <c r="L44" s="38"/>
      <c r="M44" s="38"/>
      <c r="N44" s="38"/>
      <c r="O44" s="38"/>
      <c r="P44" s="38"/>
      <c r="Q44" s="38"/>
      <c r="R44" s="38"/>
      <c r="S44" s="38"/>
    </row>
    <row r="45" spans="1:19" x14ac:dyDescent="0.25">
      <c r="A45" s="138">
        <v>378</v>
      </c>
      <c r="B45" s="4" t="s">
        <v>64</v>
      </c>
      <c r="C45" s="4" t="s">
        <v>446</v>
      </c>
      <c r="D45" s="4" t="s">
        <v>447</v>
      </c>
      <c r="E45" s="4" t="s">
        <v>448</v>
      </c>
      <c r="F45" s="4">
        <v>8708</v>
      </c>
      <c r="G45" s="4" t="s">
        <v>56</v>
      </c>
      <c r="H45" s="4" t="s">
        <v>22</v>
      </c>
      <c r="I45" s="4" t="s">
        <v>449</v>
      </c>
      <c r="J45" s="25"/>
      <c r="L45" s="38"/>
      <c r="M45" s="38"/>
      <c r="N45" s="38"/>
      <c r="O45" s="38"/>
      <c r="P45" s="38"/>
      <c r="Q45" s="38"/>
      <c r="R45" s="38"/>
      <c r="S45" s="38"/>
    </row>
    <row r="46" spans="1:19" x14ac:dyDescent="0.25">
      <c r="A46" s="138">
        <v>377</v>
      </c>
      <c r="B46" s="4" t="s">
        <v>64</v>
      </c>
      <c r="C46" s="4" t="s">
        <v>450</v>
      </c>
      <c r="D46" s="4" t="s">
        <v>447</v>
      </c>
      <c r="E46" s="4" t="s">
        <v>451</v>
      </c>
      <c r="F46" s="4">
        <v>8853</v>
      </c>
      <c r="G46" s="4" t="s">
        <v>50</v>
      </c>
      <c r="H46" s="4" t="s">
        <v>22</v>
      </c>
      <c r="I46" s="4" t="s">
        <v>452</v>
      </c>
      <c r="J46" s="25" t="s">
        <v>453</v>
      </c>
      <c r="L46" s="38"/>
      <c r="M46" s="38"/>
      <c r="N46" s="38"/>
      <c r="O46" s="38"/>
      <c r="P46" s="38"/>
      <c r="Q46" s="38"/>
      <c r="R46" s="38"/>
      <c r="S46" s="38"/>
    </row>
    <row r="47" spans="1:19" x14ac:dyDescent="0.25">
      <c r="A47" s="138">
        <v>376</v>
      </c>
      <c r="B47" s="4" t="s">
        <v>41</v>
      </c>
      <c r="C47" s="4" t="s">
        <v>454</v>
      </c>
      <c r="D47" s="4" t="s">
        <v>455</v>
      </c>
      <c r="E47" s="4" t="s">
        <v>456</v>
      </c>
      <c r="F47" s="4">
        <v>8807</v>
      </c>
      <c r="G47" s="4" t="s">
        <v>67</v>
      </c>
      <c r="H47" s="4" t="s">
        <v>22</v>
      </c>
      <c r="I47" s="4" t="s">
        <v>457</v>
      </c>
      <c r="J47" s="25" t="s">
        <v>458</v>
      </c>
      <c r="L47" s="38"/>
      <c r="M47" s="38"/>
      <c r="N47" s="38"/>
      <c r="O47" s="38"/>
      <c r="P47" s="38"/>
      <c r="Q47" s="38"/>
      <c r="R47" s="38"/>
      <c r="S47" s="38"/>
    </row>
    <row r="48" spans="1:19" x14ac:dyDescent="0.25">
      <c r="A48" s="138">
        <v>375</v>
      </c>
      <c r="B48" s="4" t="s">
        <v>64</v>
      </c>
      <c r="C48" s="4" t="s">
        <v>459</v>
      </c>
      <c r="D48" s="4" t="s">
        <v>460</v>
      </c>
      <c r="E48" s="4" t="s">
        <v>461</v>
      </c>
      <c r="F48" s="4">
        <v>8864</v>
      </c>
      <c r="G48" s="4" t="s">
        <v>462</v>
      </c>
      <c r="H48" s="4" t="s">
        <v>22</v>
      </c>
      <c r="I48" s="4" t="s">
        <v>463</v>
      </c>
      <c r="J48" s="25" t="s">
        <v>464</v>
      </c>
      <c r="L48" s="38"/>
      <c r="M48" s="38"/>
      <c r="N48" s="38"/>
      <c r="O48" s="38"/>
      <c r="P48" s="38"/>
      <c r="Q48" s="38"/>
      <c r="R48" s="38"/>
      <c r="S48" s="38"/>
    </row>
    <row r="49" spans="1:19" x14ac:dyDescent="0.25">
      <c r="A49" s="138">
        <v>374</v>
      </c>
      <c r="B49" s="4" t="s">
        <v>41</v>
      </c>
      <c r="C49" s="4" t="s">
        <v>465</v>
      </c>
      <c r="D49" s="4" t="s">
        <v>466</v>
      </c>
      <c r="E49" s="4" t="s">
        <v>467</v>
      </c>
      <c r="F49" s="4">
        <v>7610</v>
      </c>
      <c r="G49" s="4" t="s">
        <v>468</v>
      </c>
      <c r="H49" s="4" t="s">
        <v>22</v>
      </c>
      <c r="I49" s="4" t="s">
        <v>469</v>
      </c>
      <c r="J49" s="25"/>
      <c r="L49" s="38"/>
      <c r="M49" s="38"/>
      <c r="N49" s="38"/>
      <c r="O49" s="38"/>
      <c r="P49" s="38"/>
      <c r="Q49" s="38"/>
      <c r="R49" s="38"/>
      <c r="S49" s="38"/>
    </row>
    <row r="50" spans="1:19" x14ac:dyDescent="0.25">
      <c r="A50" s="138">
        <v>373</v>
      </c>
      <c r="B50" s="4" t="s">
        <v>64</v>
      </c>
      <c r="C50" s="4" t="s">
        <v>465</v>
      </c>
      <c r="D50" s="4" t="s">
        <v>470</v>
      </c>
      <c r="E50" s="4" t="s">
        <v>467</v>
      </c>
      <c r="F50" s="4">
        <v>7610</v>
      </c>
      <c r="G50" s="4" t="s">
        <v>468</v>
      </c>
      <c r="H50" s="4" t="s">
        <v>22</v>
      </c>
      <c r="I50" s="4" t="s">
        <v>471</v>
      </c>
      <c r="J50" s="25"/>
      <c r="L50" s="38"/>
      <c r="M50" s="38"/>
      <c r="N50" s="38"/>
      <c r="O50" s="38"/>
      <c r="P50" s="38"/>
      <c r="Q50" s="38"/>
      <c r="R50" s="38"/>
      <c r="S50" s="38"/>
    </row>
    <row r="51" spans="1:19" x14ac:dyDescent="0.25">
      <c r="A51" s="138">
        <v>372</v>
      </c>
      <c r="B51" s="4" t="s">
        <v>53</v>
      </c>
      <c r="C51" s="4" t="s">
        <v>465</v>
      </c>
      <c r="D51" s="4" t="s">
        <v>472</v>
      </c>
      <c r="E51" s="4" t="s">
        <v>473</v>
      </c>
      <c r="F51" s="4">
        <v>7610</v>
      </c>
      <c r="G51" s="4" t="s">
        <v>468</v>
      </c>
      <c r="H51" s="4" t="s">
        <v>22</v>
      </c>
      <c r="I51" s="4" t="s">
        <v>474</v>
      </c>
      <c r="J51" s="25"/>
      <c r="L51" s="38"/>
      <c r="M51" s="38"/>
      <c r="N51" s="38"/>
      <c r="O51" s="38"/>
      <c r="P51" s="38"/>
      <c r="Q51" s="98"/>
      <c r="R51" s="38"/>
      <c r="S51" s="38"/>
    </row>
    <row r="52" spans="1:19" x14ac:dyDescent="0.25">
      <c r="A52" s="138">
        <v>370</v>
      </c>
      <c r="B52" s="4" t="s">
        <v>53</v>
      </c>
      <c r="C52" s="4" t="s">
        <v>378</v>
      </c>
      <c r="D52" s="4" t="s">
        <v>472</v>
      </c>
      <c r="E52" s="4" t="s">
        <v>475</v>
      </c>
      <c r="F52" s="4">
        <v>8854</v>
      </c>
      <c r="G52" s="4" t="s">
        <v>77</v>
      </c>
      <c r="H52" s="4" t="s">
        <v>22</v>
      </c>
      <c r="I52" s="4" t="s">
        <v>476</v>
      </c>
      <c r="J52" s="25" t="s">
        <v>477</v>
      </c>
      <c r="L52" s="38"/>
      <c r="M52" s="38"/>
      <c r="N52" s="38"/>
      <c r="O52" s="38"/>
      <c r="P52" s="38"/>
      <c r="Q52" s="98"/>
      <c r="R52" s="99"/>
      <c r="S52" s="38"/>
    </row>
    <row r="53" spans="1:19" x14ac:dyDescent="0.25">
      <c r="A53" s="138">
        <v>371</v>
      </c>
      <c r="B53" s="4" t="s">
        <v>64</v>
      </c>
      <c r="C53" s="4" t="s">
        <v>378</v>
      </c>
      <c r="D53" s="4" t="s">
        <v>472</v>
      </c>
      <c r="E53" s="4" t="s">
        <v>478</v>
      </c>
      <c r="F53" s="4">
        <v>8854</v>
      </c>
      <c r="G53" s="4" t="s">
        <v>77</v>
      </c>
      <c r="H53" s="4" t="s">
        <v>22</v>
      </c>
      <c r="I53" s="4" t="s">
        <v>476</v>
      </c>
      <c r="J53" s="25" t="s">
        <v>477</v>
      </c>
      <c r="L53" s="38"/>
      <c r="M53" s="38"/>
      <c r="N53" s="38"/>
      <c r="O53" s="38"/>
      <c r="P53" s="38"/>
      <c r="Q53" s="38"/>
      <c r="R53" s="38"/>
      <c r="S53" s="38"/>
    </row>
    <row r="54" spans="1:19" x14ac:dyDescent="0.25">
      <c r="A54" s="138">
        <v>367</v>
      </c>
      <c r="B54" s="4" t="s">
        <v>64</v>
      </c>
      <c r="C54" s="4" t="s">
        <v>437</v>
      </c>
      <c r="D54" s="4" t="s">
        <v>472</v>
      </c>
      <c r="E54" s="4" t="s">
        <v>479</v>
      </c>
      <c r="F54" s="4">
        <v>8834</v>
      </c>
      <c r="G54" s="4" t="s">
        <v>440</v>
      </c>
      <c r="H54" s="4" t="s">
        <v>22</v>
      </c>
      <c r="I54" s="4" t="s">
        <v>480</v>
      </c>
      <c r="J54" s="25" t="s">
        <v>442</v>
      </c>
      <c r="L54" s="38"/>
      <c r="M54" s="38"/>
      <c r="N54" s="38"/>
      <c r="O54" s="38"/>
      <c r="P54" s="38"/>
      <c r="Q54" s="38"/>
      <c r="R54" s="38"/>
      <c r="S54" s="38"/>
    </row>
    <row r="55" spans="1:19" x14ac:dyDescent="0.25">
      <c r="A55" s="138">
        <v>368</v>
      </c>
      <c r="B55" s="4" t="s">
        <v>41</v>
      </c>
      <c r="C55" s="4" t="s">
        <v>481</v>
      </c>
      <c r="D55" s="4" t="s">
        <v>472</v>
      </c>
      <c r="E55" s="4" t="s">
        <v>482</v>
      </c>
      <c r="F55" s="4">
        <v>8853</v>
      </c>
      <c r="G55" s="4" t="s">
        <v>50</v>
      </c>
      <c r="H55" s="4" t="s">
        <v>22</v>
      </c>
      <c r="I55" s="4" t="s">
        <v>483</v>
      </c>
      <c r="J55" s="25"/>
    </row>
    <row r="56" spans="1:19" x14ac:dyDescent="0.25">
      <c r="A56" s="138">
        <v>369</v>
      </c>
      <c r="B56" s="4" t="s">
        <v>41</v>
      </c>
      <c r="C56" s="4" t="s">
        <v>484</v>
      </c>
      <c r="D56" s="4" t="s">
        <v>472</v>
      </c>
      <c r="E56" s="4" t="s">
        <v>485</v>
      </c>
      <c r="F56" s="4">
        <v>8853</v>
      </c>
      <c r="G56" s="4" t="s">
        <v>50</v>
      </c>
      <c r="H56" s="4" t="s">
        <v>22</v>
      </c>
      <c r="I56" s="4" t="s">
        <v>486</v>
      </c>
      <c r="J56" s="25" t="s">
        <v>487</v>
      </c>
    </row>
    <row r="57" spans="1:19" x14ac:dyDescent="0.25">
      <c r="A57" s="138">
        <v>366</v>
      </c>
      <c r="B57" s="4" t="s">
        <v>53</v>
      </c>
      <c r="C57" s="4" t="s">
        <v>437</v>
      </c>
      <c r="D57" s="4" t="s">
        <v>488</v>
      </c>
      <c r="E57" s="4" t="s">
        <v>479</v>
      </c>
      <c r="F57" s="4">
        <v>8834</v>
      </c>
      <c r="G57" s="4" t="s">
        <v>440</v>
      </c>
      <c r="H57" s="4" t="s">
        <v>22</v>
      </c>
      <c r="I57" s="4" t="s">
        <v>489</v>
      </c>
      <c r="J57" s="25" t="s">
        <v>442</v>
      </c>
    </row>
    <row r="58" spans="1:19" x14ac:dyDescent="0.25">
      <c r="A58" s="138">
        <v>364</v>
      </c>
      <c r="B58" s="4" t="s">
        <v>41</v>
      </c>
      <c r="C58" s="4" t="s">
        <v>490</v>
      </c>
      <c r="D58" s="4" t="s">
        <v>491</v>
      </c>
      <c r="E58" s="4" t="s">
        <v>492</v>
      </c>
      <c r="F58" s="4">
        <v>8853</v>
      </c>
      <c r="G58" s="4" t="s">
        <v>50</v>
      </c>
      <c r="H58" s="4" t="s">
        <v>22</v>
      </c>
      <c r="I58" s="4" t="s">
        <v>493</v>
      </c>
      <c r="J58" s="25" t="s">
        <v>494</v>
      </c>
    </row>
    <row r="59" spans="1:19" x14ac:dyDescent="0.25">
      <c r="A59" s="138">
        <v>365</v>
      </c>
      <c r="B59" s="4" t="s">
        <v>64</v>
      </c>
      <c r="C59" s="4" t="s">
        <v>490</v>
      </c>
      <c r="D59" s="4" t="s">
        <v>491</v>
      </c>
      <c r="E59" s="4" t="s">
        <v>479</v>
      </c>
      <c r="F59" s="4">
        <v>8853</v>
      </c>
      <c r="G59" s="4" t="s">
        <v>50</v>
      </c>
      <c r="H59" s="4" t="s">
        <v>22</v>
      </c>
      <c r="I59" s="4" t="s">
        <v>493</v>
      </c>
      <c r="J59" s="25" t="s">
        <v>494</v>
      </c>
    </row>
    <row r="60" spans="1:19" x14ac:dyDescent="0.25">
      <c r="A60" s="138">
        <v>363</v>
      </c>
      <c r="B60" s="4" t="s">
        <v>64</v>
      </c>
      <c r="C60" s="4" t="s">
        <v>495</v>
      </c>
      <c r="D60" s="4" t="s">
        <v>496</v>
      </c>
      <c r="E60" s="4" t="s">
        <v>497</v>
      </c>
      <c r="F60" s="4">
        <v>8853</v>
      </c>
      <c r="G60" s="4" t="s">
        <v>50</v>
      </c>
      <c r="H60" s="4" t="s">
        <v>22</v>
      </c>
      <c r="I60" s="4" t="s">
        <v>498</v>
      </c>
      <c r="J60" s="25" t="s">
        <v>494</v>
      </c>
    </row>
    <row r="61" spans="1:19" x14ac:dyDescent="0.25">
      <c r="A61" s="138">
        <v>362</v>
      </c>
      <c r="B61" s="4" t="s">
        <v>53</v>
      </c>
      <c r="C61" s="4" t="s">
        <v>499</v>
      </c>
      <c r="D61" s="4" t="s">
        <v>500</v>
      </c>
      <c r="E61" s="4" t="s">
        <v>501</v>
      </c>
      <c r="F61" s="4">
        <v>8853</v>
      </c>
      <c r="G61" s="4" t="s">
        <v>50</v>
      </c>
      <c r="H61" s="4" t="s">
        <v>22</v>
      </c>
      <c r="I61" s="4" t="s">
        <v>502</v>
      </c>
      <c r="J61" s="25" t="s">
        <v>494</v>
      </c>
    </row>
    <row r="62" spans="1:19" x14ac:dyDescent="0.25">
      <c r="A62" s="138">
        <v>361</v>
      </c>
      <c r="B62" s="4" t="s">
        <v>64</v>
      </c>
      <c r="C62" s="4" t="s">
        <v>437</v>
      </c>
      <c r="D62" s="4" t="s">
        <v>503</v>
      </c>
      <c r="E62" s="4" t="s">
        <v>504</v>
      </c>
      <c r="F62" s="4">
        <v>8716</v>
      </c>
      <c r="G62" s="4" t="s">
        <v>505</v>
      </c>
      <c r="H62" s="4" t="s">
        <v>22</v>
      </c>
      <c r="I62" s="4" t="s">
        <v>506</v>
      </c>
      <c r="J62" s="25"/>
    </row>
    <row r="63" spans="1:19" x14ac:dyDescent="0.25">
      <c r="A63" s="138">
        <v>360</v>
      </c>
      <c r="B63" s="4" t="s">
        <v>53</v>
      </c>
      <c r="C63" s="4" t="s">
        <v>437</v>
      </c>
      <c r="D63" s="4" t="s">
        <v>507</v>
      </c>
      <c r="E63" s="4" t="s">
        <v>504</v>
      </c>
      <c r="F63" s="4">
        <v>8716</v>
      </c>
      <c r="G63" s="4" t="s">
        <v>505</v>
      </c>
      <c r="H63" s="4" t="s">
        <v>22</v>
      </c>
      <c r="I63" s="4" t="s">
        <v>508</v>
      </c>
      <c r="J63" s="25"/>
    </row>
    <row r="64" spans="1:19" x14ac:dyDescent="0.25">
      <c r="A64" s="138">
        <v>359</v>
      </c>
      <c r="B64" s="4" t="s">
        <v>64</v>
      </c>
      <c r="C64" s="4" t="s">
        <v>509</v>
      </c>
      <c r="D64" s="4" t="s">
        <v>510</v>
      </c>
      <c r="E64" s="4" t="s">
        <v>511</v>
      </c>
      <c r="F64" s="4">
        <v>8854</v>
      </c>
      <c r="G64" s="4" t="s">
        <v>77</v>
      </c>
      <c r="H64" s="4" t="s">
        <v>22</v>
      </c>
      <c r="I64" s="4" t="s">
        <v>512</v>
      </c>
      <c r="J64" s="25" t="s">
        <v>513</v>
      </c>
    </row>
    <row r="65" spans="1:10" x14ac:dyDescent="0.25">
      <c r="A65" s="138">
        <v>358</v>
      </c>
      <c r="B65" s="4" t="s">
        <v>64</v>
      </c>
      <c r="C65" s="4" t="s">
        <v>124</v>
      </c>
      <c r="D65" s="4" t="s">
        <v>514</v>
      </c>
      <c r="E65" s="4" t="s">
        <v>515</v>
      </c>
      <c r="F65" s="4">
        <v>8854</v>
      </c>
      <c r="G65" s="4" t="s">
        <v>77</v>
      </c>
      <c r="H65" s="4" t="s">
        <v>22</v>
      </c>
      <c r="I65" s="4" t="s">
        <v>516</v>
      </c>
      <c r="J65" s="25" t="s">
        <v>517</v>
      </c>
    </row>
    <row r="66" spans="1:10" x14ac:dyDescent="0.25">
      <c r="A66" s="138">
        <v>357</v>
      </c>
      <c r="B66" s="4" t="s">
        <v>41</v>
      </c>
      <c r="C66" s="4" t="s">
        <v>518</v>
      </c>
      <c r="D66" s="4" t="s">
        <v>519</v>
      </c>
      <c r="E66" s="4" t="s">
        <v>520</v>
      </c>
      <c r="F66" s="4">
        <v>8854</v>
      </c>
      <c r="G66" s="4" t="s">
        <v>77</v>
      </c>
      <c r="H66" s="4" t="s">
        <v>22</v>
      </c>
      <c r="I66" s="4" t="s">
        <v>521</v>
      </c>
      <c r="J66" s="25" t="s">
        <v>522</v>
      </c>
    </row>
    <row r="67" spans="1:10" x14ac:dyDescent="0.25">
      <c r="A67" s="138">
        <v>356</v>
      </c>
      <c r="B67" s="4" t="s">
        <v>41</v>
      </c>
      <c r="C67" s="4" t="s">
        <v>523</v>
      </c>
      <c r="D67" s="4" t="s">
        <v>75</v>
      </c>
      <c r="E67" s="4" t="s">
        <v>524</v>
      </c>
      <c r="F67" s="4">
        <v>8853</v>
      </c>
      <c r="G67" s="4" t="s">
        <v>525</v>
      </c>
      <c r="H67" s="4" t="s">
        <v>22</v>
      </c>
      <c r="I67" s="4" t="s">
        <v>526</v>
      </c>
      <c r="J67" s="25" t="s">
        <v>527</v>
      </c>
    </row>
    <row r="68" spans="1:10" x14ac:dyDescent="0.25">
      <c r="A68" s="138">
        <v>353</v>
      </c>
      <c r="B68" s="4" t="s">
        <v>64</v>
      </c>
      <c r="C68" s="4" t="s">
        <v>528</v>
      </c>
      <c r="D68" s="4" t="s">
        <v>529</v>
      </c>
      <c r="E68" s="4" t="s">
        <v>530</v>
      </c>
      <c r="F68" s="4">
        <v>8047</v>
      </c>
      <c r="G68" s="4" t="s">
        <v>131</v>
      </c>
      <c r="H68" s="4" t="s">
        <v>22</v>
      </c>
      <c r="I68" s="4" t="s">
        <v>531</v>
      </c>
      <c r="J68" s="25" t="s">
        <v>532</v>
      </c>
    </row>
    <row r="69" spans="1:10" x14ac:dyDescent="0.25">
      <c r="A69" s="138">
        <v>354</v>
      </c>
      <c r="B69" s="4" t="s">
        <v>53</v>
      </c>
      <c r="C69" s="4" t="s">
        <v>533</v>
      </c>
      <c r="D69" s="4" t="s">
        <v>529</v>
      </c>
      <c r="E69" s="4" t="s">
        <v>534</v>
      </c>
      <c r="F69" s="4">
        <v>8832</v>
      </c>
      <c r="G69" s="4" t="s">
        <v>535</v>
      </c>
      <c r="H69" s="4" t="s">
        <v>22</v>
      </c>
      <c r="I69" s="4" t="s">
        <v>536</v>
      </c>
      <c r="J69" s="25" t="s">
        <v>537</v>
      </c>
    </row>
    <row r="70" spans="1:10" x14ac:dyDescent="0.25">
      <c r="A70" s="138">
        <v>355</v>
      </c>
      <c r="B70" s="4" t="s">
        <v>64</v>
      </c>
      <c r="C70" s="4" t="s">
        <v>538</v>
      </c>
      <c r="D70" s="4" t="s">
        <v>529</v>
      </c>
      <c r="E70" s="4" t="s">
        <v>534</v>
      </c>
      <c r="F70" s="4">
        <v>8700</v>
      </c>
      <c r="G70" s="4" t="s">
        <v>539</v>
      </c>
      <c r="H70" s="4" t="s">
        <v>22</v>
      </c>
      <c r="I70" s="4" t="s">
        <v>540</v>
      </c>
      <c r="J70" s="25" t="s">
        <v>541</v>
      </c>
    </row>
    <row r="71" spans="1:10" x14ac:dyDescent="0.25">
      <c r="A71" s="138">
        <v>352</v>
      </c>
      <c r="B71" s="4" t="s">
        <v>53</v>
      </c>
      <c r="C71" s="4" t="s">
        <v>542</v>
      </c>
      <c r="D71" s="4" t="s">
        <v>543</v>
      </c>
      <c r="E71" s="4" t="s">
        <v>544</v>
      </c>
      <c r="F71" s="4">
        <v>8853</v>
      </c>
      <c r="G71" s="4" t="s">
        <v>50</v>
      </c>
      <c r="H71" s="4" t="s">
        <v>22</v>
      </c>
      <c r="I71" s="4" t="s">
        <v>545</v>
      </c>
      <c r="J71" s="25" t="s">
        <v>546</v>
      </c>
    </row>
    <row r="72" spans="1:10" x14ac:dyDescent="0.25">
      <c r="A72" s="138">
        <v>351</v>
      </c>
      <c r="B72" s="4" t="s">
        <v>41</v>
      </c>
      <c r="C72" s="4" t="s">
        <v>79</v>
      </c>
      <c r="D72" s="4" t="s">
        <v>547</v>
      </c>
      <c r="E72" s="4" t="s">
        <v>548</v>
      </c>
      <c r="F72" s="4">
        <v>8832</v>
      </c>
      <c r="G72" s="4" t="s">
        <v>108</v>
      </c>
      <c r="H72" s="4" t="s">
        <v>22</v>
      </c>
      <c r="I72" s="4" t="s">
        <v>549</v>
      </c>
      <c r="J72" s="25" t="s">
        <v>373</v>
      </c>
    </row>
    <row r="73" spans="1:10" x14ac:dyDescent="0.25">
      <c r="A73" s="138">
        <v>348</v>
      </c>
      <c r="B73" s="4" t="s">
        <v>64</v>
      </c>
      <c r="C73" s="4" t="s">
        <v>550</v>
      </c>
      <c r="D73" s="4" t="s">
        <v>547</v>
      </c>
      <c r="E73" s="4" t="s">
        <v>551</v>
      </c>
      <c r="F73" s="4">
        <v>8808</v>
      </c>
      <c r="G73" s="4" t="s">
        <v>142</v>
      </c>
      <c r="H73" s="4" t="s">
        <v>22</v>
      </c>
      <c r="I73" s="4" t="s">
        <v>552</v>
      </c>
      <c r="J73" s="25" t="s">
        <v>553</v>
      </c>
    </row>
    <row r="74" spans="1:10" x14ac:dyDescent="0.25">
      <c r="A74" s="138">
        <v>350</v>
      </c>
      <c r="B74" s="4" t="s">
        <v>41</v>
      </c>
      <c r="C74" s="4" t="s">
        <v>554</v>
      </c>
      <c r="D74" s="4" t="s">
        <v>547</v>
      </c>
      <c r="E74" s="4" t="s">
        <v>555</v>
      </c>
      <c r="F74" s="4">
        <v>8863</v>
      </c>
      <c r="G74" s="4" t="s">
        <v>72</v>
      </c>
      <c r="H74" s="4" t="s">
        <v>22</v>
      </c>
      <c r="I74" s="4" t="s">
        <v>556</v>
      </c>
      <c r="J74" s="25" t="s">
        <v>557</v>
      </c>
    </row>
    <row r="75" spans="1:10" x14ac:dyDescent="0.25">
      <c r="A75" s="138">
        <v>344</v>
      </c>
      <c r="B75" s="4" t="s">
        <v>41</v>
      </c>
      <c r="C75" s="4" t="s">
        <v>558</v>
      </c>
      <c r="D75" s="4" t="s">
        <v>559</v>
      </c>
      <c r="E75" s="4" t="s">
        <v>551</v>
      </c>
      <c r="F75" s="4">
        <v>8854</v>
      </c>
      <c r="G75" s="4" t="s">
        <v>77</v>
      </c>
      <c r="H75" s="4" t="s">
        <v>22</v>
      </c>
      <c r="I75" s="4" t="s">
        <v>560</v>
      </c>
      <c r="J75" s="25" t="s">
        <v>561</v>
      </c>
    </row>
    <row r="76" spans="1:10" x14ac:dyDescent="0.25">
      <c r="A76" s="138">
        <v>346</v>
      </c>
      <c r="B76" s="4" t="s">
        <v>41</v>
      </c>
      <c r="C76" s="4" t="s">
        <v>562</v>
      </c>
      <c r="D76" s="4" t="s">
        <v>559</v>
      </c>
      <c r="E76" s="4" t="s">
        <v>551</v>
      </c>
      <c r="F76" s="4">
        <v>8808</v>
      </c>
      <c r="G76" s="4" t="s">
        <v>142</v>
      </c>
      <c r="H76" s="4" t="s">
        <v>22</v>
      </c>
      <c r="I76" s="4" t="s">
        <v>563</v>
      </c>
      <c r="J76" s="25" t="s">
        <v>564</v>
      </c>
    </row>
    <row r="77" spans="1:10" x14ac:dyDescent="0.25">
      <c r="A77" s="138">
        <v>347</v>
      </c>
      <c r="B77" s="4" t="s">
        <v>41</v>
      </c>
      <c r="C77" s="4" t="s">
        <v>565</v>
      </c>
      <c r="D77" s="4" t="s">
        <v>559</v>
      </c>
      <c r="E77" s="4" t="s">
        <v>551</v>
      </c>
      <c r="F77" s="4">
        <v>8853</v>
      </c>
      <c r="G77" s="4" t="s">
        <v>50</v>
      </c>
      <c r="H77" s="4" t="s">
        <v>22</v>
      </c>
      <c r="I77" s="4" t="s">
        <v>566</v>
      </c>
      <c r="J77" s="25"/>
    </row>
    <row r="78" spans="1:10" x14ac:dyDescent="0.25">
      <c r="A78" s="138">
        <v>343</v>
      </c>
      <c r="B78" s="4" t="s">
        <v>41</v>
      </c>
      <c r="C78" s="4" t="s">
        <v>567</v>
      </c>
      <c r="D78" s="4" t="s">
        <v>568</v>
      </c>
      <c r="E78" s="4" t="s">
        <v>551</v>
      </c>
      <c r="F78" s="4">
        <v>8863</v>
      </c>
      <c r="G78" s="4" t="s">
        <v>72</v>
      </c>
      <c r="H78" s="4" t="s">
        <v>22</v>
      </c>
      <c r="I78" s="4" t="s">
        <v>569</v>
      </c>
      <c r="J78" s="25" t="s">
        <v>570</v>
      </c>
    </row>
    <row r="79" spans="1:10" x14ac:dyDescent="0.25">
      <c r="A79" s="138">
        <v>342</v>
      </c>
      <c r="B79" s="4" t="s">
        <v>41</v>
      </c>
      <c r="C79" s="4" t="s">
        <v>571</v>
      </c>
      <c r="D79" s="4" t="s">
        <v>572</v>
      </c>
      <c r="E79" s="4" t="s">
        <v>551</v>
      </c>
      <c r="F79" s="4">
        <v>8825</v>
      </c>
      <c r="G79" s="4" t="s">
        <v>573</v>
      </c>
      <c r="H79" s="4" t="s">
        <v>22</v>
      </c>
      <c r="I79" s="4" t="s">
        <v>574</v>
      </c>
      <c r="J79" s="25" t="s">
        <v>575</v>
      </c>
    </row>
    <row r="80" spans="1:10" x14ac:dyDescent="0.25">
      <c r="A80" s="138">
        <v>341</v>
      </c>
      <c r="B80" s="4" t="s">
        <v>41</v>
      </c>
      <c r="C80" s="4" t="s">
        <v>576</v>
      </c>
      <c r="D80" s="4" t="s">
        <v>577</v>
      </c>
      <c r="E80" s="4" t="s">
        <v>578</v>
      </c>
      <c r="F80" s="4">
        <v>8853</v>
      </c>
      <c r="G80" s="4" t="s">
        <v>50</v>
      </c>
      <c r="H80" s="4" t="s">
        <v>22</v>
      </c>
      <c r="I80" s="4" t="s">
        <v>579</v>
      </c>
      <c r="J80" s="25" t="s">
        <v>580</v>
      </c>
    </row>
    <row r="81" spans="1:10" x14ac:dyDescent="0.25">
      <c r="A81" s="138">
        <v>338</v>
      </c>
      <c r="B81" s="4" t="s">
        <v>41</v>
      </c>
      <c r="C81" s="4" t="s">
        <v>571</v>
      </c>
      <c r="D81" s="4" t="s">
        <v>581</v>
      </c>
      <c r="E81" s="4" t="s">
        <v>582</v>
      </c>
      <c r="F81" s="4">
        <v>8855</v>
      </c>
      <c r="G81" s="4" t="s">
        <v>23</v>
      </c>
      <c r="H81" s="4" t="s">
        <v>22</v>
      </c>
      <c r="I81" s="4" t="s">
        <v>583</v>
      </c>
      <c r="J81" s="25"/>
    </row>
    <row r="82" spans="1:10" x14ac:dyDescent="0.25">
      <c r="A82" s="138">
        <v>336</v>
      </c>
      <c r="B82" s="4" t="s">
        <v>41</v>
      </c>
      <c r="C82" s="4" t="s">
        <v>533</v>
      </c>
      <c r="D82" s="4" t="s">
        <v>584</v>
      </c>
      <c r="E82" s="4" t="s">
        <v>585</v>
      </c>
      <c r="F82" s="4">
        <v>8832</v>
      </c>
      <c r="G82" s="4" t="s">
        <v>535</v>
      </c>
      <c r="H82" s="4" t="s">
        <v>22</v>
      </c>
      <c r="I82" s="4" t="s">
        <v>586</v>
      </c>
      <c r="J82" s="25"/>
    </row>
    <row r="83" spans="1:10" x14ac:dyDescent="0.25">
      <c r="A83" s="138">
        <v>331</v>
      </c>
      <c r="B83" s="4" t="s">
        <v>64</v>
      </c>
      <c r="C83" s="4" t="s">
        <v>587</v>
      </c>
      <c r="D83" s="4" t="s">
        <v>588</v>
      </c>
      <c r="E83" s="4" t="s">
        <v>589</v>
      </c>
      <c r="F83" s="4">
        <v>7310</v>
      </c>
      <c r="G83" s="4" t="s">
        <v>590</v>
      </c>
      <c r="H83" s="4" t="s">
        <v>22</v>
      </c>
      <c r="I83" s="4" t="s">
        <v>591</v>
      </c>
      <c r="J83" s="25"/>
    </row>
    <row r="84" spans="1:10" x14ac:dyDescent="0.25">
      <c r="A84" s="138">
        <v>329</v>
      </c>
      <c r="B84" s="4" t="s">
        <v>41</v>
      </c>
      <c r="C84" s="4" t="s">
        <v>592</v>
      </c>
      <c r="D84" s="4" t="s">
        <v>593</v>
      </c>
      <c r="E84" s="4" t="s">
        <v>594</v>
      </c>
      <c r="F84" s="4">
        <v>8856</v>
      </c>
      <c r="G84" s="4" t="s">
        <v>525</v>
      </c>
      <c r="H84" s="4" t="s">
        <v>22</v>
      </c>
      <c r="I84" s="4" t="s">
        <v>595</v>
      </c>
      <c r="J84" s="25" t="s">
        <v>596</v>
      </c>
    </row>
    <row r="85" spans="1:10" x14ac:dyDescent="0.25">
      <c r="A85" s="138">
        <v>330</v>
      </c>
      <c r="B85" s="4" t="s">
        <v>64</v>
      </c>
      <c r="C85" s="4" t="s">
        <v>597</v>
      </c>
      <c r="D85" s="4" t="s">
        <v>593</v>
      </c>
      <c r="E85" s="4" t="s">
        <v>594</v>
      </c>
      <c r="F85" s="4">
        <v>8853</v>
      </c>
      <c r="G85" s="4" t="s">
        <v>50</v>
      </c>
      <c r="H85" s="4" t="s">
        <v>22</v>
      </c>
      <c r="I85" s="4" t="s">
        <v>598</v>
      </c>
      <c r="J85" s="25" t="s">
        <v>599</v>
      </c>
    </row>
    <row r="86" spans="1:10" x14ac:dyDescent="0.25">
      <c r="A86" s="138">
        <v>328</v>
      </c>
      <c r="B86" s="4" t="s">
        <v>64</v>
      </c>
      <c r="C86" s="4" t="s">
        <v>600</v>
      </c>
      <c r="D86" s="4" t="s">
        <v>601</v>
      </c>
      <c r="E86" s="4" t="s">
        <v>602</v>
      </c>
      <c r="F86" s="4">
        <v>78655</v>
      </c>
      <c r="G86" s="4" t="s">
        <v>603</v>
      </c>
      <c r="H86" s="4" t="s">
        <v>24</v>
      </c>
      <c r="I86" s="4" t="s">
        <v>604</v>
      </c>
      <c r="J86" s="25"/>
    </row>
    <row r="87" spans="1:10" x14ac:dyDescent="0.25">
      <c r="A87" s="138">
        <v>327</v>
      </c>
      <c r="B87" s="4" t="s">
        <v>41</v>
      </c>
      <c r="C87" s="4" t="s">
        <v>605</v>
      </c>
      <c r="D87" s="4" t="s">
        <v>606</v>
      </c>
      <c r="E87" s="4" t="s">
        <v>607</v>
      </c>
      <c r="F87" s="4">
        <v>8852</v>
      </c>
      <c r="G87" s="4" t="s">
        <v>44</v>
      </c>
      <c r="H87" s="4" t="s">
        <v>22</v>
      </c>
      <c r="I87" s="4" t="s">
        <v>608</v>
      </c>
      <c r="J87" s="25" t="s">
        <v>609</v>
      </c>
    </row>
    <row r="88" spans="1:10" x14ac:dyDescent="0.25">
      <c r="A88" s="138">
        <v>326</v>
      </c>
      <c r="B88" s="4" t="s">
        <v>41</v>
      </c>
      <c r="C88" s="4" t="s">
        <v>47</v>
      </c>
      <c r="D88" s="4" t="s">
        <v>610</v>
      </c>
      <c r="E88" s="4" t="s">
        <v>611</v>
      </c>
      <c r="F88" s="4">
        <v>8853</v>
      </c>
      <c r="G88" s="4" t="s">
        <v>50</v>
      </c>
      <c r="H88" s="4" t="s">
        <v>22</v>
      </c>
      <c r="I88" s="4" t="s">
        <v>612</v>
      </c>
      <c r="J88" s="25" t="s">
        <v>613</v>
      </c>
    </row>
    <row r="89" spans="1:10" x14ac:dyDescent="0.25">
      <c r="A89" s="138">
        <v>325</v>
      </c>
      <c r="B89" s="4" t="s">
        <v>64</v>
      </c>
      <c r="C89" s="4" t="s">
        <v>614</v>
      </c>
      <c r="D89" s="4" t="s">
        <v>615</v>
      </c>
      <c r="E89" s="4" t="s">
        <v>616</v>
      </c>
      <c r="F89" s="4">
        <v>8857</v>
      </c>
      <c r="G89" s="4" t="s">
        <v>617</v>
      </c>
      <c r="H89" s="4" t="s">
        <v>22</v>
      </c>
      <c r="I89" s="4" t="s">
        <v>618</v>
      </c>
      <c r="J89" s="25" t="s">
        <v>619</v>
      </c>
    </row>
    <row r="90" spans="1:10" x14ac:dyDescent="0.25">
      <c r="A90" s="138">
        <v>322</v>
      </c>
      <c r="B90" s="4" t="s">
        <v>64</v>
      </c>
      <c r="C90" s="4" t="s">
        <v>620</v>
      </c>
      <c r="D90" s="4" t="s">
        <v>621</v>
      </c>
      <c r="E90" s="4" t="s">
        <v>622</v>
      </c>
      <c r="F90" s="4">
        <v>8853</v>
      </c>
      <c r="G90" s="4" t="s">
        <v>50</v>
      </c>
      <c r="H90" s="4" t="s">
        <v>22</v>
      </c>
      <c r="I90" s="4" t="s">
        <v>623</v>
      </c>
      <c r="J90" s="25" t="s">
        <v>624</v>
      </c>
    </row>
    <row r="91" spans="1:10" x14ac:dyDescent="0.25">
      <c r="A91" s="138">
        <v>320</v>
      </c>
      <c r="B91" s="4" t="s">
        <v>41</v>
      </c>
      <c r="C91" s="4" t="s">
        <v>401</v>
      </c>
      <c r="D91" s="4" t="s">
        <v>286</v>
      </c>
      <c r="E91" s="4" t="s">
        <v>625</v>
      </c>
      <c r="F91" s="4">
        <v>8853</v>
      </c>
      <c r="G91" s="4" t="s">
        <v>50</v>
      </c>
      <c r="H91" s="4" t="s">
        <v>22</v>
      </c>
      <c r="I91" s="4" t="s">
        <v>626</v>
      </c>
      <c r="J91" s="25"/>
    </row>
    <row r="92" spans="1:10" x14ac:dyDescent="0.25">
      <c r="A92" s="138">
        <v>319</v>
      </c>
      <c r="B92" s="4" t="s">
        <v>41</v>
      </c>
      <c r="C92" s="4" t="s">
        <v>627</v>
      </c>
      <c r="D92" s="4" t="s">
        <v>628</v>
      </c>
      <c r="E92" s="4" t="s">
        <v>629</v>
      </c>
      <c r="F92" s="4">
        <v>8807</v>
      </c>
      <c r="G92" s="4" t="s">
        <v>67</v>
      </c>
      <c r="H92" s="4" t="s">
        <v>22</v>
      </c>
      <c r="I92" s="4" t="s">
        <v>630</v>
      </c>
      <c r="J92" s="25" t="s">
        <v>631</v>
      </c>
    </row>
    <row r="93" spans="1:10" x14ac:dyDescent="0.25">
      <c r="A93" s="138">
        <v>211</v>
      </c>
      <c r="B93" s="4" t="s">
        <v>41</v>
      </c>
      <c r="C93" s="4" t="s">
        <v>632</v>
      </c>
      <c r="D93" s="4" t="s">
        <v>633</v>
      </c>
      <c r="E93" s="4" t="s">
        <v>634</v>
      </c>
      <c r="F93" s="4">
        <v>8808</v>
      </c>
      <c r="G93" s="4" t="s">
        <v>142</v>
      </c>
      <c r="H93" s="4" t="s">
        <v>22</v>
      </c>
      <c r="I93" s="4" t="s">
        <v>635</v>
      </c>
      <c r="J93" s="25" t="s">
        <v>636</v>
      </c>
    </row>
    <row r="94" spans="1:10" x14ac:dyDescent="0.25">
      <c r="A94" s="138">
        <v>317</v>
      </c>
      <c r="B94" s="4" t="s">
        <v>41</v>
      </c>
      <c r="C94" s="4" t="s">
        <v>637</v>
      </c>
      <c r="D94" s="4" t="s">
        <v>633</v>
      </c>
      <c r="E94" s="4" t="s">
        <v>638</v>
      </c>
      <c r="F94" s="4">
        <v>8808</v>
      </c>
      <c r="G94" s="4" t="s">
        <v>142</v>
      </c>
      <c r="H94" s="4" t="s">
        <v>22</v>
      </c>
      <c r="I94" s="4" t="s">
        <v>639</v>
      </c>
      <c r="J94" s="25" t="s">
        <v>640</v>
      </c>
    </row>
    <row r="95" spans="1:10" x14ac:dyDescent="0.25">
      <c r="A95" s="138">
        <v>314</v>
      </c>
      <c r="B95" s="4" t="s">
        <v>41</v>
      </c>
      <c r="C95" s="4" t="s">
        <v>641</v>
      </c>
      <c r="D95" s="4" t="s">
        <v>642</v>
      </c>
      <c r="E95" s="4" t="s">
        <v>643</v>
      </c>
      <c r="F95" s="4">
        <v>8640</v>
      </c>
      <c r="G95" s="4" t="s">
        <v>644</v>
      </c>
      <c r="H95" s="4" t="s">
        <v>22</v>
      </c>
      <c r="I95" s="4" t="s">
        <v>645</v>
      </c>
      <c r="J95" s="25" t="s">
        <v>646</v>
      </c>
    </row>
    <row r="96" spans="1:10" x14ac:dyDescent="0.25">
      <c r="A96" s="138">
        <v>316</v>
      </c>
      <c r="B96" s="4" t="s">
        <v>41</v>
      </c>
      <c r="C96" s="4" t="s">
        <v>647</v>
      </c>
      <c r="D96" s="4" t="s">
        <v>642</v>
      </c>
      <c r="E96" s="4" t="s">
        <v>648</v>
      </c>
      <c r="F96" s="4">
        <v>8853</v>
      </c>
      <c r="G96" s="4" t="s">
        <v>50</v>
      </c>
      <c r="H96" s="4" t="s">
        <v>22</v>
      </c>
      <c r="I96" s="4" t="s">
        <v>649</v>
      </c>
      <c r="J96" s="25" t="s">
        <v>650</v>
      </c>
    </row>
    <row r="97" spans="1:10" x14ac:dyDescent="0.25">
      <c r="A97" s="138">
        <v>315</v>
      </c>
      <c r="B97" s="4" t="s">
        <v>41</v>
      </c>
      <c r="C97" s="4" t="s">
        <v>571</v>
      </c>
      <c r="D97" s="4" t="s">
        <v>642</v>
      </c>
      <c r="E97" s="4" t="s">
        <v>651</v>
      </c>
      <c r="F97" s="4">
        <v>8852</v>
      </c>
      <c r="G97" s="4" t="s">
        <v>44</v>
      </c>
      <c r="H97" s="4" t="s">
        <v>22</v>
      </c>
      <c r="I97" s="4" t="s">
        <v>652</v>
      </c>
      <c r="J97" s="25" t="s">
        <v>653</v>
      </c>
    </row>
    <row r="98" spans="1:10" x14ac:dyDescent="0.25">
      <c r="A98" s="138">
        <v>313</v>
      </c>
      <c r="B98" s="4" t="s">
        <v>64</v>
      </c>
      <c r="C98" s="4" t="s">
        <v>654</v>
      </c>
      <c r="D98" s="4" t="s">
        <v>655</v>
      </c>
      <c r="E98" s="4" t="s">
        <v>656</v>
      </c>
      <c r="F98" s="4">
        <v>8855</v>
      </c>
      <c r="G98" s="4" t="s">
        <v>23</v>
      </c>
      <c r="H98" s="4" t="s">
        <v>22</v>
      </c>
      <c r="I98" s="4" t="s">
        <v>657</v>
      </c>
      <c r="J98" s="25" t="s">
        <v>658</v>
      </c>
    </row>
    <row r="99" spans="1:10" x14ac:dyDescent="0.25">
      <c r="A99" s="138">
        <v>312</v>
      </c>
      <c r="B99" s="4" t="s">
        <v>64</v>
      </c>
      <c r="C99" s="4" t="s">
        <v>654</v>
      </c>
      <c r="D99" s="4" t="s">
        <v>659</v>
      </c>
      <c r="E99" s="4" t="s">
        <v>660</v>
      </c>
      <c r="F99" s="4">
        <v>8855</v>
      </c>
      <c r="G99" s="4" t="s">
        <v>23</v>
      </c>
      <c r="H99" s="4" t="s">
        <v>22</v>
      </c>
      <c r="I99" s="4" t="s">
        <v>661</v>
      </c>
      <c r="J99" s="25" t="s">
        <v>658</v>
      </c>
    </row>
    <row r="100" spans="1:10" x14ac:dyDescent="0.25">
      <c r="A100" s="138">
        <v>308</v>
      </c>
      <c r="B100" s="4" t="s">
        <v>41</v>
      </c>
      <c r="C100" s="4" t="s">
        <v>662</v>
      </c>
      <c r="D100" s="4" t="s">
        <v>663</v>
      </c>
      <c r="E100" s="4" t="s">
        <v>664</v>
      </c>
      <c r="F100" s="4">
        <v>8864</v>
      </c>
      <c r="G100" s="4" t="s">
        <v>462</v>
      </c>
      <c r="H100" s="4" t="s">
        <v>22</v>
      </c>
      <c r="I100" s="4" t="s">
        <v>665</v>
      </c>
      <c r="J100" s="25" t="s">
        <v>666</v>
      </c>
    </row>
    <row r="101" spans="1:10" x14ac:dyDescent="0.25">
      <c r="A101" s="138">
        <v>306</v>
      </c>
      <c r="B101" s="4" t="s">
        <v>53</v>
      </c>
      <c r="C101" s="4" t="s">
        <v>428</v>
      </c>
      <c r="D101" s="4" t="s">
        <v>667</v>
      </c>
      <c r="E101" s="4" t="s">
        <v>668</v>
      </c>
      <c r="F101" s="4">
        <v>8311</v>
      </c>
      <c r="G101" s="4" t="s">
        <v>669</v>
      </c>
      <c r="H101" s="4" t="s">
        <v>22</v>
      </c>
      <c r="I101" s="4" t="s">
        <v>670</v>
      </c>
      <c r="J101" s="25" t="s">
        <v>671</v>
      </c>
    </row>
    <row r="102" spans="1:10" x14ac:dyDescent="0.25">
      <c r="A102" s="138">
        <v>305</v>
      </c>
      <c r="B102" s="4" t="s">
        <v>64</v>
      </c>
      <c r="C102" s="4" t="s">
        <v>672</v>
      </c>
      <c r="D102" s="4" t="s">
        <v>673</v>
      </c>
      <c r="E102" s="4" t="s">
        <v>674</v>
      </c>
      <c r="F102" s="4">
        <v>8311</v>
      </c>
      <c r="G102" s="4" t="s">
        <v>669</v>
      </c>
      <c r="H102" s="4" t="s">
        <v>22</v>
      </c>
      <c r="I102" s="4" t="s">
        <v>675</v>
      </c>
      <c r="J102" s="25" t="s">
        <v>671</v>
      </c>
    </row>
    <row r="103" spans="1:10" x14ac:dyDescent="0.25">
      <c r="A103" s="138">
        <v>304</v>
      </c>
      <c r="B103" s="4" t="s">
        <v>64</v>
      </c>
      <c r="C103" s="4" t="s">
        <v>676</v>
      </c>
      <c r="D103" s="4" t="s">
        <v>677</v>
      </c>
      <c r="E103" s="4" t="s">
        <v>678</v>
      </c>
      <c r="F103" s="4">
        <v>8868</v>
      </c>
      <c r="G103" s="4" t="s">
        <v>679</v>
      </c>
      <c r="H103" s="4" t="s">
        <v>22</v>
      </c>
      <c r="I103" s="4" t="s">
        <v>680</v>
      </c>
      <c r="J103" s="25" t="s">
        <v>681</v>
      </c>
    </row>
    <row r="104" spans="1:10" x14ac:dyDescent="0.25">
      <c r="A104" s="138">
        <v>303</v>
      </c>
      <c r="B104" s="4" t="s">
        <v>64</v>
      </c>
      <c r="C104" s="4" t="s">
        <v>682</v>
      </c>
      <c r="D104" s="4" t="s">
        <v>683</v>
      </c>
      <c r="E104" s="4" t="s">
        <v>684</v>
      </c>
      <c r="F104" s="4">
        <v>8832</v>
      </c>
      <c r="G104" s="4" t="s">
        <v>535</v>
      </c>
      <c r="H104" s="4" t="s">
        <v>22</v>
      </c>
      <c r="I104" s="4" t="s">
        <v>685</v>
      </c>
      <c r="J104" s="25" t="s">
        <v>686</v>
      </c>
    </row>
    <row r="105" spans="1:10" x14ac:dyDescent="0.25">
      <c r="A105" s="138">
        <v>302</v>
      </c>
      <c r="B105" s="4" t="s">
        <v>41</v>
      </c>
      <c r="C105" s="4" t="s">
        <v>687</v>
      </c>
      <c r="D105" s="4" t="s">
        <v>688</v>
      </c>
      <c r="E105" s="4" t="s">
        <v>689</v>
      </c>
      <c r="F105" s="4">
        <v>8834</v>
      </c>
      <c r="G105" s="4" t="s">
        <v>440</v>
      </c>
      <c r="H105" s="4" t="s">
        <v>22</v>
      </c>
      <c r="I105" s="4" t="s">
        <v>690</v>
      </c>
      <c r="J105" s="25" t="s">
        <v>691</v>
      </c>
    </row>
    <row r="106" spans="1:10" x14ac:dyDescent="0.25">
      <c r="A106" s="138">
        <v>301</v>
      </c>
      <c r="B106" s="4" t="s">
        <v>41</v>
      </c>
      <c r="C106" s="4" t="s">
        <v>692</v>
      </c>
      <c r="D106" s="4" t="s">
        <v>693</v>
      </c>
      <c r="E106" s="4" t="s">
        <v>694</v>
      </c>
      <c r="F106" s="4">
        <v>8864</v>
      </c>
      <c r="G106" s="4" t="s">
        <v>462</v>
      </c>
      <c r="H106" s="4" t="s">
        <v>22</v>
      </c>
      <c r="I106" s="4" t="s">
        <v>695</v>
      </c>
      <c r="J106" s="25" t="s">
        <v>696</v>
      </c>
    </row>
    <row r="107" spans="1:10" x14ac:dyDescent="0.25">
      <c r="A107" s="138">
        <v>300</v>
      </c>
      <c r="B107" s="4" t="s">
        <v>64</v>
      </c>
      <c r="C107" s="4" t="s">
        <v>697</v>
      </c>
      <c r="D107" s="4" t="s">
        <v>698</v>
      </c>
      <c r="E107" s="4" t="s">
        <v>699</v>
      </c>
      <c r="F107" s="4">
        <v>8853</v>
      </c>
      <c r="G107" s="4" t="s">
        <v>50</v>
      </c>
      <c r="H107" s="4" t="s">
        <v>22</v>
      </c>
      <c r="I107" s="4" t="s">
        <v>700</v>
      </c>
      <c r="J107" s="25" t="s">
        <v>701</v>
      </c>
    </row>
    <row r="108" spans="1:10" x14ac:dyDescent="0.25">
      <c r="A108" s="138">
        <v>299</v>
      </c>
      <c r="B108" s="4" t="s">
        <v>64</v>
      </c>
      <c r="C108" s="4" t="s">
        <v>702</v>
      </c>
      <c r="D108" s="4" t="s">
        <v>703</v>
      </c>
      <c r="E108" s="4" t="s">
        <v>704</v>
      </c>
      <c r="F108" s="4">
        <v>8854</v>
      </c>
      <c r="G108" s="4" t="s">
        <v>705</v>
      </c>
      <c r="H108" s="4" t="s">
        <v>22</v>
      </c>
      <c r="I108" s="4" t="s">
        <v>706</v>
      </c>
      <c r="J108" s="25" t="s">
        <v>707</v>
      </c>
    </row>
    <row r="109" spans="1:10" x14ac:dyDescent="0.25">
      <c r="A109" s="138">
        <v>296</v>
      </c>
      <c r="B109" s="4" t="s">
        <v>53</v>
      </c>
      <c r="C109" s="4" t="s">
        <v>708</v>
      </c>
      <c r="D109" s="4" t="s">
        <v>129</v>
      </c>
      <c r="E109" s="4" t="s">
        <v>709</v>
      </c>
      <c r="F109" s="4">
        <v>8853</v>
      </c>
      <c r="G109" s="4" t="s">
        <v>50</v>
      </c>
      <c r="H109" s="4" t="s">
        <v>22</v>
      </c>
      <c r="I109" s="4" t="s">
        <v>710</v>
      </c>
      <c r="J109" s="25" t="s">
        <v>711</v>
      </c>
    </row>
    <row r="110" spans="1:10" x14ac:dyDescent="0.25">
      <c r="A110" s="138">
        <v>297</v>
      </c>
      <c r="B110" s="4" t="s">
        <v>41</v>
      </c>
      <c r="C110" s="4" t="s">
        <v>712</v>
      </c>
      <c r="D110" s="4" t="s">
        <v>129</v>
      </c>
      <c r="E110" s="4" t="s">
        <v>709</v>
      </c>
      <c r="F110" s="4">
        <v>8853</v>
      </c>
      <c r="G110" s="4" t="s">
        <v>50</v>
      </c>
      <c r="H110" s="4" t="s">
        <v>22</v>
      </c>
      <c r="I110" s="4" t="s">
        <v>713</v>
      </c>
      <c r="J110" s="25" t="s">
        <v>711</v>
      </c>
    </row>
    <row r="111" spans="1:10" x14ac:dyDescent="0.25">
      <c r="A111" s="138">
        <v>295</v>
      </c>
      <c r="B111" s="4" t="s">
        <v>41</v>
      </c>
      <c r="C111" s="4" t="s">
        <v>558</v>
      </c>
      <c r="D111" s="4" t="s">
        <v>714</v>
      </c>
      <c r="E111" s="4" t="s">
        <v>715</v>
      </c>
      <c r="F111" s="4">
        <v>8852</v>
      </c>
      <c r="G111" s="4" t="s">
        <v>44</v>
      </c>
      <c r="H111" s="4" t="s">
        <v>22</v>
      </c>
      <c r="I111" s="4" t="s">
        <v>716</v>
      </c>
      <c r="J111" s="25" t="s">
        <v>717</v>
      </c>
    </row>
    <row r="112" spans="1:10" x14ac:dyDescent="0.25">
      <c r="A112" s="138">
        <v>294</v>
      </c>
      <c r="B112" s="4" t="s">
        <v>64</v>
      </c>
      <c r="C112" s="4" t="s">
        <v>718</v>
      </c>
      <c r="D112" s="4" t="s">
        <v>719</v>
      </c>
      <c r="E112" s="4" t="s">
        <v>715</v>
      </c>
      <c r="F112" s="4">
        <v>8853</v>
      </c>
      <c r="G112" s="4" t="s">
        <v>50</v>
      </c>
      <c r="H112" s="4" t="s">
        <v>22</v>
      </c>
      <c r="I112" s="4" t="s">
        <v>720</v>
      </c>
      <c r="J112" s="25" t="s">
        <v>721</v>
      </c>
    </row>
    <row r="113" spans="1:10" x14ac:dyDescent="0.25">
      <c r="A113" s="138">
        <v>293</v>
      </c>
      <c r="B113" s="4" t="s">
        <v>41</v>
      </c>
      <c r="C113" s="4" t="s">
        <v>155</v>
      </c>
      <c r="D113" s="4" t="s">
        <v>722</v>
      </c>
      <c r="E113" s="4" t="s">
        <v>715</v>
      </c>
      <c r="F113" s="4">
        <v>8852</v>
      </c>
      <c r="G113" s="4" t="s">
        <v>44</v>
      </c>
      <c r="H113" s="4" t="s">
        <v>22</v>
      </c>
      <c r="I113" s="4" t="s">
        <v>723</v>
      </c>
      <c r="J113" s="25"/>
    </row>
    <row r="114" spans="1:10" x14ac:dyDescent="0.25">
      <c r="A114" s="138">
        <v>292</v>
      </c>
      <c r="B114" s="4" t="s">
        <v>53</v>
      </c>
      <c r="C114" s="4" t="s">
        <v>724</v>
      </c>
      <c r="D114" s="4" t="s">
        <v>725</v>
      </c>
      <c r="E114" s="4" t="s">
        <v>726</v>
      </c>
      <c r="F114" s="4">
        <v>8645</v>
      </c>
      <c r="G114" s="4" t="s">
        <v>727</v>
      </c>
      <c r="H114" s="4" t="s">
        <v>22</v>
      </c>
      <c r="I114" s="4" t="s">
        <v>728</v>
      </c>
      <c r="J114" s="25" t="s">
        <v>729</v>
      </c>
    </row>
    <row r="115" spans="1:10" x14ac:dyDescent="0.25">
      <c r="A115" s="138">
        <v>291</v>
      </c>
      <c r="B115" s="4" t="s">
        <v>64</v>
      </c>
      <c r="C115" s="4" t="s">
        <v>724</v>
      </c>
      <c r="D115" s="4" t="s">
        <v>730</v>
      </c>
      <c r="E115" s="4" t="s">
        <v>731</v>
      </c>
      <c r="F115" s="4">
        <v>8645</v>
      </c>
      <c r="G115" s="4" t="s">
        <v>727</v>
      </c>
      <c r="H115" s="4" t="s">
        <v>22</v>
      </c>
      <c r="I115" s="4" t="s">
        <v>732</v>
      </c>
      <c r="J115" s="25" t="s">
        <v>729</v>
      </c>
    </row>
    <row r="116" spans="1:10" x14ac:dyDescent="0.25">
      <c r="A116" s="138">
        <v>284</v>
      </c>
      <c r="B116" s="4" t="s">
        <v>41</v>
      </c>
      <c r="C116" s="4" t="s">
        <v>733</v>
      </c>
      <c r="D116" s="4" t="s">
        <v>734</v>
      </c>
      <c r="E116" s="4" t="s">
        <v>735</v>
      </c>
      <c r="F116" s="4">
        <v>8855</v>
      </c>
      <c r="G116" s="4" t="s">
        <v>23</v>
      </c>
      <c r="H116" s="4" t="s">
        <v>22</v>
      </c>
      <c r="I116" s="4" t="s">
        <v>736</v>
      </c>
      <c r="J116" s="25" t="s">
        <v>737</v>
      </c>
    </row>
    <row r="117" spans="1:10" x14ac:dyDescent="0.25">
      <c r="A117" s="138">
        <v>285</v>
      </c>
      <c r="B117" s="4" t="s">
        <v>64</v>
      </c>
      <c r="C117" s="4" t="s">
        <v>738</v>
      </c>
      <c r="D117" s="4" t="s">
        <v>734</v>
      </c>
      <c r="E117" s="4" t="s">
        <v>731</v>
      </c>
      <c r="F117" s="4">
        <v>8867</v>
      </c>
      <c r="G117" s="4" t="s">
        <v>739</v>
      </c>
      <c r="H117" s="4" t="s">
        <v>22</v>
      </c>
      <c r="I117" s="4" t="s">
        <v>740</v>
      </c>
      <c r="J117" s="25" t="s">
        <v>741</v>
      </c>
    </row>
    <row r="118" spans="1:10" x14ac:dyDescent="0.25">
      <c r="A118" s="138">
        <v>280</v>
      </c>
      <c r="B118" s="4" t="s">
        <v>41</v>
      </c>
      <c r="C118" s="4" t="s">
        <v>75</v>
      </c>
      <c r="D118" s="4" t="s">
        <v>742</v>
      </c>
      <c r="E118" s="4" t="s">
        <v>743</v>
      </c>
      <c r="F118" s="4">
        <v>8854</v>
      </c>
      <c r="G118" s="4" t="s">
        <v>77</v>
      </c>
      <c r="H118" s="4" t="s">
        <v>22</v>
      </c>
      <c r="I118" s="4" t="s">
        <v>744</v>
      </c>
      <c r="J118" s="25" t="s">
        <v>745</v>
      </c>
    </row>
    <row r="119" spans="1:10" x14ac:dyDescent="0.25">
      <c r="A119" s="138">
        <v>282</v>
      </c>
      <c r="B119" s="4" t="s">
        <v>64</v>
      </c>
      <c r="C119" s="4" t="s">
        <v>746</v>
      </c>
      <c r="D119" s="4" t="s">
        <v>742</v>
      </c>
      <c r="E119" s="4" t="s">
        <v>747</v>
      </c>
      <c r="F119" s="4">
        <v>8852</v>
      </c>
      <c r="G119" s="4" t="s">
        <v>44</v>
      </c>
      <c r="H119" s="4" t="s">
        <v>22</v>
      </c>
      <c r="I119" s="4" t="s">
        <v>748</v>
      </c>
      <c r="J119" s="25" t="s">
        <v>749</v>
      </c>
    </row>
    <row r="120" spans="1:10" x14ac:dyDescent="0.25">
      <c r="A120" s="138">
        <v>279</v>
      </c>
      <c r="B120" s="4" t="s">
        <v>64</v>
      </c>
      <c r="C120" s="4" t="s">
        <v>750</v>
      </c>
      <c r="D120" s="4" t="s">
        <v>751</v>
      </c>
      <c r="E120" s="4" t="s">
        <v>752</v>
      </c>
      <c r="F120" s="4">
        <v>8852</v>
      </c>
      <c r="G120" s="4" t="s">
        <v>44</v>
      </c>
      <c r="H120" s="4" t="s">
        <v>22</v>
      </c>
      <c r="I120" s="4" t="s">
        <v>753</v>
      </c>
      <c r="J120" s="25" t="s">
        <v>754</v>
      </c>
    </row>
    <row r="121" spans="1:10" x14ac:dyDescent="0.25">
      <c r="A121" s="138">
        <v>278</v>
      </c>
      <c r="B121" s="4" t="s">
        <v>41</v>
      </c>
      <c r="C121" s="4" t="s">
        <v>755</v>
      </c>
      <c r="D121" s="4" t="s">
        <v>756</v>
      </c>
      <c r="E121" s="4" t="s">
        <v>752</v>
      </c>
      <c r="F121" s="4">
        <v>8856</v>
      </c>
      <c r="G121" s="4" t="s">
        <v>525</v>
      </c>
      <c r="H121" s="4" t="s">
        <v>22</v>
      </c>
      <c r="I121" s="4" t="s">
        <v>757</v>
      </c>
      <c r="J121" s="25" t="s">
        <v>758</v>
      </c>
    </row>
    <row r="122" spans="1:10" x14ac:dyDescent="0.25">
      <c r="A122" s="138">
        <v>277</v>
      </c>
      <c r="B122" s="4" t="s">
        <v>64</v>
      </c>
      <c r="C122" s="4" t="s">
        <v>759</v>
      </c>
      <c r="D122" s="4" t="s">
        <v>756</v>
      </c>
      <c r="E122" s="4" t="s">
        <v>760</v>
      </c>
      <c r="F122" s="4">
        <v>8873</v>
      </c>
      <c r="G122" s="4" t="s">
        <v>761</v>
      </c>
      <c r="H122" s="4" t="s">
        <v>22</v>
      </c>
      <c r="I122" s="4" t="s">
        <v>762</v>
      </c>
      <c r="J122" s="25" t="s">
        <v>763</v>
      </c>
    </row>
    <row r="123" spans="1:10" x14ac:dyDescent="0.25">
      <c r="A123" s="138">
        <v>276</v>
      </c>
      <c r="B123" s="4" t="s">
        <v>41</v>
      </c>
      <c r="C123" s="4" t="s">
        <v>764</v>
      </c>
      <c r="D123" s="4" t="s">
        <v>765</v>
      </c>
      <c r="E123" s="4" t="s">
        <v>760</v>
      </c>
      <c r="F123" s="4">
        <v>8832</v>
      </c>
      <c r="G123" s="4" t="s">
        <v>108</v>
      </c>
      <c r="H123" s="4" t="s">
        <v>22</v>
      </c>
      <c r="I123" s="4" t="s">
        <v>766</v>
      </c>
      <c r="J123" s="25" t="s">
        <v>767</v>
      </c>
    </row>
    <row r="124" spans="1:10" x14ac:dyDescent="0.25">
      <c r="A124" s="138">
        <v>275</v>
      </c>
      <c r="B124" s="4" t="s">
        <v>64</v>
      </c>
      <c r="C124" s="4" t="s">
        <v>768</v>
      </c>
      <c r="D124" s="4" t="s">
        <v>769</v>
      </c>
      <c r="E124" s="4" t="s">
        <v>760</v>
      </c>
      <c r="F124" s="4">
        <v>8853</v>
      </c>
      <c r="G124" s="4" t="s">
        <v>50</v>
      </c>
      <c r="H124" s="4" t="s">
        <v>22</v>
      </c>
      <c r="I124" s="4" t="s">
        <v>770</v>
      </c>
      <c r="J124" s="25" t="s">
        <v>771</v>
      </c>
    </row>
    <row r="125" spans="1:10" x14ac:dyDescent="0.25">
      <c r="A125" s="138">
        <v>274</v>
      </c>
      <c r="B125" s="4" t="s">
        <v>41</v>
      </c>
      <c r="C125" s="4" t="s">
        <v>772</v>
      </c>
      <c r="D125" s="4" t="s">
        <v>773</v>
      </c>
      <c r="E125" s="4" t="s">
        <v>760</v>
      </c>
      <c r="F125" s="4">
        <v>8006</v>
      </c>
      <c r="G125" s="4" t="s">
        <v>131</v>
      </c>
      <c r="H125" s="4" t="s">
        <v>22</v>
      </c>
      <c r="I125" s="4" t="s">
        <v>774</v>
      </c>
      <c r="J125" s="25" t="s">
        <v>775</v>
      </c>
    </row>
    <row r="126" spans="1:10" x14ac:dyDescent="0.25">
      <c r="A126" s="138">
        <v>273</v>
      </c>
      <c r="B126" s="4" t="s">
        <v>53</v>
      </c>
      <c r="C126" s="4" t="s">
        <v>746</v>
      </c>
      <c r="D126" s="4" t="s">
        <v>776</v>
      </c>
      <c r="E126" s="4" t="s">
        <v>760</v>
      </c>
      <c r="F126" s="4">
        <v>8852</v>
      </c>
      <c r="G126" s="4" t="s">
        <v>44</v>
      </c>
      <c r="H126" s="4" t="s">
        <v>22</v>
      </c>
      <c r="I126" s="4" t="s">
        <v>777</v>
      </c>
      <c r="J126" s="25" t="s">
        <v>749</v>
      </c>
    </row>
    <row r="127" spans="1:10" x14ac:dyDescent="0.25">
      <c r="A127" s="138">
        <v>271</v>
      </c>
      <c r="B127" s="4" t="s">
        <v>41</v>
      </c>
      <c r="C127" s="4" t="s">
        <v>778</v>
      </c>
      <c r="D127" s="4" t="s">
        <v>779</v>
      </c>
      <c r="E127" s="4" t="s">
        <v>760</v>
      </c>
      <c r="F127" s="4">
        <v>8863</v>
      </c>
      <c r="G127" s="4" t="s">
        <v>72</v>
      </c>
      <c r="H127" s="4" t="s">
        <v>22</v>
      </c>
      <c r="I127" s="4" t="s">
        <v>780</v>
      </c>
      <c r="J127" s="25" t="s">
        <v>781</v>
      </c>
    </row>
    <row r="128" spans="1:10" x14ac:dyDescent="0.25">
      <c r="A128" s="138">
        <v>269</v>
      </c>
      <c r="B128" s="4" t="s">
        <v>41</v>
      </c>
      <c r="C128" s="4" t="s">
        <v>782</v>
      </c>
      <c r="D128" s="4" t="s">
        <v>783</v>
      </c>
      <c r="E128" s="4" t="s">
        <v>760</v>
      </c>
      <c r="F128" s="4">
        <v>8853</v>
      </c>
      <c r="G128" s="4" t="s">
        <v>50</v>
      </c>
      <c r="H128" s="4" t="s">
        <v>22</v>
      </c>
      <c r="I128" s="4" t="s">
        <v>784</v>
      </c>
      <c r="J128" s="25" t="s">
        <v>785</v>
      </c>
    </row>
    <row r="129" spans="1:10" x14ac:dyDescent="0.25">
      <c r="A129" s="138">
        <v>268</v>
      </c>
      <c r="B129" s="4" t="s">
        <v>41</v>
      </c>
      <c r="C129" s="4" t="s">
        <v>782</v>
      </c>
      <c r="D129" s="4" t="s">
        <v>786</v>
      </c>
      <c r="E129" s="4" t="s">
        <v>787</v>
      </c>
      <c r="F129" s="4">
        <v>8853</v>
      </c>
      <c r="G129" s="4" t="s">
        <v>50</v>
      </c>
      <c r="H129" s="4" t="s">
        <v>22</v>
      </c>
      <c r="I129" s="4" t="s">
        <v>788</v>
      </c>
      <c r="J129" s="25" t="s">
        <v>785</v>
      </c>
    </row>
    <row r="130" spans="1:10" x14ac:dyDescent="0.25">
      <c r="A130" s="138">
        <v>267</v>
      </c>
      <c r="B130" s="4" t="s">
        <v>41</v>
      </c>
      <c r="C130" s="4" t="s">
        <v>789</v>
      </c>
      <c r="D130" s="4" t="s">
        <v>790</v>
      </c>
      <c r="E130" s="4" t="s">
        <v>791</v>
      </c>
      <c r="F130" s="4">
        <v>8853</v>
      </c>
      <c r="G130" s="4" t="s">
        <v>50</v>
      </c>
      <c r="H130" s="4" t="s">
        <v>22</v>
      </c>
      <c r="I130" s="4" t="s">
        <v>792</v>
      </c>
      <c r="J130" s="25" t="s">
        <v>793</v>
      </c>
    </row>
    <row r="131" spans="1:10" x14ac:dyDescent="0.25">
      <c r="A131" s="138">
        <v>266</v>
      </c>
      <c r="B131" s="4" t="s">
        <v>41</v>
      </c>
      <c r="C131" s="4" t="s">
        <v>789</v>
      </c>
      <c r="D131" s="4" t="s">
        <v>794</v>
      </c>
      <c r="E131" s="4" t="s">
        <v>795</v>
      </c>
      <c r="F131" s="4">
        <v>8853</v>
      </c>
      <c r="G131" s="4" t="s">
        <v>50</v>
      </c>
      <c r="H131" s="4" t="s">
        <v>22</v>
      </c>
      <c r="I131" s="4" t="s">
        <v>796</v>
      </c>
      <c r="J131" s="25" t="s">
        <v>793</v>
      </c>
    </row>
    <row r="132" spans="1:10" x14ac:dyDescent="0.25">
      <c r="A132" s="138">
        <v>265</v>
      </c>
      <c r="B132" s="4" t="s">
        <v>64</v>
      </c>
      <c r="C132" s="4" t="s">
        <v>797</v>
      </c>
      <c r="D132" s="4" t="s">
        <v>798</v>
      </c>
      <c r="E132" s="4" t="s">
        <v>799</v>
      </c>
      <c r="F132" s="4">
        <v>8853</v>
      </c>
      <c r="G132" s="4" t="s">
        <v>50</v>
      </c>
      <c r="H132" s="4" t="s">
        <v>22</v>
      </c>
      <c r="I132" s="4" t="s">
        <v>800</v>
      </c>
      <c r="J132" s="25" t="s">
        <v>793</v>
      </c>
    </row>
    <row r="133" spans="1:10" x14ac:dyDescent="0.25">
      <c r="A133" s="138">
        <v>264</v>
      </c>
      <c r="B133" s="4" t="s">
        <v>53</v>
      </c>
      <c r="C133" s="4" t="s">
        <v>789</v>
      </c>
      <c r="D133" s="4" t="s">
        <v>801</v>
      </c>
      <c r="E133" s="4" t="s">
        <v>802</v>
      </c>
      <c r="F133" s="4">
        <v>8853</v>
      </c>
      <c r="G133" s="4" t="s">
        <v>50</v>
      </c>
      <c r="H133" s="4" t="s">
        <v>22</v>
      </c>
      <c r="I133" s="4" t="s">
        <v>803</v>
      </c>
      <c r="J133" s="25" t="s">
        <v>793</v>
      </c>
    </row>
    <row r="134" spans="1:10" x14ac:dyDescent="0.25">
      <c r="A134" s="138">
        <v>263</v>
      </c>
      <c r="B134" s="4" t="s">
        <v>41</v>
      </c>
      <c r="C134" s="4" t="s">
        <v>804</v>
      </c>
      <c r="D134" s="4" t="s">
        <v>805</v>
      </c>
      <c r="E134" s="4" t="s">
        <v>806</v>
      </c>
      <c r="F134" s="4">
        <v>8810</v>
      </c>
      <c r="G134" s="4" t="s">
        <v>807</v>
      </c>
      <c r="H134" s="4" t="s">
        <v>22</v>
      </c>
      <c r="I134" s="4" t="s">
        <v>808</v>
      </c>
      <c r="J134" s="25" t="s">
        <v>809</v>
      </c>
    </row>
    <row r="135" spans="1:10" x14ac:dyDescent="0.25">
      <c r="A135" s="138">
        <v>244</v>
      </c>
      <c r="B135" s="4" t="s">
        <v>41</v>
      </c>
      <c r="C135" s="4" t="s">
        <v>810</v>
      </c>
      <c r="D135" s="4" t="s">
        <v>811</v>
      </c>
      <c r="E135" s="4" t="s">
        <v>812</v>
      </c>
      <c r="F135" s="4">
        <v>8854</v>
      </c>
      <c r="G135" s="4" t="s">
        <v>77</v>
      </c>
      <c r="H135" s="4" t="s">
        <v>22</v>
      </c>
      <c r="I135" s="4" t="s">
        <v>813</v>
      </c>
      <c r="J135" s="25" t="s">
        <v>814</v>
      </c>
    </row>
    <row r="136" spans="1:10" x14ac:dyDescent="0.25">
      <c r="A136" s="138">
        <v>248</v>
      </c>
      <c r="B136" s="4" t="s">
        <v>41</v>
      </c>
      <c r="C136" s="4" t="s">
        <v>391</v>
      </c>
      <c r="D136" s="4" t="s">
        <v>811</v>
      </c>
      <c r="E136" s="4" t="s">
        <v>815</v>
      </c>
      <c r="F136" s="4">
        <v>8854</v>
      </c>
      <c r="G136" s="4" t="s">
        <v>77</v>
      </c>
      <c r="H136" s="4" t="s">
        <v>22</v>
      </c>
      <c r="I136" s="4" t="s">
        <v>816</v>
      </c>
      <c r="J136" s="25" t="s">
        <v>817</v>
      </c>
    </row>
    <row r="137" spans="1:10" x14ac:dyDescent="0.25">
      <c r="A137" s="138">
        <v>247</v>
      </c>
      <c r="B137" s="4" t="s">
        <v>64</v>
      </c>
      <c r="C137" s="4" t="s">
        <v>818</v>
      </c>
      <c r="D137" s="4" t="s">
        <v>811</v>
      </c>
      <c r="E137" s="4" t="s">
        <v>819</v>
      </c>
      <c r="F137" s="4">
        <v>8864</v>
      </c>
      <c r="G137" s="4" t="s">
        <v>462</v>
      </c>
      <c r="H137" s="4" t="s">
        <v>22</v>
      </c>
      <c r="I137" s="4" t="s">
        <v>820</v>
      </c>
      <c r="J137" s="25"/>
    </row>
    <row r="138" spans="1:10" x14ac:dyDescent="0.25">
      <c r="A138" s="138">
        <v>250</v>
      </c>
      <c r="B138" s="4" t="s">
        <v>64</v>
      </c>
      <c r="C138" s="4" t="s">
        <v>821</v>
      </c>
      <c r="D138" s="4" t="s">
        <v>811</v>
      </c>
      <c r="E138" s="4" t="s">
        <v>822</v>
      </c>
      <c r="F138" s="4">
        <v>8853</v>
      </c>
      <c r="G138" s="4" t="s">
        <v>50</v>
      </c>
      <c r="H138" s="4" t="s">
        <v>22</v>
      </c>
      <c r="I138" s="4" t="s">
        <v>823</v>
      </c>
      <c r="J138" s="25" t="s">
        <v>824</v>
      </c>
    </row>
    <row r="139" spans="1:10" x14ac:dyDescent="0.25">
      <c r="A139" s="138">
        <v>252</v>
      </c>
      <c r="B139" s="4" t="s">
        <v>64</v>
      </c>
      <c r="C139" s="4" t="s">
        <v>825</v>
      </c>
      <c r="D139" s="4" t="s">
        <v>811</v>
      </c>
      <c r="E139" s="4" t="s">
        <v>826</v>
      </c>
      <c r="F139" s="4">
        <v>8853</v>
      </c>
      <c r="G139" s="4" t="s">
        <v>50</v>
      </c>
      <c r="H139" s="4" t="s">
        <v>22</v>
      </c>
      <c r="I139" s="4" t="s">
        <v>827</v>
      </c>
      <c r="J139" s="25" t="s">
        <v>828</v>
      </c>
    </row>
    <row r="140" spans="1:10" x14ac:dyDescent="0.25">
      <c r="A140" s="138">
        <v>255</v>
      </c>
      <c r="B140" s="4" t="s">
        <v>64</v>
      </c>
      <c r="C140" s="4" t="s">
        <v>768</v>
      </c>
      <c r="D140" s="4" t="s">
        <v>811</v>
      </c>
      <c r="E140" s="4" t="s">
        <v>829</v>
      </c>
      <c r="F140" s="4">
        <v>8853</v>
      </c>
      <c r="G140" s="4" t="s">
        <v>50</v>
      </c>
      <c r="H140" s="4" t="s">
        <v>22</v>
      </c>
      <c r="I140" s="4" t="s">
        <v>830</v>
      </c>
      <c r="J140" s="25"/>
    </row>
    <row r="141" spans="1:10" x14ac:dyDescent="0.25">
      <c r="A141" s="138">
        <v>256</v>
      </c>
      <c r="B141" s="4" t="s">
        <v>41</v>
      </c>
      <c r="C141" s="4" t="s">
        <v>768</v>
      </c>
      <c r="D141" s="4" t="s">
        <v>811</v>
      </c>
      <c r="E141" s="4" t="s">
        <v>831</v>
      </c>
      <c r="F141" s="4">
        <v>8853</v>
      </c>
      <c r="G141" s="4" t="s">
        <v>50</v>
      </c>
      <c r="H141" s="4" t="s">
        <v>22</v>
      </c>
      <c r="I141" s="4" t="s">
        <v>830</v>
      </c>
      <c r="J141" s="25"/>
    </row>
    <row r="142" spans="1:10" x14ac:dyDescent="0.25">
      <c r="A142" s="138">
        <v>257</v>
      </c>
      <c r="B142" s="4" t="s">
        <v>64</v>
      </c>
      <c r="C142" s="4" t="s">
        <v>79</v>
      </c>
      <c r="D142" s="4" t="s">
        <v>811</v>
      </c>
      <c r="E142" s="4" t="s">
        <v>831</v>
      </c>
      <c r="F142" s="4">
        <v>8853</v>
      </c>
      <c r="G142" s="4" t="s">
        <v>50</v>
      </c>
      <c r="H142" s="4" t="s">
        <v>22</v>
      </c>
      <c r="I142" s="4" t="s">
        <v>832</v>
      </c>
      <c r="J142" s="25" t="s">
        <v>833</v>
      </c>
    </row>
    <row r="143" spans="1:10" x14ac:dyDescent="0.25">
      <c r="A143" s="138">
        <v>258</v>
      </c>
      <c r="B143" s="4" t="s">
        <v>53</v>
      </c>
      <c r="C143" s="4" t="s">
        <v>834</v>
      </c>
      <c r="D143" s="4" t="s">
        <v>811</v>
      </c>
      <c r="E143" s="4" t="s">
        <v>831</v>
      </c>
      <c r="F143" s="4">
        <v>8852</v>
      </c>
      <c r="G143" s="4" t="s">
        <v>44</v>
      </c>
      <c r="H143" s="4" t="s">
        <v>22</v>
      </c>
      <c r="I143" s="4" t="s">
        <v>835</v>
      </c>
      <c r="J143" s="25" t="s">
        <v>836</v>
      </c>
    </row>
    <row r="144" spans="1:10" x14ac:dyDescent="0.25">
      <c r="A144" s="138">
        <v>241</v>
      </c>
      <c r="B144" s="4" t="s">
        <v>41</v>
      </c>
      <c r="C144" s="4" t="s">
        <v>654</v>
      </c>
      <c r="D144" s="4" t="s">
        <v>837</v>
      </c>
      <c r="E144" s="4" t="s">
        <v>838</v>
      </c>
      <c r="F144" s="4">
        <v>8855</v>
      </c>
      <c r="G144" s="4" t="s">
        <v>23</v>
      </c>
      <c r="H144" s="4" t="s">
        <v>22</v>
      </c>
      <c r="I144" s="4" t="s">
        <v>839</v>
      </c>
      <c r="J144" s="25" t="s">
        <v>658</v>
      </c>
    </row>
    <row r="145" spans="1:10" x14ac:dyDescent="0.25">
      <c r="A145" s="138">
        <v>240</v>
      </c>
      <c r="B145" s="4" t="s">
        <v>64</v>
      </c>
      <c r="C145" s="4" t="s">
        <v>840</v>
      </c>
      <c r="D145" s="4" t="s">
        <v>841</v>
      </c>
      <c r="E145" s="4" t="s">
        <v>838</v>
      </c>
      <c r="F145" s="4">
        <v>8853</v>
      </c>
      <c r="G145" s="4" t="s">
        <v>50</v>
      </c>
      <c r="H145" s="4" t="s">
        <v>22</v>
      </c>
      <c r="I145" s="4" t="s">
        <v>842</v>
      </c>
      <c r="J145" s="25"/>
    </row>
    <row r="146" spans="1:10" x14ac:dyDescent="0.25">
      <c r="A146" s="138">
        <v>239</v>
      </c>
      <c r="B146" s="4" t="s">
        <v>41</v>
      </c>
      <c r="C146" s="4" t="s">
        <v>843</v>
      </c>
      <c r="D146" s="4" t="s">
        <v>841</v>
      </c>
      <c r="E146" s="4" t="s">
        <v>838</v>
      </c>
      <c r="F146" s="4">
        <v>8807</v>
      </c>
      <c r="G146" s="4" t="s">
        <v>67</v>
      </c>
      <c r="H146" s="4" t="s">
        <v>22</v>
      </c>
      <c r="I146" s="4" t="s">
        <v>844</v>
      </c>
      <c r="J146" s="25" t="s">
        <v>845</v>
      </c>
    </row>
    <row r="147" spans="1:10" x14ac:dyDescent="0.25">
      <c r="A147" s="138">
        <v>238</v>
      </c>
      <c r="B147" s="4" t="s">
        <v>64</v>
      </c>
      <c r="C147" s="4" t="s">
        <v>846</v>
      </c>
      <c r="D147" s="4" t="s">
        <v>847</v>
      </c>
      <c r="E147" s="4" t="s">
        <v>838</v>
      </c>
      <c r="F147" s="4">
        <v>8853</v>
      </c>
      <c r="G147" s="4" t="s">
        <v>50</v>
      </c>
      <c r="H147" s="4" t="s">
        <v>22</v>
      </c>
      <c r="I147" s="4" t="s">
        <v>848</v>
      </c>
      <c r="J147" s="25" t="s">
        <v>849</v>
      </c>
    </row>
    <row r="148" spans="1:10" x14ac:dyDescent="0.25">
      <c r="A148" s="138">
        <v>234</v>
      </c>
      <c r="B148" s="4" t="s">
        <v>41</v>
      </c>
      <c r="C148" s="4" t="s">
        <v>850</v>
      </c>
      <c r="D148" s="4" t="s">
        <v>851</v>
      </c>
      <c r="E148" s="4" t="s">
        <v>852</v>
      </c>
      <c r="F148" s="4">
        <v>8852</v>
      </c>
      <c r="G148" s="4" t="s">
        <v>44</v>
      </c>
      <c r="H148" s="4" t="s">
        <v>22</v>
      </c>
      <c r="I148" s="4" t="s">
        <v>853</v>
      </c>
      <c r="J148" s="25" t="s">
        <v>854</v>
      </c>
    </row>
    <row r="149" spans="1:10" x14ac:dyDescent="0.25">
      <c r="A149" s="138">
        <v>233</v>
      </c>
      <c r="B149" s="4" t="s">
        <v>64</v>
      </c>
      <c r="C149" s="4" t="s">
        <v>850</v>
      </c>
      <c r="D149" s="4" t="s">
        <v>855</v>
      </c>
      <c r="E149" s="4" t="s">
        <v>856</v>
      </c>
      <c r="F149" s="4">
        <v>8853</v>
      </c>
      <c r="G149" s="4" t="s">
        <v>50</v>
      </c>
      <c r="H149" s="4" t="s">
        <v>22</v>
      </c>
      <c r="I149" s="4" t="s">
        <v>857</v>
      </c>
      <c r="J149" s="25" t="s">
        <v>858</v>
      </c>
    </row>
    <row r="150" spans="1:10" x14ac:dyDescent="0.25">
      <c r="A150" s="138">
        <v>232</v>
      </c>
      <c r="B150" s="4" t="s">
        <v>41</v>
      </c>
      <c r="C150" s="4" t="s">
        <v>859</v>
      </c>
      <c r="D150" s="4" t="s">
        <v>860</v>
      </c>
      <c r="E150" s="4" t="s">
        <v>861</v>
      </c>
      <c r="F150" s="4">
        <v>8853</v>
      </c>
      <c r="G150" s="4" t="s">
        <v>50</v>
      </c>
      <c r="H150" s="4" t="s">
        <v>22</v>
      </c>
      <c r="I150" s="4" t="s">
        <v>862</v>
      </c>
      <c r="J150" s="25" t="s">
        <v>863</v>
      </c>
    </row>
    <row r="151" spans="1:10" x14ac:dyDescent="0.25">
      <c r="A151" s="138">
        <v>231</v>
      </c>
      <c r="B151" s="4" t="s">
        <v>53</v>
      </c>
      <c r="C151" s="4" t="s">
        <v>859</v>
      </c>
      <c r="D151" s="4" t="s">
        <v>864</v>
      </c>
      <c r="E151" s="4" t="s">
        <v>865</v>
      </c>
      <c r="F151" s="4">
        <v>8853</v>
      </c>
      <c r="G151" s="4" t="s">
        <v>50</v>
      </c>
      <c r="H151" s="4" t="s">
        <v>22</v>
      </c>
      <c r="I151" s="4" t="s">
        <v>866</v>
      </c>
      <c r="J151" s="25" t="s">
        <v>863</v>
      </c>
    </row>
    <row r="152" spans="1:10" x14ac:dyDescent="0.25">
      <c r="A152" s="138">
        <v>228</v>
      </c>
      <c r="B152" s="4" t="s">
        <v>53</v>
      </c>
      <c r="C152" s="4" t="s">
        <v>867</v>
      </c>
      <c r="D152" s="4" t="s">
        <v>868</v>
      </c>
      <c r="E152" s="4" t="s">
        <v>869</v>
      </c>
      <c r="F152" s="4">
        <v>8834</v>
      </c>
      <c r="G152" s="4" t="s">
        <v>440</v>
      </c>
      <c r="H152" s="4" t="s">
        <v>22</v>
      </c>
      <c r="I152" s="4" t="s">
        <v>870</v>
      </c>
      <c r="J152" s="25" t="s">
        <v>871</v>
      </c>
    </row>
    <row r="153" spans="1:10" x14ac:dyDescent="0.25">
      <c r="A153" s="138">
        <v>229</v>
      </c>
      <c r="B153" s="4" t="s">
        <v>64</v>
      </c>
      <c r="C153" s="4" t="s">
        <v>867</v>
      </c>
      <c r="D153" s="4" t="s">
        <v>868</v>
      </c>
      <c r="E153" s="4" t="s">
        <v>872</v>
      </c>
      <c r="F153" s="4">
        <v>8834</v>
      </c>
      <c r="G153" s="4" t="s">
        <v>440</v>
      </c>
      <c r="H153" s="4" t="s">
        <v>22</v>
      </c>
      <c r="I153" s="4" t="s">
        <v>870</v>
      </c>
      <c r="J153" s="25" t="s">
        <v>871</v>
      </c>
    </row>
    <row r="154" spans="1:10" x14ac:dyDescent="0.25">
      <c r="A154" s="138">
        <v>226</v>
      </c>
      <c r="B154" s="4" t="s">
        <v>873</v>
      </c>
      <c r="C154" s="4" t="s">
        <v>874</v>
      </c>
      <c r="D154" s="4" t="s">
        <v>868</v>
      </c>
      <c r="E154" s="4" t="s">
        <v>875</v>
      </c>
      <c r="F154" s="4">
        <v>8853</v>
      </c>
      <c r="G154" s="4" t="s">
        <v>50</v>
      </c>
      <c r="H154" s="4" t="s">
        <v>22</v>
      </c>
      <c r="I154" s="4" t="s">
        <v>876</v>
      </c>
      <c r="J154" s="25"/>
    </row>
    <row r="155" spans="1:10" x14ac:dyDescent="0.25">
      <c r="A155" s="138">
        <v>230</v>
      </c>
      <c r="B155" s="4" t="s">
        <v>64</v>
      </c>
      <c r="C155" s="4" t="s">
        <v>859</v>
      </c>
      <c r="D155" s="4" t="s">
        <v>868</v>
      </c>
      <c r="E155" s="4" t="s">
        <v>877</v>
      </c>
      <c r="F155" s="4">
        <v>8853</v>
      </c>
      <c r="G155" s="4" t="s">
        <v>50</v>
      </c>
      <c r="H155" s="4" t="s">
        <v>22</v>
      </c>
      <c r="I155" s="4" t="s">
        <v>878</v>
      </c>
      <c r="J155" s="25" t="s">
        <v>863</v>
      </c>
    </row>
    <row r="156" spans="1:10" x14ac:dyDescent="0.25">
      <c r="A156" s="138">
        <v>227</v>
      </c>
      <c r="B156" s="4" t="s">
        <v>64</v>
      </c>
      <c r="C156" s="4" t="s">
        <v>879</v>
      </c>
      <c r="D156" s="4" t="s">
        <v>868</v>
      </c>
      <c r="E156" s="4" t="s">
        <v>880</v>
      </c>
      <c r="F156" s="4">
        <v>8854</v>
      </c>
      <c r="G156" s="4" t="s">
        <v>705</v>
      </c>
      <c r="H156" s="4" t="s">
        <v>22</v>
      </c>
      <c r="I156" s="4" t="s">
        <v>881</v>
      </c>
      <c r="J156" s="25" t="s">
        <v>882</v>
      </c>
    </row>
    <row r="157" spans="1:10" x14ac:dyDescent="0.25">
      <c r="A157" s="138">
        <v>220</v>
      </c>
      <c r="B157" s="4" t="s">
        <v>41</v>
      </c>
      <c r="C157" s="4" t="s">
        <v>883</v>
      </c>
      <c r="D157" s="4" t="s">
        <v>884</v>
      </c>
      <c r="E157" s="4" t="s">
        <v>885</v>
      </c>
      <c r="F157" s="4">
        <v>8853</v>
      </c>
      <c r="G157" s="4" t="s">
        <v>50</v>
      </c>
      <c r="H157" s="4" t="s">
        <v>22</v>
      </c>
      <c r="I157" s="4" t="s">
        <v>886</v>
      </c>
      <c r="J157" s="25" t="s">
        <v>887</v>
      </c>
    </row>
    <row r="158" spans="1:10" x14ac:dyDescent="0.25">
      <c r="A158" s="138">
        <v>223</v>
      </c>
      <c r="B158" s="4" t="s">
        <v>53</v>
      </c>
      <c r="C158" s="4" t="s">
        <v>888</v>
      </c>
      <c r="D158" s="4" t="s">
        <v>884</v>
      </c>
      <c r="E158" s="4" t="s">
        <v>889</v>
      </c>
      <c r="F158" s="4">
        <v>8852</v>
      </c>
      <c r="G158" s="4" t="s">
        <v>44</v>
      </c>
      <c r="H158" s="4" t="s">
        <v>22</v>
      </c>
      <c r="I158" s="4" t="s">
        <v>890</v>
      </c>
      <c r="J158" s="25" t="s">
        <v>891</v>
      </c>
    </row>
    <row r="159" spans="1:10" x14ac:dyDescent="0.25">
      <c r="A159" s="138">
        <v>214</v>
      </c>
      <c r="B159" s="4" t="s">
        <v>873</v>
      </c>
      <c r="C159" s="4" t="s">
        <v>892</v>
      </c>
      <c r="D159" s="4" t="s">
        <v>893</v>
      </c>
      <c r="E159" s="4" t="s">
        <v>894</v>
      </c>
      <c r="F159" s="4">
        <v>8854</v>
      </c>
      <c r="G159" s="4" t="s">
        <v>77</v>
      </c>
      <c r="H159" s="4" t="s">
        <v>22</v>
      </c>
      <c r="I159" s="4" t="s">
        <v>895</v>
      </c>
      <c r="J159" s="25"/>
    </row>
    <row r="160" spans="1:10" x14ac:dyDescent="0.25">
      <c r="A160" s="138">
        <v>213</v>
      </c>
      <c r="B160" s="4" t="s">
        <v>41</v>
      </c>
      <c r="C160" s="4" t="s">
        <v>896</v>
      </c>
      <c r="D160" s="4" t="s">
        <v>897</v>
      </c>
      <c r="E160" s="4" t="s">
        <v>898</v>
      </c>
      <c r="F160" s="4">
        <v>8806</v>
      </c>
      <c r="G160" s="4" t="s">
        <v>899</v>
      </c>
      <c r="H160" s="4" t="s">
        <v>22</v>
      </c>
      <c r="I160" s="4" t="s">
        <v>900</v>
      </c>
      <c r="J160" s="25" t="s">
        <v>901</v>
      </c>
    </row>
    <row r="161" spans="1:10" x14ac:dyDescent="0.25">
      <c r="A161" s="138">
        <v>212</v>
      </c>
      <c r="B161" s="4" t="s">
        <v>64</v>
      </c>
      <c r="C161" s="4" t="s">
        <v>902</v>
      </c>
      <c r="D161" s="4" t="s">
        <v>903</v>
      </c>
      <c r="E161" s="4" t="s">
        <v>904</v>
      </c>
      <c r="F161" s="4">
        <v>8853</v>
      </c>
      <c r="G161" s="4" t="s">
        <v>50</v>
      </c>
      <c r="H161" s="4" t="s">
        <v>22</v>
      </c>
      <c r="I161" s="4" t="s">
        <v>905</v>
      </c>
      <c r="J161" s="25" t="s">
        <v>906</v>
      </c>
    </row>
    <row r="162" spans="1:10" x14ac:dyDescent="0.25">
      <c r="A162" s="138">
        <v>210</v>
      </c>
      <c r="B162" s="4" t="s">
        <v>64</v>
      </c>
      <c r="C162" s="4" t="s">
        <v>907</v>
      </c>
      <c r="D162" s="4" t="s">
        <v>908</v>
      </c>
      <c r="E162" s="4" t="s">
        <v>909</v>
      </c>
      <c r="F162" s="4">
        <v>8856</v>
      </c>
      <c r="G162" s="4" t="s">
        <v>525</v>
      </c>
      <c r="H162" s="4" t="s">
        <v>22</v>
      </c>
      <c r="I162" s="4" t="s">
        <v>910</v>
      </c>
      <c r="J162" s="25" t="s">
        <v>911</v>
      </c>
    </row>
    <row r="163" spans="1:10" x14ac:dyDescent="0.25">
      <c r="A163" s="138">
        <v>209</v>
      </c>
      <c r="B163" s="4" t="s">
        <v>53</v>
      </c>
      <c r="C163" s="4" t="s">
        <v>550</v>
      </c>
      <c r="D163" s="4" t="s">
        <v>912</v>
      </c>
      <c r="E163" s="4" t="s">
        <v>913</v>
      </c>
      <c r="F163" s="4">
        <v>8808</v>
      </c>
      <c r="G163" s="4" t="s">
        <v>142</v>
      </c>
      <c r="H163" s="4" t="s">
        <v>22</v>
      </c>
      <c r="I163" s="4" t="s">
        <v>914</v>
      </c>
      <c r="J163" s="25" t="s">
        <v>553</v>
      </c>
    </row>
    <row r="164" spans="1:10" x14ac:dyDescent="0.25">
      <c r="A164" s="138">
        <v>208</v>
      </c>
      <c r="B164" s="4" t="s">
        <v>64</v>
      </c>
      <c r="C164" s="4" t="s">
        <v>915</v>
      </c>
      <c r="D164" s="4" t="s">
        <v>916</v>
      </c>
      <c r="E164" s="4" t="s">
        <v>913</v>
      </c>
      <c r="F164" s="4">
        <v>8853</v>
      </c>
      <c r="G164" s="4" t="s">
        <v>50</v>
      </c>
      <c r="H164" s="4" t="s">
        <v>22</v>
      </c>
      <c r="I164" s="4" t="s">
        <v>917</v>
      </c>
      <c r="J164" s="25" t="s">
        <v>918</v>
      </c>
    </row>
    <row r="165" spans="1:10" x14ac:dyDescent="0.25">
      <c r="A165" s="138">
        <v>204</v>
      </c>
      <c r="B165" s="4" t="s">
        <v>64</v>
      </c>
      <c r="C165" s="4" t="s">
        <v>542</v>
      </c>
      <c r="D165" s="4" t="s">
        <v>919</v>
      </c>
      <c r="E165" s="4" t="s">
        <v>920</v>
      </c>
      <c r="F165" s="4">
        <v>8853</v>
      </c>
      <c r="G165" s="4" t="s">
        <v>50</v>
      </c>
      <c r="H165" s="4" t="s">
        <v>22</v>
      </c>
      <c r="I165" s="4" t="s">
        <v>921</v>
      </c>
      <c r="J165" s="25" t="s">
        <v>546</v>
      </c>
    </row>
    <row r="166" spans="1:10" x14ac:dyDescent="0.25">
      <c r="A166" s="138">
        <v>203</v>
      </c>
      <c r="B166" s="4" t="s">
        <v>64</v>
      </c>
      <c r="C166" s="4" t="s">
        <v>922</v>
      </c>
      <c r="D166" s="4" t="s">
        <v>923</v>
      </c>
      <c r="E166" s="4" t="s">
        <v>924</v>
      </c>
      <c r="F166" s="4">
        <v>8832</v>
      </c>
      <c r="G166" s="4" t="s">
        <v>108</v>
      </c>
      <c r="H166" s="4" t="s">
        <v>22</v>
      </c>
      <c r="I166" s="4" t="s">
        <v>925</v>
      </c>
      <c r="J166" s="25" t="s">
        <v>926</v>
      </c>
    </row>
    <row r="167" spans="1:10" x14ac:dyDescent="0.25">
      <c r="A167" s="138">
        <v>402</v>
      </c>
      <c r="B167" s="4" t="s">
        <v>64</v>
      </c>
      <c r="C167" s="4" t="s">
        <v>155</v>
      </c>
      <c r="D167" s="4" t="s">
        <v>927</v>
      </c>
      <c r="E167" s="4" t="s">
        <v>928</v>
      </c>
      <c r="F167" s="4">
        <v>8004</v>
      </c>
      <c r="G167" s="4" t="s">
        <v>131</v>
      </c>
      <c r="H167" s="4" t="s">
        <v>22</v>
      </c>
      <c r="I167" s="4" t="s">
        <v>929</v>
      </c>
      <c r="J167" s="25" t="s">
        <v>930</v>
      </c>
    </row>
    <row r="168" spans="1:10" x14ac:dyDescent="0.25">
      <c r="A168" s="138">
        <v>202</v>
      </c>
      <c r="B168" s="4" t="s">
        <v>53</v>
      </c>
      <c r="C168" s="4" t="s">
        <v>768</v>
      </c>
      <c r="D168" s="4" t="s">
        <v>931</v>
      </c>
      <c r="E168" s="4" t="s">
        <v>924</v>
      </c>
      <c r="F168" s="4">
        <v>8853</v>
      </c>
      <c r="G168" s="4" t="s">
        <v>50</v>
      </c>
      <c r="H168" s="4" t="s">
        <v>22</v>
      </c>
      <c r="I168" s="4" t="s">
        <v>932</v>
      </c>
      <c r="J168" s="25" t="s">
        <v>771</v>
      </c>
    </row>
    <row r="169" spans="1:10" x14ac:dyDescent="0.25">
      <c r="A169" s="138">
        <v>199</v>
      </c>
      <c r="B169" s="4" t="s">
        <v>41</v>
      </c>
      <c r="C169" s="4" t="s">
        <v>378</v>
      </c>
      <c r="D169" s="4" t="s">
        <v>933</v>
      </c>
      <c r="E169" s="4" t="s">
        <v>934</v>
      </c>
      <c r="F169" s="4">
        <v>8853</v>
      </c>
      <c r="G169" s="4" t="s">
        <v>50</v>
      </c>
      <c r="H169" s="4" t="s">
        <v>22</v>
      </c>
      <c r="I169" s="4" t="s">
        <v>935</v>
      </c>
      <c r="J169" s="25" t="s">
        <v>936</v>
      </c>
    </row>
    <row r="170" spans="1:10" x14ac:dyDescent="0.25">
      <c r="A170" s="138">
        <v>198</v>
      </c>
      <c r="B170" s="4" t="s">
        <v>64</v>
      </c>
      <c r="C170" s="4" t="s">
        <v>378</v>
      </c>
      <c r="D170" s="4" t="s">
        <v>937</v>
      </c>
      <c r="E170" s="4" t="s">
        <v>934</v>
      </c>
      <c r="F170" s="4">
        <v>8832</v>
      </c>
      <c r="G170" s="4" t="s">
        <v>938</v>
      </c>
      <c r="H170" s="4" t="s">
        <v>22</v>
      </c>
      <c r="I170" s="4" t="s">
        <v>939</v>
      </c>
      <c r="J170" s="25" t="s">
        <v>940</v>
      </c>
    </row>
    <row r="171" spans="1:10" x14ac:dyDescent="0.25">
      <c r="A171" s="138">
        <v>196</v>
      </c>
      <c r="B171" s="4" t="s">
        <v>64</v>
      </c>
      <c r="C171" s="4" t="s">
        <v>941</v>
      </c>
      <c r="D171" s="4" t="s">
        <v>937</v>
      </c>
      <c r="E171" s="4" t="s">
        <v>934</v>
      </c>
      <c r="F171" s="4">
        <v>8858</v>
      </c>
      <c r="G171" s="4" t="s">
        <v>942</v>
      </c>
      <c r="H171" s="4" t="s">
        <v>22</v>
      </c>
      <c r="I171" s="4" t="s">
        <v>943</v>
      </c>
      <c r="J171" s="25" t="s">
        <v>944</v>
      </c>
    </row>
    <row r="172" spans="1:10" x14ac:dyDescent="0.25">
      <c r="A172" s="138">
        <v>194</v>
      </c>
      <c r="B172" s="4" t="s">
        <v>53</v>
      </c>
      <c r="C172" s="4" t="s">
        <v>945</v>
      </c>
      <c r="D172" s="4" t="s">
        <v>946</v>
      </c>
      <c r="E172" s="4" t="s">
        <v>947</v>
      </c>
      <c r="F172" s="4">
        <v>8855</v>
      </c>
      <c r="G172" s="4" t="s">
        <v>23</v>
      </c>
      <c r="H172" s="4" t="s">
        <v>22</v>
      </c>
      <c r="I172" s="4" t="s">
        <v>948</v>
      </c>
      <c r="J172" s="25" t="s">
        <v>949</v>
      </c>
    </row>
    <row r="173" spans="1:10" x14ac:dyDescent="0.25">
      <c r="A173" s="138">
        <v>195</v>
      </c>
      <c r="B173" s="4" t="s">
        <v>64</v>
      </c>
      <c r="C173" s="4" t="s">
        <v>945</v>
      </c>
      <c r="D173" s="4" t="s">
        <v>946</v>
      </c>
      <c r="E173" s="4" t="s">
        <v>950</v>
      </c>
      <c r="F173" s="4">
        <v>8855</v>
      </c>
      <c r="G173" s="4" t="s">
        <v>23</v>
      </c>
      <c r="H173" s="4" t="s">
        <v>22</v>
      </c>
      <c r="I173" s="4" t="s">
        <v>948</v>
      </c>
      <c r="J173" s="25" t="s">
        <v>949</v>
      </c>
    </row>
    <row r="174" spans="1:10" x14ac:dyDescent="0.25">
      <c r="A174" s="138">
        <v>193</v>
      </c>
      <c r="B174" s="4" t="s">
        <v>41</v>
      </c>
      <c r="C174" s="4" t="s">
        <v>951</v>
      </c>
      <c r="D174" s="4" t="s">
        <v>946</v>
      </c>
      <c r="E174" s="4" t="s">
        <v>947</v>
      </c>
      <c r="F174" s="4">
        <v>8853</v>
      </c>
      <c r="G174" s="4" t="s">
        <v>50</v>
      </c>
      <c r="H174" s="4" t="s">
        <v>22</v>
      </c>
      <c r="I174" s="4" t="s">
        <v>952</v>
      </c>
      <c r="J174" s="25" t="s">
        <v>953</v>
      </c>
    </row>
    <row r="175" spans="1:10" x14ac:dyDescent="0.25">
      <c r="A175" s="138">
        <v>189</v>
      </c>
      <c r="B175" s="4" t="s">
        <v>64</v>
      </c>
      <c r="C175" s="4" t="s">
        <v>954</v>
      </c>
      <c r="D175" s="4" t="s">
        <v>158</v>
      </c>
      <c r="E175" s="4" t="s">
        <v>955</v>
      </c>
      <c r="F175" s="4">
        <v>8854</v>
      </c>
      <c r="G175" s="4" t="s">
        <v>705</v>
      </c>
      <c r="H175" s="4" t="s">
        <v>22</v>
      </c>
      <c r="I175" s="4" t="s">
        <v>956</v>
      </c>
      <c r="J175" s="25" t="s">
        <v>957</v>
      </c>
    </row>
    <row r="176" spans="1:10" x14ac:dyDescent="0.25">
      <c r="A176" s="138">
        <v>190</v>
      </c>
      <c r="B176" s="4" t="s">
        <v>41</v>
      </c>
      <c r="C176" s="4" t="s">
        <v>958</v>
      </c>
      <c r="D176" s="4" t="s">
        <v>158</v>
      </c>
      <c r="E176" s="4" t="s">
        <v>959</v>
      </c>
      <c r="F176" s="4">
        <v>77781</v>
      </c>
      <c r="G176" s="4" t="s">
        <v>960</v>
      </c>
      <c r="H176" s="4" t="s">
        <v>24</v>
      </c>
      <c r="I176" s="4" t="s">
        <v>961</v>
      </c>
      <c r="J176" s="25"/>
    </row>
    <row r="177" spans="1:10" x14ac:dyDescent="0.25">
      <c r="A177" s="138">
        <v>188</v>
      </c>
      <c r="B177" s="4" t="s">
        <v>41</v>
      </c>
      <c r="C177" s="4" t="s">
        <v>962</v>
      </c>
      <c r="D177" s="4" t="s">
        <v>963</v>
      </c>
      <c r="E177" s="4" t="s">
        <v>964</v>
      </c>
      <c r="F177" s="4">
        <v>8853</v>
      </c>
      <c r="G177" s="4" t="s">
        <v>50</v>
      </c>
      <c r="H177" s="4" t="s">
        <v>22</v>
      </c>
      <c r="I177" s="4" t="s">
        <v>965</v>
      </c>
      <c r="J177" s="25" t="s">
        <v>966</v>
      </c>
    </row>
    <row r="178" spans="1:10" x14ac:dyDescent="0.25">
      <c r="A178" s="138">
        <v>185</v>
      </c>
      <c r="B178" s="4" t="s">
        <v>41</v>
      </c>
      <c r="C178" s="4" t="s">
        <v>967</v>
      </c>
      <c r="D178" s="4" t="s">
        <v>968</v>
      </c>
      <c r="E178" s="4" t="s">
        <v>969</v>
      </c>
      <c r="F178" s="4">
        <v>8854</v>
      </c>
      <c r="G178" s="4" t="s">
        <v>705</v>
      </c>
      <c r="H178" s="4" t="s">
        <v>22</v>
      </c>
      <c r="I178" s="4" t="s">
        <v>970</v>
      </c>
      <c r="J178" s="25" t="s">
        <v>971</v>
      </c>
    </row>
    <row r="179" spans="1:10" x14ac:dyDescent="0.25">
      <c r="A179" s="138">
        <v>184</v>
      </c>
      <c r="B179" s="4" t="s">
        <v>41</v>
      </c>
      <c r="C179" s="4" t="s">
        <v>972</v>
      </c>
      <c r="D179" s="4" t="s">
        <v>973</v>
      </c>
      <c r="E179" s="4" t="s">
        <v>974</v>
      </c>
      <c r="F179" s="4">
        <v>8855</v>
      </c>
      <c r="G179" s="4" t="s">
        <v>23</v>
      </c>
      <c r="H179" s="4" t="s">
        <v>22</v>
      </c>
      <c r="I179" s="4" t="s">
        <v>975</v>
      </c>
      <c r="J179" s="25" t="s">
        <v>976</v>
      </c>
    </row>
    <row r="180" spans="1:10" x14ac:dyDescent="0.25">
      <c r="A180" s="138">
        <v>183</v>
      </c>
      <c r="B180" s="4" t="s">
        <v>64</v>
      </c>
      <c r="C180" s="4" t="s">
        <v>977</v>
      </c>
      <c r="D180" s="4" t="s">
        <v>978</v>
      </c>
      <c r="E180" s="4" t="s">
        <v>979</v>
      </c>
      <c r="F180" s="4">
        <v>8808</v>
      </c>
      <c r="G180" s="4" t="s">
        <v>142</v>
      </c>
      <c r="H180" s="4" t="s">
        <v>22</v>
      </c>
      <c r="I180" s="4" t="s">
        <v>980</v>
      </c>
      <c r="J180" s="25" t="s">
        <v>981</v>
      </c>
    </row>
    <row r="181" spans="1:10" x14ac:dyDescent="0.25">
      <c r="A181" s="138">
        <v>182</v>
      </c>
      <c r="B181" s="4" t="s">
        <v>64</v>
      </c>
      <c r="C181" s="4" t="s">
        <v>982</v>
      </c>
      <c r="D181" s="4" t="s">
        <v>983</v>
      </c>
      <c r="E181" s="4" t="s">
        <v>984</v>
      </c>
      <c r="F181" s="4">
        <v>8834</v>
      </c>
      <c r="G181" s="4" t="s">
        <v>440</v>
      </c>
      <c r="H181" s="4" t="s">
        <v>22</v>
      </c>
      <c r="I181" s="4" t="s">
        <v>985</v>
      </c>
      <c r="J181" s="25" t="s">
        <v>986</v>
      </c>
    </row>
    <row r="182" spans="1:10" x14ac:dyDescent="0.25">
      <c r="A182" s="138">
        <v>180</v>
      </c>
      <c r="B182" s="4" t="s">
        <v>64</v>
      </c>
      <c r="C182" s="4" t="s">
        <v>987</v>
      </c>
      <c r="D182" s="4" t="s">
        <v>988</v>
      </c>
      <c r="E182" s="4" t="s">
        <v>984</v>
      </c>
      <c r="F182" s="4">
        <v>8862</v>
      </c>
      <c r="G182" s="4" t="s">
        <v>358</v>
      </c>
      <c r="H182" s="4" t="s">
        <v>22</v>
      </c>
      <c r="I182" s="4" t="s">
        <v>989</v>
      </c>
      <c r="J182" s="25" t="s">
        <v>990</v>
      </c>
    </row>
    <row r="183" spans="1:10" x14ac:dyDescent="0.25">
      <c r="A183" s="138">
        <v>178</v>
      </c>
      <c r="B183" s="4" t="s">
        <v>41</v>
      </c>
      <c r="C183" s="4" t="s">
        <v>991</v>
      </c>
      <c r="D183" s="4" t="s">
        <v>992</v>
      </c>
      <c r="E183" s="4" t="s">
        <v>993</v>
      </c>
      <c r="F183" s="4">
        <v>8808</v>
      </c>
      <c r="G183" s="4" t="s">
        <v>142</v>
      </c>
      <c r="H183" s="4" t="s">
        <v>22</v>
      </c>
      <c r="I183" s="4" t="s">
        <v>994</v>
      </c>
      <c r="J183" s="25" t="s">
        <v>995</v>
      </c>
    </row>
    <row r="184" spans="1:10" x14ac:dyDescent="0.25">
      <c r="A184" s="138">
        <v>177</v>
      </c>
      <c r="B184" s="4" t="s">
        <v>41</v>
      </c>
      <c r="C184" s="4" t="s">
        <v>991</v>
      </c>
      <c r="D184" s="4" t="s">
        <v>996</v>
      </c>
      <c r="E184" s="4" t="s">
        <v>997</v>
      </c>
      <c r="F184" s="4">
        <v>8645</v>
      </c>
      <c r="G184" s="4" t="s">
        <v>383</v>
      </c>
      <c r="H184" s="4" t="s">
        <v>22</v>
      </c>
      <c r="I184" s="4" t="s">
        <v>998</v>
      </c>
      <c r="J184" s="25" t="s">
        <v>966</v>
      </c>
    </row>
    <row r="185" spans="1:10" x14ac:dyDescent="0.25">
      <c r="A185" s="138">
        <v>170</v>
      </c>
      <c r="B185" s="4" t="s">
        <v>41</v>
      </c>
      <c r="C185" s="4" t="s">
        <v>251</v>
      </c>
      <c r="D185" s="4" t="s">
        <v>999</v>
      </c>
      <c r="E185" s="4" t="s">
        <v>1000</v>
      </c>
      <c r="F185" s="4">
        <v>8855</v>
      </c>
      <c r="G185" s="4" t="s">
        <v>23</v>
      </c>
      <c r="H185" s="4" t="s">
        <v>22</v>
      </c>
      <c r="I185" s="4" t="s">
        <v>1001</v>
      </c>
      <c r="J185" s="25" t="s">
        <v>1002</v>
      </c>
    </row>
    <row r="186" spans="1:10" x14ac:dyDescent="0.25">
      <c r="A186" s="138">
        <v>169</v>
      </c>
      <c r="B186" s="4" t="s">
        <v>64</v>
      </c>
      <c r="C186" s="4" t="s">
        <v>1003</v>
      </c>
      <c r="D186" s="4" t="s">
        <v>999</v>
      </c>
      <c r="E186" s="4" t="s">
        <v>1000</v>
      </c>
      <c r="F186" s="4">
        <v>8808</v>
      </c>
      <c r="G186" s="4" t="s">
        <v>1004</v>
      </c>
      <c r="H186" s="4" t="s">
        <v>22</v>
      </c>
      <c r="I186" s="4" t="s">
        <v>1005</v>
      </c>
      <c r="J186" s="25" t="s">
        <v>1006</v>
      </c>
    </row>
    <row r="187" spans="1:10" x14ac:dyDescent="0.25">
      <c r="A187" s="138">
        <v>168</v>
      </c>
      <c r="B187" s="4" t="s">
        <v>41</v>
      </c>
      <c r="C187" s="4" t="s">
        <v>1007</v>
      </c>
      <c r="D187" s="4" t="s">
        <v>999</v>
      </c>
      <c r="E187" s="4" t="s">
        <v>1008</v>
      </c>
      <c r="F187" s="4">
        <v>8808</v>
      </c>
      <c r="G187" s="4" t="s">
        <v>142</v>
      </c>
      <c r="H187" s="4" t="s">
        <v>22</v>
      </c>
      <c r="I187" s="4" t="s">
        <v>1009</v>
      </c>
      <c r="J187" s="25" t="s">
        <v>1010</v>
      </c>
    </row>
    <row r="188" spans="1:10" x14ac:dyDescent="0.25">
      <c r="A188" s="138">
        <v>166</v>
      </c>
      <c r="B188" s="4" t="s">
        <v>41</v>
      </c>
      <c r="C188" s="4" t="s">
        <v>825</v>
      </c>
      <c r="D188" s="4" t="s">
        <v>1011</v>
      </c>
      <c r="E188" s="4" t="s">
        <v>1012</v>
      </c>
      <c r="F188" s="4">
        <v>8853</v>
      </c>
      <c r="G188" s="4" t="s">
        <v>50</v>
      </c>
      <c r="H188" s="4" t="s">
        <v>22</v>
      </c>
      <c r="I188" s="4" t="s">
        <v>1013</v>
      </c>
      <c r="J188" s="25" t="s">
        <v>1014</v>
      </c>
    </row>
    <row r="189" spans="1:10" x14ac:dyDescent="0.25">
      <c r="A189" s="138">
        <v>165</v>
      </c>
      <c r="B189" s="4" t="s">
        <v>41</v>
      </c>
      <c r="C189" s="4" t="s">
        <v>825</v>
      </c>
      <c r="D189" s="4" t="s">
        <v>1015</v>
      </c>
      <c r="E189" s="4" t="s">
        <v>1012</v>
      </c>
      <c r="F189" s="4">
        <v>8853</v>
      </c>
      <c r="G189" s="4" t="s">
        <v>50</v>
      </c>
      <c r="H189" s="4" t="s">
        <v>22</v>
      </c>
      <c r="I189" s="4" t="s">
        <v>1016</v>
      </c>
      <c r="J189" s="25" t="s">
        <v>1017</v>
      </c>
    </row>
    <row r="190" spans="1:10" x14ac:dyDescent="0.25">
      <c r="A190" s="138">
        <v>161</v>
      </c>
      <c r="B190" s="4" t="s">
        <v>41</v>
      </c>
      <c r="C190" s="4" t="s">
        <v>1018</v>
      </c>
      <c r="D190" s="4" t="s">
        <v>1015</v>
      </c>
      <c r="E190" s="4" t="s">
        <v>1019</v>
      </c>
      <c r="F190" s="4">
        <v>8715</v>
      </c>
      <c r="G190" s="4" t="s">
        <v>1020</v>
      </c>
      <c r="H190" s="4" t="s">
        <v>22</v>
      </c>
      <c r="I190" s="4" t="s">
        <v>1021</v>
      </c>
      <c r="J190" s="25" t="s">
        <v>1022</v>
      </c>
    </row>
    <row r="191" spans="1:10" x14ac:dyDescent="0.25">
      <c r="A191" s="138">
        <v>159</v>
      </c>
      <c r="B191" s="4" t="s">
        <v>64</v>
      </c>
      <c r="C191" s="4" t="s">
        <v>1023</v>
      </c>
      <c r="D191" s="4" t="s">
        <v>1024</v>
      </c>
      <c r="E191" s="4" t="s">
        <v>1019</v>
      </c>
      <c r="F191" s="4">
        <v>8853</v>
      </c>
      <c r="G191" s="4" t="s">
        <v>50</v>
      </c>
      <c r="H191" s="4" t="s">
        <v>22</v>
      </c>
      <c r="I191" s="4" t="s">
        <v>1025</v>
      </c>
      <c r="J191" s="25" t="s">
        <v>1026</v>
      </c>
    </row>
    <row r="192" spans="1:10" x14ac:dyDescent="0.25">
      <c r="A192" s="138">
        <v>158</v>
      </c>
      <c r="B192" s="4" t="s">
        <v>873</v>
      </c>
      <c r="C192" s="4" t="s">
        <v>1027</v>
      </c>
      <c r="D192" s="4" t="s">
        <v>1024</v>
      </c>
      <c r="E192" s="4" t="s">
        <v>1028</v>
      </c>
      <c r="F192" s="4">
        <v>3001</v>
      </c>
      <c r="G192" s="4" t="s">
        <v>1029</v>
      </c>
      <c r="H192" s="4" t="s">
        <v>22</v>
      </c>
      <c r="I192" s="4" t="s">
        <v>1030</v>
      </c>
      <c r="J192" s="25"/>
    </row>
    <row r="193" spans="1:10" x14ac:dyDescent="0.25">
      <c r="A193" s="138">
        <v>156</v>
      </c>
      <c r="B193" s="4" t="s">
        <v>64</v>
      </c>
      <c r="C193" s="4" t="s">
        <v>164</v>
      </c>
      <c r="D193" s="4" t="s">
        <v>1031</v>
      </c>
      <c r="E193" s="4" t="s">
        <v>1028</v>
      </c>
      <c r="F193" s="4">
        <v>8808</v>
      </c>
      <c r="G193" s="4" t="s">
        <v>142</v>
      </c>
      <c r="H193" s="4" t="s">
        <v>22</v>
      </c>
      <c r="I193" s="4" t="s">
        <v>1032</v>
      </c>
      <c r="J193" s="25" t="s">
        <v>1033</v>
      </c>
    </row>
    <row r="194" spans="1:10" x14ac:dyDescent="0.25">
      <c r="A194" s="138">
        <v>155</v>
      </c>
      <c r="B194" s="4" t="s">
        <v>64</v>
      </c>
      <c r="C194" s="4" t="s">
        <v>164</v>
      </c>
      <c r="D194" s="4" t="s">
        <v>1034</v>
      </c>
      <c r="E194" s="4" t="s">
        <v>1028</v>
      </c>
      <c r="F194" s="4">
        <v>8806</v>
      </c>
      <c r="G194" s="4" t="s">
        <v>899</v>
      </c>
      <c r="H194" s="4" t="s">
        <v>22</v>
      </c>
      <c r="I194" s="4" t="s">
        <v>1035</v>
      </c>
      <c r="J194" s="25"/>
    </row>
    <row r="195" spans="1:10" x14ac:dyDescent="0.25">
      <c r="A195" s="138">
        <v>154</v>
      </c>
      <c r="B195" s="4" t="s">
        <v>53</v>
      </c>
      <c r="C195" s="4" t="s">
        <v>164</v>
      </c>
      <c r="D195" s="4" t="s">
        <v>1036</v>
      </c>
      <c r="E195" s="4" t="s">
        <v>1028</v>
      </c>
      <c r="F195" s="4">
        <v>8806</v>
      </c>
      <c r="G195" s="4" t="s">
        <v>899</v>
      </c>
      <c r="H195" s="4" t="s">
        <v>22</v>
      </c>
      <c r="I195" s="4" t="s">
        <v>1037</v>
      </c>
      <c r="J195" s="25"/>
    </row>
    <row r="196" spans="1:10" x14ac:dyDescent="0.25">
      <c r="A196" s="138">
        <v>153</v>
      </c>
      <c r="B196" s="4" t="s">
        <v>41</v>
      </c>
      <c r="C196" s="4" t="s">
        <v>164</v>
      </c>
      <c r="D196" s="4" t="s">
        <v>1038</v>
      </c>
      <c r="E196" s="4" t="s">
        <v>1039</v>
      </c>
      <c r="F196" s="4">
        <v>8718</v>
      </c>
      <c r="G196" s="4" t="s">
        <v>1040</v>
      </c>
      <c r="H196" s="4" t="s">
        <v>22</v>
      </c>
      <c r="I196" s="4" t="s">
        <v>1041</v>
      </c>
      <c r="J196" s="25" t="s">
        <v>1042</v>
      </c>
    </row>
    <row r="197" spans="1:10" x14ac:dyDescent="0.25">
      <c r="A197" s="138">
        <v>151</v>
      </c>
      <c r="B197" s="4" t="s">
        <v>64</v>
      </c>
      <c r="C197" s="4" t="s">
        <v>1043</v>
      </c>
      <c r="D197" s="4" t="s">
        <v>1044</v>
      </c>
      <c r="E197" s="4" t="s">
        <v>1039</v>
      </c>
      <c r="F197" s="4">
        <v>8853</v>
      </c>
      <c r="G197" s="4" t="s">
        <v>50</v>
      </c>
      <c r="H197" s="4" t="s">
        <v>22</v>
      </c>
      <c r="I197" s="4" t="s">
        <v>1045</v>
      </c>
      <c r="J197" s="25" t="s">
        <v>1046</v>
      </c>
    </row>
    <row r="198" spans="1:10" x14ac:dyDescent="0.25">
      <c r="A198" s="138">
        <v>149</v>
      </c>
      <c r="B198" s="4" t="s">
        <v>64</v>
      </c>
      <c r="C198" s="4" t="s">
        <v>1047</v>
      </c>
      <c r="D198" s="4" t="s">
        <v>1048</v>
      </c>
      <c r="E198" s="4" t="s">
        <v>1039</v>
      </c>
      <c r="F198" s="4">
        <v>8854</v>
      </c>
      <c r="G198" s="4" t="s">
        <v>77</v>
      </c>
      <c r="H198" s="4" t="s">
        <v>22</v>
      </c>
      <c r="I198" s="4" t="s">
        <v>1049</v>
      </c>
      <c r="J198" s="25" t="s">
        <v>1050</v>
      </c>
    </row>
    <row r="199" spans="1:10" x14ac:dyDescent="0.25">
      <c r="A199" s="138">
        <v>148</v>
      </c>
      <c r="B199" s="4" t="s">
        <v>41</v>
      </c>
      <c r="C199" s="4" t="s">
        <v>1051</v>
      </c>
      <c r="D199" s="4" t="s">
        <v>5</v>
      </c>
      <c r="E199" s="4" t="s">
        <v>1039</v>
      </c>
      <c r="F199" s="4">
        <v>6103</v>
      </c>
      <c r="G199" s="4" t="s">
        <v>1052</v>
      </c>
      <c r="H199" s="4" t="s">
        <v>22</v>
      </c>
      <c r="I199" s="4" t="s">
        <v>1053</v>
      </c>
      <c r="J199" s="25" t="s">
        <v>1054</v>
      </c>
    </row>
    <row r="200" spans="1:10" x14ac:dyDescent="0.25">
      <c r="A200" s="138">
        <v>147</v>
      </c>
      <c r="B200" s="4" t="s">
        <v>41</v>
      </c>
      <c r="C200" s="4" t="s">
        <v>155</v>
      </c>
      <c r="D200" s="4" t="s">
        <v>1055</v>
      </c>
      <c r="E200" s="4" t="s">
        <v>1056</v>
      </c>
      <c r="F200" s="4">
        <v>8862</v>
      </c>
      <c r="G200" s="4" t="s">
        <v>358</v>
      </c>
      <c r="H200" s="4" t="s">
        <v>22</v>
      </c>
      <c r="I200" s="4" t="s">
        <v>1057</v>
      </c>
      <c r="J200" s="25" t="s">
        <v>1058</v>
      </c>
    </row>
    <row r="201" spans="1:10" x14ac:dyDescent="0.25">
      <c r="A201" s="138">
        <v>146</v>
      </c>
      <c r="B201" s="4" t="s">
        <v>41</v>
      </c>
      <c r="C201" s="4" t="s">
        <v>1059</v>
      </c>
      <c r="D201" s="4" t="s">
        <v>1060</v>
      </c>
      <c r="E201" s="4" t="s">
        <v>1061</v>
      </c>
      <c r="F201" s="4">
        <v>8853</v>
      </c>
      <c r="G201" s="4" t="s">
        <v>50</v>
      </c>
      <c r="H201" s="4" t="s">
        <v>22</v>
      </c>
      <c r="I201" s="4" t="s">
        <v>1062</v>
      </c>
      <c r="J201" s="25" t="s">
        <v>1063</v>
      </c>
    </row>
    <row r="202" spans="1:10" x14ac:dyDescent="0.25">
      <c r="A202" s="138">
        <v>140</v>
      </c>
      <c r="B202" s="4" t="s">
        <v>41</v>
      </c>
      <c r="C202" s="4" t="s">
        <v>47</v>
      </c>
      <c r="D202" s="4" t="s">
        <v>1064</v>
      </c>
      <c r="E202" s="4" t="s">
        <v>1065</v>
      </c>
      <c r="F202" s="4">
        <v>8852</v>
      </c>
      <c r="G202" s="4" t="s">
        <v>44</v>
      </c>
      <c r="H202" s="4" t="s">
        <v>22</v>
      </c>
      <c r="I202" s="4" t="s">
        <v>1066</v>
      </c>
      <c r="J202" s="25"/>
    </row>
    <row r="203" spans="1:10" x14ac:dyDescent="0.25">
      <c r="A203" s="138">
        <v>137</v>
      </c>
      <c r="B203" s="4" t="s">
        <v>41</v>
      </c>
      <c r="C203" s="4" t="s">
        <v>47</v>
      </c>
      <c r="D203" s="4" t="s">
        <v>46</v>
      </c>
      <c r="E203" s="4" t="s">
        <v>45</v>
      </c>
      <c r="F203" s="4">
        <v>8852</v>
      </c>
      <c r="G203" s="4" t="s">
        <v>44</v>
      </c>
      <c r="H203" s="4" t="s">
        <v>22</v>
      </c>
      <c r="I203" s="4" t="s">
        <v>43</v>
      </c>
      <c r="J203" s="25" t="s">
        <v>42</v>
      </c>
    </row>
    <row r="204" spans="1:10" x14ac:dyDescent="0.25">
      <c r="A204" s="138">
        <v>135</v>
      </c>
      <c r="B204" s="4" t="s">
        <v>41</v>
      </c>
      <c r="C204" s="4" t="s">
        <v>1067</v>
      </c>
      <c r="D204" s="4" t="s">
        <v>52</v>
      </c>
      <c r="E204" s="4" t="s">
        <v>51</v>
      </c>
      <c r="F204" s="4">
        <v>8853</v>
      </c>
      <c r="G204" s="4" t="s">
        <v>50</v>
      </c>
      <c r="H204" s="4" t="s">
        <v>22</v>
      </c>
      <c r="I204" s="4" t="s">
        <v>1068</v>
      </c>
      <c r="J204" s="25" t="s">
        <v>49</v>
      </c>
    </row>
    <row r="205" spans="1:10" x14ac:dyDescent="0.25">
      <c r="A205" s="138">
        <v>133</v>
      </c>
      <c r="B205" s="4" t="s">
        <v>41</v>
      </c>
      <c r="C205" s="4" t="s">
        <v>59</v>
      </c>
      <c r="D205" s="4" t="s">
        <v>1069</v>
      </c>
      <c r="E205" s="4" t="s">
        <v>62</v>
      </c>
      <c r="F205" s="4">
        <v>8708</v>
      </c>
      <c r="G205" s="4" t="s">
        <v>56</v>
      </c>
      <c r="H205" s="4" t="s">
        <v>22</v>
      </c>
      <c r="I205" s="4" t="s">
        <v>60</v>
      </c>
      <c r="J205" s="25" t="s">
        <v>54</v>
      </c>
    </row>
    <row r="206" spans="1:10" x14ac:dyDescent="0.25">
      <c r="A206" s="138">
        <v>134</v>
      </c>
      <c r="B206" s="4" t="s">
        <v>53</v>
      </c>
      <c r="C206" s="4" t="s">
        <v>59</v>
      </c>
      <c r="D206" s="4" t="s">
        <v>1069</v>
      </c>
      <c r="E206" s="4" t="s">
        <v>57</v>
      </c>
      <c r="F206" s="4">
        <v>8708</v>
      </c>
      <c r="G206" s="4" t="s">
        <v>56</v>
      </c>
      <c r="H206" s="4" t="s">
        <v>22</v>
      </c>
      <c r="I206" s="4" t="s">
        <v>60</v>
      </c>
      <c r="J206" s="25" t="s">
        <v>54</v>
      </c>
    </row>
    <row r="207" spans="1:10" x14ac:dyDescent="0.25">
      <c r="A207" s="138">
        <v>132</v>
      </c>
      <c r="B207" s="4" t="s">
        <v>64</v>
      </c>
      <c r="C207" s="4" t="s">
        <v>70</v>
      </c>
      <c r="D207" s="4" t="s">
        <v>1069</v>
      </c>
      <c r="E207" s="4" t="s">
        <v>68</v>
      </c>
      <c r="F207" s="4">
        <v>8807</v>
      </c>
      <c r="G207" s="4" t="s">
        <v>67</v>
      </c>
      <c r="H207" s="4" t="s">
        <v>22</v>
      </c>
      <c r="I207" s="4" t="s">
        <v>66</v>
      </c>
      <c r="J207" s="25" t="s">
        <v>65</v>
      </c>
    </row>
    <row r="208" spans="1:10" x14ac:dyDescent="0.25">
      <c r="A208" s="138">
        <v>128</v>
      </c>
      <c r="B208" s="4" t="s">
        <v>64</v>
      </c>
      <c r="C208" s="4" t="s">
        <v>1070</v>
      </c>
      <c r="D208" s="4" t="s">
        <v>1071</v>
      </c>
      <c r="E208" s="4" t="s">
        <v>73</v>
      </c>
      <c r="F208" s="4">
        <v>8863</v>
      </c>
      <c r="G208" s="4" t="s">
        <v>72</v>
      </c>
      <c r="H208" s="4" t="s">
        <v>22</v>
      </c>
      <c r="I208" s="4" t="s">
        <v>1072</v>
      </c>
      <c r="J208" s="25" t="s">
        <v>71</v>
      </c>
    </row>
    <row r="209" spans="1:10" x14ac:dyDescent="0.25">
      <c r="A209" s="138">
        <v>131</v>
      </c>
      <c r="B209" s="4" t="s">
        <v>64</v>
      </c>
      <c r="C209" s="4" t="s">
        <v>79</v>
      </c>
      <c r="D209" s="4" t="s">
        <v>63</v>
      </c>
      <c r="E209" s="4" t="s">
        <v>73</v>
      </c>
      <c r="F209" s="4">
        <v>8854</v>
      </c>
      <c r="G209" s="4" t="s">
        <v>77</v>
      </c>
      <c r="H209" s="4" t="s">
        <v>22</v>
      </c>
      <c r="I209" s="4" t="s">
        <v>1073</v>
      </c>
      <c r="J209" s="25" t="s">
        <v>76</v>
      </c>
    </row>
    <row r="210" spans="1:10" x14ac:dyDescent="0.25">
      <c r="A210" s="138">
        <v>129</v>
      </c>
      <c r="B210" s="4" t="s">
        <v>64</v>
      </c>
      <c r="C210" s="4" t="s">
        <v>79</v>
      </c>
      <c r="D210" s="4" t="s">
        <v>1074</v>
      </c>
      <c r="E210" s="4" t="s">
        <v>81</v>
      </c>
      <c r="F210" s="4">
        <v>8853</v>
      </c>
      <c r="G210" s="4" t="s">
        <v>50</v>
      </c>
      <c r="H210" s="4" t="s">
        <v>22</v>
      </c>
      <c r="I210" s="4" t="s">
        <v>1075</v>
      </c>
      <c r="J210" s="25" t="s">
        <v>80</v>
      </c>
    </row>
    <row r="211" spans="1:10" x14ac:dyDescent="0.25">
      <c r="A211" s="138">
        <v>126</v>
      </c>
      <c r="B211" s="4" t="s">
        <v>64</v>
      </c>
      <c r="C211" s="4" t="s">
        <v>86</v>
      </c>
      <c r="D211" s="4" t="s">
        <v>82</v>
      </c>
      <c r="E211" s="4" t="s">
        <v>81</v>
      </c>
      <c r="F211" s="4">
        <v>8634</v>
      </c>
      <c r="G211" s="4" t="s">
        <v>85</v>
      </c>
      <c r="H211" s="4" t="s">
        <v>22</v>
      </c>
      <c r="I211" s="4" t="s">
        <v>84</v>
      </c>
      <c r="J211" s="25" t="s">
        <v>83</v>
      </c>
    </row>
    <row r="212" spans="1:10" x14ac:dyDescent="0.25">
      <c r="A212" s="138">
        <v>122</v>
      </c>
      <c r="B212" s="4" t="s">
        <v>64</v>
      </c>
      <c r="C212" s="4" t="s">
        <v>92</v>
      </c>
      <c r="D212" s="4" t="s">
        <v>1076</v>
      </c>
      <c r="E212" s="4" t="s">
        <v>90</v>
      </c>
      <c r="F212" s="4">
        <v>8808</v>
      </c>
      <c r="G212" s="4" t="s">
        <v>142</v>
      </c>
      <c r="H212" s="4" t="s">
        <v>22</v>
      </c>
      <c r="I212" s="4" t="s">
        <v>88</v>
      </c>
      <c r="J212" s="25" t="s">
        <v>87</v>
      </c>
    </row>
    <row r="213" spans="1:10" x14ac:dyDescent="0.25">
      <c r="A213" s="138">
        <v>121</v>
      </c>
      <c r="B213" s="4" t="s">
        <v>41</v>
      </c>
      <c r="C213" s="4" t="s">
        <v>96</v>
      </c>
      <c r="D213" s="4" t="s">
        <v>95</v>
      </c>
      <c r="E213" s="4" t="s">
        <v>94</v>
      </c>
      <c r="F213" s="4">
        <v>8853</v>
      </c>
      <c r="G213" s="4" t="s">
        <v>50</v>
      </c>
      <c r="H213" s="4" t="s">
        <v>22</v>
      </c>
      <c r="I213" s="4" t="s">
        <v>1077</v>
      </c>
      <c r="J213" s="25" t="s">
        <v>93</v>
      </c>
    </row>
    <row r="214" spans="1:10" x14ac:dyDescent="0.25">
      <c r="A214" s="138">
        <v>118</v>
      </c>
      <c r="B214" s="4" t="s">
        <v>64</v>
      </c>
      <c r="C214" s="4" t="s">
        <v>105</v>
      </c>
      <c r="D214" s="4" t="s">
        <v>1078</v>
      </c>
      <c r="E214" s="4" t="s">
        <v>99</v>
      </c>
      <c r="F214" s="4">
        <v>8855</v>
      </c>
      <c r="G214" s="4" t="s">
        <v>103</v>
      </c>
      <c r="H214" s="4" t="s">
        <v>22</v>
      </c>
      <c r="I214" s="4" t="s">
        <v>1079</v>
      </c>
      <c r="J214" s="25" t="s">
        <v>101</v>
      </c>
    </row>
    <row r="215" spans="1:10" x14ac:dyDescent="0.25">
      <c r="A215" s="138">
        <v>120</v>
      </c>
      <c r="B215" s="4" t="s">
        <v>64</v>
      </c>
      <c r="C215" s="4" t="s">
        <v>32</v>
      </c>
      <c r="D215" s="4" t="s">
        <v>1078</v>
      </c>
      <c r="E215" s="4" t="s">
        <v>99</v>
      </c>
      <c r="F215" s="4">
        <v>8807</v>
      </c>
      <c r="G215" s="4" t="s">
        <v>67</v>
      </c>
      <c r="H215" s="4" t="s">
        <v>22</v>
      </c>
      <c r="I215" s="4" t="s">
        <v>1080</v>
      </c>
      <c r="J215" s="25" t="s">
        <v>97</v>
      </c>
    </row>
    <row r="216" spans="1:10" x14ac:dyDescent="0.25">
      <c r="A216" s="138">
        <v>117</v>
      </c>
      <c r="B216" s="4" t="s">
        <v>64</v>
      </c>
      <c r="C216" s="4" t="s">
        <v>111</v>
      </c>
      <c r="D216" s="4" t="s">
        <v>1081</v>
      </c>
      <c r="E216" s="4" t="s">
        <v>109</v>
      </c>
      <c r="F216" s="4">
        <v>8832</v>
      </c>
      <c r="G216" s="4" t="s">
        <v>108</v>
      </c>
      <c r="H216" s="4" t="s">
        <v>22</v>
      </c>
      <c r="I216" s="4" t="s">
        <v>107</v>
      </c>
      <c r="J216" s="25" t="s">
        <v>106</v>
      </c>
    </row>
    <row r="217" spans="1:10" x14ac:dyDescent="0.25">
      <c r="A217" s="138">
        <v>116</v>
      </c>
      <c r="B217" s="4" t="s">
        <v>41</v>
      </c>
      <c r="C217" s="4" t="s">
        <v>116</v>
      </c>
      <c r="D217" s="4" t="s">
        <v>115</v>
      </c>
      <c r="E217" s="4" t="s">
        <v>114</v>
      </c>
      <c r="F217" s="4">
        <v>78713</v>
      </c>
      <c r="G217" s="4" t="s">
        <v>113</v>
      </c>
      <c r="H217" s="4" t="s">
        <v>24</v>
      </c>
      <c r="I217" s="4" t="s">
        <v>1082</v>
      </c>
      <c r="J217" s="25" t="s">
        <v>112</v>
      </c>
    </row>
    <row r="218" spans="1:10" x14ac:dyDescent="0.25">
      <c r="A218" s="138">
        <v>113</v>
      </c>
      <c r="B218" s="4" t="s">
        <v>64</v>
      </c>
      <c r="C218" s="4" t="s">
        <v>120</v>
      </c>
      <c r="D218" s="4" t="s">
        <v>1083</v>
      </c>
      <c r="E218" s="4" t="s">
        <v>118</v>
      </c>
      <c r="F218" s="4">
        <v>8853</v>
      </c>
      <c r="G218" s="4" t="s">
        <v>50</v>
      </c>
      <c r="H218" s="4" t="s">
        <v>22</v>
      </c>
      <c r="I218" s="4" t="s">
        <v>117</v>
      </c>
      <c r="J218" s="25" t="s">
        <v>93</v>
      </c>
    </row>
    <row r="219" spans="1:10" x14ac:dyDescent="0.25">
      <c r="A219" s="138">
        <v>110</v>
      </c>
      <c r="B219" s="4" t="s">
        <v>64</v>
      </c>
      <c r="C219" s="4" t="s">
        <v>124</v>
      </c>
      <c r="D219" s="4" t="s">
        <v>110</v>
      </c>
      <c r="E219" s="4" t="s">
        <v>126</v>
      </c>
      <c r="F219" s="4">
        <v>8853</v>
      </c>
      <c r="G219" s="4" t="s">
        <v>50</v>
      </c>
      <c r="H219" s="4" t="s">
        <v>22</v>
      </c>
      <c r="I219" s="4" t="s">
        <v>125</v>
      </c>
      <c r="J219" s="25" t="s">
        <v>121</v>
      </c>
    </row>
    <row r="220" spans="1:10" x14ac:dyDescent="0.25">
      <c r="A220" s="138">
        <v>112</v>
      </c>
      <c r="B220" s="4" t="s">
        <v>53</v>
      </c>
      <c r="C220" s="4" t="s">
        <v>124</v>
      </c>
      <c r="D220" s="4" t="s">
        <v>110</v>
      </c>
      <c r="E220" s="4" t="s">
        <v>122</v>
      </c>
      <c r="F220" s="4">
        <v>8853</v>
      </c>
      <c r="G220" s="4" t="s">
        <v>50</v>
      </c>
      <c r="H220" s="4" t="s">
        <v>22</v>
      </c>
      <c r="I220" s="4" t="s">
        <v>125</v>
      </c>
      <c r="J220" s="25" t="s">
        <v>121</v>
      </c>
    </row>
    <row r="221" spans="1:10" x14ac:dyDescent="0.25">
      <c r="A221" s="138">
        <v>109</v>
      </c>
      <c r="B221" s="4" t="s">
        <v>41</v>
      </c>
      <c r="C221" s="4" t="s">
        <v>124</v>
      </c>
      <c r="D221" s="4" t="s">
        <v>1084</v>
      </c>
      <c r="E221" s="4" t="s">
        <v>128</v>
      </c>
      <c r="F221" s="4">
        <v>8853</v>
      </c>
      <c r="G221" s="4" t="s">
        <v>50</v>
      </c>
      <c r="H221" s="4" t="s">
        <v>22</v>
      </c>
      <c r="I221" s="4" t="s">
        <v>127</v>
      </c>
      <c r="J221" s="25" t="s">
        <v>121</v>
      </c>
    </row>
    <row r="222" spans="1:10" x14ac:dyDescent="0.25">
      <c r="A222" s="138">
        <v>106</v>
      </c>
      <c r="B222" s="4" t="s">
        <v>64</v>
      </c>
      <c r="C222" s="4" t="s">
        <v>134</v>
      </c>
      <c r="D222" s="4" t="s">
        <v>1085</v>
      </c>
      <c r="E222" s="4" t="s">
        <v>132</v>
      </c>
      <c r="F222" s="4">
        <v>8045</v>
      </c>
      <c r="G222" s="4" t="s">
        <v>131</v>
      </c>
      <c r="H222" s="4" t="s">
        <v>22</v>
      </c>
      <c r="I222" s="4" t="s">
        <v>1086</v>
      </c>
      <c r="J222" s="25" t="s">
        <v>130</v>
      </c>
    </row>
    <row r="223" spans="1:10" x14ac:dyDescent="0.25">
      <c r="A223" s="138">
        <v>105</v>
      </c>
      <c r="B223" s="4" t="s">
        <v>64</v>
      </c>
      <c r="C223" s="4" t="s">
        <v>139</v>
      </c>
      <c r="D223" s="4" t="s">
        <v>1087</v>
      </c>
      <c r="E223" s="4" t="s">
        <v>137</v>
      </c>
      <c r="F223" s="4">
        <v>8854</v>
      </c>
      <c r="G223" s="4" t="s">
        <v>77</v>
      </c>
      <c r="H223" s="4" t="s">
        <v>22</v>
      </c>
      <c r="I223" s="4" t="s">
        <v>136</v>
      </c>
      <c r="J223" s="25" t="s">
        <v>135</v>
      </c>
    </row>
    <row r="224" spans="1:10" x14ac:dyDescent="0.25">
      <c r="A224" s="138">
        <v>102</v>
      </c>
      <c r="B224" s="4" t="s">
        <v>64</v>
      </c>
      <c r="C224" s="4" t="s">
        <v>145</v>
      </c>
      <c r="D224" s="4" t="s">
        <v>144</v>
      </c>
      <c r="E224" s="4" t="s">
        <v>143</v>
      </c>
      <c r="F224" s="4">
        <v>8808</v>
      </c>
      <c r="G224" s="4" t="s">
        <v>142</v>
      </c>
      <c r="H224" s="4" t="s">
        <v>22</v>
      </c>
      <c r="I224" s="4" t="s">
        <v>141</v>
      </c>
      <c r="J224" s="25" t="s">
        <v>140</v>
      </c>
    </row>
    <row r="225" spans="1:10" x14ac:dyDescent="0.25">
      <c r="A225" s="138">
        <v>100</v>
      </c>
      <c r="B225" s="4" t="s">
        <v>41</v>
      </c>
      <c r="C225" s="4" t="s">
        <v>149</v>
      </c>
      <c r="D225" s="4" t="s">
        <v>1088</v>
      </c>
      <c r="E225" s="4" t="s">
        <v>147</v>
      </c>
      <c r="F225" s="4">
        <v>78713</v>
      </c>
      <c r="G225" s="4" t="s">
        <v>113</v>
      </c>
      <c r="H225" s="4" t="s">
        <v>24</v>
      </c>
      <c r="I225" s="4" t="s">
        <v>1089</v>
      </c>
      <c r="J225" s="25" t="s">
        <v>146</v>
      </c>
    </row>
    <row r="226" spans="1:10" x14ac:dyDescent="0.25">
      <c r="A226" s="138">
        <v>93</v>
      </c>
      <c r="B226" s="4" t="s">
        <v>53</v>
      </c>
      <c r="C226" s="4" t="s">
        <v>169</v>
      </c>
      <c r="D226" s="4" t="s">
        <v>1090</v>
      </c>
      <c r="E226" s="4" t="s">
        <v>162</v>
      </c>
      <c r="F226" s="4">
        <v>8853</v>
      </c>
      <c r="G226" s="4" t="s">
        <v>50</v>
      </c>
      <c r="H226" s="4" t="s">
        <v>22</v>
      </c>
      <c r="I226" s="4" t="s">
        <v>161</v>
      </c>
      <c r="J226" s="25" t="s">
        <v>160</v>
      </c>
    </row>
    <row r="227" spans="1:10" x14ac:dyDescent="0.25">
      <c r="A227" s="138">
        <v>97</v>
      </c>
      <c r="B227" s="4" t="s">
        <v>64</v>
      </c>
      <c r="C227" s="4" t="s">
        <v>1091</v>
      </c>
      <c r="D227" s="4" t="s">
        <v>1090</v>
      </c>
      <c r="E227" s="4" t="s">
        <v>157</v>
      </c>
      <c r="F227" s="4">
        <v>8853</v>
      </c>
      <c r="G227" s="4" t="s">
        <v>50</v>
      </c>
      <c r="H227" s="4" t="s">
        <v>22</v>
      </c>
      <c r="I227" s="4" t="s">
        <v>1092</v>
      </c>
      <c r="J227" s="25" t="s">
        <v>156</v>
      </c>
    </row>
    <row r="228" spans="1:10" x14ac:dyDescent="0.25">
      <c r="A228" s="138">
        <v>98</v>
      </c>
      <c r="B228" s="4" t="s">
        <v>64</v>
      </c>
      <c r="C228" s="4" t="s">
        <v>1093</v>
      </c>
      <c r="D228" s="4" t="s">
        <v>1090</v>
      </c>
      <c r="E228" s="4" t="s">
        <v>153</v>
      </c>
      <c r="F228" s="4">
        <v>53175</v>
      </c>
      <c r="G228" s="4" t="s">
        <v>152</v>
      </c>
      <c r="H228" s="4" t="s">
        <v>24</v>
      </c>
      <c r="I228" s="4" t="s">
        <v>1094</v>
      </c>
      <c r="J228" s="25"/>
    </row>
    <row r="229" spans="1:10" x14ac:dyDescent="0.25">
      <c r="A229" s="138">
        <v>94</v>
      </c>
      <c r="B229" s="4" t="s">
        <v>53</v>
      </c>
      <c r="C229" s="4" t="s">
        <v>169</v>
      </c>
      <c r="D229" s="4" t="s">
        <v>168</v>
      </c>
      <c r="E229" s="4" t="s">
        <v>167</v>
      </c>
      <c r="F229" s="4">
        <v>8853</v>
      </c>
      <c r="G229" s="4" t="s">
        <v>50</v>
      </c>
      <c r="H229" s="4" t="s">
        <v>22</v>
      </c>
      <c r="I229" s="4" t="s">
        <v>166</v>
      </c>
      <c r="J229" s="25" t="s">
        <v>165</v>
      </c>
    </row>
    <row r="230" spans="1:10" x14ac:dyDescent="0.25">
      <c r="A230" s="138">
        <v>91</v>
      </c>
      <c r="B230" s="4" t="s">
        <v>64</v>
      </c>
      <c r="C230" s="4" t="s">
        <v>169</v>
      </c>
      <c r="D230" s="4" t="s">
        <v>1095</v>
      </c>
      <c r="E230" s="4" t="s">
        <v>1096</v>
      </c>
      <c r="F230" s="4">
        <v>8853</v>
      </c>
      <c r="G230" s="4" t="s">
        <v>50</v>
      </c>
      <c r="H230" s="4" t="s">
        <v>22</v>
      </c>
      <c r="I230" s="4" t="s">
        <v>1097</v>
      </c>
      <c r="J230" s="25" t="s">
        <v>160</v>
      </c>
    </row>
    <row r="231" spans="1:10" x14ac:dyDescent="0.25">
      <c r="A231" s="138">
        <v>90</v>
      </c>
      <c r="B231" s="4" t="s">
        <v>64</v>
      </c>
      <c r="C231" s="4" t="s">
        <v>169</v>
      </c>
      <c r="D231" s="4" t="s">
        <v>1098</v>
      </c>
      <c r="E231" s="4" t="s">
        <v>1099</v>
      </c>
      <c r="F231" s="4">
        <v>8853</v>
      </c>
      <c r="G231" s="4" t="s">
        <v>50</v>
      </c>
      <c r="H231" s="4" t="s">
        <v>22</v>
      </c>
      <c r="I231" s="4" t="s">
        <v>1100</v>
      </c>
      <c r="J231" s="25" t="s">
        <v>165</v>
      </c>
    </row>
    <row r="232" spans="1:10" x14ac:dyDescent="0.25">
      <c r="A232" s="138">
        <v>89</v>
      </c>
      <c r="B232" s="4" t="s">
        <v>41</v>
      </c>
      <c r="C232" s="4" t="s">
        <v>169</v>
      </c>
      <c r="D232" s="4" t="s">
        <v>1101</v>
      </c>
      <c r="E232" s="4" t="s">
        <v>1102</v>
      </c>
      <c r="F232" s="4">
        <v>8853</v>
      </c>
      <c r="G232" s="4" t="s">
        <v>50</v>
      </c>
      <c r="H232" s="4" t="s">
        <v>22</v>
      </c>
      <c r="I232" s="4" t="s">
        <v>1103</v>
      </c>
      <c r="J232" s="25" t="s">
        <v>165</v>
      </c>
    </row>
    <row r="233" spans="1:10" x14ac:dyDescent="0.25">
      <c r="A233" s="138">
        <v>88</v>
      </c>
      <c r="B233" s="4" t="s">
        <v>64</v>
      </c>
      <c r="C233" s="4" t="s">
        <v>169</v>
      </c>
      <c r="D233" s="4" t="s">
        <v>1104</v>
      </c>
      <c r="E233" s="4" t="s">
        <v>1105</v>
      </c>
      <c r="F233" s="4">
        <v>8737</v>
      </c>
      <c r="G233" s="4" t="s">
        <v>1106</v>
      </c>
      <c r="H233" s="4" t="s">
        <v>22</v>
      </c>
      <c r="I233" s="4" t="s">
        <v>1107</v>
      </c>
      <c r="J233" s="25" t="s">
        <v>1108</v>
      </c>
    </row>
    <row r="234" spans="1:10" x14ac:dyDescent="0.25">
      <c r="A234" s="138">
        <v>86</v>
      </c>
      <c r="B234" s="4" t="s">
        <v>53</v>
      </c>
      <c r="C234" s="4" t="s">
        <v>1109</v>
      </c>
      <c r="D234" s="4" t="s">
        <v>1110</v>
      </c>
      <c r="E234" s="4" t="s">
        <v>1105</v>
      </c>
      <c r="F234" s="4">
        <v>8853</v>
      </c>
      <c r="G234" s="4" t="s">
        <v>50</v>
      </c>
      <c r="H234" s="4" t="s">
        <v>22</v>
      </c>
      <c r="I234" s="4" t="s">
        <v>1111</v>
      </c>
      <c r="J234" s="25" t="s">
        <v>785</v>
      </c>
    </row>
    <row r="235" spans="1:10" x14ac:dyDescent="0.25">
      <c r="A235" s="138">
        <v>87</v>
      </c>
      <c r="B235" s="4" t="s">
        <v>41</v>
      </c>
      <c r="C235" s="4" t="s">
        <v>782</v>
      </c>
      <c r="D235" s="4" t="s">
        <v>1112</v>
      </c>
      <c r="E235" s="4" t="s">
        <v>1113</v>
      </c>
      <c r="F235" s="4">
        <v>8854</v>
      </c>
      <c r="G235" s="4" t="s">
        <v>77</v>
      </c>
      <c r="H235" s="4" t="s">
        <v>22</v>
      </c>
      <c r="I235" s="4" t="s">
        <v>1114</v>
      </c>
      <c r="J235" s="25" t="s">
        <v>1115</v>
      </c>
    </row>
    <row r="236" spans="1:10" x14ac:dyDescent="0.25">
      <c r="A236" s="138">
        <v>79</v>
      </c>
      <c r="B236" s="4" t="s">
        <v>64</v>
      </c>
      <c r="C236" s="4" t="s">
        <v>1116</v>
      </c>
      <c r="D236" s="4" t="s">
        <v>1117</v>
      </c>
      <c r="E236" s="4" t="s">
        <v>1118</v>
      </c>
      <c r="F236" s="4">
        <v>8853</v>
      </c>
      <c r="G236" s="4" t="s">
        <v>50</v>
      </c>
      <c r="H236" s="4" t="s">
        <v>22</v>
      </c>
      <c r="I236" s="4" t="s">
        <v>1119</v>
      </c>
      <c r="J236" s="25" t="s">
        <v>1120</v>
      </c>
    </row>
    <row r="237" spans="1:10" x14ac:dyDescent="0.25">
      <c r="A237" s="138">
        <v>78</v>
      </c>
      <c r="B237" s="4" t="s">
        <v>53</v>
      </c>
      <c r="C237" s="4" t="s">
        <v>1116</v>
      </c>
      <c r="D237" s="4" t="s">
        <v>1121</v>
      </c>
      <c r="E237" s="4" t="s">
        <v>1122</v>
      </c>
      <c r="F237" s="4">
        <v>8853</v>
      </c>
      <c r="G237" s="4" t="s">
        <v>50</v>
      </c>
      <c r="H237" s="4" t="s">
        <v>22</v>
      </c>
      <c r="I237" s="4" t="s">
        <v>1123</v>
      </c>
      <c r="J237" s="25" t="s">
        <v>1120</v>
      </c>
    </row>
    <row r="238" spans="1:10" x14ac:dyDescent="0.25">
      <c r="A238" s="138">
        <v>74</v>
      </c>
      <c r="B238" s="4" t="s">
        <v>64</v>
      </c>
      <c r="C238" s="4" t="s">
        <v>1124</v>
      </c>
      <c r="D238" s="4" t="s">
        <v>1125</v>
      </c>
      <c r="E238" s="4" t="s">
        <v>1126</v>
      </c>
      <c r="F238" s="4">
        <v>8853</v>
      </c>
      <c r="G238" s="4" t="s">
        <v>50</v>
      </c>
      <c r="H238" s="4" t="s">
        <v>22</v>
      </c>
      <c r="I238" s="4" t="s">
        <v>1127</v>
      </c>
      <c r="J238" s="25" t="s">
        <v>1128</v>
      </c>
    </row>
    <row r="239" spans="1:10" x14ac:dyDescent="0.25">
      <c r="A239" s="138">
        <v>71</v>
      </c>
      <c r="B239" s="4" t="s">
        <v>41</v>
      </c>
      <c r="C239" s="4" t="s">
        <v>1124</v>
      </c>
      <c r="D239" s="4" t="s">
        <v>1129</v>
      </c>
      <c r="E239" s="4" t="s">
        <v>1126</v>
      </c>
      <c r="F239" s="4">
        <v>8854</v>
      </c>
      <c r="G239" s="4" t="s">
        <v>77</v>
      </c>
      <c r="H239" s="4" t="s">
        <v>22</v>
      </c>
      <c r="I239" s="4" t="s">
        <v>1130</v>
      </c>
      <c r="J239" s="25" t="s">
        <v>1131</v>
      </c>
    </row>
    <row r="240" spans="1:10" x14ac:dyDescent="0.25">
      <c r="A240" s="138">
        <v>69</v>
      </c>
      <c r="B240" s="4" t="s">
        <v>64</v>
      </c>
      <c r="C240" s="4" t="s">
        <v>1132</v>
      </c>
      <c r="D240" s="4" t="s">
        <v>1133</v>
      </c>
      <c r="E240" s="4" t="s">
        <v>1126</v>
      </c>
      <c r="F240" s="4">
        <v>8853</v>
      </c>
      <c r="G240" s="4" t="s">
        <v>50</v>
      </c>
      <c r="H240" s="4" t="s">
        <v>22</v>
      </c>
      <c r="I240" s="4" t="s">
        <v>1134</v>
      </c>
      <c r="J240" s="25" t="s">
        <v>1135</v>
      </c>
    </row>
    <row r="241" spans="1:10" x14ac:dyDescent="0.25">
      <c r="A241" s="138">
        <v>68</v>
      </c>
      <c r="B241" s="4" t="s">
        <v>41</v>
      </c>
      <c r="C241" s="4" t="s">
        <v>1136</v>
      </c>
      <c r="D241" s="4" t="s">
        <v>1137</v>
      </c>
      <c r="E241" s="4" t="s">
        <v>1126</v>
      </c>
      <c r="F241" s="4">
        <v>8853</v>
      </c>
      <c r="G241" s="4" t="s">
        <v>50</v>
      </c>
      <c r="H241" s="4" t="s">
        <v>22</v>
      </c>
      <c r="I241" s="4" t="s">
        <v>1138</v>
      </c>
      <c r="J241" s="25" t="s">
        <v>824</v>
      </c>
    </row>
    <row r="242" spans="1:10" x14ac:dyDescent="0.25">
      <c r="A242" s="138">
        <v>62</v>
      </c>
      <c r="B242" s="4" t="s">
        <v>64</v>
      </c>
      <c r="C242" s="4" t="s">
        <v>1139</v>
      </c>
      <c r="D242" s="4" t="s">
        <v>1140</v>
      </c>
      <c r="E242" s="4" t="s">
        <v>1141</v>
      </c>
      <c r="F242" s="4">
        <v>8832</v>
      </c>
      <c r="G242" s="4" t="s">
        <v>108</v>
      </c>
      <c r="H242" s="4" t="s">
        <v>22</v>
      </c>
      <c r="I242" s="4" t="s">
        <v>1142</v>
      </c>
      <c r="J242" s="25" t="s">
        <v>1143</v>
      </c>
    </row>
    <row r="243" spans="1:10" x14ac:dyDescent="0.25">
      <c r="A243" s="138">
        <v>61</v>
      </c>
      <c r="B243" s="4" t="s">
        <v>53</v>
      </c>
      <c r="C243" s="4" t="s">
        <v>1139</v>
      </c>
      <c r="D243" s="4" t="s">
        <v>1144</v>
      </c>
      <c r="E243" s="4" t="s">
        <v>1141</v>
      </c>
      <c r="F243" s="4">
        <v>8832</v>
      </c>
      <c r="G243" s="4" t="s">
        <v>108</v>
      </c>
      <c r="H243" s="4" t="s">
        <v>22</v>
      </c>
      <c r="I243" s="4" t="s">
        <v>1145</v>
      </c>
      <c r="J243" s="25" t="s">
        <v>1143</v>
      </c>
    </row>
    <row r="244" spans="1:10" x14ac:dyDescent="0.25">
      <c r="A244" s="138">
        <v>59</v>
      </c>
      <c r="B244" s="4" t="s">
        <v>41</v>
      </c>
      <c r="C244" s="4" t="s">
        <v>1146</v>
      </c>
      <c r="D244" s="4" t="s">
        <v>1144</v>
      </c>
      <c r="E244" s="4" t="s">
        <v>1147</v>
      </c>
      <c r="F244" s="4">
        <v>8854</v>
      </c>
      <c r="G244" s="4" t="s">
        <v>705</v>
      </c>
      <c r="H244" s="4" t="s">
        <v>22</v>
      </c>
      <c r="I244" s="4" t="s">
        <v>1148</v>
      </c>
      <c r="J244" s="25" t="s">
        <v>1149</v>
      </c>
    </row>
    <row r="245" spans="1:10" x14ac:dyDescent="0.25">
      <c r="A245" s="138">
        <v>54</v>
      </c>
      <c r="B245" s="4" t="s">
        <v>64</v>
      </c>
      <c r="C245" s="4" t="s">
        <v>361</v>
      </c>
      <c r="D245" s="4" t="s">
        <v>1150</v>
      </c>
      <c r="E245" s="4" t="s">
        <v>1151</v>
      </c>
      <c r="F245" s="4">
        <v>8852</v>
      </c>
      <c r="G245" s="4" t="s">
        <v>44</v>
      </c>
      <c r="H245" s="4" t="s">
        <v>22</v>
      </c>
      <c r="I245" s="4" t="s">
        <v>1152</v>
      </c>
      <c r="J245" s="25" t="s">
        <v>1153</v>
      </c>
    </row>
    <row r="246" spans="1:10" x14ac:dyDescent="0.25">
      <c r="A246" s="138">
        <v>55</v>
      </c>
      <c r="B246" s="4" t="s">
        <v>53</v>
      </c>
      <c r="C246" s="4" t="s">
        <v>361</v>
      </c>
      <c r="D246" s="4" t="s">
        <v>1150</v>
      </c>
      <c r="E246" s="4" t="s">
        <v>1154</v>
      </c>
      <c r="F246" s="4">
        <v>8852</v>
      </c>
      <c r="G246" s="4" t="s">
        <v>44</v>
      </c>
      <c r="H246" s="4" t="s">
        <v>22</v>
      </c>
      <c r="I246" s="4" t="s">
        <v>1152</v>
      </c>
      <c r="J246" s="25" t="s">
        <v>365</v>
      </c>
    </row>
    <row r="247" spans="1:10" x14ac:dyDescent="0.25">
      <c r="A247" s="138">
        <v>52</v>
      </c>
      <c r="B247" s="4" t="s">
        <v>53</v>
      </c>
      <c r="C247" s="4" t="s">
        <v>361</v>
      </c>
      <c r="D247" s="4" t="s">
        <v>1155</v>
      </c>
      <c r="E247" s="4" t="s">
        <v>1156</v>
      </c>
      <c r="F247" s="4">
        <v>8852</v>
      </c>
      <c r="G247" s="4" t="s">
        <v>44</v>
      </c>
      <c r="H247" s="4" t="s">
        <v>22</v>
      </c>
      <c r="I247" s="4" t="s">
        <v>1157</v>
      </c>
      <c r="J247" s="25" t="s">
        <v>1153</v>
      </c>
    </row>
    <row r="248" spans="1:10" x14ac:dyDescent="0.25">
      <c r="A248" s="138">
        <v>50</v>
      </c>
      <c r="B248" s="4" t="s">
        <v>41</v>
      </c>
      <c r="C248" s="4" t="s">
        <v>1158</v>
      </c>
      <c r="D248" s="4" t="s">
        <v>1159</v>
      </c>
      <c r="E248" s="4" t="s">
        <v>1160</v>
      </c>
      <c r="F248" s="4">
        <v>8853</v>
      </c>
      <c r="G248" s="4" t="s">
        <v>50</v>
      </c>
      <c r="H248" s="4" t="s">
        <v>22</v>
      </c>
      <c r="I248" s="4" t="s">
        <v>1161</v>
      </c>
      <c r="J248" s="25" t="s">
        <v>1162</v>
      </c>
    </row>
    <row r="249" spans="1:10" x14ac:dyDescent="0.25">
      <c r="A249" s="138">
        <v>42</v>
      </c>
      <c r="B249" s="4" t="s">
        <v>64</v>
      </c>
      <c r="C249" s="4" t="s">
        <v>1163</v>
      </c>
      <c r="D249" s="4" t="s">
        <v>1164</v>
      </c>
      <c r="E249" s="4" t="s">
        <v>1165</v>
      </c>
      <c r="F249" s="4">
        <v>8853</v>
      </c>
      <c r="G249" s="4" t="s">
        <v>50</v>
      </c>
      <c r="H249" s="4" t="s">
        <v>22</v>
      </c>
      <c r="I249" s="4" t="s">
        <v>1166</v>
      </c>
      <c r="J249" s="25" t="s">
        <v>1167</v>
      </c>
    </row>
    <row r="250" spans="1:10" x14ac:dyDescent="0.25">
      <c r="A250" s="138">
        <v>45</v>
      </c>
      <c r="B250" s="4" t="s">
        <v>41</v>
      </c>
      <c r="C250" s="4" t="s">
        <v>1168</v>
      </c>
      <c r="D250" s="4" t="s">
        <v>1164</v>
      </c>
      <c r="E250" s="4" t="s">
        <v>1169</v>
      </c>
      <c r="F250" s="4">
        <v>8853</v>
      </c>
      <c r="G250" s="4" t="s">
        <v>50</v>
      </c>
      <c r="H250" s="4" t="s">
        <v>22</v>
      </c>
      <c r="I250" s="4" t="s">
        <v>1170</v>
      </c>
      <c r="J250" s="25" t="s">
        <v>1171</v>
      </c>
    </row>
    <row r="251" spans="1:10" x14ac:dyDescent="0.25">
      <c r="A251" s="138">
        <v>36</v>
      </c>
      <c r="B251" s="4" t="s">
        <v>53</v>
      </c>
      <c r="C251" s="4" t="s">
        <v>1172</v>
      </c>
      <c r="D251" s="4" t="s">
        <v>1173</v>
      </c>
      <c r="E251" s="4" t="s">
        <v>1174</v>
      </c>
      <c r="F251" s="4">
        <v>8853</v>
      </c>
      <c r="G251" s="4" t="s">
        <v>50</v>
      </c>
      <c r="H251" s="4" t="s">
        <v>22</v>
      </c>
      <c r="I251" s="4" t="s">
        <v>1175</v>
      </c>
      <c r="J251" s="25" t="s">
        <v>1176</v>
      </c>
    </row>
    <row r="252" spans="1:10" x14ac:dyDescent="0.25">
      <c r="A252" s="138">
        <v>37</v>
      </c>
      <c r="B252" s="4" t="s">
        <v>64</v>
      </c>
      <c r="C252" s="4" t="s">
        <v>1172</v>
      </c>
      <c r="D252" s="4" t="s">
        <v>1173</v>
      </c>
      <c r="E252" s="4" t="s">
        <v>1177</v>
      </c>
      <c r="F252" s="4">
        <v>8853</v>
      </c>
      <c r="G252" s="4" t="s">
        <v>50</v>
      </c>
      <c r="H252" s="4" t="s">
        <v>22</v>
      </c>
      <c r="I252" s="4" t="s">
        <v>1175</v>
      </c>
      <c r="J252" s="25" t="s">
        <v>1178</v>
      </c>
    </row>
    <row r="253" spans="1:10" x14ac:dyDescent="0.25">
      <c r="A253" s="138">
        <v>41</v>
      </c>
      <c r="B253" s="4" t="s">
        <v>41</v>
      </c>
      <c r="C253" s="4" t="s">
        <v>1163</v>
      </c>
      <c r="D253" s="4" t="s">
        <v>1173</v>
      </c>
      <c r="E253" s="4" t="s">
        <v>1179</v>
      </c>
      <c r="F253" s="4">
        <v>8841</v>
      </c>
      <c r="G253" s="4" t="s">
        <v>1180</v>
      </c>
      <c r="H253" s="4" t="s">
        <v>22</v>
      </c>
      <c r="I253" s="4" t="s">
        <v>1181</v>
      </c>
      <c r="J253" s="25"/>
    </row>
    <row r="254" spans="1:10" x14ac:dyDescent="0.25">
      <c r="A254" s="138">
        <v>35</v>
      </c>
      <c r="B254" s="4" t="s">
        <v>64</v>
      </c>
      <c r="C254" s="4" t="s">
        <v>1182</v>
      </c>
      <c r="D254" s="4" t="s">
        <v>1183</v>
      </c>
      <c r="E254" s="4" t="s">
        <v>1184</v>
      </c>
      <c r="F254" s="4">
        <v>8862</v>
      </c>
      <c r="G254" s="4" t="s">
        <v>358</v>
      </c>
      <c r="H254" s="4" t="s">
        <v>22</v>
      </c>
      <c r="I254" s="4" t="s">
        <v>1185</v>
      </c>
      <c r="J254" s="25" t="s">
        <v>1186</v>
      </c>
    </row>
    <row r="255" spans="1:10" x14ac:dyDescent="0.25">
      <c r="A255" s="138">
        <v>33</v>
      </c>
      <c r="B255" s="4" t="s">
        <v>64</v>
      </c>
      <c r="C255" s="4" t="s">
        <v>75</v>
      </c>
      <c r="D255" s="4" t="s">
        <v>1187</v>
      </c>
      <c r="E255" s="4" t="s">
        <v>1188</v>
      </c>
      <c r="F255" s="4">
        <v>8808</v>
      </c>
      <c r="G255" s="4" t="s">
        <v>142</v>
      </c>
      <c r="H255" s="4" t="s">
        <v>22</v>
      </c>
      <c r="I255" s="4" t="s">
        <v>1189</v>
      </c>
      <c r="J255" s="25" t="s">
        <v>1190</v>
      </c>
    </row>
    <row r="256" spans="1:10" x14ac:dyDescent="0.25">
      <c r="A256" s="138">
        <v>34</v>
      </c>
      <c r="B256" s="4" t="s">
        <v>53</v>
      </c>
      <c r="C256" s="4" t="s">
        <v>75</v>
      </c>
      <c r="D256" s="4" t="s">
        <v>1187</v>
      </c>
      <c r="E256" s="4" t="s">
        <v>1191</v>
      </c>
      <c r="F256" s="4">
        <v>8808</v>
      </c>
      <c r="G256" s="4" t="s">
        <v>142</v>
      </c>
      <c r="H256" s="4" t="s">
        <v>22</v>
      </c>
      <c r="I256" s="4" t="s">
        <v>1189</v>
      </c>
      <c r="J256" s="25" t="s">
        <v>1190</v>
      </c>
    </row>
    <row r="257" spans="1:10" x14ac:dyDescent="0.25">
      <c r="A257" s="138">
        <v>32</v>
      </c>
      <c r="B257" s="4" t="s">
        <v>64</v>
      </c>
      <c r="C257" s="4" t="s">
        <v>75</v>
      </c>
      <c r="D257" s="4" t="s">
        <v>1192</v>
      </c>
      <c r="E257" s="4" t="s">
        <v>1188</v>
      </c>
      <c r="F257" s="4">
        <v>8853</v>
      </c>
      <c r="G257" s="4" t="s">
        <v>50</v>
      </c>
      <c r="H257" s="4" t="s">
        <v>22</v>
      </c>
      <c r="I257" s="4" t="s">
        <v>1193</v>
      </c>
      <c r="J257" s="25" t="s">
        <v>1194</v>
      </c>
    </row>
    <row r="258" spans="1:10" x14ac:dyDescent="0.25">
      <c r="A258" s="138">
        <v>31</v>
      </c>
      <c r="B258" s="4" t="s">
        <v>53</v>
      </c>
      <c r="C258" s="4" t="s">
        <v>1195</v>
      </c>
      <c r="D258" s="4" t="s">
        <v>1196</v>
      </c>
      <c r="E258" s="4" t="s">
        <v>1197</v>
      </c>
      <c r="F258" s="4">
        <v>8854</v>
      </c>
      <c r="G258" s="4" t="s">
        <v>77</v>
      </c>
      <c r="H258" s="4" t="s">
        <v>22</v>
      </c>
      <c r="I258" s="4" t="s">
        <v>1198</v>
      </c>
      <c r="J258" s="25" t="s">
        <v>1199</v>
      </c>
    </row>
    <row r="259" spans="1:10" x14ac:dyDescent="0.25">
      <c r="A259" s="138">
        <v>30</v>
      </c>
      <c r="B259" s="4" t="s">
        <v>64</v>
      </c>
      <c r="C259" s="4" t="s">
        <v>1195</v>
      </c>
      <c r="D259" s="4" t="s">
        <v>1200</v>
      </c>
      <c r="E259" s="4" t="s">
        <v>1201</v>
      </c>
      <c r="F259" s="4">
        <v>8854</v>
      </c>
      <c r="G259" s="4" t="s">
        <v>77</v>
      </c>
      <c r="H259" s="4" t="s">
        <v>22</v>
      </c>
      <c r="I259" s="4" t="s">
        <v>1202</v>
      </c>
      <c r="J259" s="25" t="s">
        <v>1199</v>
      </c>
    </row>
    <row r="260" spans="1:10" x14ac:dyDescent="0.25">
      <c r="A260" s="138">
        <v>29</v>
      </c>
      <c r="B260" s="4" t="s">
        <v>41</v>
      </c>
      <c r="C260" s="4" t="s">
        <v>1203</v>
      </c>
      <c r="D260" s="4" t="s">
        <v>1204</v>
      </c>
      <c r="E260" s="4" t="s">
        <v>1205</v>
      </c>
      <c r="F260" s="4">
        <v>8853</v>
      </c>
      <c r="G260" s="4" t="s">
        <v>50</v>
      </c>
      <c r="H260" s="4" t="s">
        <v>22</v>
      </c>
      <c r="I260" s="4" t="s">
        <v>1206</v>
      </c>
      <c r="J260" s="25" t="s">
        <v>1046</v>
      </c>
    </row>
    <row r="261" spans="1:10" x14ac:dyDescent="0.25">
      <c r="A261" s="138">
        <v>28</v>
      </c>
      <c r="B261" s="4" t="s">
        <v>64</v>
      </c>
      <c r="C261" s="4" t="s">
        <v>1207</v>
      </c>
      <c r="D261" s="4" t="s">
        <v>1208</v>
      </c>
      <c r="E261" s="4" t="s">
        <v>1209</v>
      </c>
      <c r="F261" s="4">
        <v>8853</v>
      </c>
      <c r="G261" s="4" t="s">
        <v>50</v>
      </c>
      <c r="H261" s="4" t="s">
        <v>22</v>
      </c>
      <c r="I261" s="4" t="s">
        <v>1210</v>
      </c>
      <c r="J261" s="25" t="s">
        <v>121</v>
      </c>
    </row>
    <row r="262" spans="1:10" x14ac:dyDescent="0.25">
      <c r="A262" s="138">
        <v>24</v>
      </c>
      <c r="B262" s="4" t="s">
        <v>41</v>
      </c>
      <c r="C262" s="4" t="s">
        <v>1211</v>
      </c>
      <c r="D262" s="4" t="s">
        <v>148</v>
      </c>
      <c r="E262" s="4" t="s">
        <v>1212</v>
      </c>
      <c r="F262" s="4">
        <v>8240</v>
      </c>
      <c r="G262" s="4" t="s">
        <v>1213</v>
      </c>
      <c r="H262" s="4" t="s">
        <v>22</v>
      </c>
      <c r="I262" s="4" t="s">
        <v>1214</v>
      </c>
      <c r="J262" s="25" t="s">
        <v>1215</v>
      </c>
    </row>
    <row r="263" spans="1:10" x14ac:dyDescent="0.25">
      <c r="A263" s="138">
        <v>11</v>
      </c>
      <c r="B263" s="4" t="s">
        <v>64</v>
      </c>
      <c r="C263" s="4" t="s">
        <v>1216</v>
      </c>
      <c r="D263" s="4" t="s">
        <v>148</v>
      </c>
      <c r="E263" s="4" t="s">
        <v>1217</v>
      </c>
      <c r="F263" s="4">
        <v>8854</v>
      </c>
      <c r="G263" s="4" t="s">
        <v>77</v>
      </c>
      <c r="H263" s="4" t="s">
        <v>22</v>
      </c>
      <c r="I263" s="4" t="s">
        <v>1218</v>
      </c>
      <c r="J263" s="25" t="s">
        <v>1219</v>
      </c>
    </row>
    <row r="264" spans="1:10" x14ac:dyDescent="0.25">
      <c r="A264" s="138">
        <v>15</v>
      </c>
      <c r="B264" s="4" t="s">
        <v>41</v>
      </c>
      <c r="C264" s="4" t="s">
        <v>428</v>
      </c>
      <c r="D264" s="4" t="s">
        <v>148</v>
      </c>
      <c r="E264" s="4" t="s">
        <v>1220</v>
      </c>
      <c r="F264" s="4">
        <v>8854</v>
      </c>
      <c r="G264" s="4" t="s">
        <v>77</v>
      </c>
      <c r="H264" s="4" t="s">
        <v>22</v>
      </c>
      <c r="I264" s="4" t="s">
        <v>1221</v>
      </c>
      <c r="J264" s="25" t="s">
        <v>431</v>
      </c>
    </row>
    <row r="265" spans="1:10" x14ac:dyDescent="0.25">
      <c r="A265" s="138">
        <v>22</v>
      </c>
      <c r="B265" s="4" t="s">
        <v>64</v>
      </c>
      <c r="C265" s="4" t="s">
        <v>755</v>
      </c>
      <c r="D265" s="4" t="s">
        <v>148</v>
      </c>
      <c r="E265" s="4" t="s">
        <v>1222</v>
      </c>
      <c r="F265" s="4">
        <v>8854</v>
      </c>
      <c r="G265" s="4" t="s">
        <v>77</v>
      </c>
      <c r="H265" s="4" t="s">
        <v>22</v>
      </c>
      <c r="I265" s="4" t="s">
        <v>1223</v>
      </c>
      <c r="J265" s="25" t="s">
        <v>1224</v>
      </c>
    </row>
    <row r="266" spans="1:10" x14ac:dyDescent="0.25">
      <c r="A266" s="138">
        <v>17</v>
      </c>
      <c r="B266" s="4" t="s">
        <v>41</v>
      </c>
      <c r="C266" s="4" t="s">
        <v>1225</v>
      </c>
      <c r="D266" s="4" t="s">
        <v>148</v>
      </c>
      <c r="E266" s="4" t="s">
        <v>1226</v>
      </c>
      <c r="F266" s="4">
        <v>8853</v>
      </c>
      <c r="G266" s="4" t="s">
        <v>50</v>
      </c>
      <c r="H266" s="4" t="s">
        <v>22</v>
      </c>
      <c r="I266" s="4" t="s">
        <v>1227</v>
      </c>
      <c r="J266" s="25" t="s">
        <v>1228</v>
      </c>
    </row>
    <row r="267" spans="1:10" x14ac:dyDescent="0.25">
      <c r="A267" s="138">
        <v>20</v>
      </c>
      <c r="B267" s="4" t="s">
        <v>41</v>
      </c>
      <c r="C267" s="4" t="s">
        <v>1229</v>
      </c>
      <c r="D267" s="4" t="s">
        <v>148</v>
      </c>
      <c r="E267" s="4" t="s">
        <v>1230</v>
      </c>
      <c r="F267" s="4">
        <v>8853</v>
      </c>
      <c r="G267" s="4" t="s">
        <v>50</v>
      </c>
      <c r="H267" s="4" t="s">
        <v>22</v>
      </c>
      <c r="I267" s="4" t="s">
        <v>1231</v>
      </c>
      <c r="J267" s="25" t="s">
        <v>1232</v>
      </c>
    </row>
    <row r="268" spans="1:10" x14ac:dyDescent="0.25">
      <c r="A268" s="138">
        <v>23</v>
      </c>
      <c r="B268" s="4" t="s">
        <v>41</v>
      </c>
      <c r="C268" s="4" t="s">
        <v>755</v>
      </c>
      <c r="D268" s="4" t="s">
        <v>148</v>
      </c>
      <c r="E268" s="4" t="s">
        <v>1222</v>
      </c>
      <c r="F268" s="4">
        <v>8853</v>
      </c>
      <c r="G268" s="4" t="s">
        <v>50</v>
      </c>
      <c r="H268" s="4" t="s">
        <v>22</v>
      </c>
      <c r="I268" s="4" t="s">
        <v>1223</v>
      </c>
      <c r="J268" s="25" t="s">
        <v>1233</v>
      </c>
    </row>
    <row r="269" spans="1:10" x14ac:dyDescent="0.25">
      <c r="A269" s="138">
        <v>25</v>
      </c>
      <c r="B269" s="4" t="s">
        <v>64</v>
      </c>
      <c r="C269" s="4" t="s">
        <v>1234</v>
      </c>
      <c r="D269" s="4" t="s">
        <v>148</v>
      </c>
      <c r="E269" s="4" t="s">
        <v>1235</v>
      </c>
      <c r="F269" s="4">
        <v>8853</v>
      </c>
      <c r="G269" s="4" t="s">
        <v>50</v>
      </c>
      <c r="H269" s="4" t="s">
        <v>22</v>
      </c>
      <c r="I269" s="4" t="s">
        <v>1236</v>
      </c>
      <c r="J269" s="25" t="s">
        <v>1237</v>
      </c>
    </row>
    <row r="270" spans="1:10" x14ac:dyDescent="0.25">
      <c r="A270" s="138">
        <v>27</v>
      </c>
      <c r="B270" s="4" t="s">
        <v>41</v>
      </c>
      <c r="C270" s="4" t="s">
        <v>1207</v>
      </c>
      <c r="D270" s="4" t="s">
        <v>148</v>
      </c>
      <c r="E270" s="4" t="s">
        <v>1209</v>
      </c>
      <c r="F270" s="4">
        <v>8853</v>
      </c>
      <c r="G270" s="4" t="s">
        <v>50</v>
      </c>
      <c r="H270" s="4" t="s">
        <v>22</v>
      </c>
      <c r="I270" s="4" t="s">
        <v>1238</v>
      </c>
      <c r="J270" s="25" t="s">
        <v>121</v>
      </c>
    </row>
    <row r="271" spans="1:10" x14ac:dyDescent="0.25">
      <c r="A271" s="138">
        <v>14</v>
      </c>
      <c r="B271" s="4" t="s">
        <v>41</v>
      </c>
      <c r="C271" s="4" t="s">
        <v>571</v>
      </c>
      <c r="D271" s="4" t="s">
        <v>148</v>
      </c>
      <c r="E271" s="4" t="s">
        <v>1239</v>
      </c>
      <c r="F271" s="4">
        <v>6410</v>
      </c>
      <c r="G271" s="4" t="s">
        <v>1240</v>
      </c>
      <c r="H271" s="4" t="s">
        <v>22</v>
      </c>
      <c r="I271" s="4" t="s">
        <v>1241</v>
      </c>
      <c r="J271" s="25" t="s">
        <v>1242</v>
      </c>
    </row>
    <row r="272" spans="1:10" x14ac:dyDescent="0.25">
      <c r="A272" s="138">
        <v>10</v>
      </c>
      <c r="B272" s="4" t="s">
        <v>41</v>
      </c>
      <c r="C272" s="4" t="s">
        <v>1243</v>
      </c>
      <c r="D272" s="4" t="s">
        <v>148</v>
      </c>
      <c r="E272" s="4" t="s">
        <v>1244</v>
      </c>
      <c r="F272" s="4">
        <v>8852</v>
      </c>
      <c r="G272" s="4" t="s">
        <v>44</v>
      </c>
      <c r="H272" s="4" t="s">
        <v>22</v>
      </c>
      <c r="I272" s="4" t="s">
        <v>1245</v>
      </c>
      <c r="J272" s="25" t="s">
        <v>1246</v>
      </c>
    </row>
    <row r="273" spans="1:10" x14ac:dyDescent="0.25">
      <c r="A273" s="138">
        <v>7</v>
      </c>
      <c r="B273" s="4" t="s">
        <v>64</v>
      </c>
      <c r="C273" s="4" t="s">
        <v>1247</v>
      </c>
      <c r="D273" s="4" t="s">
        <v>1248</v>
      </c>
      <c r="E273" s="4" t="s">
        <v>1249</v>
      </c>
      <c r="F273" s="4">
        <v>8853</v>
      </c>
      <c r="G273" s="4" t="s">
        <v>50</v>
      </c>
      <c r="H273" s="4" t="s">
        <v>22</v>
      </c>
      <c r="I273" s="4" t="s">
        <v>1250</v>
      </c>
      <c r="J273" s="25" t="s">
        <v>1251</v>
      </c>
    </row>
    <row r="274" spans="1:10" x14ac:dyDescent="0.25">
      <c r="A274" s="138">
        <v>8</v>
      </c>
      <c r="B274" s="4" t="s">
        <v>41</v>
      </c>
      <c r="C274" s="4" t="s">
        <v>1247</v>
      </c>
      <c r="D274" s="4" t="s">
        <v>1248</v>
      </c>
      <c r="E274" s="4" t="s">
        <v>1249</v>
      </c>
      <c r="F274" s="4">
        <v>8853</v>
      </c>
      <c r="G274" s="4" t="s">
        <v>50</v>
      </c>
      <c r="H274" s="4" t="s">
        <v>22</v>
      </c>
      <c r="I274" s="4" t="s">
        <v>1250</v>
      </c>
      <c r="J274" s="25" t="s">
        <v>1251</v>
      </c>
    </row>
    <row r="275" spans="1:10" x14ac:dyDescent="0.25">
      <c r="A275" s="138">
        <v>9</v>
      </c>
      <c r="B275" s="4" t="s">
        <v>41</v>
      </c>
      <c r="C275" s="4" t="s">
        <v>1247</v>
      </c>
      <c r="D275" s="4" t="s">
        <v>1248</v>
      </c>
      <c r="E275" s="4" t="s">
        <v>1249</v>
      </c>
      <c r="F275" s="4">
        <v>8853</v>
      </c>
      <c r="G275" s="4" t="s">
        <v>50</v>
      </c>
      <c r="H275" s="4" t="s">
        <v>22</v>
      </c>
      <c r="I275" s="4" t="s">
        <v>1250</v>
      </c>
      <c r="J275" s="25" t="s">
        <v>1251</v>
      </c>
    </row>
    <row r="276" spans="1:10" x14ac:dyDescent="0.25">
      <c r="A276" s="138">
        <v>6</v>
      </c>
      <c r="B276" s="4" t="s">
        <v>53</v>
      </c>
      <c r="C276" s="4" t="s">
        <v>1247</v>
      </c>
      <c r="D276" s="4" t="s">
        <v>1252</v>
      </c>
      <c r="E276" s="4" t="s">
        <v>1249</v>
      </c>
      <c r="F276" s="4">
        <v>8853</v>
      </c>
      <c r="G276" s="4" t="s">
        <v>50</v>
      </c>
      <c r="H276" s="4" t="s">
        <v>22</v>
      </c>
      <c r="I276" s="4" t="s">
        <v>1253</v>
      </c>
      <c r="J276" s="25" t="s">
        <v>1251</v>
      </c>
    </row>
    <row r="277" spans="1:10" x14ac:dyDescent="0.25">
      <c r="A277" s="138">
        <v>5</v>
      </c>
      <c r="B277" s="4" t="s">
        <v>53</v>
      </c>
      <c r="C277" s="4" t="s">
        <v>1247</v>
      </c>
      <c r="D277" s="4" t="s">
        <v>1254</v>
      </c>
      <c r="E277" s="4" t="s">
        <v>1249</v>
      </c>
      <c r="F277" s="4">
        <v>8853</v>
      </c>
      <c r="G277" s="4" t="s">
        <v>50</v>
      </c>
      <c r="H277" s="4" t="s">
        <v>22</v>
      </c>
      <c r="I277" s="4" t="s">
        <v>1255</v>
      </c>
      <c r="J277" s="25" t="s">
        <v>1251</v>
      </c>
    </row>
    <row r="278" spans="1:10" x14ac:dyDescent="0.25">
      <c r="A278" s="138">
        <v>4</v>
      </c>
      <c r="B278" s="4" t="s">
        <v>64</v>
      </c>
      <c r="C278" s="4" t="s">
        <v>1256</v>
      </c>
      <c r="D278" s="4" t="s">
        <v>1257</v>
      </c>
      <c r="E278" s="4" t="s">
        <v>1258</v>
      </c>
      <c r="F278" s="4">
        <v>8852</v>
      </c>
      <c r="G278" s="4" t="s">
        <v>44</v>
      </c>
      <c r="H278" s="4" t="s">
        <v>22</v>
      </c>
      <c r="I278" s="4" t="s">
        <v>1259</v>
      </c>
      <c r="J278" s="25"/>
    </row>
    <row r="279" spans="1:10" ht="15.75" thickBot="1" x14ac:dyDescent="0.3">
      <c r="A279" s="139">
        <v>3</v>
      </c>
      <c r="B279" s="26" t="s">
        <v>53</v>
      </c>
      <c r="C279" s="26" t="s">
        <v>1256</v>
      </c>
      <c r="D279" s="26" t="s">
        <v>1260</v>
      </c>
      <c r="E279" s="26" t="s">
        <v>1261</v>
      </c>
      <c r="F279" s="26">
        <v>8852</v>
      </c>
      <c r="G279" s="26" t="s">
        <v>44</v>
      </c>
      <c r="H279" s="26" t="s">
        <v>22</v>
      </c>
      <c r="I279" s="26" t="s">
        <v>1262</v>
      </c>
      <c r="J279" s="27"/>
    </row>
    <row r="280" spans="1:10" x14ac:dyDescent="0.25">
      <c r="A280" s="38"/>
      <c r="B280" s="38"/>
      <c r="C280" s="38"/>
      <c r="D280" s="38"/>
      <c r="E280" s="38"/>
      <c r="F280" s="38"/>
      <c r="G280" s="38"/>
      <c r="H280" s="38"/>
      <c r="I280" s="38"/>
      <c r="J280" s="38"/>
    </row>
    <row r="281" spans="1:10" x14ac:dyDescent="0.25">
      <c r="A281" s="38"/>
      <c r="B281" s="38"/>
      <c r="C281" s="38"/>
      <c r="D281" s="38"/>
      <c r="E281" s="38"/>
      <c r="F281" s="38"/>
      <c r="G281" s="38"/>
      <c r="H281" s="38"/>
      <c r="I281" s="38"/>
      <c r="J281" s="38"/>
    </row>
    <row r="282" spans="1:10" x14ac:dyDescent="0.25">
      <c r="A282" s="38"/>
      <c r="B282" s="38"/>
      <c r="C282" s="38"/>
      <c r="D282" s="38"/>
      <c r="E282" s="38"/>
      <c r="F282" s="38"/>
      <c r="G282" s="38"/>
      <c r="H282" s="38"/>
      <c r="I282" s="38"/>
      <c r="J282" s="38"/>
    </row>
    <row r="283" spans="1:10" x14ac:dyDescent="0.25">
      <c r="A283" s="38"/>
      <c r="B283" s="38"/>
      <c r="C283" s="38"/>
      <c r="D283" s="38"/>
      <c r="E283" s="38"/>
      <c r="F283" s="38"/>
      <c r="G283" s="38"/>
      <c r="H283" s="38"/>
      <c r="I283" s="38"/>
      <c r="J283" s="38"/>
    </row>
    <row r="284" spans="1:10" x14ac:dyDescent="0.25">
      <c r="A284" s="38"/>
      <c r="B284" s="38"/>
      <c r="C284" s="38"/>
      <c r="D284" s="38"/>
      <c r="E284" s="38"/>
      <c r="F284" s="38"/>
      <c r="G284" s="38"/>
      <c r="H284" s="38"/>
      <c r="I284" s="38"/>
      <c r="J284" s="38"/>
    </row>
    <row r="285" spans="1:10" x14ac:dyDescent="0.25">
      <c r="A285" s="38"/>
      <c r="B285" s="38"/>
      <c r="C285" s="38"/>
      <c r="D285" s="38"/>
      <c r="E285" s="38"/>
      <c r="F285" s="38"/>
      <c r="G285" s="38"/>
      <c r="H285" s="38"/>
      <c r="I285" s="38"/>
      <c r="J285" s="38"/>
    </row>
    <row r="286" spans="1:10" x14ac:dyDescent="0.25">
      <c r="A286" s="38"/>
      <c r="B286" s="38"/>
      <c r="C286" s="38"/>
      <c r="D286" s="38"/>
      <c r="E286" s="38"/>
      <c r="F286" s="38"/>
      <c r="G286" s="38"/>
      <c r="H286" s="38"/>
      <c r="I286" s="38"/>
      <c r="J286" s="38"/>
    </row>
    <row r="287" spans="1:10" x14ac:dyDescent="0.25">
      <c r="A287" s="38"/>
      <c r="B287" s="38"/>
      <c r="C287" s="38"/>
      <c r="D287" s="38"/>
      <c r="E287" s="38"/>
      <c r="F287" s="38"/>
      <c r="G287" s="38"/>
      <c r="H287" s="38"/>
      <c r="I287" s="38"/>
      <c r="J287" s="38"/>
    </row>
    <row r="288" spans="1:10" x14ac:dyDescent="0.25">
      <c r="A288" s="38"/>
      <c r="B288" s="38"/>
      <c r="C288" s="38"/>
      <c r="D288" s="38"/>
      <c r="E288" s="38"/>
      <c r="F288" s="38"/>
      <c r="G288" s="38"/>
      <c r="H288" s="38"/>
      <c r="I288" s="38"/>
      <c r="J288" s="38"/>
    </row>
    <row r="289" spans="1:10" x14ac:dyDescent="0.25">
      <c r="A289" s="38"/>
      <c r="B289" s="38"/>
      <c r="C289" s="38"/>
      <c r="D289" s="38"/>
      <c r="E289" s="38"/>
      <c r="F289" s="38"/>
      <c r="G289" s="38"/>
      <c r="H289" s="38"/>
      <c r="I289" s="38"/>
      <c r="J289" s="38"/>
    </row>
    <row r="290" spans="1:10" x14ac:dyDescent="0.25">
      <c r="A290" s="38"/>
      <c r="B290" s="38"/>
      <c r="C290" s="38"/>
      <c r="D290" s="38"/>
      <c r="E290" s="38"/>
      <c r="F290" s="38"/>
      <c r="G290" s="38"/>
      <c r="H290" s="38"/>
      <c r="I290" s="38"/>
      <c r="J290" s="38"/>
    </row>
    <row r="291" spans="1:10" x14ac:dyDescent="0.25">
      <c r="A291" s="38"/>
      <c r="B291" s="38"/>
      <c r="C291" s="38"/>
      <c r="D291" s="38"/>
      <c r="E291" s="38"/>
      <c r="F291" s="38"/>
      <c r="G291" s="38"/>
      <c r="H291" s="38"/>
      <c r="I291" s="38"/>
      <c r="J291" s="38"/>
    </row>
    <row r="292" spans="1:10" x14ac:dyDescent="0.25">
      <c r="A292" s="38"/>
      <c r="B292" s="38"/>
      <c r="C292" s="38"/>
      <c r="D292" s="38"/>
      <c r="E292" s="38"/>
      <c r="F292" s="38"/>
      <c r="G292" s="38"/>
      <c r="H292" s="38"/>
      <c r="I292" s="38"/>
      <c r="J292" s="38"/>
    </row>
    <row r="293" spans="1:10" x14ac:dyDescent="0.25">
      <c r="A293" s="38"/>
      <c r="B293" s="38"/>
      <c r="C293" s="38"/>
      <c r="D293" s="38"/>
      <c r="E293" s="38"/>
      <c r="F293" s="38"/>
      <c r="G293" s="38"/>
      <c r="H293" s="38"/>
      <c r="I293" s="38"/>
      <c r="J293" s="38"/>
    </row>
    <row r="294" spans="1:10" x14ac:dyDescent="0.25">
      <c r="A294" s="38"/>
      <c r="B294" s="38"/>
      <c r="C294" s="38"/>
      <c r="D294" s="38"/>
      <c r="E294" s="38"/>
      <c r="F294" s="38"/>
      <c r="G294" s="38"/>
      <c r="H294" s="38"/>
      <c r="I294" s="38"/>
      <c r="J294" s="38"/>
    </row>
    <row r="295" spans="1:10" x14ac:dyDescent="0.25">
      <c r="A295" s="38"/>
      <c r="B295" s="38"/>
      <c r="C295" s="38"/>
      <c r="D295" s="38"/>
      <c r="E295" s="38"/>
      <c r="F295" s="38"/>
      <c r="G295" s="38"/>
      <c r="H295" s="38"/>
      <c r="I295" s="38"/>
      <c r="J295" s="38"/>
    </row>
  </sheetData>
  <autoFilter ref="A22:J22"/>
  <pageMargins left="0.7" right="0.7" top="0.78740157499999996" bottom="0.78740157499999996" header="0.3" footer="0.3"/>
  <pageSetup paperSize="9" orientation="portrait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R41:R49 R5:R13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4">
    <tabColor rgb="FFFF0000"/>
    <pageSetUpPr fitToPage="1"/>
  </sheetPr>
  <dimension ref="B1:R69"/>
  <sheetViews>
    <sheetView zoomScale="85" zoomScaleNormal="85" workbookViewId="0">
      <selection activeCell="K49" sqref="K49:L49"/>
    </sheetView>
  </sheetViews>
  <sheetFormatPr baseColWidth="10" defaultRowHeight="15" x14ac:dyDescent="0.25"/>
  <cols>
    <col min="1" max="1" width="5.7109375" customWidth="1"/>
    <col min="2" max="2" width="27" customWidth="1"/>
    <col min="3" max="3" width="37.28515625" customWidth="1"/>
    <col min="4" max="4" width="23.42578125" customWidth="1"/>
    <col min="5" max="6" width="16.140625" customWidth="1"/>
    <col min="7" max="7" width="27.7109375" customWidth="1"/>
    <col min="8" max="8" width="16.85546875" customWidth="1"/>
    <col min="9" max="9" width="9.28515625" hidden="1" customWidth="1"/>
    <col min="10" max="10" width="15" style="38" customWidth="1"/>
    <col min="13" max="13" width="16.140625" customWidth="1"/>
    <col min="14" max="14" width="19.28515625" customWidth="1"/>
    <col min="16" max="16" width="17.28515625" customWidth="1"/>
    <col min="17" max="17" width="7" customWidth="1"/>
    <col min="18" max="18" width="24.7109375" customWidth="1"/>
    <col min="19" max="19" width="28.5703125" customWidth="1"/>
    <col min="20" max="20" width="13.140625" customWidth="1"/>
    <col min="21" max="21" width="32.140625" customWidth="1"/>
    <col min="22" max="22" width="17" customWidth="1"/>
    <col min="23" max="23" width="14.85546875" customWidth="1"/>
    <col min="24" max="25" width="12.28515625" customWidth="1"/>
    <col min="26" max="26" width="32.140625" customWidth="1"/>
    <col min="27" max="27" width="17.5703125" customWidth="1"/>
    <col min="28" max="28" width="23.140625" customWidth="1"/>
    <col min="29" max="29" width="20.5703125" customWidth="1"/>
    <col min="30" max="30" width="58.85546875" customWidth="1"/>
    <col min="31" max="31" width="17.140625" customWidth="1"/>
  </cols>
  <sheetData>
    <row r="1" spans="2:18" ht="15.75" thickBot="1" x14ac:dyDescent="0.3"/>
    <row r="2" spans="2:18" ht="23.25" x14ac:dyDescent="0.35">
      <c r="B2" s="1" t="s">
        <v>331</v>
      </c>
      <c r="E2" s="7"/>
      <c r="F2" s="8"/>
      <c r="G2" s="8"/>
      <c r="H2" s="9"/>
      <c r="K2" s="81"/>
      <c r="L2" s="82"/>
      <c r="M2" s="82"/>
      <c r="N2" s="82"/>
      <c r="O2" s="82"/>
      <c r="P2" s="82"/>
      <c r="Q2" s="82"/>
      <c r="R2" s="83"/>
    </row>
    <row r="3" spans="2:18" ht="19.5" thickBot="1" x14ac:dyDescent="0.35">
      <c r="E3" s="13" t="s">
        <v>12</v>
      </c>
      <c r="F3" s="11"/>
      <c r="G3" s="11"/>
      <c r="H3" s="12"/>
      <c r="I3" s="17"/>
      <c r="K3" s="84"/>
      <c r="L3" s="85" t="s">
        <v>287</v>
      </c>
      <c r="M3" s="86"/>
      <c r="N3" s="86"/>
      <c r="O3" s="86"/>
      <c r="P3" s="86"/>
      <c r="Q3" s="86"/>
      <c r="R3" s="87"/>
    </row>
    <row r="4" spans="2:18" x14ac:dyDescent="0.25">
      <c r="E4" s="10"/>
      <c r="F4" s="45" t="s">
        <v>10</v>
      </c>
      <c r="G4" s="46">
        <f>COUNTIF(H34:H69,"=ok")</f>
        <v>26</v>
      </c>
      <c r="H4" s="12"/>
      <c r="K4" s="84"/>
      <c r="L4" s="86"/>
      <c r="M4" s="86"/>
      <c r="N4" s="86"/>
      <c r="O4" s="86"/>
      <c r="P4" s="86"/>
      <c r="Q4" s="86"/>
      <c r="R4" s="87"/>
    </row>
    <row r="5" spans="2:18" x14ac:dyDescent="0.25">
      <c r="E5" s="10"/>
      <c r="F5" s="47" t="s">
        <v>11</v>
      </c>
      <c r="G5" s="48">
        <f>COUNTIF(H34:H69,"=Not ok")</f>
        <v>0</v>
      </c>
      <c r="H5" s="12"/>
      <c r="K5" s="84"/>
      <c r="L5" s="86" t="s">
        <v>298</v>
      </c>
      <c r="M5" s="86"/>
      <c r="N5" s="86"/>
      <c r="O5" s="86"/>
      <c r="P5" s="86"/>
      <c r="Q5" s="86" t="s">
        <v>40</v>
      </c>
      <c r="R5" s="87"/>
    </row>
    <row r="6" spans="2:18" x14ac:dyDescent="0.25">
      <c r="E6" s="10"/>
      <c r="F6" s="47" t="s">
        <v>330</v>
      </c>
      <c r="G6" s="48">
        <f>COUNTIF(I34:I69,"=--")</f>
        <v>0</v>
      </c>
      <c r="H6" s="12"/>
      <c r="K6" s="84"/>
      <c r="L6" s="86" t="s">
        <v>314</v>
      </c>
      <c r="M6" s="86"/>
      <c r="N6" s="86"/>
      <c r="O6" s="86"/>
      <c r="P6" s="86"/>
      <c r="Q6" s="86" t="s">
        <v>40</v>
      </c>
      <c r="R6" s="87"/>
    </row>
    <row r="7" spans="2:18" ht="15.75" thickBot="1" x14ac:dyDescent="0.3">
      <c r="E7" s="10"/>
      <c r="F7" s="50" t="s">
        <v>316</v>
      </c>
      <c r="G7" s="103">
        <f>IF(G4+G5+G6&gt;0,ROUNDDOWN(((5*G4)/(G4+G5+G6))+1,1),"Not defined")</f>
        <v>6</v>
      </c>
      <c r="H7" s="12"/>
      <c r="K7" s="84"/>
      <c r="L7" s="86" t="s">
        <v>315</v>
      </c>
      <c r="M7" s="86"/>
      <c r="N7" s="86"/>
      <c r="O7" s="86"/>
      <c r="P7" s="86"/>
      <c r="Q7" s="86" t="s">
        <v>40</v>
      </c>
      <c r="R7" s="87"/>
    </row>
    <row r="8" spans="2:18" x14ac:dyDescent="0.25">
      <c r="E8" s="10"/>
      <c r="F8" s="11"/>
      <c r="G8" s="11"/>
      <c r="H8" s="12"/>
      <c r="K8" s="84"/>
      <c r="L8" s="86" t="s">
        <v>317</v>
      </c>
      <c r="M8" s="86"/>
      <c r="N8" s="86"/>
      <c r="O8" s="86"/>
      <c r="P8" s="86"/>
      <c r="Q8" s="86" t="s">
        <v>40</v>
      </c>
      <c r="R8" s="87"/>
    </row>
    <row r="9" spans="2:18" x14ac:dyDescent="0.25">
      <c r="E9" s="10"/>
      <c r="F9" s="11"/>
      <c r="G9" s="11"/>
      <c r="H9" s="12"/>
      <c r="K9" s="84"/>
      <c r="L9" s="86" t="s">
        <v>318</v>
      </c>
      <c r="M9" s="86"/>
      <c r="N9" s="86"/>
      <c r="O9" s="86"/>
      <c r="P9" s="86"/>
      <c r="Q9" s="86" t="s">
        <v>40</v>
      </c>
      <c r="R9" s="87"/>
    </row>
    <row r="10" spans="2:18" x14ac:dyDescent="0.25">
      <c r="E10" s="10"/>
      <c r="F10" s="11"/>
      <c r="G10" s="11"/>
      <c r="H10" s="12"/>
      <c r="K10" s="84"/>
      <c r="L10" s="86" t="s">
        <v>319</v>
      </c>
      <c r="M10" s="86"/>
      <c r="N10" s="86"/>
      <c r="O10" s="86"/>
      <c r="P10" s="86"/>
      <c r="Q10" s="86" t="s">
        <v>40</v>
      </c>
      <c r="R10" s="87"/>
    </row>
    <row r="11" spans="2:18" ht="15.75" thickBot="1" x14ac:dyDescent="0.3">
      <c r="E11" s="14"/>
      <c r="F11" s="15"/>
      <c r="G11" s="15"/>
      <c r="H11" s="16"/>
      <c r="K11" s="84"/>
      <c r="L11" s="86" t="s">
        <v>321</v>
      </c>
      <c r="M11" s="86"/>
      <c r="N11" s="86"/>
      <c r="O11" s="86"/>
      <c r="P11" s="86"/>
      <c r="Q11" s="86" t="s">
        <v>40</v>
      </c>
      <c r="R11" s="87"/>
    </row>
    <row r="12" spans="2:18" x14ac:dyDescent="0.25">
      <c r="E12" s="38"/>
      <c r="F12" s="38"/>
      <c r="G12" s="38"/>
      <c r="H12" s="38"/>
      <c r="K12" s="84"/>
      <c r="L12" s="86" t="s">
        <v>320</v>
      </c>
      <c r="M12" s="86"/>
      <c r="N12" s="86"/>
      <c r="O12" s="86"/>
      <c r="P12" s="86"/>
      <c r="Q12" s="86" t="s">
        <v>40</v>
      </c>
      <c r="R12" s="87"/>
    </row>
    <row r="13" spans="2:18" x14ac:dyDescent="0.25">
      <c r="E13" s="38"/>
      <c r="F13" s="38"/>
      <c r="G13" s="38"/>
      <c r="H13" s="38"/>
      <c r="K13" s="84"/>
      <c r="L13" s="86" t="s">
        <v>322</v>
      </c>
      <c r="M13" s="86"/>
      <c r="N13" s="86"/>
      <c r="O13" s="86"/>
      <c r="P13" s="86"/>
      <c r="Q13" s="86" t="s">
        <v>40</v>
      </c>
      <c r="R13" s="87"/>
    </row>
    <row r="14" spans="2:18" ht="15.75" thickBot="1" x14ac:dyDescent="0.3">
      <c r="E14" s="38"/>
      <c r="F14" s="38"/>
      <c r="G14" s="38"/>
      <c r="H14" s="38"/>
      <c r="K14" s="84"/>
      <c r="L14" s="86"/>
      <c r="M14" s="86"/>
      <c r="N14" s="86"/>
      <c r="O14" s="86"/>
      <c r="P14" s="86" t="s">
        <v>299</v>
      </c>
      <c r="Q14" s="86">
        <f>COUNTIF(Q5:Q13,"&lt;&gt; ")</f>
        <v>9</v>
      </c>
      <c r="R14" s="87"/>
    </row>
    <row r="15" spans="2:18" ht="21.75" thickBot="1" x14ac:dyDescent="0.4">
      <c r="E15" s="38"/>
      <c r="F15" s="38"/>
      <c r="G15" s="38"/>
      <c r="H15" s="38"/>
      <c r="K15" s="84"/>
      <c r="L15" s="100"/>
      <c r="M15" s="86"/>
      <c r="N15" s="101" t="s">
        <v>323</v>
      </c>
      <c r="O15" s="86"/>
      <c r="P15" s="88" t="s">
        <v>300</v>
      </c>
      <c r="Q15" s="86">
        <f>COUNTIF(Q5:Q13,"=Ja")</f>
        <v>9</v>
      </c>
      <c r="R15" s="87"/>
    </row>
    <row r="16" spans="2:18" ht="21.75" thickBot="1" x14ac:dyDescent="0.4">
      <c r="E16" s="38"/>
      <c r="F16" s="38"/>
      <c r="G16" s="38"/>
      <c r="H16" s="38"/>
      <c r="K16" s="84"/>
      <c r="L16" s="86"/>
      <c r="M16" s="86">
        <f>(G7-1.5) + (Q16/4)</f>
        <v>6</v>
      </c>
      <c r="N16" s="102">
        <f>IF(M16&lt;1,1,M16)</f>
        <v>6</v>
      </c>
      <c r="O16" s="86"/>
      <c r="P16" s="94" t="s">
        <v>316</v>
      </c>
      <c r="Q16" s="95">
        <f>(5/Q14)*Q15+1</f>
        <v>6</v>
      </c>
      <c r="R16" s="87"/>
    </row>
    <row r="17" spans="5:18" x14ac:dyDescent="0.25">
      <c r="E17" s="38"/>
      <c r="F17" s="38"/>
      <c r="G17" s="38"/>
      <c r="H17" s="38"/>
      <c r="K17" s="84"/>
      <c r="L17" s="86"/>
      <c r="M17" s="86"/>
      <c r="N17" s="86"/>
      <c r="O17" s="86"/>
      <c r="P17" s="86"/>
      <c r="Q17" s="86"/>
      <c r="R17" s="87"/>
    </row>
    <row r="18" spans="5:18" ht="15.75" thickBot="1" x14ac:dyDescent="0.3">
      <c r="E18" s="38"/>
      <c r="F18" s="38"/>
      <c r="G18" s="38"/>
      <c r="H18" s="38"/>
      <c r="K18" s="89"/>
      <c r="L18" s="90"/>
      <c r="M18" s="90"/>
      <c r="N18" s="90"/>
      <c r="O18" s="90"/>
      <c r="P18" s="90"/>
      <c r="Q18" s="90"/>
      <c r="R18" s="91"/>
    </row>
    <row r="19" spans="5:18" x14ac:dyDescent="0.25">
      <c r="E19" s="38"/>
      <c r="F19" s="38"/>
      <c r="G19" s="38"/>
      <c r="H19" s="38"/>
    </row>
    <row r="20" spans="5:18" x14ac:dyDescent="0.25">
      <c r="E20" s="38"/>
      <c r="F20" s="38"/>
      <c r="G20" s="38"/>
      <c r="H20" s="38"/>
    </row>
    <row r="21" spans="5:18" x14ac:dyDescent="0.25">
      <c r="E21" s="38"/>
      <c r="F21" s="38"/>
      <c r="G21" s="38"/>
      <c r="H21" s="38"/>
    </row>
    <row r="22" spans="5:18" x14ac:dyDescent="0.25">
      <c r="E22" s="38"/>
      <c r="F22" s="38"/>
      <c r="G22" s="38"/>
      <c r="H22" s="38"/>
    </row>
    <row r="23" spans="5:18" x14ac:dyDescent="0.25">
      <c r="E23" s="38"/>
      <c r="F23" s="38"/>
      <c r="G23" s="38"/>
      <c r="H23" s="38"/>
    </row>
    <row r="24" spans="5:18" x14ac:dyDescent="0.25">
      <c r="E24" s="38"/>
      <c r="F24" s="38"/>
      <c r="G24" s="38"/>
      <c r="H24" s="38"/>
    </row>
    <row r="25" spans="5:18" x14ac:dyDescent="0.25">
      <c r="E25" s="38"/>
      <c r="F25" s="38"/>
      <c r="G25" s="38"/>
      <c r="H25" s="38"/>
    </row>
    <row r="26" spans="5:18" x14ac:dyDescent="0.25">
      <c r="E26" s="38"/>
      <c r="F26" s="38"/>
      <c r="G26" s="38"/>
      <c r="H26" s="38"/>
    </row>
    <row r="27" spans="5:18" x14ac:dyDescent="0.25">
      <c r="E27" s="38"/>
      <c r="F27" s="38"/>
      <c r="G27" s="38"/>
      <c r="H27" s="38"/>
    </row>
    <row r="28" spans="5:18" x14ac:dyDescent="0.25">
      <c r="E28" s="38"/>
      <c r="F28" s="38"/>
      <c r="G28" s="38"/>
      <c r="H28" s="38"/>
    </row>
    <row r="29" spans="5:18" x14ac:dyDescent="0.25">
      <c r="E29" s="38"/>
      <c r="F29" s="38"/>
      <c r="G29" s="38"/>
      <c r="H29" s="38"/>
    </row>
    <row r="30" spans="5:18" x14ac:dyDescent="0.25">
      <c r="E30" s="38"/>
      <c r="F30" s="38"/>
      <c r="G30" s="38"/>
      <c r="H30" s="38"/>
    </row>
    <row r="31" spans="5:18" x14ac:dyDescent="0.25">
      <c r="E31" s="38"/>
      <c r="F31" s="38"/>
      <c r="G31" s="38"/>
      <c r="H31" s="38"/>
    </row>
    <row r="32" spans="5:18" x14ac:dyDescent="0.25">
      <c r="E32" s="38"/>
      <c r="F32" s="38"/>
      <c r="G32" s="38"/>
      <c r="H32" s="38"/>
    </row>
    <row r="34" spans="2:9" x14ac:dyDescent="0.25">
      <c r="B34" s="2" t="s">
        <v>2</v>
      </c>
      <c r="C34" s="2" t="s">
        <v>1</v>
      </c>
      <c r="D34" s="21" t="s">
        <v>15</v>
      </c>
      <c r="E34" s="21" t="s">
        <v>16</v>
      </c>
      <c r="F34" s="21" t="s">
        <v>171</v>
      </c>
      <c r="G34" s="19" t="s">
        <v>7</v>
      </c>
      <c r="H34" s="3" t="s">
        <v>3</v>
      </c>
    </row>
    <row r="35" spans="2:9" x14ac:dyDescent="0.25">
      <c r="B35" s="4" t="s">
        <v>1266</v>
      </c>
      <c r="C35" s="5" t="str">
        <f>HelloPerDu(D35,E35,F35)</f>
        <v>Hallo Otto,</v>
      </c>
      <c r="D35" s="22" t="s">
        <v>6</v>
      </c>
      <c r="E35" s="22" t="s">
        <v>5</v>
      </c>
      <c r="F35" s="22" t="b">
        <v>1</v>
      </c>
      <c r="G35" s="18" t="s">
        <v>325</v>
      </c>
      <c r="H35" s="6" t="str">
        <f>IF(G35=C35,"ok","Not ok")</f>
        <v>ok</v>
      </c>
      <c r="I35" t="str">
        <f>IFERROR(C35,"--")</f>
        <v>Hallo Otto,</v>
      </c>
    </row>
    <row r="36" spans="2:9" x14ac:dyDescent="0.25">
      <c r="B36" s="4"/>
      <c r="C36" s="5" t="str">
        <f t="shared" ref="C36:C39" si="0">HelloPerDu(D36,E36,F36)</f>
        <v>Sehr geehrter Herr Muster,</v>
      </c>
      <c r="D36" s="22" t="s">
        <v>324</v>
      </c>
      <c r="E36" s="22" t="s">
        <v>286</v>
      </c>
      <c r="F36" s="22" t="b">
        <v>0</v>
      </c>
      <c r="G36" s="18" t="s">
        <v>326</v>
      </c>
      <c r="H36" s="6" t="str">
        <f>IF(G36=C36,"ok","Not ok")</f>
        <v>ok</v>
      </c>
      <c r="I36" t="str">
        <f t="shared" ref="I36:I39" si="1">IFERROR(C36,"--")</f>
        <v>Sehr geehrter Herr Muster,</v>
      </c>
    </row>
    <row r="37" spans="2:9" x14ac:dyDescent="0.25">
      <c r="B37" s="4"/>
      <c r="C37" s="5" t="str">
        <f t="shared" si="0"/>
        <v>Hallo!</v>
      </c>
      <c r="D37" s="22" t="s">
        <v>155</v>
      </c>
      <c r="E37" s="22"/>
      <c r="F37" s="22" t="b">
        <v>1</v>
      </c>
      <c r="G37" s="18" t="s">
        <v>327</v>
      </c>
      <c r="H37" s="6" t="str">
        <f>IF(G37=C37,"ok","Not ok")</f>
        <v>ok</v>
      </c>
      <c r="I37" t="str">
        <f t="shared" si="1"/>
        <v>Hallo!</v>
      </c>
    </row>
    <row r="38" spans="2:9" x14ac:dyDescent="0.25">
      <c r="B38" s="4"/>
      <c r="C38" s="5" t="str">
        <f>HelloPerDu()</f>
        <v>Hallo!</v>
      </c>
      <c r="D38" s="22"/>
      <c r="E38" s="22"/>
      <c r="F38" s="22"/>
      <c r="G38" s="18" t="s">
        <v>327</v>
      </c>
      <c r="H38" s="6" t="str">
        <f>IF(G38=C38,"ok","Not ok")</f>
        <v>ok</v>
      </c>
      <c r="I38" t="str">
        <f t="shared" si="1"/>
        <v>Hallo!</v>
      </c>
    </row>
    <row r="39" spans="2:9" x14ac:dyDescent="0.25">
      <c r="B39" s="4"/>
      <c r="C39" s="5" t="str">
        <f t="shared" si="0"/>
        <v>Hallo!</v>
      </c>
      <c r="D39" s="22"/>
      <c r="E39" s="22" t="s">
        <v>250</v>
      </c>
      <c r="F39" s="22" t="b">
        <v>0</v>
      </c>
      <c r="G39" s="18" t="s">
        <v>327</v>
      </c>
      <c r="H39" s="6" t="str">
        <f t="shared" ref="H39" si="2">IF(G39=C39,"ok","Not ok")</f>
        <v>ok</v>
      </c>
      <c r="I39" t="str">
        <f t="shared" si="1"/>
        <v>Hallo!</v>
      </c>
    </row>
    <row r="40" spans="2:9" x14ac:dyDescent="0.25">
      <c r="D40" s="23"/>
      <c r="E40" s="23"/>
      <c r="F40" s="23"/>
      <c r="G40" s="20"/>
    </row>
    <row r="41" spans="2:9" x14ac:dyDescent="0.25">
      <c r="B41" s="2" t="s">
        <v>2</v>
      </c>
      <c r="C41" s="2" t="s">
        <v>1</v>
      </c>
      <c r="D41" s="21" t="s">
        <v>328</v>
      </c>
      <c r="E41" s="21" t="s">
        <v>329</v>
      </c>
      <c r="F41" s="21"/>
      <c r="G41" s="19" t="s">
        <v>7</v>
      </c>
      <c r="H41" s="3" t="s">
        <v>3</v>
      </c>
    </row>
    <row r="42" spans="2:9" x14ac:dyDescent="0.25">
      <c r="B42" s="4" t="s">
        <v>1267</v>
      </c>
      <c r="C42" s="5">
        <f>CalcRechteck(D42,E42)</f>
        <v>3</v>
      </c>
      <c r="D42" s="22">
        <v>1</v>
      </c>
      <c r="E42" s="22">
        <v>3</v>
      </c>
      <c r="F42" s="22"/>
      <c r="G42" s="18">
        <v>3</v>
      </c>
      <c r="H42" s="6" t="str">
        <f>(IF(EqualsWithinTolerance(G42,C42,1),"ok","Not ok"))</f>
        <v>ok</v>
      </c>
      <c r="I42">
        <f t="shared" ref="I42:I48" si="3">IFERROR(C42,"--")</f>
        <v>3</v>
      </c>
    </row>
    <row r="43" spans="2:9" x14ac:dyDescent="0.25">
      <c r="B43" s="4"/>
      <c r="C43" s="5">
        <f t="shared" ref="C43:C48" si="4">CalcRechteck(D43,E43)</f>
        <v>5.52</v>
      </c>
      <c r="D43" s="22">
        <v>2.4</v>
      </c>
      <c r="E43" s="22">
        <v>2.2999999999999998</v>
      </c>
      <c r="F43" s="22"/>
      <c r="G43" s="18">
        <v>5.52</v>
      </c>
      <c r="H43" s="6" t="str">
        <f t="shared" ref="H43:H44" si="5">IF(EqualsWithinTolerance(G43,C43),"ok","Not ok")</f>
        <v>ok</v>
      </c>
      <c r="I43">
        <f t="shared" si="3"/>
        <v>5.52</v>
      </c>
    </row>
    <row r="44" spans="2:9" x14ac:dyDescent="0.25">
      <c r="B44" s="4"/>
      <c r="C44" s="5">
        <f t="shared" si="4"/>
        <v>6.4</v>
      </c>
      <c r="D44" s="22">
        <v>2</v>
      </c>
      <c r="E44" s="22">
        <v>3.2</v>
      </c>
      <c r="F44" s="22"/>
      <c r="G44" s="18">
        <v>6.4</v>
      </c>
      <c r="H44" s="6" t="str">
        <f t="shared" si="5"/>
        <v>ok</v>
      </c>
      <c r="I44">
        <f t="shared" si="3"/>
        <v>6.4</v>
      </c>
    </row>
    <row r="45" spans="2:9" x14ac:dyDescent="0.25">
      <c r="B45" s="4"/>
      <c r="C45" s="5">
        <f t="shared" si="4"/>
        <v>6.8</v>
      </c>
      <c r="D45" s="22">
        <v>3.4</v>
      </c>
      <c r="E45" s="22">
        <v>2</v>
      </c>
      <c r="F45" s="22"/>
      <c r="G45" s="18">
        <v>6.8</v>
      </c>
      <c r="H45" s="6" t="str">
        <f>IF(EqualsWithinTolerance(G45,C45),"ok","Not ok")</f>
        <v>ok</v>
      </c>
      <c r="I45">
        <f t="shared" si="3"/>
        <v>6.8</v>
      </c>
    </row>
    <row r="46" spans="2:9" x14ac:dyDescent="0.25">
      <c r="B46" s="4"/>
      <c r="C46" s="5">
        <f t="shared" si="4"/>
        <v>0</v>
      </c>
      <c r="D46" s="22">
        <v>-5.2</v>
      </c>
      <c r="E46" s="22">
        <v>-1</v>
      </c>
      <c r="F46" s="22"/>
      <c r="G46" s="18">
        <v>0</v>
      </c>
      <c r="H46" s="6" t="str">
        <f>IF(EqualsWithinTolerance(G46,C46),"ok","Not ok")</f>
        <v>ok</v>
      </c>
      <c r="I46">
        <f t="shared" si="3"/>
        <v>0</v>
      </c>
    </row>
    <row r="47" spans="2:9" x14ac:dyDescent="0.25">
      <c r="B47" s="4"/>
      <c r="C47" s="5">
        <f t="shared" si="4"/>
        <v>0</v>
      </c>
      <c r="D47" s="22">
        <v>12.4</v>
      </c>
      <c r="E47" s="22">
        <v>-9.3000000000000007</v>
      </c>
      <c r="F47" s="22"/>
      <c r="G47" s="18">
        <v>0</v>
      </c>
      <c r="H47" s="6" t="str">
        <f t="shared" ref="H47:H48" si="6">IF(EqualsWithinTolerance(G47,C47),"ok","Not ok")</f>
        <v>ok</v>
      </c>
      <c r="I47">
        <f t="shared" si="3"/>
        <v>0</v>
      </c>
    </row>
    <row r="48" spans="2:9" x14ac:dyDescent="0.25">
      <c r="B48" s="4"/>
      <c r="C48" s="5">
        <f t="shared" si="4"/>
        <v>0</v>
      </c>
      <c r="D48" s="22">
        <v>-15.45</v>
      </c>
      <c r="E48" s="22">
        <v>5.4</v>
      </c>
      <c r="F48" s="22"/>
      <c r="G48" s="18">
        <v>0</v>
      </c>
      <c r="H48" s="6" t="str">
        <f t="shared" si="6"/>
        <v>ok</v>
      </c>
      <c r="I48">
        <f t="shared" si="3"/>
        <v>0</v>
      </c>
    </row>
    <row r="49" spans="2:9" x14ac:dyDescent="0.25">
      <c r="D49" s="23"/>
      <c r="E49" s="23"/>
      <c r="F49" s="23"/>
      <c r="G49" s="20"/>
    </row>
    <row r="50" spans="2:9" x14ac:dyDescent="0.25">
      <c r="B50" s="2" t="s">
        <v>2</v>
      </c>
      <c r="C50" s="2" t="s">
        <v>1</v>
      </c>
      <c r="D50" s="21" t="s">
        <v>333</v>
      </c>
      <c r="E50" s="21"/>
      <c r="F50" s="21"/>
      <c r="G50" s="19" t="s">
        <v>7</v>
      </c>
      <c r="H50" s="3" t="s">
        <v>3</v>
      </c>
    </row>
    <row r="51" spans="2:9" x14ac:dyDescent="0.25">
      <c r="B51" s="4" t="s">
        <v>332</v>
      </c>
      <c r="C51" s="5">
        <f>AddFractions(D51)</f>
        <v>1.5</v>
      </c>
      <c r="D51" s="22">
        <v>2</v>
      </c>
      <c r="E51" s="22"/>
      <c r="F51" s="22"/>
      <c r="G51" s="18">
        <v>1.5</v>
      </c>
      <c r="H51" s="6" t="str">
        <f>IF(EqualsWithinTolerance(G51,C51),"ok","Not ok")</f>
        <v>ok</v>
      </c>
      <c r="I51">
        <f t="shared" ref="I51:I57" si="7">IFERROR(C51,"--")</f>
        <v>1.5</v>
      </c>
    </row>
    <row r="52" spans="2:9" x14ac:dyDescent="0.25">
      <c r="B52" s="4"/>
      <c r="C52" s="5">
        <f t="shared" ref="C52:C56" si="8">AddFractions(D52)</f>
        <v>2.4499999999999997</v>
      </c>
      <c r="D52" s="22">
        <v>6</v>
      </c>
      <c r="E52" s="22"/>
      <c r="F52" s="22"/>
      <c r="G52" s="18">
        <v>2.4499999999999997</v>
      </c>
      <c r="H52" s="6" t="str">
        <f>IF(EqualsWithinTolerance(G52,C52),"ok","Not ok")</f>
        <v>ok</v>
      </c>
      <c r="I52">
        <f t="shared" si="7"/>
        <v>2.4499999999999997</v>
      </c>
    </row>
    <row r="53" spans="2:9" x14ac:dyDescent="0.25">
      <c r="B53" s="4"/>
      <c r="C53" s="5">
        <f t="shared" si="8"/>
        <v>7.4854708605503433</v>
      </c>
      <c r="D53" s="22">
        <v>1000</v>
      </c>
      <c r="E53" s="22"/>
      <c r="F53" s="22"/>
      <c r="G53" s="18">
        <v>7.4850000000000003</v>
      </c>
      <c r="H53" s="6" t="str">
        <f>IF(EqualsWithinTolerance(G53,C53),"ok","Not ok")</f>
        <v>ok</v>
      </c>
      <c r="I53">
        <f t="shared" si="7"/>
        <v>7.4854708605503433</v>
      </c>
    </row>
    <row r="54" spans="2:9" x14ac:dyDescent="0.25">
      <c r="B54" s="4"/>
      <c r="C54" s="5">
        <f t="shared" si="8"/>
        <v>1</v>
      </c>
      <c r="D54" s="22">
        <v>1</v>
      </c>
      <c r="E54" s="22"/>
      <c r="F54" s="22"/>
      <c r="G54" s="18">
        <v>1</v>
      </c>
      <c r="H54" s="6" t="str">
        <f>IF(EqualsWithinTolerance(G54,C54),"ok","Not ok")</f>
        <v>ok</v>
      </c>
      <c r="I54">
        <f t="shared" si="7"/>
        <v>1</v>
      </c>
    </row>
    <row r="55" spans="2:9" x14ac:dyDescent="0.25">
      <c r="B55" s="4"/>
      <c r="C55" s="5">
        <f t="shared" si="8"/>
        <v>0</v>
      </c>
      <c r="D55" s="22">
        <v>-1</v>
      </c>
      <c r="E55" s="22"/>
      <c r="F55" s="22"/>
      <c r="G55" s="18">
        <v>0</v>
      </c>
      <c r="H55" s="6" t="str">
        <f>IF(EqualsWithinTolerance(G55,C55),"ok","Not ok")</f>
        <v>ok</v>
      </c>
      <c r="I55">
        <f t="shared" si="7"/>
        <v>0</v>
      </c>
    </row>
    <row r="56" spans="2:9" x14ac:dyDescent="0.25">
      <c r="B56" s="4"/>
      <c r="C56" s="5">
        <f t="shared" si="8"/>
        <v>0</v>
      </c>
      <c r="D56" s="22">
        <v>0</v>
      </c>
      <c r="E56" s="22"/>
      <c r="F56" s="22"/>
      <c r="G56" s="18">
        <v>0</v>
      </c>
      <c r="H56" s="6" t="str">
        <f>IF(EqualsWithinTolerance(G56,C56),"ok","Not ok")</f>
        <v>ok</v>
      </c>
      <c r="I56">
        <f t="shared" si="7"/>
        <v>0</v>
      </c>
    </row>
    <row r="57" spans="2:9" x14ac:dyDescent="0.25">
      <c r="B57" s="4"/>
      <c r="C57" s="5">
        <f>AddFractions()</f>
        <v>5.1873775176396206</v>
      </c>
      <c r="D57" s="22"/>
      <c r="E57" s="22"/>
      <c r="F57" s="22"/>
      <c r="G57" s="18">
        <v>5.1870000000000003</v>
      </c>
      <c r="H57" s="6" t="str">
        <f>IF(EqualsWithinTolerance(G57,C57),"ok","Not ok")</f>
        <v>ok</v>
      </c>
      <c r="I57">
        <f t="shared" si="7"/>
        <v>5.1873775176396206</v>
      </c>
    </row>
    <row r="58" spans="2:9" x14ac:dyDescent="0.25">
      <c r="D58" s="23"/>
      <c r="E58" s="23"/>
      <c r="F58" s="23"/>
      <c r="G58" s="20"/>
    </row>
    <row r="59" spans="2:9" x14ac:dyDescent="0.25">
      <c r="B59" s="2" t="s">
        <v>2</v>
      </c>
      <c r="C59" s="2" t="s">
        <v>1</v>
      </c>
      <c r="D59" s="21" t="s">
        <v>16</v>
      </c>
      <c r="E59" s="21" t="s">
        <v>17</v>
      </c>
      <c r="F59" s="21"/>
      <c r="G59" s="19" t="s">
        <v>7</v>
      </c>
      <c r="H59" s="3" t="s">
        <v>3</v>
      </c>
    </row>
    <row r="60" spans="2:9" x14ac:dyDescent="0.25">
      <c r="B60" s="4" t="s">
        <v>14</v>
      </c>
      <c r="C60" s="5" t="str">
        <f>GetAnrede(D60,E60)</f>
        <v>O. Schlosser</v>
      </c>
      <c r="D60" s="22" t="s">
        <v>5</v>
      </c>
      <c r="E60" s="22" t="s">
        <v>6</v>
      </c>
      <c r="F60" s="22"/>
      <c r="G60" s="18" t="s">
        <v>9</v>
      </c>
      <c r="H60" s="6" t="str">
        <f>IF(EXACT(G60,C60),"ok","Not ok")</f>
        <v>ok</v>
      </c>
      <c r="I60" t="str">
        <f t="shared" ref="I60:I63" si="9">IFERROR(C60,"--")</f>
        <v>O. Schlosser</v>
      </c>
    </row>
    <row r="61" spans="2:9" x14ac:dyDescent="0.25">
      <c r="B61" s="4"/>
      <c r="C61" s="5" t="str">
        <f>GetAnrede(D61,E61)</f>
        <v>S. Goeldin</v>
      </c>
      <c r="D61" s="22" t="s">
        <v>31</v>
      </c>
      <c r="E61" s="22" t="s">
        <v>35</v>
      </c>
      <c r="F61" s="22"/>
      <c r="G61" s="18" t="s">
        <v>37</v>
      </c>
      <c r="H61" s="6" t="str">
        <f t="shared" ref="H61:H63" si="10">IF(EXACT(G61,C61),"ok","Not ok")</f>
        <v>ok</v>
      </c>
      <c r="I61" t="str">
        <f t="shared" si="9"/>
        <v>S. Goeldin</v>
      </c>
    </row>
    <row r="62" spans="2:9" x14ac:dyDescent="0.25">
      <c r="B62" s="4"/>
      <c r="C62" s="5" t="str">
        <f t="shared" ref="C62:C63" si="11">GetAnrede(D62,E62)</f>
        <v>M. Landolt</v>
      </c>
      <c r="D62" s="22" t="s">
        <v>36</v>
      </c>
      <c r="E62" s="22" t="s">
        <v>32</v>
      </c>
      <c r="F62" s="22"/>
      <c r="G62" s="18" t="s">
        <v>38</v>
      </c>
      <c r="H62" s="6" t="str">
        <f t="shared" si="10"/>
        <v>ok</v>
      </c>
      <c r="I62" t="str">
        <f t="shared" si="9"/>
        <v>M. Landolt</v>
      </c>
    </row>
    <row r="63" spans="2:9" x14ac:dyDescent="0.25">
      <c r="B63" s="4"/>
      <c r="C63" s="5" t="str">
        <f t="shared" si="11"/>
        <v>F. Loretan</v>
      </c>
      <c r="D63" s="22" t="s">
        <v>34</v>
      </c>
      <c r="E63" s="22" t="s">
        <v>33</v>
      </c>
      <c r="F63" s="22"/>
      <c r="G63" s="18" t="s">
        <v>39</v>
      </c>
      <c r="H63" s="6" t="str">
        <f t="shared" si="10"/>
        <v>ok</v>
      </c>
      <c r="I63" t="str">
        <f t="shared" si="9"/>
        <v>F. Loretan</v>
      </c>
    </row>
    <row r="64" spans="2:9" x14ac:dyDescent="0.25">
      <c r="D64" s="23"/>
      <c r="E64" s="23"/>
      <c r="F64" s="23"/>
      <c r="G64" s="20"/>
    </row>
    <row r="66" spans="2:9" x14ac:dyDescent="0.25">
      <c r="B66" s="2" t="s">
        <v>2</v>
      </c>
      <c r="C66" s="2" t="s">
        <v>1</v>
      </c>
      <c r="D66" s="21" t="s">
        <v>18</v>
      </c>
      <c r="E66" s="21" t="s">
        <v>19</v>
      </c>
      <c r="F66" s="21" t="s">
        <v>20</v>
      </c>
      <c r="G66" s="19" t="s">
        <v>7</v>
      </c>
      <c r="H66" s="3" t="s">
        <v>3</v>
      </c>
    </row>
    <row r="67" spans="2:9" x14ac:dyDescent="0.25">
      <c r="B67" s="4" t="s">
        <v>21</v>
      </c>
      <c r="C67" s="28" t="str">
        <f>GetOrtsAnschrift(D67,E67,F67)</f>
        <v>CH-8855 &lt;U&gt;Wangen&lt;/U&gt;</v>
      </c>
      <c r="D67" s="22" t="s">
        <v>22</v>
      </c>
      <c r="E67" s="22">
        <v>8855</v>
      </c>
      <c r="F67" s="22" t="s">
        <v>23</v>
      </c>
      <c r="G67" s="18" t="s">
        <v>28</v>
      </c>
      <c r="H67" s="6" t="str">
        <f t="shared" ref="H67:H69" si="12">IF(G67=C67,"ok","Not ok")</f>
        <v>ok</v>
      </c>
      <c r="I67" t="str">
        <f t="shared" ref="I67:I69" si="13">IFERROR(C67,"--")</f>
        <v>CH-8855 &lt;U&gt;Wangen&lt;/U&gt;</v>
      </c>
    </row>
    <row r="68" spans="2:9" x14ac:dyDescent="0.25">
      <c r="B68" s="4"/>
      <c r="C68" s="5" t="str">
        <f>GetOrtsAnschrift(D68,E68,F68)</f>
        <v>DE-69115 &lt;U&gt;Heidelberg&lt;/U&gt;</v>
      </c>
      <c r="D68" s="22" t="s">
        <v>24</v>
      </c>
      <c r="E68" s="22">
        <v>69115</v>
      </c>
      <c r="F68" s="22" t="s">
        <v>25</v>
      </c>
      <c r="G68" s="18" t="s">
        <v>29</v>
      </c>
      <c r="H68" s="6" t="str">
        <f t="shared" si="12"/>
        <v>ok</v>
      </c>
      <c r="I68" t="str">
        <f t="shared" si="13"/>
        <v>DE-69115 &lt;U&gt;Heidelberg&lt;/U&gt;</v>
      </c>
    </row>
    <row r="69" spans="2:9" x14ac:dyDescent="0.25">
      <c r="B69" s="4"/>
      <c r="C69" s="28" t="str">
        <f>GetOrtsAnschrift(D69,E69,F69)</f>
        <v>FR-75000 &lt;U&gt;Paris&lt;/U&gt;</v>
      </c>
      <c r="D69" s="22" t="s">
        <v>26</v>
      </c>
      <c r="E69" s="22">
        <v>75000</v>
      </c>
      <c r="F69" s="22" t="s">
        <v>27</v>
      </c>
      <c r="G69" s="18" t="s">
        <v>30</v>
      </c>
      <c r="H69" s="6" t="str">
        <f t="shared" si="12"/>
        <v>ok</v>
      </c>
      <c r="I69" t="str">
        <f t="shared" si="13"/>
        <v>FR-75000 &lt;U&gt;Paris&lt;/U&gt;</v>
      </c>
    </row>
  </sheetData>
  <conditionalFormatting sqref="H60:H63">
    <cfRule type="cellIs" dxfId="16" priority="32" operator="equal">
      <formula>"Not ok"</formula>
    </cfRule>
    <cfRule type="cellIs" dxfId="15" priority="33" operator="equal">
      <formula>"ok"</formula>
    </cfRule>
  </conditionalFormatting>
  <conditionalFormatting sqref="H67:H69">
    <cfRule type="cellIs" dxfId="14" priority="24" operator="equal">
      <formula>"Not ok"</formula>
    </cfRule>
    <cfRule type="cellIs" dxfId="13" priority="25" operator="equal">
      <formula>"ok"</formula>
    </cfRule>
  </conditionalFormatting>
  <conditionalFormatting sqref="G7">
    <cfRule type="cellIs" dxfId="12" priority="7" stopIfTrue="1" operator="equal">
      <formula>"Not defined"</formula>
    </cfRule>
    <cfRule type="cellIs" dxfId="11" priority="8" stopIfTrue="1" operator="greaterThan">
      <formula>5.7</formula>
    </cfRule>
    <cfRule type="cellIs" dxfId="10" priority="9" stopIfTrue="1" operator="greaterThan">
      <formula>5</formula>
    </cfRule>
    <cfRule type="cellIs" dxfId="9" priority="10" stopIfTrue="1" operator="greaterThan">
      <formula>4.5</formula>
    </cfRule>
    <cfRule type="cellIs" dxfId="8" priority="11" stopIfTrue="1" operator="greaterThanOrEqual">
      <formula>4</formula>
    </cfRule>
    <cfRule type="cellIs" dxfId="7" priority="12" stopIfTrue="1" operator="greaterThanOrEqual">
      <formula>3</formula>
    </cfRule>
    <cfRule type="cellIs" dxfId="6" priority="13" stopIfTrue="1" operator="greaterThanOrEqual">
      <formula>1</formula>
    </cfRule>
  </conditionalFormatting>
  <conditionalFormatting sqref="H35:H39">
    <cfRule type="cellIs" dxfId="5" priority="5" operator="equal">
      <formula>"Not ok"</formula>
    </cfRule>
    <cfRule type="cellIs" dxfId="4" priority="6" operator="equal">
      <formula>"ok"</formula>
    </cfRule>
  </conditionalFormatting>
  <conditionalFormatting sqref="H42:H48">
    <cfRule type="cellIs" dxfId="3" priority="3" operator="equal">
      <formula>"Not ok"</formula>
    </cfRule>
    <cfRule type="cellIs" dxfId="2" priority="4" operator="equal">
      <formula>"ok"</formula>
    </cfRule>
  </conditionalFormatting>
  <conditionalFormatting sqref="H51:H57">
    <cfRule type="cellIs" dxfId="1" priority="1" operator="equal">
      <formula>"Not ok"</formula>
    </cfRule>
    <cfRule type="cellIs" dxfId="0" priority="2" operator="equal">
      <formula>"ok"</formula>
    </cfRule>
  </conditionalFormatting>
  <pageMargins left="0.7" right="0.7" top="0.78740157499999996" bottom="0.78740157499999996" header="0.3" footer="0.3"/>
  <pageSetup paperSize="9" orientation="landscape" r:id="rId1"/>
  <drawing r:id="rId2"/>
  <legacyDrawing r:id="rId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Aufgaben!$J$101:$J$102</xm:f>
          </x14:formula1>
          <xm:sqref>Q5:Q13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7</vt:i4>
      </vt:variant>
    </vt:vector>
  </HeadingPairs>
  <TitlesOfParts>
    <vt:vector size="7" baseType="lpstr">
      <vt:lpstr>Aufgaben</vt:lpstr>
      <vt:lpstr>Datenaufbereitung</vt:lpstr>
      <vt:lpstr>StringFormeln</vt:lpstr>
      <vt:lpstr>Potenzen</vt:lpstr>
      <vt:lpstr>QuadratischeFunktion</vt:lpstr>
      <vt:lpstr>TXT_Daten</vt:lpstr>
      <vt:lpstr>VBA_Programmierung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cp:lastPrinted>2020-09-18T08:27:01Z</cp:lastPrinted>
  <dcterms:created xsi:type="dcterms:W3CDTF">2019-10-24T06:37:05Z</dcterms:created>
  <dcterms:modified xsi:type="dcterms:W3CDTF">2020-10-22T10:50:46Z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eeabb665-2b37-4f3f-8b81-5db5b3084eb6</vt:lpwstr>
  </property>
</Properties>
</file>