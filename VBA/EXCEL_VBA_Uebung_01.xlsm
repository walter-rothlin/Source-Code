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6025" windowHeight="13320"/>
  </bookViews>
  <sheets>
    <sheet name="Beschreibung" sheetId="47" r:id="rId1"/>
    <sheet name="VBA_Mathematische" sheetId="45" r:id="rId2"/>
    <sheet name="VBA_StringOperationen" sheetId="44" r:id="rId3"/>
    <sheet name="VBA_AlgorithmusImplementationen" sheetId="46" r:id="rId4"/>
    <sheet name="StringFormeln" sheetId="40" r:id="rId5"/>
  </sheets>
  <functionGroups builtInGroupCount="18"/>
  <calcPr calcId="152511"/>
</workbook>
</file>

<file path=xl/calcChain.xml><?xml version="1.0" encoding="utf-8"?>
<calcChain xmlns="http://schemas.openxmlformats.org/spreadsheetml/2006/main">
  <c r="C5" i="40" l="1"/>
  <c r="C6" i="40"/>
  <c r="C7" i="40"/>
  <c r="C11" i="46"/>
  <c r="H11" i="46"/>
  <c r="C5" i="46"/>
  <c r="C6" i="46"/>
  <c r="C18" i="44"/>
  <c r="C21" i="44"/>
  <c r="C20" i="44"/>
  <c r="C5" i="44"/>
  <c r="C7" i="44"/>
  <c r="C6" i="44"/>
  <c r="C14" i="45"/>
  <c r="C5" i="45"/>
  <c r="C6" i="45"/>
  <c r="C19" i="44"/>
  <c r="C11" i="44"/>
  <c r="C12" i="44"/>
  <c r="C15" i="44"/>
  <c r="C14" i="44"/>
  <c r="C13" i="44"/>
  <c r="C17" i="45"/>
  <c r="C15" i="46"/>
  <c r="C7" i="46"/>
  <c r="C20" i="45"/>
  <c r="C14" i="46"/>
  <c r="C11" i="45"/>
  <c r="H17" i="45"/>
  <c r="C23" i="46"/>
  <c r="C16" i="46"/>
  <c r="C15" i="45"/>
  <c r="C9" i="45"/>
  <c r="C9" i="46"/>
  <c r="C29" i="46"/>
  <c r="C8" i="46"/>
  <c r="C25" i="46"/>
  <c r="C18" i="46"/>
  <c r="C26" i="46"/>
  <c r="C8" i="45"/>
  <c r="H9" i="46"/>
  <c r="H6" i="46"/>
  <c r="C10" i="45"/>
  <c r="H10" i="45" s="1"/>
  <c r="C19" i="45"/>
  <c r="H19" i="45" s="1"/>
  <c r="H11" i="45"/>
  <c r="C20" i="46"/>
  <c r="H7" i="46"/>
  <c r="C17" i="46"/>
  <c r="C30" i="46"/>
  <c r="H6" i="45"/>
  <c r="C28" i="46"/>
  <c r="H8" i="45"/>
  <c r="C24" i="46"/>
  <c r="C27" i="46"/>
  <c r="H9" i="45"/>
  <c r="C18" i="45"/>
  <c r="C7" i="45"/>
  <c r="H7" i="45" s="1"/>
  <c r="H5" i="45"/>
  <c r="C19" i="46"/>
  <c r="C10" i="46"/>
  <c r="H10" i="46" s="1"/>
  <c r="H5" i="46"/>
  <c r="H8" i="46"/>
  <c r="C16" i="45"/>
  <c r="J5" i="45" l="1"/>
  <c r="H28" i="46"/>
  <c r="J28" i="46"/>
  <c r="H16" i="46"/>
  <c r="J16" i="46"/>
  <c r="J16" i="45"/>
  <c r="J6" i="45"/>
  <c r="J8" i="45"/>
  <c r="J7" i="45"/>
  <c r="J30" i="46"/>
  <c r="H30" i="46"/>
  <c r="J8" i="46"/>
  <c r="J17" i="46"/>
  <c r="H17" i="46"/>
  <c r="J23" i="46"/>
  <c r="H23" i="46"/>
  <c r="J18" i="45"/>
  <c r="J26" i="46"/>
  <c r="H26" i="46"/>
  <c r="J29" i="46"/>
  <c r="H29" i="46"/>
  <c r="H20" i="46"/>
  <c r="J20" i="46"/>
  <c r="J11" i="45"/>
  <c r="J10" i="46"/>
  <c r="J9" i="46"/>
  <c r="J11" i="46"/>
  <c r="H14" i="46"/>
  <c r="J14" i="46"/>
  <c r="J18" i="46"/>
  <c r="H18" i="46"/>
  <c r="H27" i="46"/>
  <c r="J27" i="46"/>
  <c r="J19" i="45"/>
  <c r="J20" i="45"/>
  <c r="J5" i="46"/>
  <c r="J9" i="45"/>
  <c r="J10" i="45"/>
  <c r="J7" i="46"/>
  <c r="J25" i="46"/>
  <c r="H25" i="46"/>
  <c r="J24" i="46"/>
  <c r="H24" i="46"/>
  <c r="J6" i="46"/>
  <c r="J15" i="46"/>
  <c r="H15" i="46"/>
  <c r="H19" i="46"/>
  <c r="J19" i="46"/>
  <c r="J15" i="45"/>
  <c r="J14" i="45"/>
  <c r="J17" i="45"/>
  <c r="C14" i="40"/>
  <c r="C13" i="40"/>
  <c r="C12" i="40"/>
  <c r="C11" i="40"/>
  <c r="H11" i="40" s="1"/>
  <c r="C4" i="40"/>
  <c r="G8" i="44"/>
  <c r="G7" i="44"/>
  <c r="G6" i="44"/>
  <c r="G5" i="44"/>
  <c r="H91" i="40"/>
  <c r="H90" i="40"/>
  <c r="H89" i="40"/>
  <c r="H88" i="40"/>
  <c r="H84" i="40"/>
  <c r="H83" i="40"/>
  <c r="H82" i="40"/>
  <c r="H81" i="40"/>
  <c r="H77" i="40"/>
  <c r="H76" i="40"/>
  <c r="H75" i="40"/>
  <c r="H74" i="40"/>
  <c r="H70" i="40"/>
  <c r="H69" i="40"/>
  <c r="H68" i="40"/>
  <c r="H67" i="40"/>
  <c r="H63" i="40"/>
  <c r="H62" i="40"/>
  <c r="H61" i="40"/>
  <c r="H60" i="40"/>
  <c r="H56" i="40"/>
  <c r="H55" i="40"/>
  <c r="H54" i="40"/>
  <c r="H53" i="40"/>
  <c r="H49" i="40"/>
  <c r="H48" i="40"/>
  <c r="H47" i="40"/>
  <c r="H46" i="40"/>
  <c r="H42" i="40"/>
  <c r="H41" i="40"/>
  <c r="H40" i="40"/>
  <c r="H39" i="40"/>
  <c r="H35" i="40"/>
  <c r="H34" i="40"/>
  <c r="H33" i="40"/>
  <c r="H32" i="40"/>
  <c r="H28" i="40"/>
  <c r="H27" i="40"/>
  <c r="H26" i="40"/>
  <c r="H25" i="40"/>
  <c r="H21" i="40"/>
  <c r="H20" i="40"/>
  <c r="H19" i="40"/>
  <c r="H18" i="40"/>
  <c r="H14" i="40"/>
  <c r="H13" i="40"/>
  <c r="H12" i="40"/>
  <c r="H7" i="40"/>
  <c r="H6" i="40"/>
  <c r="H5" i="40"/>
  <c r="I19" i="46"/>
  <c r="I16" i="46"/>
  <c r="H18" i="45"/>
  <c r="I4" i="40"/>
  <c r="I7" i="40"/>
  <c r="I17" i="46"/>
  <c r="I14" i="46"/>
  <c r="H20" i="45"/>
  <c r="C26" i="44"/>
  <c r="H14" i="45"/>
  <c r="C25" i="44"/>
  <c r="I6" i="40"/>
  <c r="I20" i="46"/>
  <c r="I15" i="46"/>
  <c r="C8" i="44"/>
  <c r="I5" i="40"/>
  <c r="I18" i="46"/>
  <c r="H16" i="45"/>
  <c r="C24" i="44"/>
  <c r="H15" i="45"/>
  <c r="J12" i="44" l="1"/>
  <c r="H12" i="44"/>
  <c r="H5" i="44"/>
  <c r="J5" i="44"/>
  <c r="J11" i="44"/>
  <c r="H11" i="44"/>
  <c r="J15" i="44"/>
  <c r="H15" i="44"/>
  <c r="J25" i="44"/>
  <c r="H25" i="44"/>
  <c r="H6" i="44"/>
  <c r="J6" i="44"/>
  <c r="H14" i="44"/>
  <c r="J14" i="44"/>
  <c r="H18" i="44"/>
  <c r="J18" i="44"/>
  <c r="H19" i="44"/>
  <c r="J19" i="44"/>
  <c r="H20" i="44"/>
  <c r="J20" i="44"/>
  <c r="H21" i="44"/>
  <c r="J21" i="44"/>
  <c r="H24" i="44"/>
  <c r="J24" i="44"/>
  <c r="J8" i="44"/>
  <c r="J26" i="44"/>
  <c r="H26" i="44"/>
  <c r="J7" i="44"/>
  <c r="H13" i="44"/>
  <c r="J13" i="44"/>
  <c r="H7" i="44"/>
  <c r="H8" i="44"/>
  <c r="H4" i="40"/>
  <c r="I21" i="44"/>
  <c r="I18" i="44"/>
  <c r="I6" i="44"/>
  <c r="I20" i="44"/>
  <c r="I19" i="44"/>
  <c r="I8" i="44"/>
  <c r="I7" i="44"/>
  <c r="I5" i="44"/>
</calcChain>
</file>

<file path=xl/comments1.xml><?xml version="1.0" encoding="utf-8"?>
<comments xmlns="http://schemas.openxmlformats.org/spreadsheetml/2006/main">
  <authors>
    <author>admin</author>
  </authors>
  <commentList>
    <comment ref="B5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14" authorId="0" shapeId="0">
      <text>
        <r>
          <rPr>
            <sz val="11"/>
            <color indexed="81"/>
            <rFont val="Segoe UI"/>
            <family val="2"/>
          </rPr>
          <t>Die Fct berechnet das Volumen eines Zylinders mit der Formel:
V=(</t>
        </r>
        <r>
          <rPr>
            <b/>
            <sz val="11"/>
            <color indexed="81"/>
            <rFont val="Segoe UI"/>
            <family val="2"/>
          </rPr>
          <t>Durchmesser</t>
        </r>
        <r>
          <rPr>
            <sz val="11"/>
            <color indexed="81"/>
            <rFont val="Segoe UI"/>
            <family val="2"/>
          </rPr>
          <t xml:space="preserve">^2 * 3.1415926 * </t>
        </r>
        <r>
          <rPr>
            <b/>
            <sz val="11"/>
            <color indexed="81"/>
            <rFont val="Segoe UI"/>
            <family val="2"/>
          </rPr>
          <t>Hoehe</t>
        </r>
        <r>
          <rPr>
            <sz val="11"/>
            <color indexed="81"/>
            <rFont val="Segoe UI"/>
            <family val="2"/>
          </rPr>
          <t xml:space="preserve"> / 4)
Falls Durchmesser oder Hoehe &lt;0 sind, wird Wert 0 zurückgegeben.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B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 BZU</t>
        </r>
        <r>
          <rPr>
            <sz val="11"/>
            <color indexed="81"/>
            <rFont val="Segoe UI"/>
            <family val="2"/>
          </rPr>
          <t>" zurück. 
Falls ein Parameter übergeben wird, gibt die Fct "</t>
        </r>
        <r>
          <rPr>
            <b/>
            <sz val="11"/>
            <color indexed="81"/>
            <rFont val="Segoe UI"/>
            <family val="2"/>
          </rPr>
          <t>Hello {Name}</t>
        </r>
        <r>
          <rPr>
            <sz val="11"/>
            <color indexed="81"/>
            <rFont val="Segoe UI"/>
            <family val="2"/>
          </rPr>
          <t>"</t>
        </r>
        <r>
          <rPr>
            <b/>
            <sz val="11"/>
            <color indexed="81"/>
            <rFont val="Segoe UI"/>
            <family val="2"/>
          </rPr>
          <t xml:space="preserve"> </t>
        </r>
        <r>
          <rPr>
            <sz val="11"/>
            <color indexed="81"/>
            <rFont val="Segoe UI"/>
            <family val="2"/>
          </rPr>
          <t>zurück.</t>
        </r>
      </text>
    </comment>
    <comment ref="B11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18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24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5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0.</t>
        </r>
      </text>
    </comment>
    <comment ref="B14" authorId="0" shapeId="0">
      <text>
        <r>
          <rPr>
            <sz val="11"/>
            <color indexed="81"/>
            <rFont val="Segoe UI"/>
            <family val="2"/>
          </rPr>
          <t xml:space="preserve">Die Fct gibt die Summe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</t>
        </r>
      </text>
    </comment>
    <comment ref="B23" authorId="0" shapeId="0">
      <text>
        <r>
          <rPr>
            <sz val="11"/>
            <color indexed="81"/>
            <rFont val="Segoe UI"/>
            <family val="2"/>
          </rPr>
          <t xml:space="preserve">Die Fct gibt das Produkt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 Falls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nicht spezifiziert wird, wird die Fakultät(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) berechnet (Produkt der Zahlen von 2 bis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<sst xmlns="http://schemas.openxmlformats.org/spreadsheetml/2006/main" count="283" uniqueCount="137">
  <si>
    <t>Function-Test</t>
  </si>
  <si>
    <t>Param 3</t>
  </si>
  <si>
    <t>Function</t>
  </si>
  <si>
    <t>Richtig / Falsch</t>
  </si>
  <si>
    <t>Fritz</t>
  </si>
  <si>
    <t>Max und Moritz</t>
  </si>
  <si>
    <t>Otto</t>
  </si>
  <si>
    <t>Schlosser</t>
  </si>
  <si>
    <t>Erwartet</t>
  </si>
  <si>
    <t>Richtig / Falsch fct()</t>
  </si>
  <si>
    <t>O. Schlosser</t>
  </si>
  <si>
    <t>GetAnrede</t>
  </si>
  <si>
    <t>AddFigureRange</t>
  </si>
  <si>
    <t>Name</t>
  </si>
  <si>
    <t>Durchmesser</t>
  </si>
  <si>
    <t>Hoehe</t>
  </si>
  <si>
    <t>Vorname</t>
  </si>
  <si>
    <t>Nachname</t>
  </si>
  <si>
    <t>Start</t>
  </si>
  <si>
    <t>Ende</t>
  </si>
  <si>
    <t>MulFigureRange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</si>
  <si>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</si>
  <si>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</si>
  <si>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</si>
  <si>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</si>
  <si>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</si>
  <si>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</si>
  <si>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</si>
  <si>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</si>
  <si>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</si>
  <si>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</si>
  <si>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</si>
  <si>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</si>
  <si>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</si>
  <si>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</si>
  <si>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</si>
  <si>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</si>
  <si>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</si>
  <si>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</si>
  <si>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</si>
  <si>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</si>
  <si>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</si>
  <si>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</si>
  <si>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Walter</t>
  </si>
  <si>
    <t>Meier</t>
  </si>
  <si>
    <t>PerDu</t>
  </si>
  <si>
    <t>Formel</t>
  </si>
  <si>
    <t>Gruppe</t>
  </si>
  <si>
    <t>Postition vom 1.Buchstaben nach dem Leerschlag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</si>
  <si>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</si>
  <si>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</si>
  <si>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</si>
  <si>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</si>
  <si>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</si>
  <si>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</si>
  <si>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</si>
  <si>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</si>
  <si>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</si>
  <si>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</si>
  <si>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</si>
  <si>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</si>
  <si>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</si>
  <si>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</si>
  <si>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</si>
  <si>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</si>
  <si>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</si>
  <si>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</si>
  <si>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</si>
  <si>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</si>
  <si>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</si>
  <si>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</si>
  <si>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</si>
  <si>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</si>
  <si>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</si>
  <si>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</si>
  <si>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</si>
  <si>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</si>
  <si>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</si>
  <si>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</si>
  <si>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</si>
  <si>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</si>
  <si>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</si>
  <si>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</si>
  <si>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</si>
  <si>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</si>
  <si>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</si>
  <si>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</si>
  <si>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</si>
  <si>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</si>
  <si>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</si>
  <si>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</si>
  <si>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</si>
  <si>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</si>
  <si>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</si>
  <si>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</si>
  <si>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</si>
  <si>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</si>
  <si>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</si>
  <si>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</si>
  <si>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</si>
  <si>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</si>
  <si>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</si>
  <si>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</si>
  <si>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</si>
  <si>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</si>
  <si>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</si>
  <si>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</si>
  <si>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</si>
  <si>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</si>
  <si>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</si>
  <si>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</si>
  <si>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</si>
  <si>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</si>
  <si>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</si>
  <si>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</si>
  <si>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</si>
  <si>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</si>
  <si>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Felix</t>
  </si>
  <si>
    <t>Muster</t>
  </si>
  <si>
    <t>Hallo Otto,</t>
  </si>
  <si>
    <t>Sehr geehrter Herr Muster,</t>
  </si>
  <si>
    <t>Hallo!</t>
  </si>
  <si>
    <t>Laenge</t>
  </si>
  <si>
    <t>Breite</t>
  </si>
  <si>
    <t>AddFractions</t>
  </si>
  <si>
    <t>n</t>
  </si>
  <si>
    <t>d Moritz</t>
  </si>
  <si>
    <t>u Müller</t>
  </si>
  <si>
    <t>ter (ZH)</t>
  </si>
  <si>
    <t>Hello</t>
  </si>
  <si>
    <t>HelloPerDu</t>
  </si>
  <si>
    <t>CalcRechteck</t>
  </si>
  <si>
    <t>GetCylinderVolume</t>
  </si>
  <si>
    <t>1.1. String-Operation</t>
  </si>
  <si>
    <t>String-Operationen</t>
  </si>
  <si>
    <t>Mathematische-Operationen</t>
  </si>
  <si>
    <t>Algorithmus Implementationen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</si>
</sst>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10"/>
      <color theme="1"/>
      <name val="Calibri"/>
      <family val="2"/>
      <scheme val="minor"/>
    </font>
    <font>
      <b/>
      <i/>
      <sz val="11"/>
      <color indexed="81"/>
      <name val="Segoe U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19" fillId="0" borderId="10" xfId="0" applyFont="1" applyBorder="1"/>
    <xf numFmtId="0" fontId="19" fillId="33" borderId="10" xfId="0" applyFont="1" applyFill="1" applyBorder="1"/>
    <xf numFmtId="0" fontId="19" fillId="0" borderId="0" xfId="0" applyFont="1"/>
    <xf numFmtId="0" fontId="20" fillId="33" borderId="10" xfId="0" applyFont="1" applyFill="1" applyBorder="1"/>
    <xf numFmtId="0" fontId="20" fillId="0" borderId="10" xfId="0" applyFont="1" applyBorder="1"/>
    <xf numFmtId="0" fontId="20" fillId="0" borderId="0" xfId="0" applyFont="1"/>
    <xf numFmtId="0" fontId="0" fillId="34" borderId="10" xfId="0" quotePrefix="1" applyFill="1" applyBorder="1"/>
    <xf numFmtId="0" fontId="0" fillId="0" borderId="0" xfId="0" applyFill="1" applyBorder="1"/>
    <xf numFmtId="0" fontId="20" fillId="0" borderId="10" xfId="0" quotePrefix="1" applyFont="1" applyBorder="1" applyAlignment="1">
      <alignment horizontal="left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3" fillId="0" borderId="13" xfId="0" applyFont="1" applyBorder="1" applyAlignment="1">
      <alignment vertical="top" wrapText="1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7"/>
      <tableStyleElement type="headerRow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11093823" cy="3059205"/>
    <xdr:sp macro="" textlink="">
      <xdr:nvSpPr>
        <xdr:cNvPr id="2" name="Textfeld 1"/>
        <xdr:cNvSpPr txBox="1"/>
      </xdr:nvSpPr>
      <xdr:spPr>
        <a:xfrm>
          <a:off x="762000" y="381000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0.39997558519241921"/>
  </sheetPr>
  <dimension ref="A1"/>
  <sheetViews>
    <sheetView tabSelected="1" workbookViewId="0">
      <selection activeCell="J25" sqref="J25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>
    <tabColor rgb="FFFF0000"/>
    <pageSetUpPr fitToPage="1"/>
  </sheetPr>
  <dimension ref="B1:S21"/>
  <sheetViews>
    <sheetView zoomScale="85" zoomScaleNormal="85" workbookViewId="0">
      <selection activeCell="F28" sqref="F28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1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23.25" x14ac:dyDescent="0.35">
      <c r="B1" s="1" t="s">
        <v>135</v>
      </c>
    </row>
    <row r="2" spans="2:19" x14ac:dyDescent="0.25">
      <c r="E2" s="14"/>
      <c r="F2" s="14"/>
      <c r="G2" s="14"/>
      <c r="H2" s="14"/>
      <c r="L2" s="14"/>
      <c r="M2" s="14"/>
      <c r="N2" s="14"/>
      <c r="O2" s="14"/>
      <c r="P2" s="14"/>
      <c r="Q2" s="14"/>
      <c r="R2" s="14"/>
      <c r="S2" s="14"/>
    </row>
    <row r="3" spans="2:19" s="14" customFormat="1" x14ac:dyDescent="0.25">
      <c r="B3"/>
      <c r="C3"/>
      <c r="D3" s="12"/>
      <c r="E3" s="12"/>
      <c r="F3" s="12"/>
      <c r="G3" s="9"/>
      <c r="H3"/>
      <c r="I3"/>
      <c r="J3"/>
      <c r="L3"/>
      <c r="M3"/>
      <c r="N3"/>
      <c r="O3"/>
      <c r="P3"/>
      <c r="Q3"/>
      <c r="R3"/>
      <c r="S3"/>
    </row>
    <row r="4" spans="2:19" s="14" customFormat="1" x14ac:dyDescent="0.25">
      <c r="B4" s="2" t="s">
        <v>2</v>
      </c>
      <c r="C4" s="2" t="s">
        <v>0</v>
      </c>
      <c r="D4" s="10" t="s">
        <v>122</v>
      </c>
      <c r="E4" s="10" t="s">
        <v>123</v>
      </c>
      <c r="F4" s="10"/>
      <c r="G4" s="8" t="s">
        <v>8</v>
      </c>
      <c r="H4" s="3" t="s">
        <v>3</v>
      </c>
      <c r="I4"/>
      <c r="J4"/>
      <c r="L4"/>
      <c r="M4"/>
      <c r="N4"/>
      <c r="O4"/>
      <c r="P4"/>
      <c r="Q4"/>
      <c r="R4"/>
      <c r="S4"/>
    </row>
    <row r="5" spans="2:19" s="14" customFormat="1" x14ac:dyDescent="0.25">
      <c r="B5" s="4" t="s">
        <v>131</v>
      </c>
      <c r="C5" s="5">
        <f>CalcRechteck(D5,E5)</f>
        <v>3</v>
      </c>
      <c r="D5" s="11">
        <v>1</v>
      </c>
      <c r="E5" s="11">
        <v>3</v>
      </c>
      <c r="F5" s="11"/>
      <c r="G5" s="7">
        <v>3</v>
      </c>
      <c r="H5" s="6" t="str">
        <f>(IF(EqualsWithinTolerance(G5,C5,1),"ok","Not ok"))</f>
        <v>ok</v>
      </c>
      <c r="I5"/>
      <c r="J5">
        <f>IFERROR(C5,"--")</f>
        <v>3</v>
      </c>
      <c r="L5"/>
      <c r="M5"/>
      <c r="N5"/>
      <c r="O5"/>
      <c r="P5"/>
      <c r="Q5"/>
      <c r="R5"/>
      <c r="S5"/>
    </row>
    <row r="6" spans="2:19" s="14" customFormat="1" x14ac:dyDescent="0.25">
      <c r="B6" s="4"/>
      <c r="C6" s="5">
        <f>CalcRechteck(D6,E6)</f>
        <v>5.52</v>
      </c>
      <c r="D6" s="11">
        <v>2.4</v>
      </c>
      <c r="E6" s="11">
        <v>2.2999999999999998</v>
      </c>
      <c r="F6" s="11"/>
      <c r="G6" s="7">
        <v>5.52</v>
      </c>
      <c r="H6" s="6" t="str">
        <f t="shared" ref="H6:H7" si="0">IF(EqualsWithinTolerance(G6,C6),"ok","Not ok")</f>
        <v>ok</v>
      </c>
      <c r="I6"/>
      <c r="J6">
        <f t="shared" ref="J6:J7" si="1">IFERROR(C6,"--")</f>
        <v>5.52</v>
      </c>
      <c r="L6"/>
      <c r="M6"/>
      <c r="N6"/>
      <c r="O6"/>
      <c r="P6"/>
      <c r="Q6"/>
      <c r="R6"/>
      <c r="S6"/>
    </row>
    <row r="7" spans="2:19" s="14" customFormat="1" x14ac:dyDescent="0.25">
      <c r="B7" s="4"/>
      <c r="C7" s="5">
        <f t="shared" ref="C6:C11" si="2">CalcRechteck(D7,E7)</f>
        <v>6.4</v>
      </c>
      <c r="D7" s="11">
        <v>2</v>
      </c>
      <c r="E7" s="11">
        <v>3.2</v>
      </c>
      <c r="F7" s="11"/>
      <c r="G7" s="7">
        <v>6.4</v>
      </c>
      <c r="H7" s="6" t="str">
        <f t="shared" si="0"/>
        <v>ok</v>
      </c>
      <c r="I7"/>
      <c r="J7">
        <f t="shared" si="1"/>
        <v>6.4</v>
      </c>
      <c r="L7"/>
      <c r="M7"/>
      <c r="N7"/>
      <c r="O7"/>
      <c r="P7"/>
      <c r="Q7"/>
      <c r="R7"/>
      <c r="S7"/>
    </row>
    <row r="8" spans="2:19" s="14" customFormat="1" x14ac:dyDescent="0.25">
      <c r="B8" s="4"/>
      <c r="C8" s="5">
        <f t="shared" si="2"/>
        <v>6.8</v>
      </c>
      <c r="D8" s="11">
        <v>3.4</v>
      </c>
      <c r="E8" s="11">
        <v>2</v>
      </c>
      <c r="F8" s="11"/>
      <c r="G8" s="7">
        <v>6.8</v>
      </c>
      <c r="H8" s="6" t="str">
        <f>IF(EqualsWithinTolerance(G8,C8),"ok","Not ok")</f>
        <v>ok</v>
      </c>
      <c r="I8"/>
      <c r="J8">
        <f>IFERROR(C8,"--")</f>
        <v>6.8</v>
      </c>
      <c r="L8"/>
      <c r="M8"/>
      <c r="N8"/>
      <c r="O8"/>
      <c r="P8"/>
      <c r="Q8"/>
      <c r="R8"/>
      <c r="S8"/>
    </row>
    <row r="9" spans="2:19" s="14" customFormat="1" x14ac:dyDescent="0.25">
      <c r="B9" s="4"/>
      <c r="C9" s="5">
        <f t="shared" si="2"/>
        <v>0</v>
      </c>
      <c r="D9" s="11">
        <v>-5.2</v>
      </c>
      <c r="E9" s="11">
        <v>-1</v>
      </c>
      <c r="F9" s="11"/>
      <c r="G9" s="7">
        <v>0</v>
      </c>
      <c r="H9" s="6" t="str">
        <f>IF(EqualsWithinTolerance(G9,C9),"ok","Not ok")</f>
        <v>ok</v>
      </c>
      <c r="I9"/>
      <c r="J9">
        <f t="shared" ref="J9:J11" si="3">IFERROR(C9,"--")</f>
        <v>0</v>
      </c>
      <c r="L9"/>
      <c r="M9"/>
      <c r="N9"/>
      <c r="O9"/>
      <c r="P9"/>
      <c r="Q9"/>
      <c r="R9"/>
      <c r="S9"/>
    </row>
    <row r="10" spans="2:19" s="14" customFormat="1" x14ac:dyDescent="0.25">
      <c r="B10" s="4"/>
      <c r="C10" s="5">
        <f t="shared" si="2"/>
        <v>0</v>
      </c>
      <c r="D10" s="11">
        <v>12.4</v>
      </c>
      <c r="E10" s="11">
        <v>-9.3000000000000007</v>
      </c>
      <c r="F10" s="11"/>
      <c r="G10" s="7">
        <v>0</v>
      </c>
      <c r="H10" s="6" t="str">
        <f t="shared" ref="H10:H11" si="4">IF(EqualsWithinTolerance(G10,C10),"ok","Not ok")</f>
        <v>ok</v>
      </c>
      <c r="I10"/>
      <c r="J10">
        <f t="shared" si="3"/>
        <v>0</v>
      </c>
      <c r="L10"/>
      <c r="M10"/>
      <c r="N10"/>
      <c r="O10"/>
      <c r="P10"/>
      <c r="Q10"/>
      <c r="R10"/>
      <c r="S10"/>
    </row>
    <row r="11" spans="2:19" s="14" customFormat="1" x14ac:dyDescent="0.25">
      <c r="B11" s="4"/>
      <c r="C11" s="5">
        <f t="shared" si="2"/>
        <v>0</v>
      </c>
      <c r="D11" s="11">
        <v>-15.45</v>
      </c>
      <c r="E11" s="11">
        <v>5.4</v>
      </c>
      <c r="F11" s="11"/>
      <c r="G11" s="7">
        <v>0</v>
      </c>
      <c r="H11" s="6" t="str">
        <f t="shared" si="4"/>
        <v>ok</v>
      </c>
      <c r="I11"/>
      <c r="J11">
        <f t="shared" si="3"/>
        <v>0</v>
      </c>
      <c r="L11"/>
      <c r="M11"/>
      <c r="N11"/>
      <c r="O11"/>
      <c r="P11"/>
      <c r="Q11"/>
      <c r="R11"/>
      <c r="S11"/>
    </row>
    <row r="12" spans="2:19" s="14" customFormat="1" x14ac:dyDescent="0.25">
      <c r="B12"/>
      <c r="C12"/>
      <c r="D12" s="12"/>
      <c r="E12" s="12"/>
      <c r="F12" s="12"/>
      <c r="G12" s="9"/>
      <c r="H12"/>
      <c r="I12"/>
      <c r="J12"/>
      <c r="L12"/>
      <c r="M12"/>
      <c r="N12"/>
      <c r="O12"/>
      <c r="P12"/>
      <c r="Q12"/>
      <c r="R12"/>
      <c r="S12"/>
    </row>
    <row r="13" spans="2:19" s="14" customFormat="1" x14ac:dyDescent="0.25">
      <c r="B13" s="2" t="s">
        <v>2</v>
      </c>
      <c r="C13" s="2" t="s">
        <v>0</v>
      </c>
      <c r="D13" s="10" t="s">
        <v>14</v>
      </c>
      <c r="E13" s="10" t="s">
        <v>15</v>
      </c>
      <c r="F13" s="10"/>
      <c r="G13" s="8" t="s">
        <v>8</v>
      </c>
      <c r="H13" s="3" t="s">
        <v>3</v>
      </c>
      <c r="I13"/>
      <c r="J13"/>
      <c r="L13"/>
      <c r="M13"/>
      <c r="N13"/>
      <c r="O13"/>
      <c r="P13"/>
      <c r="Q13"/>
      <c r="R13"/>
      <c r="S13"/>
    </row>
    <row r="14" spans="2:19" s="14" customFormat="1" x14ac:dyDescent="0.25">
      <c r="B14" s="4" t="s">
        <v>132</v>
      </c>
      <c r="C14" s="5">
        <f>GetCylinderVolume(D14,E14)</f>
        <v>0.78539815000000002</v>
      </c>
      <c r="D14" s="11">
        <v>1</v>
      </c>
      <c r="E14" s="11">
        <v>1</v>
      </c>
      <c r="F14" s="11"/>
      <c r="G14" s="7">
        <v>0.78537000000000001</v>
      </c>
      <c r="H14" s="6" t="str">
        <f>IF(EqualsWithinTolerance(G14,C14,1),"ok","Not ok")</f>
        <v>ok</v>
      </c>
      <c r="I14"/>
      <c r="J14">
        <f t="shared" ref="J14:J20" si="5">IFERROR(C14,"--")</f>
        <v>0.78539815000000002</v>
      </c>
      <c r="L14"/>
      <c r="M14"/>
      <c r="N14"/>
      <c r="O14"/>
      <c r="P14"/>
      <c r="Q14"/>
      <c r="R14"/>
      <c r="S14"/>
    </row>
    <row r="15" spans="2:19" s="14" customFormat="1" x14ac:dyDescent="0.25">
      <c r="B15" s="4"/>
      <c r="C15" s="5">
        <f t="shared" ref="C15:C20" si="6">GetCylinderVolume(D15,E15)</f>
        <v>10.404954691199999</v>
      </c>
      <c r="D15" s="11">
        <v>2.4</v>
      </c>
      <c r="E15" s="11">
        <v>2.2999999999999998</v>
      </c>
      <c r="F15" s="11"/>
      <c r="G15" s="7">
        <v>10.4</v>
      </c>
      <c r="H15" s="6" t="str">
        <f t="shared" ref="H15:H20" si="7">IF(EqualsWithinTolerance(G15,C15),"ok","Not ok")</f>
        <v>ok</v>
      </c>
      <c r="I15"/>
      <c r="J15">
        <f t="shared" si="5"/>
        <v>10.404954691199999</v>
      </c>
      <c r="L15"/>
      <c r="M15"/>
      <c r="N15"/>
      <c r="O15"/>
      <c r="P15"/>
      <c r="Q15"/>
      <c r="R15"/>
      <c r="S15"/>
    </row>
    <row r="16" spans="2:19" s="14" customFormat="1" x14ac:dyDescent="0.25">
      <c r="B16" s="4"/>
      <c r="C16" s="5">
        <f t="shared" si="6"/>
        <v>10.053096320000002</v>
      </c>
      <c r="D16" s="11">
        <v>2</v>
      </c>
      <c r="E16" s="11">
        <v>3.2</v>
      </c>
      <c r="F16" s="11"/>
      <c r="G16" s="7">
        <v>10.050000000000001</v>
      </c>
      <c r="H16" s="6" t="str">
        <f t="shared" si="7"/>
        <v>ok</v>
      </c>
      <c r="I16"/>
      <c r="J16">
        <f t="shared" si="5"/>
        <v>10.053096320000002</v>
      </c>
      <c r="L16"/>
      <c r="M16"/>
      <c r="N16"/>
      <c r="O16"/>
      <c r="P16"/>
      <c r="Q16"/>
      <c r="R16"/>
      <c r="S16"/>
    </row>
    <row r="17" spans="2:19" s="14" customFormat="1" x14ac:dyDescent="0.25">
      <c r="B17" s="4"/>
      <c r="C17" s="5">
        <f t="shared" si="6"/>
        <v>18.158405227999999</v>
      </c>
      <c r="D17" s="11">
        <v>3.4</v>
      </c>
      <c r="E17" s="11">
        <v>2</v>
      </c>
      <c r="F17" s="11"/>
      <c r="G17" s="7">
        <v>18.100000000000001</v>
      </c>
      <c r="H17" s="6" t="str">
        <f t="shared" si="7"/>
        <v>ok</v>
      </c>
      <c r="I17"/>
      <c r="J17">
        <f t="shared" si="5"/>
        <v>18.158405227999999</v>
      </c>
      <c r="L17"/>
      <c r="M17"/>
      <c r="N17"/>
      <c r="O17"/>
      <c r="P17"/>
      <c r="Q17"/>
      <c r="R17"/>
      <c r="S17"/>
    </row>
    <row r="18" spans="2:19" s="14" customFormat="1" x14ac:dyDescent="0.25">
      <c r="B18" s="4"/>
      <c r="C18" s="5">
        <f t="shared" si="6"/>
        <v>0</v>
      </c>
      <c r="D18" s="11">
        <v>-5.2</v>
      </c>
      <c r="E18" s="11">
        <v>-1</v>
      </c>
      <c r="F18" s="11"/>
      <c r="G18" s="7">
        <v>0</v>
      </c>
      <c r="H18" s="6" t="str">
        <f>IF(EqualsWithinTolerance(G18,C18),"ok","Not ok")</f>
        <v>ok</v>
      </c>
      <c r="I18"/>
      <c r="J18">
        <f t="shared" si="5"/>
        <v>0</v>
      </c>
      <c r="L18"/>
      <c r="M18"/>
      <c r="N18"/>
      <c r="O18"/>
      <c r="P18"/>
      <c r="Q18"/>
      <c r="R18"/>
      <c r="S18"/>
    </row>
    <row r="19" spans="2:19" s="14" customFormat="1" x14ac:dyDescent="0.25">
      <c r="B19" s="4"/>
      <c r="C19" s="5">
        <f t="shared" si="6"/>
        <v>0</v>
      </c>
      <c r="D19" s="11">
        <v>12.4</v>
      </c>
      <c r="E19" s="11">
        <v>-9.3000000000000007</v>
      </c>
      <c r="F19" s="11"/>
      <c r="G19" s="7">
        <v>0</v>
      </c>
      <c r="H19" s="6" t="str">
        <f t="shared" si="7"/>
        <v>ok</v>
      </c>
      <c r="I19"/>
      <c r="J19">
        <f t="shared" si="5"/>
        <v>0</v>
      </c>
      <c r="L19"/>
      <c r="M19"/>
      <c r="N19"/>
      <c r="O19"/>
      <c r="P19"/>
      <c r="Q19"/>
      <c r="R19"/>
      <c r="S19"/>
    </row>
    <row r="20" spans="2:19" s="14" customFormat="1" x14ac:dyDescent="0.25">
      <c r="B20" s="4"/>
      <c r="C20" s="5">
        <f t="shared" si="6"/>
        <v>0</v>
      </c>
      <c r="D20" s="11">
        <v>-15.45</v>
      </c>
      <c r="E20" s="11">
        <v>5.4</v>
      </c>
      <c r="F20" s="11"/>
      <c r="G20" s="7">
        <v>0</v>
      </c>
      <c r="H20" s="6" t="str">
        <f t="shared" si="7"/>
        <v>ok</v>
      </c>
      <c r="I20"/>
      <c r="J20">
        <f t="shared" si="5"/>
        <v>0</v>
      </c>
      <c r="L20"/>
      <c r="M20"/>
      <c r="N20"/>
      <c r="O20"/>
      <c r="P20"/>
      <c r="Q20"/>
      <c r="R20"/>
      <c r="S20"/>
    </row>
    <row r="21" spans="2:19" s="14" customFormat="1" x14ac:dyDescent="0.25">
      <c r="B21"/>
      <c r="C21"/>
      <c r="D21" s="12"/>
      <c r="E21" s="12"/>
      <c r="F21" s="12"/>
      <c r="G21" s="9"/>
      <c r="H21"/>
      <c r="I21"/>
      <c r="J21"/>
      <c r="L21"/>
      <c r="M21"/>
      <c r="N21"/>
      <c r="O21"/>
      <c r="P21"/>
      <c r="Q21"/>
      <c r="R21"/>
      <c r="S21"/>
    </row>
  </sheetData>
  <conditionalFormatting sqref="H5:H11">
    <cfRule type="cellIs" dxfId="45" priority="5" operator="equal">
      <formula>"Not ok"</formula>
    </cfRule>
    <cfRule type="cellIs" dxfId="44" priority="6" operator="equal">
      <formula>"ok"</formula>
    </cfRule>
  </conditionalFormatting>
  <conditionalFormatting sqref="H14:H20">
    <cfRule type="cellIs" dxfId="43" priority="1" operator="equal">
      <formula>"Not ok"</formula>
    </cfRule>
    <cfRule type="cellIs" dxfId="42" priority="2" operator="equal">
      <formula>"ok"</formula>
    </cfRule>
  </conditionalFormatting>
  <dataValidations count="1">
    <dataValidation type="list" allowBlank="1" showInputMessage="1" showErrorMessage="1" sqref="R2">
      <formula1>#REF!</formula1>
    </dataValidation>
  </dataValidations>
  <pageMargins left="0.7" right="0.7" top="0.78740157499999996" bottom="0.78740157499999996" header="0.3" footer="0.3"/>
  <pageSetup paperSize="9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S26"/>
  <sheetViews>
    <sheetView zoomScale="85" zoomScaleNormal="85" workbookViewId="0">
      <selection activeCell="M24" sqref="M24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1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23.25" x14ac:dyDescent="0.35">
      <c r="B1" s="1" t="s">
        <v>134</v>
      </c>
    </row>
    <row r="2" spans="2:19" x14ac:dyDescent="0.25">
      <c r="E2" s="14"/>
      <c r="F2" s="14"/>
      <c r="G2" s="14"/>
      <c r="H2" s="14"/>
      <c r="L2" s="14"/>
      <c r="M2" s="14"/>
      <c r="N2" s="14"/>
      <c r="O2" s="14"/>
      <c r="P2" s="14"/>
      <c r="Q2" s="14"/>
      <c r="R2" s="14"/>
      <c r="S2" s="14"/>
    </row>
    <row r="4" spans="2:19" x14ac:dyDescent="0.25">
      <c r="B4" s="2" t="s">
        <v>2</v>
      </c>
      <c r="C4" s="2" t="s">
        <v>0</v>
      </c>
      <c r="D4" s="10" t="s">
        <v>13</v>
      </c>
      <c r="E4" s="10"/>
      <c r="F4" s="10"/>
      <c r="G4" s="8" t="s">
        <v>8</v>
      </c>
      <c r="H4" s="3" t="s">
        <v>3</v>
      </c>
      <c r="I4" s="3" t="s">
        <v>9</v>
      </c>
    </row>
    <row r="5" spans="2:19" x14ac:dyDescent="0.25">
      <c r="B5" s="4" t="s">
        <v>129</v>
      </c>
      <c r="C5" s="5" t="str">
        <f>Hello()</f>
        <v>Hallo BZU</v>
      </c>
      <c r="D5" s="11"/>
      <c r="E5" s="11"/>
      <c r="F5" s="11"/>
      <c r="G5" s="7" t="str">
        <f>IF(D5="","Hallo BZU",CONCATENATE("Hallo ",D5,"!"))</f>
        <v>Hallo BZU</v>
      </c>
      <c r="H5" s="6" t="str">
        <f>IF(G5=C5,"ok","Not ok")</f>
        <v>ok</v>
      </c>
      <c r="I5" s="4" t="e">
        <f ca="1">IF(C5=L_Hello(D5),TRUE,FALSE)</f>
        <v>#NAME?</v>
      </c>
      <c r="J5" t="str">
        <f>IFERROR(C5,"--")</f>
        <v>Hallo BZU</v>
      </c>
    </row>
    <row r="6" spans="2:19" x14ac:dyDescent="0.25">
      <c r="B6" s="4"/>
      <c r="C6" s="5" t="str">
        <f>Hello(D6)</f>
        <v>Hallo BZU</v>
      </c>
      <c r="D6" s="11"/>
      <c r="E6" s="11"/>
      <c r="F6" s="11"/>
      <c r="G6" s="7" t="str">
        <f t="shared" ref="G6:G8" si="0">IF(D6="","Hallo BZU",CONCATENATE("Hallo ",D6,"!"))</f>
        <v>Hallo BZU</v>
      </c>
      <c r="H6" s="6" t="str">
        <f>IF(G6=C6,"ok","Not ok")</f>
        <v>ok</v>
      </c>
      <c r="I6" s="4" t="e">
        <f ca="1">IF(C6=L_Hello(D6),TRUE,FALSE)</f>
        <v>#NAME?</v>
      </c>
      <c r="J6" t="str">
        <f t="shared" ref="J6:J8" si="1">IFERROR(C6,"--")</f>
        <v>Hallo BZU</v>
      </c>
    </row>
    <row r="7" spans="2:19" x14ac:dyDescent="0.25">
      <c r="B7" s="4"/>
      <c r="C7" s="5" t="str">
        <f>Hello(D7)</f>
        <v>Hallo Fritz!</v>
      </c>
      <c r="D7" s="11" t="s">
        <v>4</v>
      </c>
      <c r="E7" s="11"/>
      <c r="F7" s="11"/>
      <c r="G7" s="7" t="str">
        <f t="shared" si="0"/>
        <v>Hallo Fritz!</v>
      </c>
      <c r="H7" s="6" t="str">
        <f>IF(G7=C7,"ok","Not ok")</f>
        <v>ok</v>
      </c>
      <c r="I7" s="4" t="e">
        <f ca="1">IF(C7=L_Hello(D7),TRUE,FALSE)</f>
        <v>#NAME?</v>
      </c>
      <c r="J7" t="str">
        <f t="shared" si="1"/>
        <v>Hallo Fritz!</v>
      </c>
    </row>
    <row r="8" spans="2:19" x14ac:dyDescent="0.25">
      <c r="B8" s="4"/>
      <c r="C8" s="5" t="str">
        <f t="shared" ref="C8" si="2">Hello(D8)</f>
        <v>Hallo Max und Moritz!</v>
      </c>
      <c r="D8" s="11" t="s">
        <v>5</v>
      </c>
      <c r="E8" s="11"/>
      <c r="F8" s="11"/>
      <c r="G8" s="7" t="str">
        <f t="shared" si="0"/>
        <v>Hallo Max und Moritz!</v>
      </c>
      <c r="H8" s="6" t="str">
        <f t="shared" ref="H8" si="3">IF(G8=C8,"ok","Not ok")</f>
        <v>ok</v>
      </c>
      <c r="I8" s="4" t="e">
        <f ca="1">IF(C8=L_Hello(D8),TRUE,FALSE)</f>
        <v>#NAME?</v>
      </c>
      <c r="J8" t="str">
        <f t="shared" si="1"/>
        <v>Hallo Max und Moritz!</v>
      </c>
    </row>
    <row r="9" spans="2:19" x14ac:dyDescent="0.25">
      <c r="D9" s="12"/>
      <c r="E9" s="12"/>
      <c r="F9" s="12"/>
      <c r="G9" s="9"/>
    </row>
    <row r="10" spans="2:19" x14ac:dyDescent="0.25">
      <c r="B10" s="2" t="s">
        <v>2</v>
      </c>
      <c r="C10" s="2" t="s">
        <v>0</v>
      </c>
      <c r="D10" s="10" t="s">
        <v>13</v>
      </c>
      <c r="E10" s="10" t="s">
        <v>16</v>
      </c>
      <c r="F10" s="10" t="s">
        <v>45</v>
      </c>
      <c r="G10" s="8" t="s">
        <v>8</v>
      </c>
      <c r="H10" s="3" t="s">
        <v>3</v>
      </c>
    </row>
    <row r="11" spans="2:19" x14ac:dyDescent="0.25">
      <c r="B11" s="4" t="s">
        <v>130</v>
      </c>
      <c r="C11" s="5" t="e">
        <f ca="1">HelloPerDu(D11,E11,F11)</f>
        <v>#NAME?</v>
      </c>
      <c r="D11" s="11" t="s">
        <v>7</v>
      </c>
      <c r="E11" s="11" t="s">
        <v>6</v>
      </c>
      <c r="F11" s="11" t="b">
        <v>1</v>
      </c>
      <c r="G11" s="7" t="s">
        <v>119</v>
      </c>
      <c r="H11" s="6" t="e">
        <f ca="1">IF(G11=C11,"ok","Not ok")</f>
        <v>#NAME?</v>
      </c>
      <c r="J11" t="str">
        <f ca="1">IFERROR(C11,"--")</f>
        <v>--</v>
      </c>
    </row>
    <row r="12" spans="2:19" x14ac:dyDescent="0.25">
      <c r="B12" s="4"/>
      <c r="C12" s="5" t="e">
        <f ca="1">HelloPerDu(D12,E12,F12)</f>
        <v>#NAME?</v>
      </c>
      <c r="D12" s="11" t="s">
        <v>118</v>
      </c>
      <c r="E12" s="11" t="s">
        <v>117</v>
      </c>
      <c r="F12" s="11" t="b">
        <v>0</v>
      </c>
      <c r="G12" s="7" t="s">
        <v>120</v>
      </c>
      <c r="H12" s="6" t="e">
        <f ca="1">IF(G12=C12,"ok","Not ok")</f>
        <v>#NAME?</v>
      </c>
      <c r="J12" t="str">
        <f t="shared" ref="J12:J14" ca="1" si="4">IFERROR(C12,"--")</f>
        <v>--</v>
      </c>
    </row>
    <row r="13" spans="2:19" x14ac:dyDescent="0.25">
      <c r="B13" s="4"/>
      <c r="C13" s="5" t="e">
        <f ca="1">HelloPerDu(D13,E13,F13)</f>
        <v>#NAME?</v>
      </c>
      <c r="D13" s="11" t="s">
        <v>44</v>
      </c>
      <c r="E13" s="11"/>
      <c r="F13" s="11" t="b">
        <v>1</v>
      </c>
      <c r="G13" s="7" t="s">
        <v>121</v>
      </c>
      <c r="H13" s="6" t="e">
        <f ca="1">IF(G13=C13,"ok","Not ok")</f>
        <v>#NAME?</v>
      </c>
      <c r="J13" t="str">
        <f t="shared" ca="1" si="4"/>
        <v>--</v>
      </c>
    </row>
    <row r="14" spans="2:19" x14ac:dyDescent="0.25">
      <c r="B14" s="4"/>
      <c r="C14" s="5" t="e">
        <f ca="1">HelloPerDu()</f>
        <v>#NAME?</v>
      </c>
      <c r="D14" s="11"/>
      <c r="E14" s="11"/>
      <c r="F14" s="11"/>
      <c r="G14" s="7" t="s">
        <v>121</v>
      </c>
      <c r="H14" s="6" t="e">
        <f ca="1">IF(G14=C14,"ok","Not ok")</f>
        <v>#NAME?</v>
      </c>
      <c r="J14" t="str">
        <f t="shared" ca="1" si="4"/>
        <v>--</v>
      </c>
    </row>
    <row r="15" spans="2:19" x14ac:dyDescent="0.25">
      <c r="B15" s="4"/>
      <c r="C15" s="5" t="e">
        <f ca="1">HelloPerDu(D15,E15,F15)</f>
        <v>#NAME?</v>
      </c>
      <c r="D15" s="11"/>
      <c r="E15" s="11" t="s">
        <v>88</v>
      </c>
      <c r="F15" s="11" t="b">
        <v>0</v>
      </c>
      <c r="G15" s="7" t="s">
        <v>121</v>
      </c>
      <c r="H15" s="6" t="e">
        <f t="shared" ref="H15" ca="1" si="5">IF(G15=C15,"ok","Not ok")</f>
        <v>#NAME?</v>
      </c>
      <c r="J15">
        <f t="shared" ref="J15" ca="1" si="6">IFERROR(C15,1)</f>
        <v>1</v>
      </c>
    </row>
    <row r="16" spans="2:19" x14ac:dyDescent="0.25">
      <c r="D16" s="12"/>
      <c r="E16" s="12"/>
      <c r="F16" s="12"/>
      <c r="G16" s="9"/>
    </row>
    <row r="17" spans="2:10" x14ac:dyDescent="0.25">
      <c r="B17" s="2" t="s">
        <v>2</v>
      </c>
      <c r="C17" s="2" t="s">
        <v>0</v>
      </c>
      <c r="D17" s="10" t="s">
        <v>16</v>
      </c>
      <c r="E17" s="10" t="s">
        <v>17</v>
      </c>
      <c r="F17" s="10"/>
      <c r="G17" s="8" t="s">
        <v>8</v>
      </c>
      <c r="H17" s="3" t="s">
        <v>3</v>
      </c>
      <c r="I17" s="3" t="s">
        <v>9</v>
      </c>
    </row>
    <row r="18" spans="2:10" x14ac:dyDescent="0.25">
      <c r="B18" s="4" t="s">
        <v>11</v>
      </c>
      <c r="C18" s="5" t="str">
        <f>GetAnrede(D18,E18)</f>
        <v>O. Schlosser</v>
      </c>
      <c r="D18" s="11" t="s">
        <v>6</v>
      </c>
      <c r="E18" s="11" t="s">
        <v>7</v>
      </c>
      <c r="F18" s="11"/>
      <c r="G18" s="7" t="s">
        <v>10</v>
      </c>
      <c r="H18" s="6" t="str">
        <f>IF(EXACT(G18,C18),"ok","Not ok")</f>
        <v>ok</v>
      </c>
      <c r="I18" s="4" t="e">
        <f ca="1">IF(C18=L_GetAnrede(D18,E18),TRUE,FALSE)</f>
        <v>#NAME?</v>
      </c>
      <c r="J18" t="str">
        <f t="shared" ref="J18:J21" si="7">IFERROR(C18,"--")</f>
        <v>O. Schlosser</v>
      </c>
    </row>
    <row r="19" spans="2:10" x14ac:dyDescent="0.25">
      <c r="B19" s="4"/>
      <c r="C19" s="5" t="str">
        <f>GetAnrede(D19,E19)</f>
        <v>S. Goeldin</v>
      </c>
      <c r="D19" s="11" t="s">
        <v>34</v>
      </c>
      <c r="E19" s="11" t="s">
        <v>38</v>
      </c>
      <c r="F19" s="11"/>
      <c r="G19" s="7" t="s">
        <v>40</v>
      </c>
      <c r="H19" s="6" t="str">
        <f t="shared" ref="H19:H21" si="8">IF(EXACT(G19,C19),"ok","Not ok")</f>
        <v>ok</v>
      </c>
      <c r="I19" s="4" t="e">
        <f ca="1">IF(C19=L_GetAnrede(D19,E19),TRUE,FALSE)</f>
        <v>#NAME?</v>
      </c>
      <c r="J19" t="str">
        <f t="shared" si="7"/>
        <v>S. Goeldin</v>
      </c>
    </row>
    <row r="20" spans="2:10" x14ac:dyDescent="0.25">
      <c r="B20" s="4"/>
      <c r="C20" s="5" t="str">
        <f>GetAnrede(D20,E20)</f>
        <v>M. Landolt</v>
      </c>
      <c r="D20" s="11" t="s">
        <v>39</v>
      </c>
      <c r="E20" s="11" t="s">
        <v>35</v>
      </c>
      <c r="F20" s="11"/>
      <c r="G20" s="7" t="s">
        <v>41</v>
      </c>
      <c r="H20" s="6" t="str">
        <f t="shared" si="8"/>
        <v>ok</v>
      </c>
      <c r="I20" s="4" t="e">
        <f ca="1">IF(C20=L_GetAnrede(D20,E20),TRUE,FALSE)</f>
        <v>#NAME?</v>
      </c>
      <c r="J20" t="str">
        <f t="shared" si="7"/>
        <v>M. Landolt</v>
      </c>
    </row>
    <row r="21" spans="2:10" x14ac:dyDescent="0.25">
      <c r="B21" s="4"/>
      <c r="C21" s="5" t="str">
        <f>GetAnrede(D21,E21)</f>
        <v>F. Loretan</v>
      </c>
      <c r="D21" s="11" t="s">
        <v>37</v>
      </c>
      <c r="E21" s="11" t="s">
        <v>36</v>
      </c>
      <c r="F21" s="11"/>
      <c r="G21" s="7" t="s">
        <v>42</v>
      </c>
      <c r="H21" s="6" t="str">
        <f t="shared" si="8"/>
        <v>ok</v>
      </c>
      <c r="I21" s="4" t="e">
        <f ca="1">IF(C21=L_GetAnrede(D21,E21),TRUE,FALSE)</f>
        <v>#NAME?</v>
      </c>
      <c r="J21" t="str">
        <f t="shared" si="7"/>
        <v>F. Loretan</v>
      </c>
    </row>
    <row r="22" spans="2:10" x14ac:dyDescent="0.25">
      <c r="D22" s="12"/>
      <c r="E22" s="12"/>
      <c r="F22" s="12"/>
      <c r="G22" s="9"/>
    </row>
    <row r="23" spans="2:10" x14ac:dyDescent="0.25">
      <c r="B23" s="2" t="s">
        <v>2</v>
      </c>
      <c r="C23" s="2" t="s">
        <v>0</v>
      </c>
      <c r="D23" s="10" t="s">
        <v>21</v>
      </c>
      <c r="E23" s="10" t="s">
        <v>22</v>
      </c>
      <c r="F23" s="10" t="s">
        <v>23</v>
      </c>
      <c r="G23" s="8" t="s">
        <v>8</v>
      </c>
      <c r="H23" s="3" t="s">
        <v>3</v>
      </c>
    </row>
    <row r="24" spans="2:10" x14ac:dyDescent="0.25">
      <c r="B24" s="4" t="s">
        <v>24</v>
      </c>
      <c r="C24" s="13" t="e">
        <f ca="1">GetOrtsAnschrift(D24,E24,F24)</f>
        <v>#NAME?</v>
      </c>
      <c r="D24" s="11" t="s">
        <v>25</v>
      </c>
      <c r="E24" s="11">
        <v>8855</v>
      </c>
      <c r="F24" s="11" t="s">
        <v>26</v>
      </c>
      <c r="G24" s="7" t="s">
        <v>31</v>
      </c>
      <c r="H24" s="6" t="e">
        <f t="shared" ref="H24:H26" ca="1" si="9">IF(G24=C24,"ok","Not ok")</f>
        <v>#NAME?</v>
      </c>
      <c r="J24" t="str">
        <f t="shared" ref="J24:J26" ca="1" si="10">IFERROR(C24,"--")</f>
        <v>--</v>
      </c>
    </row>
    <row r="25" spans="2:10" x14ac:dyDescent="0.25">
      <c r="B25" s="4"/>
      <c r="C25" s="5" t="e">
        <f ca="1">GetOrtsAnschrift(D25,E25,F25)</f>
        <v>#NAME?</v>
      </c>
      <c r="D25" s="11" t="s">
        <v>27</v>
      </c>
      <c r="E25" s="11">
        <v>69115</v>
      </c>
      <c r="F25" s="11" t="s">
        <v>28</v>
      </c>
      <c r="G25" s="7" t="s">
        <v>32</v>
      </c>
      <c r="H25" s="6" t="e">
        <f t="shared" ca="1" si="9"/>
        <v>#NAME?</v>
      </c>
      <c r="J25" t="str">
        <f t="shared" ca="1" si="10"/>
        <v>--</v>
      </c>
    </row>
    <row r="26" spans="2:10" x14ac:dyDescent="0.25">
      <c r="B26" s="4"/>
      <c r="C26" s="13" t="e">
        <f ca="1">GetOrtsAnschrift(D26,E26,F26)</f>
        <v>#NAME?</v>
      </c>
      <c r="D26" s="11" t="s">
        <v>29</v>
      </c>
      <c r="E26" s="11">
        <v>75000</v>
      </c>
      <c r="F26" s="11" t="s">
        <v>30</v>
      </c>
      <c r="G26" s="7" t="s">
        <v>33</v>
      </c>
      <c r="H26" s="6" t="e">
        <f t="shared" ca="1" si="9"/>
        <v>#NAME?</v>
      </c>
      <c r="J26" t="str">
        <f t="shared" ca="1" si="10"/>
        <v>--</v>
      </c>
    </row>
  </sheetData>
  <conditionalFormatting sqref="H5:H8">
    <cfRule type="cellIs" dxfId="41" priority="36" operator="equal">
      <formula>"Not ok"</formula>
    </cfRule>
    <cfRule type="cellIs" dxfId="40" priority="37" operator="equal">
      <formula>"ok"</formula>
    </cfRule>
  </conditionalFormatting>
  <conditionalFormatting sqref="H18:H21">
    <cfRule type="cellIs" dxfId="39" priority="32" operator="equal">
      <formula>"Not ok"</formula>
    </cfRule>
    <cfRule type="cellIs" dxfId="38" priority="33" operator="equal">
      <formula>"ok"</formula>
    </cfRule>
  </conditionalFormatting>
  <conditionalFormatting sqref="H24:H26">
    <cfRule type="cellIs" dxfId="37" priority="24" operator="equal">
      <formula>"Not ok"</formula>
    </cfRule>
    <cfRule type="cellIs" dxfId="36" priority="25" operator="equal">
      <formula>"ok"</formula>
    </cfRule>
  </conditionalFormatting>
  <conditionalFormatting sqref="H11:H15">
    <cfRule type="cellIs" dxfId="35" priority="5" operator="equal">
      <formula>"Not ok"</formula>
    </cfRule>
    <cfRule type="cellIs" dxfId="34" priority="6" operator="equal">
      <formula>"ok"</formula>
    </cfRule>
  </conditionalFormatting>
  <dataValidations count="1">
    <dataValidation type="list" allowBlank="1" showInputMessage="1" showErrorMessage="1" sqref="R2">
      <formula1>#REF!</formula1>
    </dataValidation>
  </dataValidation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>
    <tabColor rgb="FFFF0000"/>
    <pageSetUpPr fitToPage="1"/>
  </sheetPr>
  <dimension ref="B1:S30"/>
  <sheetViews>
    <sheetView zoomScale="85" zoomScaleNormal="85" workbookViewId="0">
      <selection activeCell="L23" sqref="L23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1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23.25" x14ac:dyDescent="0.35">
      <c r="B1" s="1" t="s">
        <v>136</v>
      </c>
    </row>
    <row r="2" spans="2:19" x14ac:dyDescent="0.25">
      <c r="E2" s="14"/>
      <c r="F2" s="14"/>
      <c r="G2" s="14"/>
      <c r="H2" s="14"/>
      <c r="L2" s="14"/>
      <c r="M2" s="14"/>
      <c r="N2" s="14"/>
      <c r="O2" s="14"/>
      <c r="P2" s="14"/>
      <c r="Q2" s="14"/>
      <c r="R2" s="14"/>
      <c r="S2" s="14"/>
    </row>
    <row r="4" spans="2:19" s="14" customFormat="1" x14ac:dyDescent="0.25">
      <c r="B4" s="2" t="s">
        <v>2</v>
      </c>
      <c r="C4" s="2" t="s">
        <v>0</v>
      </c>
      <c r="D4" s="10" t="s">
        <v>125</v>
      </c>
      <c r="E4" s="10"/>
      <c r="F4" s="10"/>
      <c r="G4" s="8" t="s">
        <v>8</v>
      </c>
      <c r="H4" s="3" t="s">
        <v>3</v>
      </c>
      <c r="I4"/>
      <c r="J4"/>
      <c r="L4"/>
      <c r="M4"/>
      <c r="N4"/>
      <c r="O4"/>
      <c r="P4"/>
      <c r="Q4"/>
      <c r="R4"/>
      <c r="S4"/>
    </row>
    <row r="5" spans="2:19" s="14" customFormat="1" x14ac:dyDescent="0.25">
      <c r="B5" s="4" t="s">
        <v>124</v>
      </c>
      <c r="C5" s="5">
        <f>AddFractions(D5)</f>
        <v>1.5</v>
      </c>
      <c r="D5" s="11">
        <v>2</v>
      </c>
      <c r="E5" s="11"/>
      <c r="F5" s="11"/>
      <c r="G5" s="7">
        <v>1.5</v>
      </c>
      <c r="H5" s="6" t="str">
        <f t="shared" ref="H5:H11" si="0">IF(EqualsWithinTolerance(G5,C5),"ok","Not ok")</f>
        <v>ok</v>
      </c>
      <c r="I5"/>
      <c r="J5">
        <f t="shared" ref="J5:J11" si="1">IFERROR(C5,"--")</f>
        <v>1.5</v>
      </c>
      <c r="L5"/>
      <c r="M5"/>
      <c r="N5"/>
      <c r="O5"/>
      <c r="P5"/>
      <c r="Q5"/>
      <c r="R5"/>
      <c r="S5"/>
    </row>
    <row r="6" spans="2:19" s="14" customFormat="1" x14ac:dyDescent="0.25">
      <c r="B6" s="4"/>
      <c r="C6" s="5">
        <f>AddFractions(D6)</f>
        <v>2.4499999999999997</v>
      </c>
      <c r="D6" s="11">
        <v>6</v>
      </c>
      <c r="E6" s="11"/>
      <c r="F6" s="11"/>
      <c r="G6" s="7">
        <v>2.4499999999999997</v>
      </c>
      <c r="H6" s="6" t="str">
        <f t="shared" si="0"/>
        <v>ok</v>
      </c>
      <c r="I6"/>
      <c r="J6">
        <f t="shared" si="1"/>
        <v>2.4499999999999997</v>
      </c>
      <c r="L6"/>
      <c r="M6"/>
      <c r="N6"/>
      <c r="O6"/>
      <c r="P6"/>
      <c r="Q6"/>
      <c r="R6"/>
      <c r="S6"/>
    </row>
    <row r="7" spans="2:19" s="14" customFormat="1" x14ac:dyDescent="0.25">
      <c r="B7" s="4"/>
      <c r="C7" s="5">
        <f t="shared" ref="C6:C10" si="2">AddFractions(D7)</f>
        <v>7.4854708605503433</v>
      </c>
      <c r="D7" s="11">
        <v>1000</v>
      </c>
      <c r="E7" s="11"/>
      <c r="F7" s="11"/>
      <c r="G7" s="7">
        <v>7.4850000000000003</v>
      </c>
      <c r="H7" s="6" t="str">
        <f t="shared" si="0"/>
        <v>ok</v>
      </c>
      <c r="I7"/>
      <c r="J7">
        <f t="shared" si="1"/>
        <v>7.4854708605503433</v>
      </c>
      <c r="L7"/>
      <c r="M7"/>
      <c r="N7"/>
      <c r="O7"/>
      <c r="P7"/>
      <c r="Q7"/>
      <c r="R7"/>
      <c r="S7"/>
    </row>
    <row r="8" spans="2:19" s="14" customFormat="1" x14ac:dyDescent="0.25">
      <c r="B8" s="4"/>
      <c r="C8" s="5">
        <f t="shared" si="2"/>
        <v>1</v>
      </c>
      <c r="D8" s="11">
        <v>1</v>
      </c>
      <c r="E8" s="11"/>
      <c r="F8" s="11"/>
      <c r="G8" s="7">
        <v>1</v>
      </c>
      <c r="H8" s="6" t="str">
        <f t="shared" si="0"/>
        <v>ok</v>
      </c>
      <c r="I8"/>
      <c r="J8">
        <f t="shared" si="1"/>
        <v>1</v>
      </c>
      <c r="L8"/>
      <c r="M8"/>
      <c r="N8"/>
      <c r="O8"/>
      <c r="P8"/>
      <c r="Q8"/>
      <c r="R8"/>
      <c r="S8"/>
    </row>
    <row r="9" spans="2:19" s="14" customFormat="1" x14ac:dyDescent="0.25">
      <c r="B9" s="4"/>
      <c r="C9" s="5">
        <f t="shared" si="2"/>
        <v>0</v>
      </c>
      <c r="D9" s="11">
        <v>-1</v>
      </c>
      <c r="E9" s="11"/>
      <c r="F9" s="11"/>
      <c r="G9" s="7">
        <v>0</v>
      </c>
      <c r="H9" s="6" t="str">
        <f t="shared" si="0"/>
        <v>ok</v>
      </c>
      <c r="I9"/>
      <c r="J9">
        <f t="shared" si="1"/>
        <v>0</v>
      </c>
      <c r="L9"/>
      <c r="M9"/>
      <c r="N9"/>
      <c r="O9"/>
      <c r="P9"/>
      <c r="Q9"/>
      <c r="R9"/>
      <c r="S9"/>
    </row>
    <row r="10" spans="2:19" s="14" customFormat="1" x14ac:dyDescent="0.25">
      <c r="B10" s="4"/>
      <c r="C10" s="5">
        <f t="shared" si="2"/>
        <v>0</v>
      </c>
      <c r="D10" s="11">
        <v>0</v>
      </c>
      <c r="E10" s="11"/>
      <c r="F10" s="11"/>
      <c r="G10" s="7">
        <v>0</v>
      </c>
      <c r="H10" s="6" t="str">
        <f t="shared" si="0"/>
        <v>ok</v>
      </c>
      <c r="I10"/>
      <c r="J10">
        <f t="shared" si="1"/>
        <v>0</v>
      </c>
      <c r="L10"/>
      <c r="M10"/>
      <c r="N10"/>
      <c r="O10"/>
      <c r="P10"/>
      <c r="Q10"/>
      <c r="R10"/>
      <c r="S10"/>
    </row>
    <row r="11" spans="2:19" s="14" customFormat="1" x14ac:dyDescent="0.25">
      <c r="B11" s="4"/>
      <c r="C11" s="5">
        <f>AddFractions()</f>
        <v>0</v>
      </c>
      <c r="D11" s="11"/>
      <c r="E11" s="11"/>
      <c r="F11" s="11"/>
      <c r="G11" s="7">
        <v>0</v>
      </c>
      <c r="H11" s="6" t="str">
        <f>IF(EqualsWithinTolerance(G11,C11),"ok","Not ok")</f>
        <v>ok</v>
      </c>
      <c r="I11"/>
      <c r="J11">
        <f t="shared" si="1"/>
        <v>0</v>
      </c>
      <c r="L11"/>
      <c r="M11"/>
      <c r="N11"/>
      <c r="O11"/>
      <c r="P11"/>
      <c r="Q11"/>
      <c r="R11"/>
      <c r="S11"/>
    </row>
    <row r="12" spans="2:19" s="14" customFormat="1" x14ac:dyDescent="0.25">
      <c r="B12"/>
      <c r="C12"/>
      <c r="D12" s="12"/>
      <c r="E12" s="12"/>
      <c r="F12" s="12"/>
      <c r="G12" s="9"/>
      <c r="H12"/>
      <c r="I12"/>
      <c r="J12"/>
      <c r="L12"/>
      <c r="M12"/>
      <c r="N12"/>
      <c r="O12"/>
      <c r="P12"/>
      <c r="Q12"/>
      <c r="R12"/>
      <c r="S12"/>
    </row>
    <row r="13" spans="2:19" s="14" customFormat="1" x14ac:dyDescent="0.25">
      <c r="B13" s="2" t="s">
        <v>2</v>
      </c>
      <c r="C13" s="2" t="s">
        <v>0</v>
      </c>
      <c r="D13" s="10" t="s">
        <v>18</v>
      </c>
      <c r="E13" s="10" t="s">
        <v>19</v>
      </c>
      <c r="F13" s="10"/>
      <c r="G13" s="8" t="s">
        <v>8</v>
      </c>
      <c r="H13" s="3" t="s">
        <v>3</v>
      </c>
      <c r="I13" s="3" t="s">
        <v>9</v>
      </c>
      <c r="J13"/>
      <c r="L13"/>
      <c r="M13"/>
      <c r="N13"/>
      <c r="O13"/>
      <c r="P13"/>
      <c r="Q13"/>
      <c r="R13"/>
      <c r="S13"/>
    </row>
    <row r="14" spans="2:19" s="14" customFormat="1" x14ac:dyDescent="0.25">
      <c r="B14" s="4" t="s">
        <v>12</v>
      </c>
      <c r="C14" s="5" t="e">
        <f ca="1">AddFigureRange(D14,E14)</f>
        <v>#NAME?</v>
      </c>
      <c r="D14" s="11">
        <v>0</v>
      </c>
      <c r="E14" s="11">
        <v>100</v>
      </c>
      <c r="F14" s="11"/>
      <c r="G14" s="7">
        <v>5050</v>
      </c>
      <c r="H14" s="6" t="e">
        <f t="shared" ref="H14:H20" ca="1" si="3">IF(G14=C14,"ok","Not ok")</f>
        <v>#NAME?</v>
      </c>
      <c r="I14" s="4" t="e">
        <f ca="1">IF(C14=L_AddFigureRange(D14,E14),TRUE,FALSE)</f>
        <v>#NAME?</v>
      </c>
      <c r="J14" t="str">
        <f t="shared" ref="J14:J20" ca="1" si="4">IFERROR(C14,"--")</f>
        <v>--</v>
      </c>
      <c r="L14"/>
      <c r="M14"/>
      <c r="N14"/>
      <c r="O14"/>
      <c r="P14"/>
      <c r="Q14"/>
      <c r="R14"/>
      <c r="S14"/>
    </row>
    <row r="15" spans="2:19" s="14" customFormat="1" x14ac:dyDescent="0.25">
      <c r="B15" s="4"/>
      <c r="C15" s="5" t="e">
        <f t="shared" ref="C15:C20" ca="1" si="5">AddFigureRange(D15,E15)</f>
        <v>#NAME?</v>
      </c>
      <c r="D15" s="11">
        <v>50</v>
      </c>
      <c r="E15" s="11">
        <v>100</v>
      </c>
      <c r="F15" s="11"/>
      <c r="G15" s="7">
        <v>3825</v>
      </c>
      <c r="H15" s="6" t="e">
        <f t="shared" ca="1" si="3"/>
        <v>#NAME?</v>
      </c>
      <c r="I15" s="4" t="e">
        <f ca="1">IF(C15=L_AddFigureRange(D15,E15),TRUE,FALSE)</f>
        <v>#NAME?</v>
      </c>
      <c r="J15" t="str">
        <f t="shared" ca="1" si="4"/>
        <v>--</v>
      </c>
      <c r="L15"/>
      <c r="M15"/>
      <c r="N15"/>
      <c r="O15"/>
      <c r="P15"/>
      <c r="Q15"/>
      <c r="R15"/>
      <c r="S15"/>
    </row>
    <row r="16" spans="2:19" s="14" customFormat="1" x14ac:dyDescent="0.25">
      <c r="B16" s="4"/>
      <c r="C16" s="5" t="e">
        <f t="shared" ca="1" si="5"/>
        <v>#NAME?</v>
      </c>
      <c r="D16" s="11">
        <v>0</v>
      </c>
      <c r="E16" s="11">
        <v>50</v>
      </c>
      <c r="F16" s="11"/>
      <c r="G16" s="7">
        <v>1275</v>
      </c>
      <c r="H16" s="6" t="e">
        <f t="shared" ca="1" si="3"/>
        <v>#NAME?</v>
      </c>
      <c r="I16" s="4" t="e">
        <f ca="1">IF(C16=L_AddFigureRange(D16,E16),TRUE,FALSE)</f>
        <v>#NAME?</v>
      </c>
      <c r="J16" t="str">
        <f t="shared" ca="1" si="4"/>
        <v>--</v>
      </c>
      <c r="L16"/>
      <c r="M16"/>
      <c r="N16"/>
      <c r="O16"/>
      <c r="P16"/>
      <c r="Q16"/>
      <c r="R16"/>
      <c r="S16"/>
    </row>
    <row r="17" spans="2:19" s="14" customFormat="1" x14ac:dyDescent="0.25">
      <c r="B17" s="4"/>
      <c r="C17" s="5" t="e">
        <f t="shared" ca="1" si="5"/>
        <v>#NAME?</v>
      </c>
      <c r="D17" s="11">
        <v>4</v>
      </c>
      <c r="E17" s="11">
        <v>7</v>
      </c>
      <c r="F17" s="11"/>
      <c r="G17" s="7">
        <v>22</v>
      </c>
      <c r="H17" s="6" t="e">
        <f t="shared" ca="1" si="3"/>
        <v>#NAME?</v>
      </c>
      <c r="I17" s="4" t="e">
        <f ca="1">IF(C17=L_AddFigureRange(D17,E17),TRUE,FALSE)</f>
        <v>#NAME?</v>
      </c>
      <c r="J17" t="str">
        <f t="shared" ca="1" si="4"/>
        <v>--</v>
      </c>
      <c r="L17"/>
      <c r="M17"/>
      <c r="N17"/>
      <c r="O17"/>
      <c r="P17"/>
      <c r="Q17"/>
      <c r="R17"/>
      <c r="S17"/>
    </row>
    <row r="18" spans="2:19" s="14" customFormat="1" x14ac:dyDescent="0.25">
      <c r="B18" s="4"/>
      <c r="C18" s="5" t="e">
        <f t="shared" ca="1" si="5"/>
        <v>#NAME?</v>
      </c>
      <c r="D18" s="11">
        <v>-1</v>
      </c>
      <c r="E18" s="11">
        <v>100</v>
      </c>
      <c r="F18" s="11"/>
      <c r="G18" s="7">
        <v>5049</v>
      </c>
      <c r="H18" s="6" t="e">
        <f t="shared" ca="1" si="3"/>
        <v>#NAME?</v>
      </c>
      <c r="I18" s="4" t="e">
        <f ca="1">IF(C18=L_AddFigureRange(D18,E18),TRUE,FALSE)</f>
        <v>#NAME?</v>
      </c>
      <c r="J18" t="str">
        <f t="shared" ca="1" si="4"/>
        <v>--</v>
      </c>
      <c r="L18"/>
      <c r="M18"/>
      <c r="N18"/>
      <c r="O18"/>
      <c r="P18"/>
      <c r="Q18"/>
      <c r="R18"/>
      <c r="S18"/>
    </row>
    <row r="19" spans="2:19" s="14" customFormat="1" x14ac:dyDescent="0.25">
      <c r="B19" s="4"/>
      <c r="C19" s="5" t="e">
        <f t="shared" ca="1" si="5"/>
        <v>#NAME?</v>
      </c>
      <c r="D19" s="11">
        <v>0</v>
      </c>
      <c r="E19" s="11">
        <v>100</v>
      </c>
      <c r="F19" s="11"/>
      <c r="G19" s="7">
        <v>5050</v>
      </c>
      <c r="H19" s="6" t="e">
        <f t="shared" ca="1" si="3"/>
        <v>#NAME?</v>
      </c>
      <c r="I19" s="4" t="e">
        <f ca="1">IF(C19=L_AddFigureRange(D19,E19),TRUE,FALSE)</f>
        <v>#NAME?</v>
      </c>
      <c r="J19" t="str">
        <f t="shared" ca="1" si="4"/>
        <v>--</v>
      </c>
      <c r="L19"/>
      <c r="M19"/>
      <c r="N19"/>
      <c r="O19"/>
      <c r="P19"/>
      <c r="Q19"/>
      <c r="R19"/>
      <c r="S19"/>
    </row>
    <row r="20" spans="2:19" s="14" customFormat="1" x14ac:dyDescent="0.25">
      <c r="B20" s="4"/>
      <c r="C20" s="5" t="e">
        <f t="shared" ca="1" si="5"/>
        <v>#NAME?</v>
      </c>
      <c r="D20" s="11">
        <v>200</v>
      </c>
      <c r="E20" s="11">
        <v>100</v>
      </c>
      <c r="F20" s="11"/>
      <c r="G20" s="7">
        <v>0</v>
      </c>
      <c r="H20" s="6" t="e">
        <f t="shared" ca="1" si="3"/>
        <v>#NAME?</v>
      </c>
      <c r="I20" s="4" t="e">
        <f ca="1">IF(C20=L_AddFigureRange(D20,E20),TRUE,FALSE)</f>
        <v>#NAME?</v>
      </c>
      <c r="J20" t="str">
        <f t="shared" ca="1" si="4"/>
        <v>--</v>
      </c>
      <c r="L20"/>
      <c r="M20"/>
      <c r="N20"/>
      <c r="O20"/>
      <c r="P20"/>
      <c r="Q20"/>
      <c r="R20"/>
      <c r="S20"/>
    </row>
    <row r="22" spans="2:19" s="14" customFormat="1" x14ac:dyDescent="0.25">
      <c r="B22" s="2" t="s">
        <v>2</v>
      </c>
      <c r="C22" s="2" t="s">
        <v>0</v>
      </c>
      <c r="D22" s="10" t="s">
        <v>18</v>
      </c>
      <c r="E22" s="10" t="s">
        <v>19</v>
      </c>
      <c r="F22" s="10" t="s">
        <v>1</v>
      </c>
      <c r="G22" s="8" t="s">
        <v>8</v>
      </c>
      <c r="H22" s="3" t="s">
        <v>3</v>
      </c>
      <c r="I22"/>
      <c r="J22"/>
      <c r="L22"/>
      <c r="M22"/>
      <c r="N22"/>
      <c r="O22"/>
      <c r="P22"/>
      <c r="Q22"/>
      <c r="R22"/>
      <c r="S22"/>
    </row>
    <row r="23" spans="2:19" s="14" customFormat="1" x14ac:dyDescent="0.25">
      <c r="B23" s="4" t="s">
        <v>20</v>
      </c>
      <c r="C23" s="5" t="e">
        <f ca="1">MulFigureRange(D23,E23)</f>
        <v>#NAME?</v>
      </c>
      <c r="D23" s="11">
        <v>1</v>
      </c>
      <c r="E23" s="11">
        <v>5</v>
      </c>
      <c r="F23" s="11"/>
      <c r="G23" s="7">
        <v>120</v>
      </c>
      <c r="H23" s="6" t="e">
        <f t="shared" ref="H23:H30" ca="1" si="6">IF(G23=C23,"ok","Not ok")</f>
        <v>#NAME?</v>
      </c>
      <c r="I23"/>
      <c r="J23" t="str">
        <f t="shared" ref="J23:J30" ca="1" si="7">IFERROR(C23,"--")</f>
        <v>--</v>
      </c>
      <c r="L23"/>
      <c r="M23"/>
      <c r="N23"/>
      <c r="O23"/>
      <c r="P23"/>
      <c r="Q23"/>
      <c r="R23"/>
      <c r="S23"/>
    </row>
    <row r="24" spans="2:19" x14ac:dyDescent="0.25">
      <c r="B24" s="4"/>
      <c r="C24" s="5" t="e">
        <f ca="1">MulFigureRange(D24,E24)</f>
        <v>#NAME?</v>
      </c>
      <c r="D24" s="11">
        <v>10</v>
      </c>
      <c r="E24" s="11">
        <v>12</v>
      </c>
      <c r="F24" s="11"/>
      <c r="G24" s="7">
        <v>1320</v>
      </c>
      <c r="H24" s="6" t="e">
        <f t="shared" ca="1" si="6"/>
        <v>#NAME?</v>
      </c>
      <c r="J24" t="str">
        <f t="shared" ca="1" si="7"/>
        <v>--</v>
      </c>
    </row>
    <row r="25" spans="2:19" x14ac:dyDescent="0.25">
      <c r="B25" s="4"/>
      <c r="C25" s="5" t="e">
        <f ca="1">MulFigureRange(D25)</f>
        <v>#NAME?</v>
      </c>
      <c r="D25" s="11">
        <v>5</v>
      </c>
      <c r="E25" s="11"/>
      <c r="F25" s="11"/>
      <c r="G25" s="7">
        <v>120</v>
      </c>
      <c r="H25" s="6" t="e">
        <f t="shared" ca="1" si="6"/>
        <v>#NAME?</v>
      </c>
      <c r="J25" t="str">
        <f t="shared" ca="1" si="7"/>
        <v>--</v>
      </c>
    </row>
    <row r="26" spans="2:19" x14ac:dyDescent="0.25">
      <c r="B26" s="4"/>
      <c r="C26" s="5" t="e">
        <f ca="1">MulFigureRange(D26,E26)</f>
        <v>#NAME?</v>
      </c>
      <c r="D26" s="11">
        <v>1</v>
      </c>
      <c r="E26" s="11">
        <v>12</v>
      </c>
      <c r="F26" s="11"/>
      <c r="G26" s="7">
        <v>479001600</v>
      </c>
      <c r="H26" s="6" t="e">
        <f t="shared" ca="1" si="6"/>
        <v>#NAME?</v>
      </c>
      <c r="J26" t="str">
        <f t="shared" ca="1" si="7"/>
        <v>--</v>
      </c>
    </row>
    <row r="27" spans="2:19" x14ac:dyDescent="0.25">
      <c r="B27" s="4"/>
      <c r="C27" s="5" t="e">
        <f ca="1">MulFigureRange(D27,E27)</f>
        <v>#NAME?</v>
      </c>
      <c r="D27" s="11">
        <v>-1</v>
      </c>
      <c r="E27" s="11">
        <v>100</v>
      </c>
      <c r="F27" s="11"/>
      <c r="G27" s="7">
        <v>0</v>
      </c>
      <c r="H27" s="6" t="e">
        <f t="shared" ca="1" si="6"/>
        <v>#NAME?</v>
      </c>
      <c r="J27" t="str">
        <f t="shared" ca="1" si="7"/>
        <v>--</v>
      </c>
    </row>
    <row r="28" spans="2:19" x14ac:dyDescent="0.25">
      <c r="B28" s="4"/>
      <c r="C28" s="5" t="e">
        <f t="shared" ref="C28:C30" ca="1" si="8">MulFigureRange(D28,E28)</f>
        <v>#NAME?</v>
      </c>
      <c r="D28" s="11">
        <v>0</v>
      </c>
      <c r="E28" s="11">
        <v>100</v>
      </c>
      <c r="F28" s="11"/>
      <c r="G28" s="7">
        <v>0</v>
      </c>
      <c r="H28" s="6" t="e">
        <f t="shared" ca="1" si="6"/>
        <v>#NAME?</v>
      </c>
      <c r="J28" t="str">
        <f t="shared" ca="1" si="7"/>
        <v>--</v>
      </c>
    </row>
    <row r="29" spans="2:19" x14ac:dyDescent="0.25">
      <c r="B29" s="4"/>
      <c r="C29" s="5" t="e">
        <f t="shared" ca="1" si="8"/>
        <v>#NAME?</v>
      </c>
      <c r="D29" s="11">
        <v>4</v>
      </c>
      <c r="E29" s="11">
        <v>5</v>
      </c>
      <c r="F29" s="11"/>
      <c r="G29" s="7">
        <v>20</v>
      </c>
      <c r="H29" s="6" t="e">
        <f t="shared" ca="1" si="6"/>
        <v>#NAME?</v>
      </c>
      <c r="J29" t="str">
        <f t="shared" ca="1" si="7"/>
        <v>--</v>
      </c>
    </row>
    <row r="30" spans="2:19" x14ac:dyDescent="0.25">
      <c r="B30" s="4"/>
      <c r="C30" s="5" t="e">
        <f t="shared" ca="1" si="8"/>
        <v>#NAME?</v>
      </c>
      <c r="D30" s="11">
        <v>5</v>
      </c>
      <c r="E30" s="11">
        <v>4</v>
      </c>
      <c r="F30" s="11"/>
      <c r="G30" s="7">
        <v>1</v>
      </c>
      <c r="H30" s="6" t="e">
        <f t="shared" ca="1" si="6"/>
        <v>#NAME?</v>
      </c>
      <c r="J30" t="str">
        <f t="shared" ca="1" si="7"/>
        <v>--</v>
      </c>
    </row>
  </sheetData>
  <conditionalFormatting sqref="H14:H20">
    <cfRule type="cellIs" dxfId="33" priority="13" operator="equal">
      <formula>"Not ok"</formula>
    </cfRule>
    <cfRule type="cellIs" dxfId="32" priority="14" operator="equal">
      <formula>"ok"</formula>
    </cfRule>
  </conditionalFormatting>
  <conditionalFormatting sqref="H23:H29">
    <cfRule type="cellIs" dxfId="31" priority="11" operator="equal">
      <formula>"Not ok"</formula>
    </cfRule>
    <cfRule type="cellIs" dxfId="30" priority="12" operator="equal">
      <formula>"ok"</formula>
    </cfRule>
  </conditionalFormatting>
  <conditionalFormatting sqref="H30">
    <cfRule type="cellIs" dxfId="29" priority="9" operator="equal">
      <formula>"Not ok"</formula>
    </cfRule>
    <cfRule type="cellIs" dxfId="28" priority="10" operator="equal">
      <formula>"ok"</formula>
    </cfRule>
  </conditionalFormatting>
  <conditionalFormatting sqref="H5:H11">
    <cfRule type="cellIs" dxfId="27" priority="1" operator="equal">
      <formula>"Not ok"</formula>
    </cfRule>
    <cfRule type="cellIs" dxfId="26" priority="2" operator="equal">
      <formula>"ok"</formula>
    </cfRule>
  </conditionalFormatting>
  <dataValidations count="1">
    <dataValidation type="list" allowBlank="1" showInputMessage="1" showErrorMessage="1" sqref="R2">
      <formula1>#REF!</formula1>
    </dataValidation>
  </dataValidations>
  <pageMargins left="0.7" right="0.7" top="0.78740157499999996" bottom="0.78740157499999996" header="0.3" footer="0.3"/>
  <pageSetup paperSize="9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5" tint="0.39997558519241921"/>
    <pageSetUpPr fitToPage="1"/>
  </sheetPr>
  <dimension ref="B1:I91"/>
  <sheetViews>
    <sheetView zoomScale="85" zoomScaleNormal="85" workbookViewId="0">
      <selection activeCell="K45" sqref="K45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9" x14ac:dyDescent="0.25">
      <c r="E1" s="14"/>
      <c r="F1" s="14"/>
      <c r="G1" s="14"/>
      <c r="H1" s="14"/>
    </row>
    <row r="3" spans="2:9" x14ac:dyDescent="0.25">
      <c r="B3" s="2" t="s">
        <v>133</v>
      </c>
      <c r="C3" s="2" t="s">
        <v>46</v>
      </c>
      <c r="D3" s="10" t="s">
        <v>81</v>
      </c>
      <c r="E3" s="10"/>
      <c r="F3" s="10"/>
      <c r="G3" s="8" t="s">
        <v>8</v>
      </c>
      <c r="H3" s="3" t="s">
        <v>3</v>
      </c>
      <c r="I3" s="3" t="s">
        <v>9</v>
      </c>
    </row>
    <row r="4" spans="2:9" x14ac:dyDescent="0.25">
      <c r="B4" s="16" t="s">
        <v>48</v>
      </c>
      <c r="C4" s="5">
        <f>FIND(" ",D4) + 1</f>
        <v>6</v>
      </c>
      <c r="D4" s="11" t="s">
        <v>49</v>
      </c>
      <c r="E4" s="11"/>
      <c r="F4" s="11"/>
      <c r="G4" s="7">
        <v>6</v>
      </c>
      <c r="H4" s="6" t="str">
        <f>IF(G4=C4,"ok",IF(C4="","--","Not ok"))</f>
        <v>ok</v>
      </c>
      <c r="I4" s="4" t="e">
        <f ca="1">IF(C4=L_Hello(D4),TRUE,FALSE)</f>
        <v>#NAME?</v>
      </c>
    </row>
    <row r="5" spans="2:9" x14ac:dyDescent="0.25">
      <c r="B5" s="17"/>
      <c r="C5" s="5">
        <f t="shared" ref="C5:C7" si="0">FIND(" ",D5) + 1</f>
        <v>5</v>
      </c>
      <c r="D5" s="11" t="s">
        <v>5</v>
      </c>
      <c r="E5" s="11"/>
      <c r="F5" s="11"/>
      <c r="G5" s="7">
        <v>5</v>
      </c>
      <c r="H5" s="6" t="str">
        <f t="shared" ref="H5:H7" si="1">IF(G5=C5,"ok",IF(C5="","--","Not ok"))</f>
        <v>ok</v>
      </c>
      <c r="I5" s="4" t="e">
        <f ca="1">IF(C5=L_Hello(D5),TRUE,FALSE)</f>
        <v>#NAME?</v>
      </c>
    </row>
    <row r="6" spans="2:9" x14ac:dyDescent="0.25">
      <c r="B6" s="17"/>
      <c r="C6" s="5">
        <f t="shared" si="0"/>
        <v>6</v>
      </c>
      <c r="D6" s="11" t="s">
        <v>51</v>
      </c>
      <c r="E6" s="11"/>
      <c r="F6" s="11"/>
      <c r="G6" s="7">
        <v>6</v>
      </c>
      <c r="H6" s="6" t="str">
        <f t="shared" si="1"/>
        <v>ok</v>
      </c>
      <c r="I6" s="4" t="e">
        <f ca="1">IF(C6=L_Hello(D6),TRUE,FALSE)</f>
        <v>#NAME?</v>
      </c>
    </row>
    <row r="7" spans="2:9" x14ac:dyDescent="0.25">
      <c r="B7" s="18"/>
      <c r="C7" s="5">
        <f t="shared" si="0"/>
        <v>14</v>
      </c>
      <c r="D7" s="11" t="s">
        <v>50</v>
      </c>
      <c r="E7" s="11"/>
      <c r="F7" s="11"/>
      <c r="G7" s="7">
        <v>14</v>
      </c>
      <c r="H7" s="6" t="str">
        <f t="shared" si="1"/>
        <v>ok</v>
      </c>
      <c r="I7" s="4" t="e">
        <f ca="1">IF(C7=L_Hello(D7),TRUE,FALSE)</f>
        <v>#NAME?</v>
      </c>
    </row>
    <row r="8" spans="2:9" x14ac:dyDescent="0.25">
      <c r="D8" s="12"/>
      <c r="E8" s="12"/>
      <c r="F8" s="12"/>
      <c r="G8" s="9"/>
    </row>
    <row r="10" spans="2:9" x14ac:dyDescent="0.25">
      <c r="B10" s="2" t="s">
        <v>47</v>
      </c>
      <c r="C10" s="2" t="s">
        <v>46</v>
      </c>
      <c r="D10" s="10" t="s">
        <v>81</v>
      </c>
      <c r="E10" s="10"/>
      <c r="F10" s="10"/>
      <c r="G10" s="8" t="s">
        <v>8</v>
      </c>
      <c r="H10" s="3" t="s">
        <v>3</v>
      </c>
    </row>
    <row r="11" spans="2:9" x14ac:dyDescent="0.25">
      <c r="B11" s="16" t="s">
        <v>52</v>
      </c>
      <c r="C11" s="5">
        <f>FIND(" ",D11,FIND(" ",D11)+1)</f>
        <v>12</v>
      </c>
      <c r="D11" s="11" t="s">
        <v>49</v>
      </c>
      <c r="E11" s="11"/>
      <c r="F11" s="11"/>
      <c r="G11" s="7">
        <v>12</v>
      </c>
      <c r="H11" s="6" t="str">
        <f>IF(G11=C11,"ok",IF(C11="","--","Not ok"))</f>
        <v>ok</v>
      </c>
    </row>
    <row r="12" spans="2:9" x14ac:dyDescent="0.25">
      <c r="B12" s="17"/>
      <c r="C12" s="5">
        <f t="shared" ref="C12:C14" si="2">FIND(" ",D12,FIND(" ",D12)+1)</f>
        <v>8</v>
      </c>
      <c r="D12" s="11" t="s">
        <v>5</v>
      </c>
      <c r="E12" s="11"/>
      <c r="F12" s="11"/>
      <c r="G12" s="7">
        <v>8</v>
      </c>
      <c r="H12" s="6" t="str">
        <f t="shared" ref="H12:H14" si="3">IF(G12=C12,"ok",IF(C12="","--","Not ok"))</f>
        <v>ok</v>
      </c>
    </row>
    <row r="13" spans="2:9" x14ac:dyDescent="0.25">
      <c r="B13" s="17"/>
      <c r="C13" s="5">
        <f t="shared" si="2"/>
        <v>13</v>
      </c>
      <c r="D13" s="11" t="s">
        <v>51</v>
      </c>
      <c r="E13" s="11"/>
      <c r="F13" s="11"/>
      <c r="G13" s="7">
        <v>13</v>
      </c>
      <c r="H13" s="6" t="str">
        <f t="shared" si="3"/>
        <v>ok</v>
      </c>
    </row>
    <row r="14" spans="2:9" x14ac:dyDescent="0.25">
      <c r="B14" s="18"/>
      <c r="C14" s="5">
        <f t="shared" si="2"/>
        <v>19</v>
      </c>
      <c r="D14" s="11" t="s">
        <v>50</v>
      </c>
      <c r="E14" s="11"/>
      <c r="F14" s="11"/>
      <c r="G14" s="7">
        <v>19</v>
      </c>
      <c r="H14" s="6" t="str">
        <f t="shared" si="3"/>
        <v>ok</v>
      </c>
    </row>
    <row r="17" spans="2:8" x14ac:dyDescent="0.25">
      <c r="B17" s="2" t="s">
        <v>47</v>
      </c>
      <c r="C17" s="2" t="s">
        <v>46</v>
      </c>
      <c r="D17" s="10" t="s">
        <v>81</v>
      </c>
      <c r="E17" s="10"/>
      <c r="F17" s="10"/>
      <c r="G17" s="8" t="s">
        <v>8</v>
      </c>
      <c r="H17" s="3" t="s">
        <v>3</v>
      </c>
    </row>
    <row r="18" spans="2:8" x14ac:dyDescent="0.25">
      <c r="B18" s="16" t="s">
        <v>59</v>
      </c>
      <c r="C18" s="5"/>
      <c r="D18" s="11" t="s">
        <v>49</v>
      </c>
      <c r="E18" s="11"/>
      <c r="F18" s="11"/>
      <c r="G18" s="7" t="s">
        <v>55</v>
      </c>
      <c r="H18" s="6" t="str">
        <f>IF(G18=C18,"ok",IF(C18="","--","Not ok"))</f>
        <v>--</v>
      </c>
    </row>
    <row r="19" spans="2:8" x14ac:dyDescent="0.25">
      <c r="B19" s="17"/>
      <c r="C19" s="5"/>
      <c r="D19" s="11" t="s">
        <v>5</v>
      </c>
      <c r="E19" s="11"/>
      <c r="F19" s="11"/>
      <c r="G19" s="7" t="s">
        <v>56</v>
      </c>
      <c r="H19" s="6" t="str">
        <f t="shared" ref="H19:H21" si="4">IF(G19=C19,"ok",IF(C19="","--","Not ok"))</f>
        <v>--</v>
      </c>
    </row>
    <row r="20" spans="2:8" x14ac:dyDescent="0.25">
      <c r="B20" s="17"/>
      <c r="C20" s="5"/>
      <c r="D20" s="11" t="s">
        <v>51</v>
      </c>
      <c r="E20" s="11"/>
      <c r="F20" s="11"/>
      <c r="G20" s="7" t="s">
        <v>57</v>
      </c>
      <c r="H20" s="6" t="str">
        <f t="shared" si="4"/>
        <v>--</v>
      </c>
    </row>
    <row r="21" spans="2:8" x14ac:dyDescent="0.25">
      <c r="B21" s="18"/>
      <c r="C21" s="5"/>
      <c r="D21" s="11" t="s">
        <v>50</v>
      </c>
      <c r="E21" s="11"/>
      <c r="F21" s="11"/>
      <c r="G21" s="7" t="s">
        <v>58</v>
      </c>
      <c r="H21" s="6" t="str">
        <f t="shared" si="4"/>
        <v>--</v>
      </c>
    </row>
    <row r="24" spans="2:8" x14ac:dyDescent="0.25">
      <c r="B24" s="2" t="s">
        <v>47</v>
      </c>
      <c r="C24" s="2" t="s">
        <v>46</v>
      </c>
      <c r="D24" s="10" t="s">
        <v>81</v>
      </c>
      <c r="E24" s="10"/>
      <c r="F24" s="10"/>
      <c r="G24" s="8" t="s">
        <v>8</v>
      </c>
      <c r="H24" s="3" t="s">
        <v>3</v>
      </c>
    </row>
    <row r="25" spans="2:8" x14ac:dyDescent="0.25">
      <c r="B25" s="16" t="s">
        <v>60</v>
      </c>
      <c r="C25" s="5"/>
      <c r="D25" s="11" t="s">
        <v>49</v>
      </c>
      <c r="E25" s="11"/>
      <c r="F25" s="11"/>
      <c r="G25" s="7" t="s">
        <v>61</v>
      </c>
      <c r="H25" s="6" t="str">
        <f>IF(G25=C25,"ok",IF(C25="","--","Not ok"))</f>
        <v>--</v>
      </c>
    </row>
    <row r="26" spans="2:8" x14ac:dyDescent="0.25">
      <c r="B26" s="17"/>
      <c r="C26" s="5"/>
      <c r="D26" s="11" t="s">
        <v>5</v>
      </c>
      <c r="E26" s="11"/>
      <c r="F26" s="11"/>
      <c r="G26" s="7" t="s">
        <v>126</v>
      </c>
      <c r="H26" s="6" t="str">
        <f t="shared" ref="H26:H28" si="5">IF(G26=C26,"ok",IF(C26="","--","Not ok"))</f>
        <v>--</v>
      </c>
    </row>
    <row r="27" spans="2:8" x14ac:dyDescent="0.25">
      <c r="B27" s="17"/>
      <c r="C27" s="5"/>
      <c r="D27" s="11" t="s">
        <v>51</v>
      </c>
      <c r="E27" s="11"/>
      <c r="F27" s="11"/>
      <c r="G27" s="7" t="s">
        <v>127</v>
      </c>
      <c r="H27" s="6" t="str">
        <f t="shared" si="5"/>
        <v>--</v>
      </c>
    </row>
    <row r="28" spans="2:8" x14ac:dyDescent="0.25">
      <c r="B28" s="18"/>
      <c r="C28" s="5"/>
      <c r="D28" s="11" t="s">
        <v>50</v>
      </c>
      <c r="E28" s="11"/>
      <c r="F28" s="11"/>
      <c r="G28" s="7" t="s">
        <v>128</v>
      </c>
      <c r="H28" s="6" t="str">
        <f t="shared" si="5"/>
        <v>--</v>
      </c>
    </row>
    <row r="31" spans="2:8" x14ac:dyDescent="0.25">
      <c r="B31" s="2" t="s">
        <v>47</v>
      </c>
      <c r="C31" s="2" t="s">
        <v>46</v>
      </c>
      <c r="D31" s="10" t="s">
        <v>81</v>
      </c>
      <c r="E31" s="10"/>
      <c r="F31" s="10"/>
      <c r="G31" s="8" t="s">
        <v>8</v>
      </c>
      <c r="H31" s="3" t="s">
        <v>3</v>
      </c>
    </row>
    <row r="32" spans="2:8" x14ac:dyDescent="0.25">
      <c r="B32" s="16" t="s">
        <v>62</v>
      </c>
      <c r="C32" s="5"/>
      <c r="D32" s="11" t="s">
        <v>49</v>
      </c>
      <c r="E32" s="11"/>
      <c r="F32" s="11"/>
      <c r="G32" s="7" t="s">
        <v>63</v>
      </c>
      <c r="H32" s="6" t="str">
        <f>IF(G32=C32,"ok",IF(C32="","--","Not ok"))</f>
        <v>--</v>
      </c>
    </row>
    <row r="33" spans="2:8" x14ac:dyDescent="0.25">
      <c r="B33" s="17"/>
      <c r="C33" s="5"/>
      <c r="D33" s="11" t="s">
        <v>5</v>
      </c>
      <c r="E33" s="11"/>
      <c r="F33" s="11"/>
      <c r="G33" s="7" t="s">
        <v>64</v>
      </c>
      <c r="H33" s="6" t="str">
        <f t="shared" ref="H33:H35" si="6">IF(G33=C33,"ok",IF(C33="","--","Not ok"))</f>
        <v>--</v>
      </c>
    </row>
    <row r="34" spans="2:8" x14ac:dyDescent="0.25">
      <c r="B34" s="17"/>
      <c r="C34" s="5"/>
      <c r="D34" s="11" t="s">
        <v>51</v>
      </c>
      <c r="E34" s="11"/>
      <c r="F34" s="11"/>
      <c r="G34" s="7" t="s">
        <v>65</v>
      </c>
      <c r="H34" s="6" t="str">
        <f t="shared" si="6"/>
        <v>--</v>
      </c>
    </row>
    <row r="35" spans="2:8" x14ac:dyDescent="0.25">
      <c r="B35" s="18"/>
      <c r="C35" s="5"/>
      <c r="D35" s="11" t="s">
        <v>50</v>
      </c>
      <c r="E35" s="11"/>
      <c r="F35" s="11"/>
      <c r="G35" s="7" t="s">
        <v>66</v>
      </c>
      <c r="H35" s="6" t="str">
        <f t="shared" si="6"/>
        <v>--</v>
      </c>
    </row>
    <row r="38" spans="2:8" x14ac:dyDescent="0.25">
      <c r="B38" s="2" t="s">
        <v>47</v>
      </c>
      <c r="C38" s="2" t="s">
        <v>46</v>
      </c>
      <c r="D38" s="10" t="s">
        <v>81</v>
      </c>
      <c r="E38" s="10"/>
      <c r="F38" s="10"/>
      <c r="G38" s="8" t="s">
        <v>8</v>
      </c>
      <c r="H38" s="3" t="s">
        <v>3</v>
      </c>
    </row>
    <row r="39" spans="2:8" x14ac:dyDescent="0.25">
      <c r="B39" s="16" t="s">
        <v>67</v>
      </c>
      <c r="C39" s="5"/>
      <c r="D39" s="11" t="s">
        <v>49</v>
      </c>
      <c r="E39" s="11"/>
      <c r="F39" s="11"/>
      <c r="G39" s="7" t="s">
        <v>68</v>
      </c>
      <c r="H39" s="6" t="str">
        <f>IF(G39=C39,"ok",IF(C39="","--","Not ok"))</f>
        <v>--</v>
      </c>
    </row>
    <row r="40" spans="2:8" x14ac:dyDescent="0.25">
      <c r="B40" s="17"/>
      <c r="C40" s="5"/>
      <c r="D40" s="11" t="s">
        <v>5</v>
      </c>
      <c r="E40" s="11"/>
      <c r="F40" s="11"/>
      <c r="G40" s="7" t="s">
        <v>69</v>
      </c>
      <c r="H40" s="6" t="str">
        <f t="shared" ref="H40:H42" si="7">IF(G40=C40,"ok",IF(C40="","--","Not ok"))</f>
        <v>--</v>
      </c>
    </row>
    <row r="41" spans="2:8" x14ac:dyDescent="0.25">
      <c r="B41" s="17"/>
      <c r="C41" s="5"/>
      <c r="D41" s="11" t="s">
        <v>51</v>
      </c>
      <c r="E41" s="11"/>
      <c r="F41" s="11"/>
      <c r="G41" s="7" t="s">
        <v>70</v>
      </c>
      <c r="H41" s="6" t="str">
        <f t="shared" si="7"/>
        <v>--</v>
      </c>
    </row>
    <row r="42" spans="2:8" x14ac:dyDescent="0.25">
      <c r="B42" s="18"/>
      <c r="C42" s="5"/>
      <c r="D42" s="11" t="s">
        <v>50</v>
      </c>
      <c r="E42" s="11"/>
      <c r="F42" s="11"/>
      <c r="G42" s="7" t="s">
        <v>71</v>
      </c>
      <c r="H42" s="6" t="str">
        <f t="shared" si="7"/>
        <v>--</v>
      </c>
    </row>
    <row r="45" spans="2:8" x14ac:dyDescent="0.25">
      <c r="B45" s="2" t="s">
        <v>47</v>
      </c>
      <c r="C45" s="2" t="s">
        <v>46</v>
      </c>
      <c r="D45" s="10" t="s">
        <v>81</v>
      </c>
      <c r="E45" s="10"/>
      <c r="F45" s="10"/>
      <c r="G45" s="8" t="s">
        <v>8</v>
      </c>
      <c r="H45" s="3" t="s">
        <v>3</v>
      </c>
    </row>
    <row r="46" spans="2:8" x14ac:dyDescent="0.25">
      <c r="B46" s="16" t="s">
        <v>72</v>
      </c>
      <c r="C46" s="5"/>
      <c r="D46" s="11" t="s">
        <v>49</v>
      </c>
      <c r="E46" s="11"/>
      <c r="F46" s="11"/>
      <c r="G46" s="7" t="s">
        <v>73</v>
      </c>
      <c r="H46" s="6" t="str">
        <f>IF(G46=C46,"ok",IF(C46="","--","Not ok"))</f>
        <v>--</v>
      </c>
    </row>
    <row r="47" spans="2:8" x14ac:dyDescent="0.25">
      <c r="B47" s="17"/>
      <c r="C47" s="5"/>
      <c r="D47" s="11" t="s">
        <v>5</v>
      </c>
      <c r="E47" s="11"/>
      <c r="F47" s="11"/>
      <c r="G47" s="7" t="s">
        <v>74</v>
      </c>
      <c r="H47" s="6" t="str">
        <f t="shared" ref="H47:H49" si="8">IF(G47=C47,"ok",IF(C47="","--","Not ok"))</f>
        <v>--</v>
      </c>
    </row>
    <row r="48" spans="2:8" x14ac:dyDescent="0.25">
      <c r="B48" s="17"/>
      <c r="C48" s="5"/>
      <c r="D48" s="11" t="s">
        <v>51</v>
      </c>
      <c r="E48" s="11"/>
      <c r="F48" s="11"/>
      <c r="G48" s="7" t="s">
        <v>75</v>
      </c>
      <c r="H48" s="6" t="str">
        <f t="shared" si="8"/>
        <v>--</v>
      </c>
    </row>
    <row r="49" spans="2:8" x14ac:dyDescent="0.25">
      <c r="B49" s="18"/>
      <c r="C49" s="5"/>
      <c r="D49" s="11" t="s">
        <v>50</v>
      </c>
      <c r="E49" s="11"/>
      <c r="F49" s="11"/>
      <c r="G49" s="7" t="s">
        <v>76</v>
      </c>
      <c r="H49" s="6" t="str">
        <f t="shared" si="8"/>
        <v>--</v>
      </c>
    </row>
    <row r="52" spans="2:8" x14ac:dyDescent="0.25">
      <c r="B52" s="2" t="s">
        <v>47</v>
      </c>
      <c r="C52" s="2" t="s">
        <v>46</v>
      </c>
      <c r="D52" s="10" t="s">
        <v>81</v>
      </c>
      <c r="E52" s="10"/>
      <c r="F52" s="10"/>
      <c r="G52" s="8" t="s">
        <v>8</v>
      </c>
      <c r="H52" s="3" t="s">
        <v>3</v>
      </c>
    </row>
    <row r="53" spans="2:8" x14ac:dyDescent="0.25">
      <c r="B53" s="16" t="s">
        <v>77</v>
      </c>
      <c r="C53" s="5"/>
      <c r="D53" s="11" t="s">
        <v>49</v>
      </c>
      <c r="E53" s="11"/>
      <c r="F53" s="11"/>
      <c r="G53" s="7" t="s">
        <v>78</v>
      </c>
      <c r="H53" s="6" t="str">
        <f>IF(G53=C53,"ok",IF(C53="","--","Not ok"))</f>
        <v>--</v>
      </c>
    </row>
    <row r="54" spans="2:8" x14ac:dyDescent="0.25">
      <c r="B54" s="17"/>
      <c r="C54" s="5"/>
      <c r="D54" s="11" t="s">
        <v>5</v>
      </c>
      <c r="E54" s="11"/>
      <c r="F54" s="11"/>
      <c r="G54" s="7" t="s">
        <v>54</v>
      </c>
      <c r="H54" s="6" t="str">
        <f t="shared" ref="H54:H56" si="9">IF(G54=C54,"ok",IF(C54="","--","Not ok"))</f>
        <v>--</v>
      </c>
    </row>
    <row r="55" spans="2:8" x14ac:dyDescent="0.25">
      <c r="B55" s="17"/>
      <c r="C55" s="5"/>
      <c r="D55" s="11" t="s">
        <v>51</v>
      </c>
      <c r="E55" s="11"/>
      <c r="F55" s="11"/>
      <c r="G55" s="7" t="s">
        <v>79</v>
      </c>
      <c r="H55" s="6" t="str">
        <f t="shared" si="9"/>
        <v>--</v>
      </c>
    </row>
    <row r="56" spans="2:8" x14ac:dyDescent="0.25">
      <c r="B56" s="18"/>
      <c r="C56" s="5"/>
      <c r="D56" s="11" t="s">
        <v>50</v>
      </c>
      <c r="E56" s="11"/>
      <c r="F56" s="11"/>
      <c r="G56" s="7" t="s">
        <v>80</v>
      </c>
      <c r="H56" s="6" t="str">
        <f t="shared" si="9"/>
        <v>--</v>
      </c>
    </row>
    <row r="59" spans="2:8" x14ac:dyDescent="0.25">
      <c r="B59" s="2" t="s">
        <v>47</v>
      </c>
      <c r="C59" s="2" t="s">
        <v>46</v>
      </c>
      <c r="D59" s="10" t="s">
        <v>81</v>
      </c>
      <c r="E59" s="10"/>
      <c r="F59" s="10"/>
      <c r="G59" s="8" t="s">
        <v>8</v>
      </c>
      <c r="H59" s="3" t="s">
        <v>3</v>
      </c>
    </row>
    <row r="60" spans="2:8" x14ac:dyDescent="0.25">
      <c r="B60" s="16" t="s">
        <v>82</v>
      </c>
      <c r="C60" s="5"/>
      <c r="D60" s="11" t="s">
        <v>49</v>
      </c>
      <c r="E60" s="11"/>
      <c r="F60" s="11"/>
      <c r="G60" s="7">
        <v>16</v>
      </c>
      <c r="H60" s="6" t="str">
        <f>IF(G60=C60,"ok",IF(C60="","--","Not ok"))</f>
        <v>--</v>
      </c>
    </row>
    <row r="61" spans="2:8" x14ac:dyDescent="0.25">
      <c r="B61" s="17"/>
      <c r="C61" s="5"/>
      <c r="D61" s="11" t="s">
        <v>5</v>
      </c>
      <c r="E61" s="11"/>
      <c r="F61" s="11"/>
      <c r="G61" s="7">
        <v>14</v>
      </c>
      <c r="H61" s="6" t="str">
        <f t="shared" ref="H61:H63" si="10">IF(G61=C61,"ok",IF(C61="","--","Not ok"))</f>
        <v>--</v>
      </c>
    </row>
    <row r="62" spans="2:8" x14ac:dyDescent="0.25">
      <c r="B62" s="17"/>
      <c r="C62" s="5"/>
      <c r="D62" s="11" t="s">
        <v>51</v>
      </c>
      <c r="E62" s="11"/>
      <c r="F62" s="11"/>
      <c r="G62" s="7">
        <v>24</v>
      </c>
      <c r="H62" s="6" t="str">
        <f t="shared" si="10"/>
        <v>--</v>
      </c>
    </row>
    <row r="63" spans="2:8" x14ac:dyDescent="0.25">
      <c r="B63" s="18"/>
      <c r="C63" s="5"/>
      <c r="D63" s="11" t="s">
        <v>50</v>
      </c>
      <c r="E63" s="11"/>
      <c r="F63" s="11"/>
      <c r="G63" s="7">
        <v>23</v>
      </c>
      <c r="H63" s="6" t="str">
        <f t="shared" si="10"/>
        <v>--</v>
      </c>
    </row>
    <row r="66" spans="2:8" x14ac:dyDescent="0.25">
      <c r="B66" s="2" t="s">
        <v>47</v>
      </c>
      <c r="C66" s="2" t="s">
        <v>46</v>
      </c>
      <c r="D66" s="10" t="s">
        <v>83</v>
      </c>
      <c r="E66" s="10" t="s">
        <v>84</v>
      </c>
      <c r="F66" s="10" t="s">
        <v>86</v>
      </c>
      <c r="G66" s="8" t="s">
        <v>8</v>
      </c>
      <c r="H66" s="3" t="s">
        <v>3</v>
      </c>
    </row>
    <row r="67" spans="2:8" x14ac:dyDescent="0.25">
      <c r="B67" s="16" t="s">
        <v>85</v>
      </c>
      <c r="C67" s="5"/>
      <c r="D67" s="11">
        <v>8855</v>
      </c>
      <c r="E67" s="11" t="s">
        <v>26</v>
      </c>
      <c r="F67" s="11" t="s">
        <v>87</v>
      </c>
      <c r="G67" s="7" t="s">
        <v>95</v>
      </c>
      <c r="H67" s="6" t="str">
        <f>IF(G67=C67,"ok",IF(C67="","--","Not ok"))</f>
        <v>--</v>
      </c>
    </row>
    <row r="68" spans="2:8" x14ac:dyDescent="0.25">
      <c r="B68" s="17"/>
      <c r="C68" s="5"/>
      <c r="D68" s="11" t="s">
        <v>43</v>
      </c>
      <c r="E68" s="11" t="s">
        <v>88</v>
      </c>
      <c r="F68" s="11" t="s">
        <v>89</v>
      </c>
      <c r="G68" s="7" t="s">
        <v>96</v>
      </c>
      <c r="H68" s="6" t="str">
        <f t="shared" ref="H68:H70" si="11">IF(G68=C68,"ok",IF(C68="","--","Not ok"))</f>
        <v>--</v>
      </c>
    </row>
    <row r="69" spans="2:8" x14ac:dyDescent="0.25">
      <c r="B69" s="17"/>
      <c r="C69" s="5"/>
      <c r="D69" s="11" t="s">
        <v>90</v>
      </c>
      <c r="E69" s="11" t="s">
        <v>91</v>
      </c>
      <c r="F69" s="11" t="s">
        <v>92</v>
      </c>
      <c r="G69" s="7" t="s">
        <v>97</v>
      </c>
      <c r="H69" s="6" t="str">
        <f t="shared" si="11"/>
        <v>--</v>
      </c>
    </row>
    <row r="70" spans="2:8" x14ac:dyDescent="0.25">
      <c r="B70" s="18"/>
      <c r="C70" s="5"/>
      <c r="D70" s="11" t="s">
        <v>93</v>
      </c>
      <c r="E70" s="11">
        <v>12345</v>
      </c>
      <c r="F70" s="11" t="s">
        <v>94</v>
      </c>
      <c r="G70" s="7" t="s">
        <v>98</v>
      </c>
      <c r="H70" s="6" t="str">
        <f t="shared" si="11"/>
        <v>--</v>
      </c>
    </row>
    <row r="73" spans="2:8" x14ac:dyDescent="0.25">
      <c r="B73" s="2" t="s">
        <v>47</v>
      </c>
      <c r="C73" s="2" t="s">
        <v>46</v>
      </c>
      <c r="D73" s="10" t="s">
        <v>83</v>
      </c>
      <c r="E73" s="10"/>
      <c r="F73" s="10"/>
      <c r="G73" s="8" t="s">
        <v>8</v>
      </c>
      <c r="H73" s="3" t="s">
        <v>3</v>
      </c>
    </row>
    <row r="74" spans="2:8" x14ac:dyDescent="0.25">
      <c r="B74" s="16" t="s">
        <v>100</v>
      </c>
      <c r="C74" s="5"/>
      <c r="D74" s="15" t="s">
        <v>102</v>
      </c>
      <c r="E74" s="11"/>
      <c r="F74" s="11"/>
      <c r="G74" s="7" t="s">
        <v>105</v>
      </c>
      <c r="H74" s="6" t="str">
        <f>IF(G74=C74,"ok",IF(C74="","--","Not ok"))</f>
        <v>--</v>
      </c>
    </row>
    <row r="75" spans="2:8" x14ac:dyDescent="0.25">
      <c r="B75" s="17"/>
      <c r="C75" s="5"/>
      <c r="D75" s="11" t="s">
        <v>99</v>
      </c>
      <c r="E75" s="11"/>
      <c r="F75" s="11"/>
      <c r="G75" s="7" t="s">
        <v>106</v>
      </c>
      <c r="H75" s="6" t="str">
        <f t="shared" ref="H75:H77" si="12">IF(G75=C75,"ok",IF(C75="","--","Not ok"))</f>
        <v>--</v>
      </c>
    </row>
    <row r="76" spans="2:8" x14ac:dyDescent="0.25">
      <c r="B76" s="17"/>
      <c r="C76" s="5"/>
      <c r="D76" s="11" t="s">
        <v>103</v>
      </c>
      <c r="E76" s="11"/>
      <c r="F76" s="11"/>
      <c r="G76" s="7" t="s">
        <v>107</v>
      </c>
      <c r="H76" s="6" t="str">
        <f t="shared" si="12"/>
        <v>--</v>
      </c>
    </row>
    <row r="77" spans="2:8" x14ac:dyDescent="0.25">
      <c r="B77" s="18"/>
      <c r="C77" s="5"/>
      <c r="D77" s="11" t="s">
        <v>104</v>
      </c>
      <c r="E77" s="11"/>
      <c r="F77" s="11"/>
      <c r="G77" s="7" t="s">
        <v>108</v>
      </c>
      <c r="H77" s="6" t="str">
        <f t="shared" si="12"/>
        <v>--</v>
      </c>
    </row>
    <row r="80" spans="2:8" x14ac:dyDescent="0.25">
      <c r="B80" s="2" t="s">
        <v>47</v>
      </c>
      <c r="C80" s="2" t="s">
        <v>46</v>
      </c>
      <c r="D80" s="10" t="s">
        <v>83</v>
      </c>
      <c r="E80" s="10"/>
      <c r="F80" s="10"/>
      <c r="G80" s="8" t="s">
        <v>8</v>
      </c>
      <c r="H80" s="3" t="s">
        <v>3</v>
      </c>
    </row>
    <row r="81" spans="2:8" x14ac:dyDescent="0.25">
      <c r="B81" s="16" t="s">
        <v>114</v>
      </c>
      <c r="C81" s="5"/>
      <c r="D81" s="15" t="s">
        <v>101</v>
      </c>
      <c r="E81" s="11"/>
      <c r="F81" s="11"/>
      <c r="G81" s="7" t="s">
        <v>115</v>
      </c>
      <c r="H81" s="6" t="str">
        <f>IF(G81=C81,"ok",IF(C81="","--","Not ok"))</f>
        <v>--</v>
      </c>
    </row>
    <row r="82" spans="2:8" x14ac:dyDescent="0.25">
      <c r="B82" s="17"/>
      <c r="C82" s="5"/>
      <c r="D82" s="11" t="s">
        <v>99</v>
      </c>
      <c r="E82" s="11"/>
      <c r="F82" s="11"/>
      <c r="G82" s="7" t="s">
        <v>116</v>
      </c>
      <c r="H82" s="6" t="str">
        <f t="shared" ref="H82:H84" si="13">IF(G82=C82,"ok",IF(C82="","--","Not ok"))</f>
        <v>--</v>
      </c>
    </row>
    <row r="83" spans="2:8" x14ac:dyDescent="0.25">
      <c r="B83" s="17"/>
      <c r="C83" s="5"/>
      <c r="D83" s="11" t="s">
        <v>103</v>
      </c>
      <c r="E83" s="11"/>
      <c r="F83" s="11"/>
      <c r="G83" s="7" t="s">
        <v>116</v>
      </c>
      <c r="H83" s="6" t="str">
        <f t="shared" si="13"/>
        <v>--</v>
      </c>
    </row>
    <row r="84" spans="2:8" x14ac:dyDescent="0.25">
      <c r="B84" s="18"/>
      <c r="C84" s="5"/>
      <c r="D84" s="11" t="s">
        <v>104</v>
      </c>
      <c r="E84" s="11"/>
      <c r="F84" s="11"/>
      <c r="G84" s="7" t="s">
        <v>115</v>
      </c>
      <c r="H84" s="6" t="str">
        <f t="shared" si="13"/>
        <v>--</v>
      </c>
    </row>
    <row r="87" spans="2:8" x14ac:dyDescent="0.25">
      <c r="B87" s="2" t="s">
        <v>109</v>
      </c>
      <c r="C87" s="2" t="s">
        <v>46</v>
      </c>
      <c r="D87" s="10" t="s">
        <v>13</v>
      </c>
      <c r="E87" s="10"/>
      <c r="F87" s="10"/>
      <c r="G87" s="8" t="s">
        <v>8</v>
      </c>
      <c r="H87" s="3" t="s">
        <v>3</v>
      </c>
    </row>
    <row r="88" spans="2:8" x14ac:dyDescent="0.25">
      <c r="B88" s="16" t="s">
        <v>53</v>
      </c>
      <c r="C88" s="5"/>
      <c r="D88" s="11" t="s">
        <v>49</v>
      </c>
      <c r="E88" s="11"/>
      <c r="F88" s="11"/>
      <c r="G88" s="7" t="s">
        <v>110</v>
      </c>
      <c r="H88" s="6" t="str">
        <f>IF(G88=C88,"ok",IF(C88="","--","Not ok"))</f>
        <v>--</v>
      </c>
    </row>
    <row r="89" spans="2:8" x14ac:dyDescent="0.25">
      <c r="B89" s="17"/>
      <c r="C89" s="5"/>
      <c r="D89" s="11" t="s">
        <v>5</v>
      </c>
      <c r="E89" s="11"/>
      <c r="F89" s="11"/>
      <c r="G89" s="7" t="s">
        <v>111</v>
      </c>
      <c r="H89" s="6" t="str">
        <f t="shared" ref="H89:H91" si="14">IF(G89=C89,"ok",IF(C89="","--","Not ok"))</f>
        <v>--</v>
      </c>
    </row>
    <row r="90" spans="2:8" x14ac:dyDescent="0.25">
      <c r="B90" s="17"/>
      <c r="C90" s="5"/>
      <c r="D90" s="11" t="s">
        <v>51</v>
      </c>
      <c r="E90" s="11"/>
      <c r="F90" s="11"/>
      <c r="G90" s="7" t="s">
        <v>112</v>
      </c>
      <c r="H90" s="6" t="str">
        <f t="shared" si="14"/>
        <v>--</v>
      </c>
    </row>
    <row r="91" spans="2:8" x14ac:dyDescent="0.25">
      <c r="B91" s="18"/>
      <c r="C91" s="5"/>
      <c r="D91" s="11" t="s">
        <v>50</v>
      </c>
      <c r="E91" s="11"/>
      <c r="F91" s="11"/>
      <c r="G91" s="7" t="s">
        <v>113</v>
      </c>
      <c r="H91" s="6" t="str">
        <f t="shared" si="14"/>
        <v>--</v>
      </c>
    </row>
  </sheetData>
  <mergeCells count="13">
    <mergeCell ref="B39:B42"/>
    <mergeCell ref="B4:B7"/>
    <mergeCell ref="B11:B14"/>
    <mergeCell ref="B18:B21"/>
    <mergeCell ref="B25:B28"/>
    <mergeCell ref="B32:B35"/>
    <mergeCell ref="B88:B91"/>
    <mergeCell ref="B46:B49"/>
    <mergeCell ref="B53:B56"/>
    <mergeCell ref="B60:B63"/>
    <mergeCell ref="B67:B70"/>
    <mergeCell ref="B74:B77"/>
    <mergeCell ref="B81:B84"/>
  </mergeCells>
  <conditionalFormatting sqref="H4:H7">
    <cfRule type="cellIs" dxfId="25" priority="32" operator="equal">
      <formula>"Not ok"</formula>
    </cfRule>
    <cfRule type="cellIs" dxfId="24" priority="33" operator="equal">
      <formula>"ok"</formula>
    </cfRule>
  </conditionalFormatting>
  <conditionalFormatting sqref="H11:H14">
    <cfRule type="cellIs" dxfId="23" priority="23" operator="equal">
      <formula>"Not ok"</formula>
    </cfRule>
    <cfRule type="cellIs" dxfId="22" priority="24" operator="equal">
      <formula>"ok"</formula>
    </cfRule>
  </conditionalFormatting>
  <conditionalFormatting sqref="H88:H91">
    <cfRule type="cellIs" dxfId="21" priority="21" operator="equal">
      <formula>"Not ok"</formula>
    </cfRule>
    <cfRule type="cellIs" dxfId="20" priority="22" operator="equal">
      <formula>"ok"</formula>
    </cfRule>
  </conditionalFormatting>
  <conditionalFormatting sqref="H18:H21">
    <cfRule type="cellIs" dxfId="19" priority="19" operator="equal">
      <formula>"Not ok"</formula>
    </cfRule>
    <cfRule type="cellIs" dxfId="18" priority="20" operator="equal">
      <formula>"ok"</formula>
    </cfRule>
  </conditionalFormatting>
  <conditionalFormatting sqref="H25:H28">
    <cfRule type="cellIs" dxfId="17" priority="17" operator="equal">
      <formula>"Not ok"</formula>
    </cfRule>
    <cfRule type="cellIs" dxfId="16" priority="18" operator="equal">
      <formula>"ok"</formula>
    </cfRule>
  </conditionalFormatting>
  <conditionalFormatting sqref="H32:H35">
    <cfRule type="cellIs" dxfId="15" priority="15" operator="equal">
      <formula>"Not ok"</formula>
    </cfRule>
    <cfRule type="cellIs" dxfId="14" priority="16" operator="equal">
      <formula>"ok"</formula>
    </cfRule>
  </conditionalFormatting>
  <conditionalFormatting sqref="H39:H42">
    <cfRule type="cellIs" dxfId="13" priority="13" operator="equal">
      <formula>"Not ok"</formula>
    </cfRule>
    <cfRule type="cellIs" dxfId="12" priority="14" operator="equal">
      <formula>"ok"</formula>
    </cfRule>
  </conditionalFormatting>
  <conditionalFormatting sqref="H46:H49">
    <cfRule type="cellIs" dxfId="11" priority="11" operator="equal">
      <formula>"Not ok"</formula>
    </cfRule>
    <cfRule type="cellIs" dxfId="10" priority="12" operator="equal">
      <formula>"ok"</formula>
    </cfRule>
  </conditionalFormatting>
  <conditionalFormatting sqref="H53:H56">
    <cfRule type="cellIs" dxfId="9" priority="9" operator="equal">
      <formula>"Not ok"</formula>
    </cfRule>
    <cfRule type="cellIs" dxfId="8" priority="10" operator="equal">
      <formula>"ok"</formula>
    </cfRule>
  </conditionalFormatting>
  <conditionalFormatting sqref="H60:H63">
    <cfRule type="cellIs" dxfId="7" priority="7" operator="equal">
      <formula>"Not ok"</formula>
    </cfRule>
    <cfRule type="cellIs" dxfId="6" priority="8" operator="equal">
      <formula>"ok"</formula>
    </cfRule>
  </conditionalFormatting>
  <conditionalFormatting sqref="H67:H70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74:H77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81:H84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Beschreibung</vt:lpstr>
      <vt:lpstr>VBA_Mathematische</vt:lpstr>
      <vt:lpstr>VBA_StringOperationen</vt:lpstr>
      <vt:lpstr>VBA_AlgorithmusImplementationen</vt:lpstr>
      <vt:lpstr>StringFormeln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2022-03-10T11:00:11Z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