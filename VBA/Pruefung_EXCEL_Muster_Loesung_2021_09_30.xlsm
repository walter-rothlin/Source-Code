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 activeTab="6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C58" i="40" l="1"/>
  <c r="C52" i="40"/>
  <c r="C53" i="40"/>
  <c r="C54" i="40"/>
  <c r="C51" i="40"/>
  <c r="C45" i="40"/>
  <c r="C46" i="40"/>
  <c r="C47" i="40"/>
  <c r="C44" i="40"/>
  <c r="C38" i="40"/>
  <c r="C39" i="40"/>
  <c r="C40" i="40"/>
  <c r="C37" i="40"/>
  <c r="C31" i="40"/>
  <c r="C32" i="40"/>
  <c r="C33" i="40"/>
  <c r="C30" i="40"/>
  <c r="C23" i="40"/>
  <c r="C24" i="40"/>
  <c r="C25" i="40"/>
  <c r="C26" i="40"/>
  <c r="AA38" i="46" l="1"/>
  <c r="AA39" i="46"/>
  <c r="AA40" i="46"/>
  <c r="AA41" i="46"/>
  <c r="AA42" i="46"/>
  <c r="AA43" i="46"/>
  <c r="AA44" i="46"/>
  <c r="AA45" i="46"/>
  <c r="AA46" i="46"/>
  <c r="AA47" i="46"/>
  <c r="AA48" i="46"/>
  <c r="AA49" i="46"/>
  <c r="AA50" i="46"/>
  <c r="AA51" i="46"/>
  <c r="AA52" i="46"/>
  <c r="AA53" i="46"/>
  <c r="AA54" i="46"/>
  <c r="AA55" i="46"/>
  <c r="AA56" i="46"/>
  <c r="AA57" i="46"/>
  <c r="AA58" i="46"/>
  <c r="AA59" i="46"/>
  <c r="AA60" i="46"/>
  <c r="AA61" i="46"/>
  <c r="AA62" i="46"/>
  <c r="AA63" i="46"/>
  <c r="AA37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W38" i="46"/>
  <c r="W40" i="46"/>
  <c r="W42" i="46"/>
  <c r="W43" i="46"/>
  <c r="W45" i="46"/>
  <c r="W46" i="46"/>
  <c r="W47" i="46"/>
  <c r="W48" i="46"/>
  <c r="W49" i="46"/>
  <c r="W50" i="46"/>
  <c r="W37" i="46"/>
  <c r="U38" i="46"/>
  <c r="U39" i="46"/>
  <c r="U40" i="46"/>
  <c r="U41" i="46"/>
  <c r="U42" i="46"/>
  <c r="U43" i="46"/>
  <c r="U44" i="46"/>
  <c r="U45" i="46"/>
  <c r="U46" i="46"/>
  <c r="U47" i="46"/>
  <c r="U48" i="46"/>
  <c r="U49" i="46"/>
  <c r="U50" i="46"/>
  <c r="U51" i="46"/>
  <c r="U52" i="46"/>
  <c r="U53" i="46"/>
  <c r="U54" i="46"/>
  <c r="U55" i="46"/>
  <c r="U56" i="46"/>
  <c r="U57" i="46"/>
  <c r="U58" i="46"/>
  <c r="U59" i="46"/>
  <c r="U60" i="46"/>
  <c r="U61" i="46"/>
  <c r="U62" i="46"/>
  <c r="U63" i="46"/>
  <c r="U37" i="46"/>
  <c r="S37" i="46"/>
  <c r="S38" i="46"/>
  <c r="S39" i="46"/>
  <c r="S40" i="46"/>
  <c r="S41" i="46"/>
  <c r="S42" i="46"/>
  <c r="S43" i="46"/>
  <c r="S44" i="46"/>
  <c r="S45" i="46"/>
  <c r="S46" i="46"/>
  <c r="S47" i="46"/>
  <c r="S48" i="46"/>
  <c r="S49" i="46"/>
  <c r="S50" i="46"/>
  <c r="S51" i="46"/>
  <c r="S52" i="46"/>
  <c r="S53" i="46"/>
  <c r="S54" i="46"/>
  <c r="S55" i="46"/>
  <c r="S56" i="46"/>
  <c r="S57" i="46"/>
  <c r="S58" i="46"/>
  <c r="S59" i="46"/>
  <c r="S60" i="46"/>
  <c r="S61" i="46"/>
  <c r="S62" i="46"/>
  <c r="S63" i="46"/>
  <c r="O38" i="46"/>
  <c r="P38" i="46" s="1"/>
  <c r="O39" i="46"/>
  <c r="W39" i="46" s="1"/>
  <c r="O40" i="46"/>
  <c r="O41" i="46"/>
  <c r="W41" i="46" s="1"/>
  <c r="O42" i="46"/>
  <c r="O43" i="46"/>
  <c r="P43" i="46" s="1"/>
  <c r="O44" i="46"/>
  <c r="W44" i="46" s="1"/>
  <c r="O45" i="46"/>
  <c r="O46" i="46"/>
  <c r="P46" i="46" s="1"/>
  <c r="O47" i="46"/>
  <c r="O48" i="46"/>
  <c r="O49" i="46"/>
  <c r="O50" i="46"/>
  <c r="O51" i="46"/>
  <c r="P51" i="46" s="1"/>
  <c r="O52" i="46"/>
  <c r="P52" i="46" s="1"/>
  <c r="O53" i="46"/>
  <c r="O54" i="46"/>
  <c r="P54" i="46" s="1"/>
  <c r="O55" i="46"/>
  <c r="P55" i="46" s="1"/>
  <c r="O56" i="46"/>
  <c r="O57" i="46"/>
  <c r="O58" i="46"/>
  <c r="O59" i="46"/>
  <c r="P59" i="46" s="1"/>
  <c r="O60" i="46"/>
  <c r="P60" i="46" s="1"/>
  <c r="O61" i="46"/>
  <c r="O62" i="46"/>
  <c r="P62" i="46" s="1"/>
  <c r="O63" i="46"/>
  <c r="O37" i="46"/>
  <c r="P37" i="46" s="1"/>
  <c r="P39" i="46"/>
  <c r="P42" i="46"/>
  <c r="P47" i="46"/>
  <c r="P50" i="46"/>
  <c r="P58" i="46"/>
  <c r="P63" i="46"/>
  <c r="P40" i="46"/>
  <c r="P41" i="46"/>
  <c r="P45" i="46"/>
  <c r="P48" i="46"/>
  <c r="P49" i="46"/>
  <c r="P53" i="46"/>
  <c r="P56" i="46"/>
  <c r="P57" i="46"/>
  <c r="P61" i="46"/>
  <c r="P44" i="46" l="1"/>
  <c r="L38" i="46"/>
  <c r="L39" i="46"/>
  <c r="L40" i="46"/>
  <c r="L41" i="46"/>
  <c r="L42" i="46"/>
  <c r="L43" i="46"/>
  <c r="L44" i="46"/>
  <c r="L45" i="46"/>
  <c r="L46" i="46"/>
  <c r="L47" i="46"/>
  <c r="L48" i="46"/>
  <c r="L49" i="46"/>
  <c r="L37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D37" i="46"/>
  <c r="F37" i="46" s="1"/>
  <c r="E39" i="46" l="1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7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W16" i="46"/>
  <c r="W15" i="46"/>
  <c r="X64" i="46"/>
  <c r="AB64" i="46"/>
  <c r="AB37" i="46" l="1"/>
  <c r="G49" i="46"/>
  <c r="M65" i="46"/>
  <c r="M67" i="46"/>
  <c r="M66" i="46"/>
  <c r="G48" i="46"/>
  <c r="V37" i="46"/>
  <c r="W1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I24" i="40"/>
  <c r="C45" i="44"/>
  <c r="C57" i="44"/>
  <c r="C46" i="44"/>
  <c r="C47" i="44"/>
  <c r="C55" i="44"/>
  <c r="C56" i="44"/>
  <c r="C35" i="44"/>
  <c r="C42" i="44"/>
  <c r="I25" i="40"/>
  <c r="C36" i="44"/>
  <c r="C43" i="44"/>
  <c r="C39" i="44"/>
  <c r="C48" i="44"/>
  <c r="I26" i="40"/>
  <c r="C53" i="44"/>
  <c r="C60" i="44"/>
  <c r="C38" i="44"/>
  <c r="C54" i="44"/>
  <c r="C63" i="44"/>
  <c r="C61" i="44"/>
  <c r="C51" i="44"/>
  <c r="C68" i="44"/>
  <c r="C44" i="44"/>
  <c r="C69" i="44"/>
  <c r="C37" i="44"/>
  <c r="I23" i="40"/>
  <c r="C62" i="44"/>
  <c r="C67" i="44"/>
  <c r="C52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7" i="44"/>
  <c r="H46" i="44"/>
  <c r="H51" i="44"/>
  <c r="H54" i="44"/>
  <c r="H45" i="44"/>
  <c r="H56" i="44"/>
  <c r="H48" i="44"/>
  <c r="H55" i="44"/>
  <c r="H42" i="44"/>
  <c r="H57" i="44"/>
  <c r="H53" i="44"/>
  <c r="H52" i="44"/>
  <c r="H44" i="44"/>
  <c r="H43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(Alles Kleinbuchstaben)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<sst xmlns="http://schemas.openxmlformats.org/spreadsheetml/2006/main" count="735" uniqueCount="392">
  <si>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</si>
  <si>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</si>
  <si>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</si>
  <si>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</si>
  <si>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</si>
  <si>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</si>
  <si>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</si>
  <si>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</si>
  <si>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</si>
  <si>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</si>
  <si>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</si>
  <si>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</si>
  <si>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</si>
  <si>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</si>
  <si>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</si>
  <si>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</si>
  <si>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</si>
  <si>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</si>
  <si>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</si>
  <si>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</si>
  <si>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</si>
  <si>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</si>
  <si>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</si>
  <si>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</si>
  <si>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</si>
  <si>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</si>
  <si>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</si>
  <si>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</si>
  <si>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</si>
  <si>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</si>
  <si>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</si>
  <si>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</si>
  <si>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</si>
  <si>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</si>
  <si>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</si>
  <si>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</si>
  <si>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</si>
  <si>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</si>
  <si>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</si>
  <si>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</si>
  <si>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</si>
  <si>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</si>
  <si>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</si>
  <si>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</si>
  <si>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</si>
  <si>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</si>
  <si>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</si>
  <si>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</si>
  <si>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</si>
  <si>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</si>
  <si>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</si>
  <si>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</si>
  <si>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</si>
  <si>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</si>
  <si>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</si>
  <si>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</si>
  <si>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</si>
  <si>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</si>
  <si>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</si>
  <si>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</si>
  <si>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</si>
  <si>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</si>
  <si>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</si>
  <si>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</si>
  <si>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</si>
  <si>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</si>
  <si>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</si>
  <si>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</si>
  <si>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</si>
  <si>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</si>
  <si>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</si>
  <si>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</si>
  <si>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</si>
  <si>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</si>
  <si>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</si>
  <si>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</si>
  <si>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</si>
  <si>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</si>
  <si>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</si>
  <si>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</si>
  <si>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</si>
  <si>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</si>
  <si>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</si>
  <si>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</si>
  <si>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</si>
  <si>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</si>
  <si>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</si>
  <si>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</si>
  <si>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</si>
  <si>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</si>
  <si>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</si>
  <si>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</si>
  <si>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</si>
  <si>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</si>
  <si>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</si>
  <si>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</si>
  <si>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</si>
  <si>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</si>
  <si>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</si>
  <si>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</si>
  <si>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</si>
  <si>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</si>
  <si>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</si>
  <si>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</si>
  <si>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</si>
  <si>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</si>
  <si>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</si>
  <si>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</si>
  <si>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</si>
  <si>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</si>
  <si>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</si>
  <si>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</si>
  <si>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</si>
  <si>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</si>
  <si>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</si>
  <si>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</si>
  <si>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</si>
  <si>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</si>
  <si>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</si>
  <si>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</si>
  <si>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</si>
  <si>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</si>
  <si>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</si>
  <si>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</si>
  <si>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</si>
  <si>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</si>
  <si>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</si>
  <si>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</si>
  <si>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</si>
  <si>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</si>
  <si>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</si>
  <si>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</si>
  <si>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</si>
  <si>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</si>
  <si>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</si>
  <si>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</si>
  <si>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</si>
  <si>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</si>
  <si>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</si>
  <si>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</si>
  <si>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</si>
  <si>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</si>
  <si>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</si>
  <si>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</si>
  <si>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</si>
  <si>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</si>
  <si>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</si>
  <si>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</si>
  <si>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</si>
  <si>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</si>
  <si>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</si>
  <si>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</si>
  <si>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</si>
  <si>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</si>
  <si>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</si>
  <si>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</si>
  <si>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</si>
  <si>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</si>
  <si>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</si>
  <si>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</si>
  <si>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</si>
  <si>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</si>
  <si>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</si>
  <si>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</si>
  <si>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</si>
  <si>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</si>
  <si>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</si>
  <si>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</si>
  <si>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</si>
  <si>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</si>
  <si>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</si>
  <si>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</si>
  <si>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</si>
  <si>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</si>
  <si>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</si>
  <si>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</si>
  <si>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</si>
  <si>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</si>
  <si>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</si>
  <si>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</si>
  <si>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</si>
  <si>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</si>
  <si>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</si>
  <si>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</si>
  <si>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</si>
  <si>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</si>
  <si>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</si>
  <si>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</si>
  <si>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</si>
  <si>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</si>
  <si>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</si>
  <si>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</si>
  <si>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</si>
  <si>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</si>
  <si>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</si>
  <si>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</si>
  <si>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</si>
  <si>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</si>
  <si>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</si>
  <si>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</si>
  <si>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</si>
  <si>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</si>
  <si>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</si>
  <si>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</si>
  <si>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</si>
  <si>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</si>
  <si>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</si>
  <si>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</si>
  <si>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</si>
  <si>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</si>
  <si>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</si>
  <si>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</si>
  <si>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</si>
  <si>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</si>
  <si>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</si>
  <si>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</si>
  <si>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</si>
  <si>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</si>
  <si>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</si>
  <si>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</si>
  <si>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</si>
  <si>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</si>
  <si>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</si>
  <si>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</si>
  <si>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</si>
  <si>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</si>
  <si>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</si>
  <si>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</si>
  <si>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</si>
  <si>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</si>
  <si>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</si>
  <si>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</si>
  <si>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</si>
  <si>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</si>
  <si>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</si>
  <si>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</si>
  <si>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</si>
  <si>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</si>
  <si>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</si>
  <si>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</si>
  <si>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</si>
  <si>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</si>
  <si>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</si>
  <si>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</si>
  <si>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</si>
  <si>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</si>
  <si>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</si>
  <si>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</si>
  <si>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</si>
  <si>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</si>
  <si>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</si>
  <si>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</si>
  <si>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</si>
  <si>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</si>
  <si>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</si>
  <si>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</si>
  <si>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</si>
  <si>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</si>
  <si>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</si>
  <si>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</si>
  <si>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</si>
  <si>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</si>
  <si>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</si>
  <si>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</si>
  <si>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</si>
  <si>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</si>
  <si>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</si>
  <si>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</si>
  <si>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</si>
  <si>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</si>
  <si>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</si>
  <si>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</si>
  <si>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</si>
  <si>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</si>
  <si>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</si>
  <si>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</si>
  <si>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</si>
  <si>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</si>
  <si>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</si>
  <si>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</si>
  <si>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</si>
  <si>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</si>
  <si>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</si>
  <si>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</si>
  <si>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</si>
  <si>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</si>
  <si>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</si>
  <si>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</si>
  <si>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</si>
  <si>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</si>
  <si>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</si>
  <si>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</si>
  <si>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</si>
  <si>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</si>
  <si>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</si>
  <si>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</si>
  <si>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</si>
  <si>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</si>
  <si>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</si>
  <si>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</si>
  <si>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</si>
  <si>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</si>
  <si>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</si>
  <si>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</si>
  <si>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</si>
  <si>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</si>
  <si>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</si>
  <si>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</si>
  <si>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</si>
  <si>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</si>
  <si>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</si>
  <si>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</si>
  <si>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</si>
  <si>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</si>
  <si>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</si>
  <si>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</si>
  <si>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</si>
  <si>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</si>
  <si>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</si>
  <si>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</si>
  <si>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</si>
  <si>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</si>
  <si>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</si>
  <si>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</si>
  <si>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</si>
  <si>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</si>
  <si>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</si>
  <si>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</si>
  <si>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</si>
  <si>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</si>
  <si>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</si>
  <si>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</si>
  <si>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</si>
  <si>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</si>
  <si>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</si>
  <si>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</si>
  <si>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</si>
  <si>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</si>
  <si>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</si>
  <si>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</si>
  <si>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</si>
  <si>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</si>
  <si>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</si>
  <si>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</si>
  <si>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</si>
  <si>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</si>
  <si>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</si>
  <si>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</si>
  <si>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</si>
  <si>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</si>
  <si>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</si>
  <si>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</si>
  <si>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</si>
  <si>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</si>
  <si>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</si>
  <si>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</si>
  <si>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</si>
  <si>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</si>
  <si>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</si>
  <si>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</si>
  <si>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</si>
  <si>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CH-8854 Siebnen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</si>
  <si>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</si>
  <si>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</si>
  <si>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</si>
  <si>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</si>
  <si>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</si>
  <si>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</si>
  <si>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</si>
  <si>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</si>
  <si>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</si>
  <si>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</si>
  <si>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</si>
  <si>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</si>
  <si>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</si>
  <si>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</si>
  <si>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</si>
  <si>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</si>
  <si>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</si>
  <si>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</si>
  <si>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</si>
  <si>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</si>
  <si>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</si>
  <si>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</si>
  <si>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</si>
  <si>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V2.21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</si>
  <si>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</si>
  <si>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</si>
  <si>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</si>
  <si>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</si>
  <si>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</si>
  <si>
    <t>Muster Lösung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</si>
</sst>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50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7" borderId="0" xfId="0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Fill="1" applyBorder="1" applyAlignment="1">
      <alignment horizontal="right"/>
    </xf>
    <xf numFmtId="164" fontId="34" fillId="0" borderId="0" xfId="0" applyNumberFormat="1" applyFont="1" applyFill="1" applyBorder="1" applyAlignment="1">
      <alignment horizontal="left"/>
    </xf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27" fillId="0" borderId="35" xfId="42" applyBorder="1" applyAlignment="1"/>
    <xf numFmtId="0" fontId="0" fillId="0" borderId="44" xfId="0" applyBorder="1" applyAlignment="1"/>
    <xf numFmtId="0" fontId="0" fillId="0" borderId="42" xfId="0" applyBorder="1" applyAlignment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Datenaufbereitung!$S$64:$U$64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6929308836395438"/>
          <c:y val="0.10146799358413532"/>
          <c:w val="0.21126246719160108"/>
          <c:h val="0.16743438320209975"/>
        </c:manualLayout>
      </c:layout>
      <c:overlay val="0"/>
      <c:txPr>
        <a:bodyPr/>
        <a:lstStyle/>
        <a:p>
          <a:pPr rtl="0">
            <a:defRPr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Datenaufbereitung!$Z$64:$AA$64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683556</xdr:colOff>
      <xdr:row>2</xdr:row>
      <xdr:rowOff>186759</xdr:rowOff>
    </xdr:from>
    <xdr:ext cx="11452413" cy="2017060"/>
    <xdr:sp macro="" textlink="">
      <xdr:nvSpPr>
        <xdr:cNvPr id="4" name="Textfeld 3"/>
        <xdr:cNvSpPr txBox="1"/>
      </xdr:nvSpPr>
      <xdr:spPr>
        <a:xfrm>
          <a:off x="683556" y="668612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Walter_Rothlin_2021_10_22.xlsm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17</xdr:col>
      <xdr:colOff>728383</xdr:colOff>
      <xdr:row>65</xdr:row>
      <xdr:rowOff>66488</xdr:rowOff>
    </xdr:from>
    <xdr:to>
      <xdr:col>24</xdr:col>
      <xdr:colOff>227854</xdr:colOff>
      <xdr:row>79</xdr:row>
      <xdr:rowOff>150158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743324</xdr:colOff>
      <xdr:row>65</xdr:row>
      <xdr:rowOff>29136</xdr:rowOff>
    </xdr:from>
    <xdr:to>
      <xdr:col>30</xdr:col>
      <xdr:colOff>735853</xdr:colOff>
      <xdr:row>79</xdr:row>
      <xdr:rowOff>112806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zoomScale="85" zoomScaleNormal="85" workbookViewId="0">
      <selection activeCell="B7" sqref="B7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385</v>
      </c>
    </row>
    <row r="4" spans="2:6" ht="15.75" thickBot="1" x14ac:dyDescent="0.3"/>
    <row r="5" spans="2:6" ht="15.75" thickBot="1" x14ac:dyDescent="0.3">
      <c r="B5" s="34" t="s">
        <v>391</v>
      </c>
      <c r="C5" s="35"/>
    </row>
    <row r="6" spans="2:6" x14ac:dyDescent="0.25">
      <c r="B6" s="36"/>
      <c r="C6" s="37"/>
    </row>
    <row r="18" spans="2:13" ht="15.75" thickBot="1" x14ac:dyDescent="0.3"/>
    <row r="19" spans="2:13" x14ac:dyDescent="0.25">
      <c r="K19" s="130" t="s">
        <v>373</v>
      </c>
      <c r="L19" s="131" t="s">
        <v>374</v>
      </c>
      <c r="M19" s="132" t="s">
        <v>16</v>
      </c>
    </row>
    <row r="20" spans="2:13" x14ac:dyDescent="0.25">
      <c r="K20" s="133" t="s">
        <v>375</v>
      </c>
      <c r="L20" s="4"/>
      <c r="M20" s="25"/>
    </row>
    <row r="21" spans="2:13" ht="15.75" thickBot="1" x14ac:dyDescent="0.3">
      <c r="K21" s="134" t="s">
        <v>376</v>
      </c>
      <c r="L21" s="26"/>
      <c r="M21" s="27"/>
    </row>
    <row r="22" spans="2:13" x14ac:dyDescent="0.25">
      <c r="B22" s="17"/>
    </row>
    <row r="23" spans="2:13" x14ac:dyDescent="0.25">
      <c r="B23" s="17"/>
    </row>
    <row r="25" spans="2:13" ht="18.75" x14ac:dyDescent="0.3">
      <c r="B25" s="74" t="s">
        <v>331</v>
      </c>
    </row>
    <row r="26" spans="2:13" x14ac:dyDescent="0.25">
      <c r="H26" t="s">
        <v>334</v>
      </c>
      <c r="I26" t="s">
        <v>335</v>
      </c>
    </row>
    <row r="27" spans="2:13" x14ac:dyDescent="0.25">
      <c r="B27" s="144" t="str">
        <f>Datenaufbereitung!B2</f>
        <v>Datenaufbereitung mit Formeln in Excel</v>
      </c>
      <c r="C27" s="145"/>
      <c r="D27" s="145"/>
      <c r="E27" s="145"/>
      <c r="F27" s="145"/>
      <c r="G27" s="146"/>
      <c r="H27" s="137">
        <f>Datenaufbereitung!R17</f>
        <v>5.583333333333333</v>
      </c>
      <c r="I27" s="6">
        <v>3</v>
      </c>
      <c r="J27" s="138">
        <f>H27*I27</f>
        <v>16.75</v>
      </c>
    </row>
    <row r="28" spans="2:13" x14ac:dyDescent="0.25">
      <c r="B28" s="144" t="str">
        <f>StringFormeln!B2</f>
        <v>String-Formeln</v>
      </c>
      <c r="C28" s="145"/>
      <c r="D28" s="145"/>
      <c r="E28" s="145"/>
      <c r="F28" s="145"/>
      <c r="G28" s="146"/>
      <c r="H28" s="137">
        <f>StringFormeln!G7</f>
        <v>3</v>
      </c>
      <c r="I28" s="6">
        <v>2</v>
      </c>
      <c r="J28" s="138">
        <f t="shared" ref="J28:J32" si="0">H28*I28</f>
        <v>6</v>
      </c>
    </row>
    <row r="29" spans="2:13" x14ac:dyDescent="0.25">
      <c r="B29" s="144" t="str">
        <f>Potenzen!B2</f>
        <v>Grafische Datenauswertung (Potenzen)</v>
      </c>
      <c r="C29" s="145"/>
      <c r="D29" s="145"/>
      <c r="E29" s="145"/>
      <c r="F29" s="145"/>
      <c r="G29" s="146"/>
      <c r="H29" s="137">
        <f>Potenzen!V27</f>
        <v>1</v>
      </c>
      <c r="I29" s="6">
        <v>0</v>
      </c>
      <c r="J29" s="138">
        <f t="shared" si="0"/>
        <v>0</v>
      </c>
    </row>
    <row r="30" spans="2:13" x14ac:dyDescent="0.25">
      <c r="B30" s="144" t="str">
        <f>QuadratischeFunktion!B2</f>
        <v>Grafische Datenauswertung (Quadratische Funktion)</v>
      </c>
      <c r="C30" s="145"/>
      <c r="D30" s="145"/>
      <c r="E30" s="145"/>
      <c r="F30" s="145"/>
      <c r="G30" s="146"/>
      <c r="H30" s="137">
        <f>QuadratischeFunktion!$V$31</f>
        <v>1</v>
      </c>
      <c r="I30" s="6">
        <v>1</v>
      </c>
      <c r="J30" s="138">
        <f t="shared" si="0"/>
        <v>1</v>
      </c>
    </row>
    <row r="31" spans="2:13" x14ac:dyDescent="0.25">
      <c r="B31" s="144" t="str">
        <f>TXT_Daten!B2</f>
        <v>Datenaufbereiten (laden und Text--&gt;Spalten)</v>
      </c>
      <c r="C31" s="145"/>
      <c r="D31" s="145"/>
      <c r="E31" s="145"/>
      <c r="F31" s="145"/>
      <c r="G31" s="146"/>
      <c r="H31" s="137">
        <f>TXT_Daten!$R$16</f>
        <v>1</v>
      </c>
      <c r="I31" s="6">
        <v>2</v>
      </c>
      <c r="J31" s="138">
        <f t="shared" si="0"/>
        <v>2</v>
      </c>
    </row>
    <row r="32" spans="2:13" x14ac:dyDescent="0.25">
      <c r="B32" s="144" t="str">
        <f>VBA_Programmierung!$B$2</f>
        <v>Funktionen in VBA programmieren</v>
      </c>
      <c r="C32" s="145"/>
      <c r="D32" s="145"/>
      <c r="E32" s="145"/>
      <c r="F32" s="145"/>
      <c r="G32" s="146"/>
      <c r="H32" s="137">
        <f ca="1">VBA_Programmierung!$N$16</f>
        <v>1</v>
      </c>
      <c r="I32" s="6">
        <v>0</v>
      </c>
      <c r="J32" s="138">
        <f t="shared" ca="1" si="0"/>
        <v>0</v>
      </c>
    </row>
    <row r="33" spans="2:10" ht="15.75" thickBot="1" x14ac:dyDescent="0.3">
      <c r="B33" s="43"/>
      <c r="H33" s="126"/>
      <c r="I33" s="127"/>
      <c r="J33" s="119"/>
    </row>
    <row r="34" spans="2:10" ht="19.5" thickBot="1" x14ac:dyDescent="0.35">
      <c r="H34" s="105"/>
      <c r="I34" s="117" t="s">
        <v>384</v>
      </c>
      <c r="J34" s="118">
        <f ca="1">SUM(J27:J32)/SUM(I27:I32)</f>
        <v>3.21875</v>
      </c>
    </row>
    <row r="35" spans="2:10" x14ac:dyDescent="0.25">
      <c r="H35" s="105"/>
    </row>
    <row r="36" spans="2:10" x14ac:dyDescent="0.25">
      <c r="H36" s="105"/>
    </row>
    <row r="38" spans="2:10" ht="18.75" x14ac:dyDescent="0.3">
      <c r="I38" s="135"/>
      <c r="J38" s="136"/>
    </row>
    <row r="102" spans="3:10" ht="21" x14ac:dyDescent="0.35">
      <c r="C102" s="68" t="s">
        <v>192</v>
      </c>
    </row>
    <row r="103" spans="3:10" x14ac:dyDescent="0.25">
      <c r="C103" s="69" t="s">
        <v>193</v>
      </c>
      <c r="D103" s="69"/>
      <c r="E103" s="69"/>
      <c r="F103" s="69"/>
      <c r="J103" t="s">
        <v>40</v>
      </c>
    </row>
    <row r="104" spans="3:10" x14ac:dyDescent="0.25">
      <c r="C104" s="72" t="s">
        <v>194</v>
      </c>
      <c r="D104" s="70"/>
      <c r="E104" s="70"/>
      <c r="F104" s="71"/>
      <c r="J104" t="s">
        <v>48</v>
      </c>
    </row>
    <row r="105" spans="3:10" x14ac:dyDescent="0.25">
      <c r="C105" s="72" t="s">
        <v>195</v>
      </c>
      <c r="D105" s="70"/>
      <c r="E105" s="70"/>
      <c r="F105" s="71"/>
    </row>
    <row r="106" spans="3:10" x14ac:dyDescent="0.25">
      <c r="C106" s="72" t="s">
        <v>196</v>
      </c>
      <c r="D106" s="70"/>
      <c r="E106" s="70"/>
      <c r="F106" s="71"/>
    </row>
    <row r="107" spans="3:10" x14ac:dyDescent="0.25">
      <c r="C107" s="72" t="s">
        <v>197</v>
      </c>
      <c r="D107" s="70"/>
      <c r="E107" s="70"/>
      <c r="F107" s="71"/>
    </row>
    <row r="108" spans="3:10" x14ac:dyDescent="0.25">
      <c r="C108" s="72" t="s">
        <v>198</v>
      </c>
      <c r="D108" s="70"/>
      <c r="E108" s="70"/>
      <c r="F108" s="71"/>
    </row>
    <row r="109" spans="3:10" x14ac:dyDescent="0.25">
      <c r="C109" s="72" t="s">
        <v>199</v>
      </c>
      <c r="D109" s="70"/>
      <c r="E109" s="70"/>
      <c r="F109" s="71"/>
    </row>
    <row r="110" spans="3:10" x14ac:dyDescent="0.25">
      <c r="C110" s="72" t="s">
        <v>200</v>
      </c>
      <c r="D110" s="70"/>
      <c r="E110" s="70"/>
      <c r="F110" s="71"/>
    </row>
    <row r="111" spans="3:10" x14ac:dyDescent="0.25">
      <c r="C111" s="72" t="s">
        <v>201</v>
      </c>
      <c r="D111" s="70"/>
      <c r="E111" s="70"/>
      <c r="F111" s="71"/>
    </row>
    <row r="112" spans="3:10" x14ac:dyDescent="0.25">
      <c r="C112" s="72" t="s">
        <v>202</v>
      </c>
      <c r="D112" s="70"/>
      <c r="E112" s="70"/>
      <c r="F112" s="71"/>
    </row>
    <row r="113" spans="3:6" x14ac:dyDescent="0.25">
      <c r="C113" s="72" t="s">
        <v>203</v>
      </c>
      <c r="D113" s="70"/>
      <c r="E113" s="70"/>
      <c r="F113" s="71"/>
    </row>
    <row r="114" spans="3:6" x14ac:dyDescent="0.25">
      <c r="C114" s="72" t="s">
        <v>204</v>
      </c>
      <c r="D114" s="70"/>
      <c r="E114" s="70"/>
      <c r="F114" s="71"/>
    </row>
    <row r="115" spans="3:6" x14ac:dyDescent="0.25">
      <c r="C115" s="72" t="s">
        <v>205</v>
      </c>
      <c r="D115" s="70"/>
      <c r="E115" s="70"/>
      <c r="F115" s="71"/>
    </row>
    <row r="116" spans="3:6" x14ac:dyDescent="0.25">
      <c r="C116" s="72" t="s">
        <v>206</v>
      </c>
      <c r="D116" s="70"/>
      <c r="E116" s="70"/>
      <c r="F116" s="7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115" priority="7">
      <formula>$B$6&lt;&gt;""</formula>
    </cfRule>
  </conditionalFormatting>
  <conditionalFormatting sqref="B27">
    <cfRule type="expression" dxfId="114" priority="6">
      <formula>I27=0</formula>
    </cfRule>
  </conditionalFormatting>
  <conditionalFormatting sqref="B28">
    <cfRule type="expression" dxfId="113" priority="5">
      <formula>I28=0</formula>
    </cfRule>
  </conditionalFormatting>
  <conditionalFormatting sqref="B29">
    <cfRule type="expression" dxfId="112" priority="4">
      <formula>I29=0</formula>
    </cfRule>
  </conditionalFormatting>
  <conditionalFormatting sqref="B30">
    <cfRule type="expression" dxfId="111" priority="3">
      <formula>I30=0</formula>
    </cfRule>
  </conditionalFormatting>
  <conditionalFormatting sqref="B31">
    <cfRule type="expression" dxfId="110" priority="2">
      <formula>I31=0</formula>
    </cfRule>
  </conditionalFormatting>
  <conditionalFormatting sqref="B32">
    <cfRule type="expression" dxfId="109" priority="1">
      <formula>I32=0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2" location="VBA_Programmierung!A1" display="VBA_Programmierung!A1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topLeftCell="A46" zoomScale="85" zoomScaleNormal="85" workbookViewId="0">
      <selection activeCell="Z72" sqref="Z72"/>
    </sheetView>
  </sheetViews>
  <sheetFormatPr baseColWidth="10" defaultColWidth="10.85546875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382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220</v>
      </c>
      <c r="L3" s="51"/>
    </row>
    <row r="4" spans="2:26" x14ac:dyDescent="0.25">
      <c r="J4" s="47" t="s">
        <v>189</v>
      </c>
      <c r="K4" s="44">
        <f>SUM(E66:AD66)</f>
        <v>0</v>
      </c>
      <c r="L4" s="49"/>
    </row>
    <row r="5" spans="2:26" x14ac:dyDescent="0.25">
      <c r="J5" s="55" t="s">
        <v>191</v>
      </c>
      <c r="K5" s="44">
        <f>SUM(E67:AD67)</f>
        <v>0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6</v>
      </c>
    </row>
    <row r="7" spans="2:26" ht="15.75" thickBot="1" x14ac:dyDescent="0.3"/>
    <row r="8" spans="2:26" x14ac:dyDescent="0.25">
      <c r="O8" s="139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7"/>
    </row>
    <row r="9" spans="2:26" ht="18.75" x14ac:dyDescent="0.3">
      <c r="O9" s="140" t="s">
        <v>285</v>
      </c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9"/>
    </row>
    <row r="10" spans="2:26" ht="15.75" thickBot="1" x14ac:dyDescent="0.3">
      <c r="O10" s="141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9"/>
    </row>
    <row r="11" spans="2:26" ht="15.75" x14ac:dyDescent="0.25">
      <c r="O11" s="142" t="s">
        <v>371</v>
      </c>
      <c r="P11" s="108"/>
      <c r="Q11" s="108"/>
      <c r="R11" s="108"/>
      <c r="S11" s="108"/>
      <c r="T11" s="108"/>
      <c r="U11" s="108"/>
      <c r="V11" s="108"/>
      <c r="W11" s="108"/>
      <c r="X11" s="108"/>
      <c r="Y11" s="121"/>
      <c r="Z11" s="122"/>
    </row>
    <row r="12" spans="2:26" x14ac:dyDescent="0.25">
      <c r="O12" s="141" t="s">
        <v>302</v>
      </c>
      <c r="P12" s="108"/>
      <c r="Q12" s="108"/>
      <c r="R12" s="108"/>
      <c r="S12" s="108"/>
      <c r="T12" s="108"/>
      <c r="U12" s="108"/>
      <c r="V12" s="108"/>
      <c r="W12" s="113" t="s">
        <v>48</v>
      </c>
      <c r="X12" s="108"/>
      <c r="Y12" s="123" t="s">
        <v>372</v>
      </c>
      <c r="Z12" s="120"/>
    </row>
    <row r="13" spans="2:26" x14ac:dyDescent="0.25">
      <c r="O13" s="141" t="s">
        <v>333</v>
      </c>
      <c r="P13" s="108"/>
      <c r="Q13" s="108"/>
      <c r="R13" s="108"/>
      <c r="S13" s="108"/>
      <c r="T13" s="108"/>
      <c r="U13" s="108"/>
      <c r="V13" s="108"/>
      <c r="W13" s="113" t="s">
        <v>48</v>
      </c>
      <c r="X13" s="108"/>
      <c r="Y13" s="123"/>
      <c r="Z13" s="120"/>
    </row>
    <row r="14" spans="2:26" x14ac:dyDescent="0.25">
      <c r="O14" s="141" t="s">
        <v>332</v>
      </c>
      <c r="P14" s="108"/>
      <c r="Q14" s="108"/>
      <c r="R14" s="108"/>
      <c r="S14" s="108"/>
      <c r="T14" s="108"/>
      <c r="U14" s="108"/>
      <c r="V14" s="108"/>
      <c r="W14" s="113" t="s">
        <v>48</v>
      </c>
      <c r="X14" s="108"/>
      <c r="Y14" s="123"/>
      <c r="Z14" s="120"/>
    </row>
    <row r="15" spans="2:26" ht="15.75" thickBot="1" x14ac:dyDescent="0.3">
      <c r="O15" s="141"/>
      <c r="P15" s="108"/>
      <c r="Q15" s="108"/>
      <c r="R15" s="108"/>
      <c r="S15" s="108"/>
      <c r="T15" s="108"/>
      <c r="U15" s="110" t="s">
        <v>297</v>
      </c>
      <c r="V15" s="108"/>
      <c r="W15" s="113">
        <f>COUNTIF(W12:W14,"&lt;&gt; ")</f>
        <v>3</v>
      </c>
      <c r="X15" s="108"/>
      <c r="Y15" s="123"/>
      <c r="Z15" s="120"/>
    </row>
    <row r="16" spans="2:26" ht="18.75" x14ac:dyDescent="0.3">
      <c r="O16" s="141"/>
      <c r="P16" s="108"/>
      <c r="Q16" s="108"/>
      <c r="R16" s="115" t="s">
        <v>390</v>
      </c>
      <c r="S16" s="108"/>
      <c r="T16" s="108"/>
      <c r="U16" s="110" t="s">
        <v>298</v>
      </c>
      <c r="V16" s="108"/>
      <c r="W16" s="113">
        <f>COUNTIF(W12:W14,"=Ja")</f>
        <v>0</v>
      </c>
      <c r="X16" s="108"/>
      <c r="Y16" s="123"/>
      <c r="Z16" s="120"/>
    </row>
    <row r="17" spans="15:26" ht="21.75" thickBot="1" x14ac:dyDescent="0.4">
      <c r="O17" s="141"/>
      <c r="P17" s="108"/>
      <c r="Q17" s="108"/>
      <c r="R17" s="116">
        <f>(L6-0.5) + (W17/12)</f>
        <v>5.583333333333333</v>
      </c>
      <c r="S17" s="108"/>
      <c r="T17" s="108"/>
      <c r="U17" s="110" t="s">
        <v>314</v>
      </c>
      <c r="V17" s="108"/>
      <c r="W17" s="114">
        <f>(5/W15)*W16+1</f>
        <v>1</v>
      </c>
      <c r="X17" s="108"/>
      <c r="Y17" s="124"/>
      <c r="Z17" s="125"/>
    </row>
    <row r="18" spans="15:26" x14ac:dyDescent="0.25">
      <c r="O18" s="141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9"/>
    </row>
    <row r="19" spans="15:26" ht="15.75" thickBot="1" x14ac:dyDescent="0.3">
      <c r="O19" s="143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2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 t="str">
        <f>UPPER(CONCATENATE(LEFT(C37,1),"."))</f>
        <v>R.</v>
      </c>
      <c r="E37" s="39" t="str">
        <f>IF(EXACT(D37,PROPER(CONCATENATE(LEFT(C37,1),"."))),"ok",IF(D37="","--","nok"))</f>
        <v>ok</v>
      </c>
      <c r="F37" s="58" t="str">
        <f>CONCATENATE(D37,B37)</f>
        <v>R.Hollenstein</v>
      </c>
      <c r="G37" s="39" t="str">
        <f t="shared" ref="G37:G63" si="0">IF(F37=PROPER(CONCATENATE(D37,B37)),"ok",IF(F37="","--","nok"))</f>
        <v>ok</v>
      </c>
      <c r="H37" s="4" t="s">
        <v>167</v>
      </c>
      <c r="I37" s="4">
        <v>8853</v>
      </c>
      <c r="J37" s="4" t="s">
        <v>50</v>
      </c>
      <c r="K37" s="4" t="s">
        <v>22</v>
      </c>
      <c r="L37" s="58" t="str">
        <f>CONCATENATE(K37,"-",I37," ",J37)</f>
        <v>CH-8853 Lachen</v>
      </c>
      <c r="M37" s="39" t="str">
        <f t="shared" ref="M37:M63" si="1">IF(L37=CONCATENATE(K37,"-",I37," ",J37),"ok",IF(L37="","--","nok"))</f>
        <v>ok</v>
      </c>
      <c r="N37" s="4" t="s">
        <v>166</v>
      </c>
      <c r="O37" s="58" t="str">
        <f>LOWER(CONCATENATE(C37,".",B37,"@bzu.ch"))</f>
        <v>ruth.hollenstein@bzu.ch</v>
      </c>
      <c r="P37" s="39" t="str">
        <f>IF(EXACT(O37,CONCATENATE(LOWER(C37),".",LOWER(B37),"@","bzu.ch")),"ok",IF(O37="","--","nok"))</f>
        <v>ok</v>
      </c>
      <c r="Q37" s="4" t="s">
        <v>165</v>
      </c>
      <c r="R37" s="4" t="s">
        <v>48</v>
      </c>
      <c r="S37" s="58">
        <f>IF(R37="Ja",1,0)</f>
        <v>0</v>
      </c>
      <c r="T37" s="39" t="str">
        <f t="shared" ref="T37:T63" si="2">IF(S37="","--",IF(S37=IF(R37="Ja",1,0),"ok","nok"))</f>
        <v>ok</v>
      </c>
      <c r="U37" s="58">
        <f>IF(R37="Nein",1,0)</f>
        <v>1</v>
      </c>
      <c r="V37" s="39" t="str">
        <f t="shared" ref="V37:V63" si="3">IF(U37="","--",IF(U37=IF(R37="Ja",0,1),"ok","nok"))</f>
        <v>ok</v>
      </c>
      <c r="W37" s="58" t="str">
        <f>IF(R37="Nein",IF(N37="",O37,N37),"")</f>
        <v>ruth.hollenstein@gmail.ch</v>
      </c>
      <c r="X37" s="39" t="str">
        <f t="shared" ref="X37:X63" si="4">IF(W37=IF(R37="Nein",IF(N37&lt;&gt;"",N37,O37),""),"ok",IF(W37="","--","nok"))</f>
        <v>ok</v>
      </c>
      <c r="Y37" s="40">
        <v>50</v>
      </c>
      <c r="Z37" s="40">
        <v>49.5</v>
      </c>
      <c r="AA37" s="59">
        <f>Y37-Z37</f>
        <v>0.5</v>
      </c>
      <c r="AB37" s="39" t="str">
        <f t="shared" ref="AB37:AB63" si="5">IF(AA37=Y37-Z37,"ok",IF(AA37="","--","nok"))</f>
        <v>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tr">
        <f t="shared" ref="D38:D63" si="6">UPPER(CONCATENATE(LEFT(C38,1),"."))</f>
        <v>R.</v>
      </c>
      <c r="E38" s="39" t="str">
        <f>IF(EXACT(D38,PROPER(CONCATENATE(LEFT(C38,1),"."))),"ok",IF(D38="","--","nok"))</f>
        <v>ok</v>
      </c>
      <c r="F38" s="58" t="s">
        <v>336</v>
      </c>
      <c r="G38" s="39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tr">
        <f t="shared" ref="L38:L49" si="7">CONCATENATE(K38,"-",I38," ",J38)</f>
        <v>CH-8853 Lachen</v>
      </c>
      <c r="M38" s="39" t="str">
        <f t="shared" si="1"/>
        <v>ok</v>
      </c>
      <c r="N38" s="4" t="s">
        <v>161</v>
      </c>
      <c r="O38" s="58" t="str">
        <f t="shared" ref="O38:O63" si="8">LOWER(CONCATENATE(C38,".",B38,"@bzu.ch"))</f>
        <v>ruedi.mueller@bzu.ch</v>
      </c>
      <c r="P38" s="39" t="str">
        <f t="shared" ref="P38:P63" si="9">IF(EXACT(O38,CONCATENATE(LOWER(C38),".",LOWER(B38),"@","bzu.ch")),"ok",IF(O38="","--","nok"))</f>
        <v>ok</v>
      </c>
      <c r="Q38" s="4" t="s">
        <v>160</v>
      </c>
      <c r="R38" s="4" t="s">
        <v>40</v>
      </c>
      <c r="S38" s="58">
        <f t="shared" ref="S38:S63" si="10">IF(R38="Ja",1,0)</f>
        <v>1</v>
      </c>
      <c r="T38" s="39" t="str">
        <f t="shared" si="2"/>
        <v>ok</v>
      </c>
      <c r="U38" s="58">
        <f t="shared" ref="U38:U63" si="11">IF(R38="Nein",1,0)</f>
        <v>0</v>
      </c>
      <c r="V38" s="39" t="str">
        <f t="shared" si="3"/>
        <v>ok</v>
      </c>
      <c r="W38" s="58" t="str">
        <f t="shared" ref="W38:W63" si="12">IF(R38="Nein",IF(N38="",O38,N38),"")</f>
        <v/>
      </c>
      <c r="X38" s="39" t="str">
        <f t="shared" si="4"/>
        <v>ok</v>
      </c>
      <c r="Y38" s="40">
        <v>68</v>
      </c>
      <c r="Z38" s="40">
        <v>30</v>
      </c>
      <c r="AA38" s="59">
        <f t="shared" ref="AA38:AA63" si="13">Y38-Z38</f>
        <v>38</v>
      </c>
      <c r="AB38" s="39" t="str">
        <f t="shared" si="5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tr">
        <f t="shared" si="6"/>
        <v>M.</v>
      </c>
      <c r="E39" s="39" t="str">
        <f t="shared" ref="E39:E63" si="14">IF(EXACT(D39,PROPER(CONCATENATE(LEFT(C39,1),"."))),"ok",IF(D39="","--","nok"))</f>
        <v>ok</v>
      </c>
      <c r="F39" s="58" t="s">
        <v>337</v>
      </c>
      <c r="G39" s="39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tr">
        <f t="shared" si="7"/>
        <v>CH-8853 Lachen</v>
      </c>
      <c r="M39" s="39" t="str">
        <f t="shared" si="1"/>
        <v>ok</v>
      </c>
      <c r="N39" s="4"/>
      <c r="O39" s="58" t="str">
        <f t="shared" si="8"/>
        <v>maria.janser@bzu.ch</v>
      </c>
      <c r="P39" s="39" t="str">
        <f t="shared" si="9"/>
        <v>ok</v>
      </c>
      <c r="Q39" s="4" t="s">
        <v>156</v>
      </c>
      <c r="R39" s="4" t="s">
        <v>48</v>
      </c>
      <c r="S39" s="58">
        <f t="shared" si="10"/>
        <v>0</v>
      </c>
      <c r="T39" s="39" t="str">
        <f t="shared" si="2"/>
        <v>ok</v>
      </c>
      <c r="U39" s="58">
        <f t="shared" si="11"/>
        <v>1</v>
      </c>
      <c r="V39" s="39" t="str">
        <f t="shared" si="3"/>
        <v>ok</v>
      </c>
      <c r="W39" s="58" t="str">
        <f t="shared" si="12"/>
        <v>maria.janser@bzu.ch</v>
      </c>
      <c r="X39" s="39" t="str">
        <f t="shared" si="4"/>
        <v>ok</v>
      </c>
      <c r="Y39" s="40">
        <v>123</v>
      </c>
      <c r="Z39" s="40">
        <v>100</v>
      </c>
      <c r="AA39" s="59">
        <f t="shared" si="13"/>
        <v>23</v>
      </c>
      <c r="AB39" s="39" t="str">
        <f t="shared" si="5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tr">
        <f t="shared" si="6"/>
        <v>C.</v>
      </c>
      <c r="E40" s="39" t="str">
        <f t="shared" si="14"/>
        <v>ok</v>
      </c>
      <c r="F40" s="58" t="s">
        <v>338</v>
      </c>
      <c r="G40" s="39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tr">
        <f t="shared" si="7"/>
        <v>DE-53175 Bonn</v>
      </c>
      <c r="M40" s="39" t="str">
        <f t="shared" si="1"/>
        <v>ok</v>
      </c>
      <c r="N40" s="4" t="s">
        <v>151</v>
      </c>
      <c r="O40" s="58" t="str">
        <f t="shared" si="8"/>
        <v>claudia.meier@bzu.ch</v>
      </c>
      <c r="P40" s="39" t="str">
        <f t="shared" si="9"/>
        <v>ok</v>
      </c>
      <c r="Q40" s="4" t="s">
        <v>150</v>
      </c>
      <c r="R40" s="4" t="s">
        <v>40</v>
      </c>
      <c r="S40" s="58">
        <f t="shared" si="10"/>
        <v>1</v>
      </c>
      <c r="T40" s="39" t="str">
        <f t="shared" si="2"/>
        <v>ok</v>
      </c>
      <c r="U40" s="58">
        <f t="shared" si="11"/>
        <v>0</v>
      </c>
      <c r="V40" s="39" t="str">
        <f t="shared" si="3"/>
        <v>ok</v>
      </c>
      <c r="W40" s="58" t="str">
        <f t="shared" si="12"/>
        <v/>
      </c>
      <c r="X40" s="39" t="str">
        <f t="shared" si="4"/>
        <v>ok</v>
      </c>
      <c r="Y40" s="40">
        <v>45.3</v>
      </c>
      <c r="Z40" s="40">
        <v>30</v>
      </c>
      <c r="AA40" s="59">
        <f t="shared" si="13"/>
        <v>15.299999999999997</v>
      </c>
      <c r="AB40" s="39" t="str">
        <f t="shared" si="5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tr">
        <f t="shared" si="6"/>
        <v>W.</v>
      </c>
      <c r="E41" s="39" t="str">
        <f t="shared" si="14"/>
        <v>ok</v>
      </c>
      <c r="F41" s="58" t="s">
        <v>339</v>
      </c>
      <c r="G41" s="39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tr">
        <f t="shared" si="7"/>
        <v xml:space="preserve">DE-78713 Schramberg </v>
      </c>
      <c r="M41" s="39" t="str">
        <f t="shared" si="1"/>
        <v>ok</v>
      </c>
      <c r="N41" s="4"/>
      <c r="O41" s="58" t="str">
        <f t="shared" si="8"/>
        <v>walter.king@bzu.ch</v>
      </c>
      <c r="P41" s="39" t="str">
        <f t="shared" si="9"/>
        <v>ok</v>
      </c>
      <c r="Q41" s="4" t="s">
        <v>146</v>
      </c>
      <c r="R41" s="4" t="s">
        <v>48</v>
      </c>
      <c r="S41" s="58">
        <f t="shared" si="10"/>
        <v>0</v>
      </c>
      <c r="T41" s="39" t="str">
        <f t="shared" si="2"/>
        <v>ok</v>
      </c>
      <c r="U41" s="58">
        <f t="shared" si="11"/>
        <v>1</v>
      </c>
      <c r="V41" s="39" t="str">
        <f t="shared" si="3"/>
        <v>ok</v>
      </c>
      <c r="W41" s="58" t="str">
        <f t="shared" si="12"/>
        <v>walter.king@bzu.ch</v>
      </c>
      <c r="X41" s="39" t="str">
        <f t="shared" si="4"/>
        <v>ok</v>
      </c>
      <c r="Y41" s="40">
        <v>312.56</v>
      </c>
      <c r="Z41" s="40">
        <v>50</v>
      </c>
      <c r="AA41" s="59">
        <f t="shared" si="13"/>
        <v>262.56</v>
      </c>
      <c r="AB41" s="39" t="str">
        <f t="shared" si="5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tr">
        <f t="shared" si="6"/>
        <v>R.</v>
      </c>
      <c r="E42" s="39" t="str">
        <f t="shared" si="14"/>
        <v>ok</v>
      </c>
      <c r="F42" s="58" t="s">
        <v>340</v>
      </c>
      <c r="G42" s="39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tr">
        <f t="shared" si="7"/>
        <v>CH-8808 Pfaeffikon</v>
      </c>
      <c r="M42" s="39" t="str">
        <f t="shared" si="1"/>
        <v>ok</v>
      </c>
      <c r="N42" s="4" t="s">
        <v>141</v>
      </c>
      <c r="O42" s="58" t="str">
        <f t="shared" si="8"/>
        <v>roman.koch@bzu.ch</v>
      </c>
      <c r="P42" s="39" t="str">
        <f t="shared" si="9"/>
        <v>ok</v>
      </c>
      <c r="Q42" s="4" t="s">
        <v>140</v>
      </c>
      <c r="R42" s="4" t="s">
        <v>40</v>
      </c>
      <c r="S42" s="58">
        <f t="shared" si="10"/>
        <v>1</v>
      </c>
      <c r="T42" s="39" t="str">
        <f t="shared" si="2"/>
        <v>ok</v>
      </c>
      <c r="U42" s="58">
        <f t="shared" si="11"/>
        <v>0</v>
      </c>
      <c r="V42" s="39" t="str">
        <f t="shared" si="3"/>
        <v>ok</v>
      </c>
      <c r="W42" s="58" t="str">
        <f t="shared" si="12"/>
        <v/>
      </c>
      <c r="X42" s="39" t="str">
        <f t="shared" si="4"/>
        <v>ok</v>
      </c>
      <c r="Y42" s="40">
        <v>21.3</v>
      </c>
      <c r="Z42" s="40">
        <v>10</v>
      </c>
      <c r="AA42" s="59">
        <f t="shared" si="13"/>
        <v>11.3</v>
      </c>
      <c r="AB42" s="39" t="str">
        <f t="shared" si="5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tr">
        <f t="shared" si="6"/>
        <v>R.</v>
      </c>
      <c r="E43" s="39" t="str">
        <f t="shared" si="14"/>
        <v>ok</v>
      </c>
      <c r="F43" s="58" t="s">
        <v>341</v>
      </c>
      <c r="G43" s="39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tr">
        <f t="shared" si="7"/>
        <v>CH-8854 Siebnen</v>
      </c>
      <c r="M43" s="39" t="str">
        <f t="shared" si="1"/>
        <v>ok</v>
      </c>
      <c r="N43" s="4" t="s">
        <v>136</v>
      </c>
      <c r="O43" s="58" t="str">
        <f t="shared" si="8"/>
        <v>rasi.koller@bzu.ch</v>
      </c>
      <c r="P43" s="39" t="str">
        <f t="shared" si="9"/>
        <v>ok</v>
      </c>
      <c r="Q43" s="4" t="s">
        <v>135</v>
      </c>
      <c r="R43" s="4" t="s">
        <v>40</v>
      </c>
      <c r="S43" s="58">
        <f t="shared" si="10"/>
        <v>1</v>
      </c>
      <c r="T43" s="39" t="str">
        <f t="shared" si="2"/>
        <v>ok</v>
      </c>
      <c r="U43" s="58">
        <f t="shared" si="11"/>
        <v>0</v>
      </c>
      <c r="V43" s="39" t="str">
        <f t="shared" si="3"/>
        <v>ok</v>
      </c>
      <c r="W43" s="58" t="str">
        <f t="shared" si="12"/>
        <v/>
      </c>
      <c r="X43" s="39" t="str">
        <f t="shared" si="4"/>
        <v>ok</v>
      </c>
      <c r="Y43" s="40">
        <v>45.7</v>
      </c>
      <c r="Z43" s="40">
        <v>0</v>
      </c>
      <c r="AA43" s="59">
        <f t="shared" si="13"/>
        <v>45.7</v>
      </c>
      <c r="AB43" s="39" t="str">
        <f t="shared" si="5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tr">
        <f t="shared" si="6"/>
        <v>M.</v>
      </c>
      <c r="E44" s="39" t="str">
        <f t="shared" si="14"/>
        <v>ok</v>
      </c>
      <c r="F44" s="58" t="s">
        <v>342</v>
      </c>
      <c r="G44" s="39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tr">
        <f t="shared" si="7"/>
        <v>CH-8045 Zuerich</v>
      </c>
      <c r="M44" s="39" t="str">
        <f t="shared" si="1"/>
        <v>ok</v>
      </c>
      <c r="N44" s="4"/>
      <c r="O44" s="58" t="str">
        <f t="shared" si="8"/>
        <v>melanie.koepfli@bzu.ch</v>
      </c>
      <c r="P44" s="39" t="str">
        <f t="shared" si="9"/>
        <v>ok</v>
      </c>
      <c r="Q44" s="4" t="s">
        <v>130</v>
      </c>
      <c r="R44" s="4" t="s">
        <v>48</v>
      </c>
      <c r="S44" s="58">
        <f t="shared" si="10"/>
        <v>0</v>
      </c>
      <c r="T44" s="39" t="str">
        <f t="shared" si="2"/>
        <v>ok</v>
      </c>
      <c r="U44" s="58">
        <f t="shared" si="11"/>
        <v>1</v>
      </c>
      <c r="V44" s="39" t="str">
        <f t="shared" si="3"/>
        <v>ok</v>
      </c>
      <c r="W44" s="58" t="str">
        <f t="shared" si="12"/>
        <v>melanie.koepfli@bzu.ch</v>
      </c>
      <c r="X44" s="39" t="str">
        <f t="shared" si="4"/>
        <v>ok</v>
      </c>
      <c r="Y44" s="40">
        <v>427.8</v>
      </c>
      <c r="Z44" s="40">
        <v>250</v>
      </c>
      <c r="AA44" s="59">
        <f t="shared" si="13"/>
        <v>177.8</v>
      </c>
      <c r="AB44" s="39" t="str">
        <f t="shared" si="5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tr">
        <f t="shared" si="6"/>
        <v>H.</v>
      </c>
      <c r="E45" s="39" t="str">
        <f t="shared" si="14"/>
        <v>ok</v>
      </c>
      <c r="F45" s="58" t="s">
        <v>343</v>
      </c>
      <c r="G45" s="39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tr">
        <f t="shared" si="7"/>
        <v>CH-8853 Lachen</v>
      </c>
      <c r="M45" s="39" t="str">
        <f t="shared" si="1"/>
        <v>ok</v>
      </c>
      <c r="N45" s="4" t="s">
        <v>127</v>
      </c>
      <c r="O45" s="58" t="str">
        <f t="shared" si="8"/>
        <v>hans.krieg@bzu.ch</v>
      </c>
      <c r="P45" s="39" t="str">
        <f t="shared" si="9"/>
        <v>ok</v>
      </c>
      <c r="Q45" s="4" t="s">
        <v>121</v>
      </c>
      <c r="R45" s="4" t="s">
        <v>48</v>
      </c>
      <c r="S45" s="58">
        <f t="shared" si="10"/>
        <v>0</v>
      </c>
      <c r="T45" s="39" t="str">
        <f t="shared" si="2"/>
        <v>ok</v>
      </c>
      <c r="U45" s="58">
        <f t="shared" si="11"/>
        <v>1</v>
      </c>
      <c r="V45" s="39" t="str">
        <f t="shared" si="3"/>
        <v>ok</v>
      </c>
      <c r="W45" s="58" t="str">
        <f t="shared" si="12"/>
        <v>roes.krieg@gmail.ch</v>
      </c>
      <c r="X45" s="39" t="str">
        <f t="shared" si="4"/>
        <v>ok</v>
      </c>
      <c r="Y45" s="40">
        <v>34.700000000000003</v>
      </c>
      <c r="Z45" s="40">
        <v>0</v>
      </c>
      <c r="AA45" s="59">
        <f t="shared" si="13"/>
        <v>34.700000000000003</v>
      </c>
      <c r="AB45" s="39" t="str">
        <f t="shared" si="5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tr">
        <f t="shared" si="6"/>
        <v>R.</v>
      </c>
      <c r="E46" s="39" t="str">
        <f t="shared" si="14"/>
        <v>ok</v>
      </c>
      <c r="F46" s="58" t="s">
        <v>344</v>
      </c>
      <c r="G46" s="39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tr">
        <f t="shared" si="7"/>
        <v>CH-8853 Lachen</v>
      </c>
      <c r="M46" s="39" t="str">
        <f t="shared" si="1"/>
        <v>ok</v>
      </c>
      <c r="N46" s="4" t="s">
        <v>125</v>
      </c>
      <c r="O46" s="58" t="str">
        <f t="shared" si="8"/>
        <v>rita.krieg@bzu.ch</v>
      </c>
      <c r="P46" s="39" t="str">
        <f t="shared" si="9"/>
        <v>ok</v>
      </c>
      <c r="Q46" s="4" t="s">
        <v>121</v>
      </c>
      <c r="R46" s="4" t="s">
        <v>48</v>
      </c>
      <c r="S46" s="58">
        <f t="shared" si="10"/>
        <v>0</v>
      </c>
      <c r="T46" s="39" t="str">
        <f t="shared" si="2"/>
        <v>ok</v>
      </c>
      <c r="U46" s="58">
        <f t="shared" si="11"/>
        <v>1</v>
      </c>
      <c r="V46" s="39" t="str">
        <f t="shared" si="3"/>
        <v>ok</v>
      </c>
      <c r="W46" s="58" t="str">
        <f t="shared" si="12"/>
        <v>rita.krieg@gmail.ch</v>
      </c>
      <c r="X46" s="39" t="str">
        <f t="shared" si="4"/>
        <v>ok</v>
      </c>
      <c r="Y46" s="40">
        <v>35.9</v>
      </c>
      <c r="Z46" s="40">
        <v>0</v>
      </c>
      <c r="AA46" s="59">
        <f t="shared" si="13"/>
        <v>35.9</v>
      </c>
      <c r="AB46" s="39" t="str">
        <f t="shared" si="5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tr">
        <f t="shared" si="6"/>
        <v>R.</v>
      </c>
      <c r="E47" s="39" t="str">
        <f t="shared" si="14"/>
        <v>ok</v>
      </c>
      <c r="F47" s="58" t="s">
        <v>344</v>
      </c>
      <c r="G47" s="39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tr">
        <f t="shared" si="7"/>
        <v>CH-8853 Lachen</v>
      </c>
      <c r="M47" s="39" t="str">
        <f t="shared" si="1"/>
        <v>ok</v>
      </c>
      <c r="N47" s="4"/>
      <c r="O47" s="58" t="str">
        <f t="shared" si="8"/>
        <v>roberta.krieg@bzu.ch</v>
      </c>
      <c r="P47" s="39" t="str">
        <f t="shared" si="9"/>
        <v>ok</v>
      </c>
      <c r="Q47" s="4" t="s">
        <v>121</v>
      </c>
      <c r="R47" s="4" t="s">
        <v>40</v>
      </c>
      <c r="S47" s="58">
        <f t="shared" si="10"/>
        <v>1</v>
      </c>
      <c r="T47" s="39" t="str">
        <f t="shared" si="2"/>
        <v>ok</v>
      </c>
      <c r="U47" s="58">
        <f t="shared" si="11"/>
        <v>0</v>
      </c>
      <c r="V47" s="39" t="str">
        <f t="shared" si="3"/>
        <v>ok</v>
      </c>
      <c r="W47" s="58" t="str">
        <f t="shared" si="12"/>
        <v/>
      </c>
      <c r="X47" s="39" t="str">
        <f t="shared" si="4"/>
        <v>ok</v>
      </c>
      <c r="Y47" s="40">
        <v>17.8</v>
      </c>
      <c r="Z47" s="40">
        <v>0</v>
      </c>
      <c r="AA47" s="59">
        <f t="shared" si="13"/>
        <v>17.8</v>
      </c>
      <c r="AB47" s="39" t="str">
        <f t="shared" si="5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tr">
        <f t="shared" si="6"/>
        <v>R.</v>
      </c>
      <c r="E48" s="39" t="str">
        <f t="shared" si="14"/>
        <v>ok</v>
      </c>
      <c r="F48" s="58" t="s">
        <v>345</v>
      </c>
      <c r="G48" s="39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tr">
        <f t="shared" si="7"/>
        <v>CH-8853 Lachen</v>
      </c>
      <c r="M48" s="39" t="str">
        <f t="shared" si="1"/>
        <v>ok</v>
      </c>
      <c r="N48" s="4" t="s">
        <v>117</v>
      </c>
      <c r="O48" s="58" t="str">
        <f t="shared" si="8"/>
        <v>ricarda.krieger@bzu.ch</v>
      </c>
      <c r="P48" s="39" t="str">
        <f t="shared" si="9"/>
        <v>ok</v>
      </c>
      <c r="Q48" s="4" t="s">
        <v>93</v>
      </c>
      <c r="R48" s="4" t="s">
        <v>48</v>
      </c>
      <c r="S48" s="58">
        <f t="shared" si="10"/>
        <v>0</v>
      </c>
      <c r="T48" s="39" t="str">
        <f t="shared" si="2"/>
        <v>ok</v>
      </c>
      <c r="U48" s="58">
        <f t="shared" si="11"/>
        <v>1</v>
      </c>
      <c r="V48" s="39" t="str">
        <f t="shared" si="3"/>
        <v>ok</v>
      </c>
      <c r="W48" s="58" t="str">
        <f t="shared" si="12"/>
        <v>richi.krieger@gmail.ch</v>
      </c>
      <c r="X48" s="39" t="str">
        <f t="shared" si="4"/>
        <v>ok</v>
      </c>
      <c r="Y48" s="40">
        <v>68</v>
      </c>
      <c r="Z48" s="40">
        <v>20</v>
      </c>
      <c r="AA48" s="59">
        <f t="shared" si="13"/>
        <v>48</v>
      </c>
      <c r="AB48" s="39" t="str">
        <f t="shared" si="5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tr">
        <f t="shared" si="6"/>
        <v>R.</v>
      </c>
      <c r="E49" s="39" t="str">
        <f t="shared" si="14"/>
        <v>ok</v>
      </c>
      <c r="F49" s="58" t="s">
        <v>346</v>
      </c>
      <c r="G49" s="39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tr">
        <f t="shared" si="7"/>
        <v xml:space="preserve">DE-78713 Schramberg </v>
      </c>
      <c r="M49" s="39" t="str">
        <f t="shared" si="1"/>
        <v>ok</v>
      </c>
      <c r="N49" s="4"/>
      <c r="O49" s="58" t="str">
        <f t="shared" si="8"/>
        <v>richard.kussberger@bzu.ch</v>
      </c>
      <c r="P49" s="39" t="str">
        <f t="shared" si="9"/>
        <v>ok</v>
      </c>
      <c r="Q49" s="4" t="s">
        <v>112</v>
      </c>
      <c r="R49" s="4" t="s">
        <v>40</v>
      </c>
      <c r="S49" s="58">
        <f t="shared" si="10"/>
        <v>1</v>
      </c>
      <c r="T49" s="39" t="str">
        <f t="shared" si="2"/>
        <v>ok</v>
      </c>
      <c r="U49" s="58">
        <f t="shared" si="11"/>
        <v>0</v>
      </c>
      <c r="V49" s="39" t="str">
        <f t="shared" si="3"/>
        <v>ok</v>
      </c>
      <c r="W49" s="58" t="str">
        <f t="shared" si="12"/>
        <v/>
      </c>
      <c r="X49" s="39" t="str">
        <f t="shared" si="4"/>
        <v>ok</v>
      </c>
      <c r="Y49" s="40">
        <v>32</v>
      </c>
      <c r="Z49" s="40">
        <v>0</v>
      </c>
      <c r="AA49" s="59">
        <f t="shared" si="13"/>
        <v>32</v>
      </c>
      <c r="AB49" s="39" t="str">
        <f t="shared" si="5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tr">
        <f t="shared" si="6"/>
        <v>R.</v>
      </c>
      <c r="E50" s="39" t="str">
        <f t="shared" si="14"/>
        <v>ok</v>
      </c>
      <c r="F50" s="58" t="s">
        <v>347</v>
      </c>
      <c r="G50" s="39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362</v>
      </c>
      <c r="M50" s="39" t="str">
        <f t="shared" si="1"/>
        <v>ok</v>
      </c>
      <c r="N50" s="4" t="s">
        <v>107</v>
      </c>
      <c r="O50" s="58" t="str">
        <f t="shared" si="8"/>
        <v>rita.kuettel@bzu.ch</v>
      </c>
      <c r="P50" s="39" t="str">
        <f t="shared" si="9"/>
        <v>ok</v>
      </c>
      <c r="Q50" s="4" t="s">
        <v>106</v>
      </c>
      <c r="R50" s="4" t="s">
        <v>40</v>
      </c>
      <c r="S50" s="58">
        <f t="shared" si="10"/>
        <v>1</v>
      </c>
      <c r="T50" s="39" t="str">
        <f t="shared" si="2"/>
        <v>ok</v>
      </c>
      <c r="U50" s="58">
        <f t="shared" si="11"/>
        <v>0</v>
      </c>
      <c r="V50" s="39" t="str">
        <f t="shared" si="3"/>
        <v>ok</v>
      </c>
      <c r="W50" s="58" t="str">
        <f t="shared" si="12"/>
        <v/>
      </c>
      <c r="X50" s="39" t="str">
        <f t="shared" si="4"/>
        <v>ok</v>
      </c>
      <c r="Y50" s="40">
        <v>123</v>
      </c>
      <c r="Z50" s="40">
        <v>50</v>
      </c>
      <c r="AA50" s="59">
        <f t="shared" si="13"/>
        <v>73</v>
      </c>
      <c r="AB50" s="39" t="str">
        <f t="shared" si="5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tr">
        <f t="shared" si="6"/>
        <v>R.</v>
      </c>
      <c r="E51" s="39" t="str">
        <f t="shared" si="14"/>
        <v>ok</v>
      </c>
      <c r="F51" s="58" t="s">
        <v>348</v>
      </c>
      <c r="G51" s="39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363</v>
      </c>
      <c r="M51" s="39" t="str">
        <f t="shared" si="1"/>
        <v>ok</v>
      </c>
      <c r="N51" s="4" t="s">
        <v>102</v>
      </c>
      <c r="O51" s="58" t="str">
        <f t="shared" si="8"/>
        <v>rene.laib@bzu.ch</v>
      </c>
      <c r="P51" s="39" t="str">
        <f t="shared" si="9"/>
        <v>ok</v>
      </c>
      <c r="Q51" s="4" t="s">
        <v>101</v>
      </c>
      <c r="R51" s="4" t="s">
        <v>40</v>
      </c>
      <c r="S51" s="58">
        <f t="shared" si="10"/>
        <v>1</v>
      </c>
      <c r="T51" s="39" t="str">
        <f t="shared" si="2"/>
        <v>ok</v>
      </c>
      <c r="U51" s="58">
        <f t="shared" si="11"/>
        <v>0</v>
      </c>
      <c r="V51" s="39" t="str">
        <f t="shared" si="3"/>
        <v>ok</v>
      </c>
      <c r="W51" s="58" t="str">
        <f t="shared" si="12"/>
        <v/>
      </c>
      <c r="X51" s="39" t="str">
        <f t="shared" si="4"/>
        <v>ok</v>
      </c>
      <c r="Y51" s="40">
        <v>45.3</v>
      </c>
      <c r="Z51" s="40">
        <v>0</v>
      </c>
      <c r="AA51" s="59">
        <f t="shared" si="13"/>
        <v>45.3</v>
      </c>
      <c r="AB51" s="39" t="str">
        <f t="shared" si="5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tr">
        <f t="shared" si="6"/>
        <v>M.</v>
      </c>
      <c r="E52" s="39" t="str">
        <f t="shared" si="14"/>
        <v>ok</v>
      </c>
      <c r="F52" s="58" t="s">
        <v>349</v>
      </c>
      <c r="G52" s="39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364</v>
      </c>
      <c r="M52" s="39" t="str">
        <f t="shared" si="1"/>
        <v>ok</v>
      </c>
      <c r="N52" s="4" t="s">
        <v>98</v>
      </c>
      <c r="O52" s="58" t="str">
        <f t="shared" si="8"/>
        <v>margrith.landolt@bzu.ch</v>
      </c>
      <c r="P52" s="39" t="str">
        <f t="shared" si="9"/>
        <v>ok</v>
      </c>
      <c r="Q52" s="4" t="s">
        <v>97</v>
      </c>
      <c r="R52" s="4" t="s">
        <v>40</v>
      </c>
      <c r="S52" s="58">
        <f t="shared" si="10"/>
        <v>1</v>
      </c>
      <c r="T52" s="39" t="str">
        <f t="shared" si="2"/>
        <v>ok</v>
      </c>
      <c r="U52" s="58">
        <f t="shared" si="11"/>
        <v>0</v>
      </c>
      <c r="V52" s="39" t="str">
        <f t="shared" si="3"/>
        <v>ok</v>
      </c>
      <c r="W52" s="58" t="str">
        <f t="shared" si="12"/>
        <v/>
      </c>
      <c r="X52" s="39" t="str">
        <f t="shared" si="4"/>
        <v>ok</v>
      </c>
      <c r="Y52" s="40">
        <v>312.56</v>
      </c>
      <c r="Z52" s="40">
        <v>0</v>
      </c>
      <c r="AA52" s="59">
        <f t="shared" si="13"/>
        <v>312.56</v>
      </c>
      <c r="AB52" s="39" t="str">
        <f t="shared" si="5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tr">
        <f t="shared" si="6"/>
        <v>R.</v>
      </c>
      <c r="E53" s="39" t="str">
        <f t="shared" si="14"/>
        <v>ok</v>
      </c>
      <c r="F53" s="58" t="s">
        <v>350</v>
      </c>
      <c r="G53" s="39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360</v>
      </c>
      <c r="M53" s="39" t="str">
        <f t="shared" si="1"/>
        <v>ok</v>
      </c>
      <c r="N53" s="4"/>
      <c r="O53" s="58" t="str">
        <f t="shared" si="8"/>
        <v>reinhard.lang@bzu.ch</v>
      </c>
      <c r="P53" s="39" t="str">
        <f t="shared" si="9"/>
        <v>ok</v>
      </c>
      <c r="Q53" s="4" t="s">
        <v>93</v>
      </c>
      <c r="R53" s="4" t="s">
        <v>40</v>
      </c>
      <c r="S53" s="58">
        <f t="shared" si="10"/>
        <v>1</v>
      </c>
      <c r="T53" s="39" t="str">
        <f t="shared" si="2"/>
        <v>ok</v>
      </c>
      <c r="U53" s="58">
        <f t="shared" si="11"/>
        <v>0</v>
      </c>
      <c r="V53" s="39" t="str">
        <f t="shared" si="3"/>
        <v>ok</v>
      </c>
      <c r="W53" s="58" t="str">
        <f t="shared" si="12"/>
        <v/>
      </c>
      <c r="X53" s="39" t="str">
        <f t="shared" si="4"/>
        <v>ok</v>
      </c>
      <c r="Y53" s="40">
        <v>84</v>
      </c>
      <c r="Z53" s="40">
        <v>24</v>
      </c>
      <c r="AA53" s="59">
        <f t="shared" si="13"/>
        <v>60</v>
      </c>
      <c r="AB53" s="39" t="str">
        <f t="shared" si="5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tr">
        <f t="shared" si="6"/>
        <v>R.</v>
      </c>
      <c r="E54" s="39" t="str">
        <f t="shared" si="14"/>
        <v>ok</v>
      </c>
      <c r="F54" s="58" t="s">
        <v>351</v>
      </c>
      <c r="G54" s="39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365</v>
      </c>
      <c r="M54" s="39" t="str">
        <f t="shared" si="1"/>
        <v>ok</v>
      </c>
      <c r="N54" s="4" t="s">
        <v>88</v>
      </c>
      <c r="O54" s="58" t="str">
        <f t="shared" si="8"/>
        <v>raphaela.laeubli@bzu.ch</v>
      </c>
      <c r="P54" s="39" t="str">
        <f t="shared" si="9"/>
        <v>ok</v>
      </c>
      <c r="Q54" s="4" t="s">
        <v>87</v>
      </c>
      <c r="R54" s="4" t="s">
        <v>48</v>
      </c>
      <c r="S54" s="58">
        <f t="shared" si="10"/>
        <v>0</v>
      </c>
      <c r="T54" s="39" t="str">
        <f t="shared" si="2"/>
        <v>ok</v>
      </c>
      <c r="U54" s="58">
        <f t="shared" si="11"/>
        <v>1</v>
      </c>
      <c r="V54" s="39" t="str">
        <f t="shared" si="3"/>
        <v>ok</v>
      </c>
      <c r="W54" s="58" t="str">
        <f t="shared" si="12"/>
        <v>raphael.laeubli@gmail.ch</v>
      </c>
      <c r="X54" s="39" t="str">
        <f t="shared" si="4"/>
        <v>ok</v>
      </c>
      <c r="Y54" s="40">
        <v>45.7</v>
      </c>
      <c r="Z54" s="40">
        <v>25</v>
      </c>
      <c r="AA54" s="59">
        <f t="shared" si="13"/>
        <v>20.700000000000003</v>
      </c>
      <c r="AB54" s="39" t="str">
        <f t="shared" si="5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tr">
        <f t="shared" si="6"/>
        <v>R.</v>
      </c>
      <c r="E55" s="39" t="str">
        <f t="shared" si="14"/>
        <v>ok</v>
      </c>
      <c r="F55" s="58" t="s">
        <v>352</v>
      </c>
      <c r="G55" s="39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366</v>
      </c>
      <c r="M55" s="39" t="str">
        <f t="shared" si="1"/>
        <v>ok</v>
      </c>
      <c r="N55" s="4" t="s">
        <v>84</v>
      </c>
      <c r="O55" s="58" t="str">
        <f t="shared" si="8"/>
        <v>ramona.lurati@bzu.ch</v>
      </c>
      <c r="P55" s="39" t="str">
        <f t="shared" si="9"/>
        <v>ok</v>
      </c>
      <c r="Q55" s="4" t="s">
        <v>83</v>
      </c>
      <c r="R55" s="4" t="s">
        <v>40</v>
      </c>
      <c r="S55" s="58">
        <f t="shared" si="10"/>
        <v>1</v>
      </c>
      <c r="T55" s="39" t="str">
        <f t="shared" si="2"/>
        <v>ok</v>
      </c>
      <c r="U55" s="58">
        <f t="shared" si="11"/>
        <v>0</v>
      </c>
      <c r="V55" s="39" t="str">
        <f t="shared" si="3"/>
        <v>ok</v>
      </c>
      <c r="W55" s="58" t="str">
        <f t="shared" si="12"/>
        <v/>
      </c>
      <c r="X55" s="39" t="str">
        <f t="shared" si="4"/>
        <v>ok</v>
      </c>
      <c r="Y55" s="40">
        <v>1427.8</v>
      </c>
      <c r="Z55" s="40"/>
      <c r="AA55" s="59">
        <f t="shared" si="13"/>
        <v>1427.8</v>
      </c>
      <c r="AB55" s="39" t="str">
        <f t="shared" si="5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tr">
        <f t="shared" si="6"/>
        <v>R.</v>
      </c>
      <c r="E56" s="39" t="str">
        <f t="shared" si="14"/>
        <v>ok</v>
      </c>
      <c r="F56" s="58" t="s">
        <v>353</v>
      </c>
      <c r="G56" s="39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360</v>
      </c>
      <c r="M56" s="39" t="str">
        <f t="shared" si="1"/>
        <v>ok</v>
      </c>
      <c r="N56" s="4"/>
      <c r="O56" s="58" t="str">
        <f t="shared" si="8"/>
        <v>ramona.maechler@bzu.ch</v>
      </c>
      <c r="P56" s="39" t="str">
        <f t="shared" si="9"/>
        <v>ok</v>
      </c>
      <c r="Q56" s="4" t="s">
        <v>80</v>
      </c>
      <c r="R56" s="4" t="s">
        <v>40</v>
      </c>
      <c r="S56" s="58">
        <f t="shared" si="10"/>
        <v>1</v>
      </c>
      <c r="T56" s="39" t="str">
        <f t="shared" si="2"/>
        <v>ok</v>
      </c>
      <c r="U56" s="58">
        <f t="shared" si="11"/>
        <v>0</v>
      </c>
      <c r="V56" s="39" t="str">
        <f t="shared" si="3"/>
        <v>ok</v>
      </c>
      <c r="W56" s="58" t="str">
        <f t="shared" si="12"/>
        <v/>
      </c>
      <c r="X56" s="39" t="str">
        <f t="shared" si="4"/>
        <v>ok</v>
      </c>
      <c r="Y56" s="40">
        <v>439</v>
      </c>
      <c r="Z56" s="40">
        <v>400</v>
      </c>
      <c r="AA56" s="59">
        <f t="shared" si="13"/>
        <v>39</v>
      </c>
      <c r="AB56" s="39" t="str">
        <f t="shared" si="5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tr">
        <f t="shared" si="6"/>
        <v>L.</v>
      </c>
      <c r="E57" s="39" t="str">
        <f t="shared" si="14"/>
        <v>ok</v>
      </c>
      <c r="F57" s="58" t="s">
        <v>354</v>
      </c>
      <c r="G57" s="39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361</v>
      </c>
      <c r="M57" s="39" t="str">
        <f t="shared" si="1"/>
        <v>ok</v>
      </c>
      <c r="N57" s="4"/>
      <c r="O57" s="58" t="str">
        <f t="shared" si="8"/>
        <v>luisa.maechler@bzu.ch</v>
      </c>
      <c r="P57" s="39" t="str">
        <f t="shared" si="9"/>
        <v>ok</v>
      </c>
      <c r="Q57" s="4" t="s">
        <v>76</v>
      </c>
      <c r="R57" s="4" t="s">
        <v>40</v>
      </c>
      <c r="S57" s="58">
        <f t="shared" si="10"/>
        <v>1</v>
      </c>
      <c r="T57" s="39" t="str">
        <f t="shared" si="2"/>
        <v>ok</v>
      </c>
      <c r="U57" s="58">
        <f t="shared" si="11"/>
        <v>0</v>
      </c>
      <c r="V57" s="39" t="str">
        <f t="shared" si="3"/>
        <v>ok</v>
      </c>
      <c r="W57" s="58" t="str">
        <f t="shared" si="12"/>
        <v/>
      </c>
      <c r="X57" s="39" t="str">
        <f t="shared" si="4"/>
        <v>ok</v>
      </c>
      <c r="Y57" s="40">
        <v>32.5</v>
      </c>
      <c r="Z57" s="40">
        <v>0</v>
      </c>
      <c r="AA57" s="59">
        <f t="shared" si="13"/>
        <v>32.5</v>
      </c>
      <c r="AB57" s="39" t="str">
        <f t="shared" si="5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tr">
        <f t="shared" si="6"/>
        <v>P.</v>
      </c>
      <c r="E58" s="39" t="str">
        <f t="shared" si="14"/>
        <v>ok</v>
      </c>
      <c r="F58" s="58" t="s">
        <v>355</v>
      </c>
      <c r="G58" s="39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367</v>
      </c>
      <c r="M58" s="39" t="str">
        <f t="shared" si="1"/>
        <v>ok</v>
      </c>
      <c r="N58" s="4"/>
      <c r="O58" s="58" t="str">
        <f t="shared" si="8"/>
        <v>paula.diethelm@bzu.ch</v>
      </c>
      <c r="P58" s="39" t="str">
        <f t="shared" si="9"/>
        <v>ok</v>
      </c>
      <c r="Q58" s="4" t="s">
        <v>71</v>
      </c>
      <c r="R58" s="4" t="s">
        <v>48</v>
      </c>
      <c r="S58" s="58">
        <f t="shared" si="10"/>
        <v>0</v>
      </c>
      <c r="T58" s="39" t="str">
        <f t="shared" si="2"/>
        <v>ok</v>
      </c>
      <c r="U58" s="58">
        <f t="shared" si="11"/>
        <v>1</v>
      </c>
      <c r="V58" s="39" t="str">
        <f t="shared" si="3"/>
        <v>ok</v>
      </c>
      <c r="W58" s="58" t="str">
        <f t="shared" si="12"/>
        <v>paula.diethelm@bzu.ch</v>
      </c>
      <c r="X58" s="39" t="str">
        <f t="shared" si="4"/>
        <v>ok</v>
      </c>
      <c r="Y58" s="40">
        <v>53</v>
      </c>
      <c r="Z58" s="40">
        <v>0</v>
      </c>
      <c r="AA58" s="59">
        <f t="shared" si="13"/>
        <v>53</v>
      </c>
      <c r="AB58" s="39" t="str">
        <f t="shared" si="5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tr">
        <f t="shared" si="6"/>
        <v>P.</v>
      </c>
      <c r="E59" s="39" t="str">
        <f t="shared" si="14"/>
        <v>ok</v>
      </c>
      <c r="F59" s="58" t="s">
        <v>356</v>
      </c>
      <c r="G59" s="39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364</v>
      </c>
      <c r="M59" s="39" t="str">
        <f t="shared" si="1"/>
        <v>ok</v>
      </c>
      <c r="N59" s="4" t="s">
        <v>66</v>
      </c>
      <c r="O59" s="58" t="str">
        <f t="shared" si="8"/>
        <v>pia.maeder@bzu.ch</v>
      </c>
      <c r="P59" s="39" t="str">
        <f t="shared" si="9"/>
        <v>ok</v>
      </c>
      <c r="Q59" s="4" t="s">
        <v>65</v>
      </c>
      <c r="R59" s="4" t="s">
        <v>48</v>
      </c>
      <c r="S59" s="58">
        <f t="shared" si="10"/>
        <v>0</v>
      </c>
      <c r="T59" s="39" t="str">
        <f t="shared" si="2"/>
        <v>ok</v>
      </c>
      <c r="U59" s="58">
        <f t="shared" si="11"/>
        <v>1</v>
      </c>
      <c r="V59" s="39" t="str">
        <f t="shared" si="3"/>
        <v>ok</v>
      </c>
      <c r="W59" s="58" t="str">
        <f t="shared" si="12"/>
        <v>pia.maeder@gmail.ch</v>
      </c>
      <c r="X59" s="39" t="str">
        <f t="shared" si="4"/>
        <v>ok</v>
      </c>
      <c r="Y59" s="40">
        <v>15.7</v>
      </c>
      <c r="Z59" s="40">
        <v>0</v>
      </c>
      <c r="AA59" s="59">
        <f t="shared" si="13"/>
        <v>15.7</v>
      </c>
      <c r="AB59" s="39" t="str">
        <f t="shared" si="5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tr">
        <f t="shared" si="6"/>
        <v>P.</v>
      </c>
      <c r="E60" s="39" t="str">
        <f t="shared" si="14"/>
        <v>ok</v>
      </c>
      <c r="F60" s="58" t="s">
        <v>357</v>
      </c>
      <c r="G60" s="39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368</v>
      </c>
      <c r="M60" s="39" t="str">
        <f t="shared" si="1"/>
        <v>ok</v>
      </c>
      <c r="N60" s="4" t="s">
        <v>60</v>
      </c>
      <c r="O60" s="58" t="str">
        <f t="shared" si="8"/>
        <v>pius.mannhart@bzu.ch</v>
      </c>
      <c r="P60" s="39" t="str">
        <f t="shared" si="9"/>
        <v>ok</v>
      </c>
      <c r="Q60" s="4" t="s">
        <v>54</v>
      </c>
      <c r="R60" s="4" t="s">
        <v>40</v>
      </c>
      <c r="S60" s="58">
        <f t="shared" si="10"/>
        <v>1</v>
      </c>
      <c r="T60" s="39" t="str">
        <f t="shared" si="2"/>
        <v>ok</v>
      </c>
      <c r="U60" s="58">
        <f t="shared" si="11"/>
        <v>0</v>
      </c>
      <c r="V60" s="39" t="str">
        <f t="shared" si="3"/>
        <v>ok</v>
      </c>
      <c r="W60" s="58" t="str">
        <f t="shared" si="12"/>
        <v/>
      </c>
      <c r="X60" s="39" t="str">
        <f t="shared" si="4"/>
        <v>ok</v>
      </c>
      <c r="Y60" s="40">
        <v>68</v>
      </c>
      <c r="Z60" s="40">
        <v>0</v>
      </c>
      <c r="AA60" s="59">
        <f t="shared" si="13"/>
        <v>68</v>
      </c>
      <c r="AB60" s="39" t="str">
        <f t="shared" si="5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tr">
        <f t="shared" si="6"/>
        <v>M.</v>
      </c>
      <c r="E61" s="39" t="str">
        <f t="shared" si="14"/>
        <v>ok</v>
      </c>
      <c r="F61" s="58" t="s">
        <v>358</v>
      </c>
      <c r="G61" s="39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369</v>
      </c>
      <c r="M61" s="39" t="str">
        <f t="shared" si="1"/>
        <v>ok</v>
      </c>
      <c r="N61" s="4" t="s">
        <v>55</v>
      </c>
      <c r="O61" s="58" t="str">
        <f t="shared" si="8"/>
        <v>mia.mannhart@bzu.ch</v>
      </c>
      <c r="P61" s="39" t="str">
        <f t="shared" si="9"/>
        <v>ok</v>
      </c>
      <c r="Q61" s="4" t="s">
        <v>54</v>
      </c>
      <c r="R61" s="4" t="s">
        <v>40</v>
      </c>
      <c r="S61" s="58">
        <f t="shared" si="10"/>
        <v>1</v>
      </c>
      <c r="T61" s="39" t="str">
        <f t="shared" si="2"/>
        <v>ok</v>
      </c>
      <c r="U61" s="58">
        <f t="shared" si="11"/>
        <v>0</v>
      </c>
      <c r="V61" s="39" t="str">
        <f t="shared" si="3"/>
        <v>ok</v>
      </c>
      <c r="W61" s="58" t="str">
        <f t="shared" si="12"/>
        <v/>
      </c>
      <c r="X61" s="39" t="str">
        <f t="shared" si="4"/>
        <v>ok</v>
      </c>
      <c r="Y61" s="40">
        <v>658</v>
      </c>
      <c r="Z61" s="40">
        <v>470</v>
      </c>
      <c r="AA61" s="59">
        <f t="shared" si="13"/>
        <v>188</v>
      </c>
      <c r="AB61" s="39" t="str">
        <f t="shared" si="5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tr">
        <f t="shared" si="6"/>
        <v>P.</v>
      </c>
      <c r="E62" s="39" t="str">
        <f t="shared" si="14"/>
        <v>ok</v>
      </c>
      <c r="F62" s="58" t="s">
        <v>359</v>
      </c>
      <c r="G62" s="39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360</v>
      </c>
      <c r="M62" s="39" t="str">
        <f t="shared" si="1"/>
        <v>ok</v>
      </c>
      <c r="N62" s="4"/>
      <c r="O62" s="58" t="str">
        <f t="shared" si="8"/>
        <v>philippe.marty@bzu.ch</v>
      </c>
      <c r="P62" s="39" t="str">
        <f t="shared" si="9"/>
        <v>ok</v>
      </c>
      <c r="Q62" s="4" t="s">
        <v>49</v>
      </c>
      <c r="R62" s="4" t="s">
        <v>40</v>
      </c>
      <c r="S62" s="58">
        <f t="shared" si="10"/>
        <v>1</v>
      </c>
      <c r="T62" s="39" t="str">
        <f t="shared" si="2"/>
        <v>ok</v>
      </c>
      <c r="U62" s="58">
        <f t="shared" si="11"/>
        <v>0</v>
      </c>
      <c r="V62" s="39" t="str">
        <f t="shared" si="3"/>
        <v>ok</v>
      </c>
      <c r="W62" s="58" t="str">
        <f t="shared" si="12"/>
        <v/>
      </c>
      <c r="X62" s="39" t="str">
        <f t="shared" si="4"/>
        <v>ok</v>
      </c>
      <c r="Y62" s="40">
        <v>7.4</v>
      </c>
      <c r="Z62" s="40">
        <v>0</v>
      </c>
      <c r="AA62" s="59">
        <f t="shared" si="13"/>
        <v>7.4</v>
      </c>
      <c r="AB62" s="39" t="str">
        <f t="shared" si="5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tr">
        <f t="shared" si="6"/>
        <v>P.</v>
      </c>
      <c r="E63" s="39" t="str">
        <f t="shared" si="14"/>
        <v>ok</v>
      </c>
      <c r="F63" s="58" t="s">
        <v>359</v>
      </c>
      <c r="G63" s="39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370</v>
      </c>
      <c r="M63" s="39" t="str">
        <f t="shared" si="1"/>
        <v>ok</v>
      </c>
      <c r="N63" s="4" t="s">
        <v>43</v>
      </c>
      <c r="O63" s="58" t="str">
        <f t="shared" si="8"/>
        <v>peter.marty@bzu.ch</v>
      </c>
      <c r="P63" s="39" t="str">
        <f t="shared" si="9"/>
        <v>ok</v>
      </c>
      <c r="Q63" s="4" t="s">
        <v>42</v>
      </c>
      <c r="R63" s="4" t="s">
        <v>40</v>
      </c>
      <c r="S63" s="58">
        <f t="shared" si="10"/>
        <v>1</v>
      </c>
      <c r="T63" s="39" t="str">
        <f t="shared" si="2"/>
        <v>ok</v>
      </c>
      <c r="U63" s="58">
        <f t="shared" si="11"/>
        <v>0</v>
      </c>
      <c r="V63" s="63" t="str">
        <f t="shared" si="3"/>
        <v>ok</v>
      </c>
      <c r="W63" s="58" t="str">
        <f t="shared" si="12"/>
        <v/>
      </c>
      <c r="X63" s="61" t="str">
        <f t="shared" si="4"/>
        <v>ok</v>
      </c>
      <c r="Y63" s="64">
        <v>4.8</v>
      </c>
      <c r="Z63" s="64">
        <v>0</v>
      </c>
      <c r="AA63" s="59">
        <f t="shared" si="13"/>
        <v>4.8</v>
      </c>
      <c r="AB63" s="39" t="str">
        <f t="shared" si="5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2" t="str">
        <f>IF(S64="","--",IF(S64=17,"ok","nok"))</f>
        <v>ok</v>
      </c>
      <c r="U64" s="66">
        <f>SUM(U37:U63)</f>
        <v>10</v>
      </c>
      <c r="V64" s="39" t="str">
        <f>IF(U64="","--",IF(U64=10,"ok","nok"))</f>
        <v>ok</v>
      </c>
      <c r="W64" s="31"/>
      <c r="X64" s="39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3090.32</v>
      </c>
      <c r="AB64" s="61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0">
        <f>COUNTIFS(E37:E63,"ok")</f>
        <v>27</v>
      </c>
      <c r="F65" s="31"/>
      <c r="G65" s="60">
        <f>COUNTIFS(G37:G63,"ok")</f>
        <v>27</v>
      </c>
      <c r="H65" s="31"/>
      <c r="I65" s="31"/>
      <c r="J65" s="31"/>
      <c r="K65" s="31"/>
      <c r="L65" s="31"/>
      <c r="M65" s="60">
        <f>COUNTIFS(M37:M63,"ok")</f>
        <v>27</v>
      </c>
      <c r="N65" s="31"/>
      <c r="O65" s="31"/>
      <c r="P65" s="60">
        <f>COUNTIFS(P37:P63,"ok")</f>
        <v>27</v>
      </c>
      <c r="Q65" s="31"/>
      <c r="R65" s="31"/>
      <c r="S65" s="38"/>
      <c r="T65" s="60">
        <f>COUNTIFS(T37:T64,"ok")</f>
        <v>28</v>
      </c>
      <c r="U65" s="31"/>
      <c r="V65" s="60">
        <f>COUNTIFS(V37:V64,"ok")</f>
        <v>28</v>
      </c>
      <c r="W65" s="31"/>
      <c r="X65" s="60">
        <f>COUNTIFS(X37:X64,"ok")</f>
        <v>28</v>
      </c>
      <c r="Y65" s="31"/>
      <c r="Z65" s="31"/>
      <c r="AA65" s="31"/>
      <c r="AB65" s="60">
        <f>COUNTIFS(AB37:AB64,"ok")</f>
        <v>28</v>
      </c>
      <c r="AC65" s="31"/>
      <c r="AD65" s="31"/>
    </row>
    <row r="66" spans="1:30" x14ac:dyDescent="0.25">
      <c r="A66" s="31"/>
      <c r="B66" s="31"/>
      <c r="C66" s="31"/>
      <c r="D66" s="31"/>
      <c r="E66" s="60">
        <f>COUNTIFS(E37:E63,"nok")</f>
        <v>0</v>
      </c>
      <c r="F66" s="31"/>
      <c r="G66" s="60">
        <f>COUNTIFS(G37:G63,"nok")</f>
        <v>0</v>
      </c>
      <c r="H66" s="31"/>
      <c r="I66" s="31"/>
      <c r="J66" s="31"/>
      <c r="K66" s="31"/>
      <c r="L66" s="31"/>
      <c r="M66" s="60">
        <f>COUNTIFS(M37:M63,"nok")</f>
        <v>0</v>
      </c>
      <c r="N66" s="31"/>
      <c r="O66" s="31"/>
      <c r="P66" s="60">
        <f>COUNTIFS(P37:P63,"nok")</f>
        <v>0</v>
      </c>
      <c r="Q66" s="31"/>
      <c r="R66" s="31"/>
      <c r="S66" s="31"/>
      <c r="T66" s="60">
        <f>COUNTIFS(T37:T64,"nok")</f>
        <v>0</v>
      </c>
      <c r="U66" s="31"/>
      <c r="V66" s="60">
        <f>COUNTIFS(V37:V64,"nok")</f>
        <v>0</v>
      </c>
      <c r="W66" s="31"/>
      <c r="X66" s="60">
        <f>COUNTIFS(X37:X64,"nok")</f>
        <v>0</v>
      </c>
      <c r="Y66" s="31"/>
      <c r="Z66" s="31"/>
      <c r="AA66" s="31"/>
      <c r="AB66" s="60">
        <f>COUNTIFS(AB37:AB64,"nok")</f>
        <v>0</v>
      </c>
      <c r="AC66" s="31"/>
      <c r="AD66" s="31"/>
    </row>
    <row r="67" spans="1:30" x14ac:dyDescent="0.25">
      <c r="A67" s="31"/>
      <c r="B67" s="31"/>
      <c r="C67" s="31"/>
      <c r="D67" s="31"/>
      <c r="E67" s="60">
        <f>COUNTIFS(E37:E63,"--")</f>
        <v>0</v>
      </c>
      <c r="F67" s="31"/>
      <c r="G67" s="60">
        <f>COUNTIFS(G37:G63,"--")</f>
        <v>0</v>
      </c>
      <c r="H67" s="31"/>
      <c r="I67" s="31"/>
      <c r="J67" s="31"/>
      <c r="K67" s="31"/>
      <c r="L67" s="31"/>
      <c r="M67" s="60">
        <f>COUNTIFS(M37:M63,"--")</f>
        <v>0</v>
      </c>
      <c r="N67" s="31"/>
      <c r="O67" s="31"/>
      <c r="P67" s="60">
        <f>COUNTIFS(P37:P63,"--")</f>
        <v>0</v>
      </c>
      <c r="Q67" s="31"/>
      <c r="R67" s="31"/>
      <c r="S67" s="31"/>
      <c r="T67" s="60">
        <f>COUNTIFS(T37:T64,"--")</f>
        <v>0</v>
      </c>
      <c r="U67" s="31"/>
      <c r="V67" s="60">
        <f>COUNTIFS(V37:V64,"--")</f>
        <v>0</v>
      </c>
      <c r="W67" s="31"/>
      <c r="X67" s="60">
        <f>COUNTIFS(X37:X64,"--")</f>
        <v>0</v>
      </c>
      <c r="Y67" s="31"/>
      <c r="Z67" s="31"/>
      <c r="AA67" s="31"/>
      <c r="AB67" s="60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98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99"/>
      <c r="J80" s="38"/>
      <c r="K80" s="38"/>
    </row>
    <row r="81" spans="4:11" x14ac:dyDescent="0.25">
      <c r="D81" s="38"/>
      <c r="E81" s="38"/>
      <c r="F81" s="38"/>
      <c r="G81" s="38"/>
      <c r="H81" s="38"/>
      <c r="I81" s="99"/>
      <c r="J81" s="100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dataValidations count="1">
    <dataValidation type="list" allowBlank="1" showInputMessage="1" showErrorMessage="1" sqref="W12:W14">
      <formula1>$J$102:$J$103</formula1>
    </dataValidation>
  </dataValidations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topLeftCell="A64" zoomScale="85" zoomScaleNormal="85" workbookViewId="0">
      <selection activeCell="C59" sqref="C59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383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21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31</v>
      </c>
      <c r="H6" s="12"/>
    </row>
    <row r="7" spans="2:10" ht="15.75" thickBot="1" x14ac:dyDescent="0.3">
      <c r="E7" s="10"/>
      <c r="F7" s="50" t="s">
        <v>13</v>
      </c>
      <c r="G7" s="104">
        <f>IF(G4+G5+G6&gt;0,ROUNDDOWN(((5*G4)/(G4+G5+G6))+1,1),"Not defined")</f>
        <v>3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47" t="s">
        <v>209</v>
      </c>
      <c r="C23" s="5">
        <f>FIND(" ",D23)+1</f>
        <v>6</v>
      </c>
      <c r="D23" s="22" t="s">
        <v>211</v>
      </c>
      <c r="E23" s="22"/>
      <c r="F23" s="22"/>
      <c r="G23" s="18">
        <v>6</v>
      </c>
      <c r="H23" s="6" t="str">
        <f>IF(G23=C23,"ok",IF(C23="","--","Not ok"))</f>
        <v>ok</v>
      </c>
      <c r="I23" s="4" t="e">
        <f ca="1">IF(C23=L_Hello(D23),TRUE,FALSE)</f>
        <v>#NAME?</v>
      </c>
    </row>
    <row r="24" spans="2:9" x14ac:dyDescent="0.25">
      <c r="B24" s="148"/>
      <c r="C24" s="5">
        <f t="shared" ref="C24:C26" si="0">FIND(" ",D24)+1</f>
        <v>5</v>
      </c>
      <c r="D24" s="22" t="s">
        <v>4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e">
        <f ca="1">IF(C24=L_Hello(D24),TRUE,FALSE)</f>
        <v>#NAME?</v>
      </c>
    </row>
    <row r="25" spans="2:9" x14ac:dyDescent="0.25">
      <c r="B25" s="148"/>
      <c r="C25" s="5">
        <f t="shared" si="0"/>
        <v>6</v>
      </c>
      <c r="D25" s="22" t="s">
        <v>213</v>
      </c>
      <c r="E25" s="22"/>
      <c r="F25" s="22"/>
      <c r="G25" s="18">
        <v>6</v>
      </c>
      <c r="H25" s="6" t="str">
        <f t="shared" si="1"/>
        <v>ok</v>
      </c>
      <c r="I25" s="4" t="e">
        <f ca="1">IF(C25=L_Hello(D25),TRUE,FALSE)</f>
        <v>#NAME?</v>
      </c>
    </row>
    <row r="26" spans="2:9" x14ac:dyDescent="0.25">
      <c r="B26" s="149"/>
      <c r="C26" s="5">
        <f t="shared" si="0"/>
        <v>14</v>
      </c>
      <c r="D26" s="22" t="s">
        <v>212</v>
      </c>
      <c r="E26" s="22"/>
      <c r="F26" s="22"/>
      <c r="G26" s="18">
        <v>14</v>
      </c>
      <c r="H26" s="6" t="str">
        <f t="shared" si="1"/>
        <v>ok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47" t="s">
        <v>214</v>
      </c>
      <c r="C30" s="5">
        <f>FIND(" ",D23,FIND(" ",D23)+1)</f>
        <v>12</v>
      </c>
      <c r="D30" s="22" t="s">
        <v>211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48"/>
      <c r="C31" s="5">
        <f t="shared" ref="C31:C33" si="2">FIND(" ",D24,FIND(" ",D24)+1)</f>
        <v>8</v>
      </c>
      <c r="D31" s="22" t="s">
        <v>4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48"/>
      <c r="C32" s="5">
        <f t="shared" si="2"/>
        <v>13</v>
      </c>
      <c r="D32" s="22" t="s">
        <v>213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49"/>
      <c r="C33" s="5">
        <f t="shared" si="2"/>
        <v>19</v>
      </c>
      <c r="D33" s="22" t="s">
        <v>212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47" t="s">
        <v>221</v>
      </c>
      <c r="C37" s="5" t="str">
        <f>LEFT(D37,8)</f>
        <v>8855 Wan</v>
      </c>
      <c r="D37" s="22" t="s">
        <v>211</v>
      </c>
      <c r="E37" s="22"/>
      <c r="F37" s="22"/>
      <c r="G37" s="18" t="s">
        <v>217</v>
      </c>
      <c r="H37" s="6" t="str">
        <f>IF(G37=C37,"ok",IF(C37="","--","Not ok"))</f>
        <v>ok</v>
      </c>
    </row>
    <row r="38" spans="2:8" x14ac:dyDescent="0.25">
      <c r="B38" s="148"/>
      <c r="C38" s="5" t="str">
        <f t="shared" ref="C38:C40" si="4">LEFT(D38,8)</f>
        <v xml:space="preserve">Max und </v>
      </c>
      <c r="D38" s="22" t="s">
        <v>4</v>
      </c>
      <c r="E38" s="22"/>
      <c r="F38" s="22"/>
      <c r="G38" s="18" t="s">
        <v>218</v>
      </c>
      <c r="H38" s="6" t="str">
        <f t="shared" ref="H38:H40" si="5">IF(G38=C38,"ok",IF(C38="","--","Not ok"))</f>
        <v>ok</v>
      </c>
    </row>
    <row r="39" spans="2:8" x14ac:dyDescent="0.25">
      <c r="B39" s="148"/>
      <c r="C39" s="5" t="str">
        <f t="shared" si="4"/>
        <v>Sehr gee</v>
      </c>
      <c r="D39" s="22" t="s">
        <v>213</v>
      </c>
      <c r="E39" s="22"/>
      <c r="F39" s="22"/>
      <c r="G39" s="18" t="s">
        <v>219</v>
      </c>
      <c r="H39" s="6" t="str">
        <f t="shared" si="5"/>
        <v>ok</v>
      </c>
    </row>
    <row r="40" spans="2:8" x14ac:dyDescent="0.25">
      <c r="B40" s="149"/>
      <c r="C40" s="5" t="str">
        <f t="shared" si="4"/>
        <v>Berufssc</v>
      </c>
      <c r="D40" s="22" t="s">
        <v>212</v>
      </c>
      <c r="E40" s="22"/>
      <c r="F40" s="22"/>
      <c r="G40" s="18" t="s">
        <v>220</v>
      </c>
      <c r="H40" s="6" t="str">
        <f t="shared" si="5"/>
        <v>ok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47" t="s">
        <v>222</v>
      </c>
      <c r="C44" s="5" t="str">
        <f>RIGHT(D44,8)</f>
        <v>gen (SZ)</v>
      </c>
      <c r="D44" s="22" t="s">
        <v>211</v>
      </c>
      <c r="E44" s="22"/>
      <c r="F44" s="22"/>
      <c r="G44" s="18" t="s">
        <v>223</v>
      </c>
      <c r="H44" s="6" t="str">
        <f>IF(G44=C44,"ok",IF(C44="","--","Not ok"))</f>
        <v>ok</v>
      </c>
    </row>
    <row r="45" spans="2:8" x14ac:dyDescent="0.25">
      <c r="B45" s="148"/>
      <c r="C45" s="5" t="str">
        <f t="shared" ref="C45:C47" si="6">RIGHT(D45,8)</f>
        <v>d Moritz</v>
      </c>
      <c r="D45" s="22" t="s">
        <v>4</v>
      </c>
      <c r="E45" s="22"/>
      <c r="F45" s="22"/>
      <c r="G45" s="18" t="s">
        <v>377</v>
      </c>
      <c r="H45" s="6" t="str">
        <f t="shared" ref="H45:H47" si="7">IF(G45=C45,"ok",IF(C45="","--","Not ok"))</f>
        <v>ok</v>
      </c>
    </row>
    <row r="46" spans="2:8" x14ac:dyDescent="0.25">
      <c r="B46" s="148"/>
      <c r="C46" s="5" t="str">
        <f t="shared" si="6"/>
        <v>u Müller</v>
      </c>
      <c r="D46" s="22" t="s">
        <v>213</v>
      </c>
      <c r="E46" s="22"/>
      <c r="F46" s="22"/>
      <c r="G46" s="18" t="s">
        <v>378</v>
      </c>
      <c r="H46" s="6" t="str">
        <f t="shared" si="7"/>
        <v>ok</v>
      </c>
    </row>
    <row r="47" spans="2:8" x14ac:dyDescent="0.25">
      <c r="B47" s="149"/>
      <c r="C47" s="5" t="str">
        <f t="shared" si="6"/>
        <v>ter (ZH)</v>
      </c>
      <c r="D47" s="22" t="s">
        <v>212</v>
      </c>
      <c r="E47" s="22"/>
      <c r="F47" s="22"/>
      <c r="G47" s="18" t="s">
        <v>379</v>
      </c>
      <c r="H47" s="6" t="str">
        <f t="shared" si="7"/>
        <v>ok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47" t="s">
        <v>224</v>
      </c>
      <c r="C51" s="5" t="str">
        <f>UPPER(D51)</f>
        <v>8855 WANGEN (SZ)</v>
      </c>
      <c r="D51" s="22" t="s">
        <v>211</v>
      </c>
      <c r="E51" s="22"/>
      <c r="F51" s="22"/>
      <c r="G51" s="18" t="s">
        <v>225</v>
      </c>
      <c r="H51" s="6" t="str">
        <f>IF(G51=C51,"ok",IF(C51="","--","Not ok"))</f>
        <v>ok</v>
      </c>
    </row>
    <row r="52" spans="2:8" x14ac:dyDescent="0.25">
      <c r="B52" s="148"/>
      <c r="C52" s="5" t="str">
        <f t="shared" ref="C52:C54" si="8">UPPER(D52)</f>
        <v>MAX UND MORITZ</v>
      </c>
      <c r="D52" s="22" t="s">
        <v>4</v>
      </c>
      <c r="E52" s="22"/>
      <c r="F52" s="22"/>
      <c r="G52" s="18" t="s">
        <v>226</v>
      </c>
      <c r="H52" s="6" t="str">
        <f t="shared" ref="H52:H54" si="9">IF(G52=C52,"ok",IF(C52="","--","Not ok"))</f>
        <v>ok</v>
      </c>
    </row>
    <row r="53" spans="2:8" x14ac:dyDescent="0.25">
      <c r="B53" s="148"/>
      <c r="C53" s="5" t="str">
        <f t="shared" si="8"/>
        <v>SEHR GEEHRTE FRAU MÜLLER</v>
      </c>
      <c r="D53" s="22" t="s">
        <v>213</v>
      </c>
      <c r="E53" s="22"/>
      <c r="F53" s="22"/>
      <c r="G53" s="18" t="s">
        <v>227</v>
      </c>
      <c r="H53" s="6" t="str">
        <f t="shared" si="9"/>
        <v>ok</v>
      </c>
    </row>
    <row r="54" spans="2:8" x14ac:dyDescent="0.25">
      <c r="B54" s="149"/>
      <c r="C54" s="5" t="str">
        <f t="shared" si="8"/>
        <v>BERUFSSCHULE USTER (ZH)</v>
      </c>
      <c r="D54" s="22" t="s">
        <v>212</v>
      </c>
      <c r="E54" s="22"/>
      <c r="F54" s="22"/>
      <c r="G54" s="18" t="s">
        <v>228</v>
      </c>
      <c r="H54" s="6" t="str">
        <f t="shared" si="9"/>
        <v>ok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47" t="s">
        <v>229</v>
      </c>
      <c r="C58" s="5" t="str">
        <f>LOWER(D58)</f>
        <v>8855 wangen (sz)</v>
      </c>
      <c r="D58" s="22" t="s">
        <v>211</v>
      </c>
      <c r="E58" s="22"/>
      <c r="F58" s="22"/>
      <c r="G58" s="18" t="s">
        <v>230</v>
      </c>
      <c r="H58" s="6" t="str">
        <f>IF(G58=C58,"ok",IF(C58="","--","Not ok"))</f>
        <v>ok</v>
      </c>
    </row>
    <row r="59" spans="2:8" x14ac:dyDescent="0.25">
      <c r="B59" s="148"/>
      <c r="C59" s="5"/>
      <c r="D59" s="22" t="s">
        <v>4</v>
      </c>
      <c r="E59" s="22"/>
      <c r="F59" s="22"/>
      <c r="G59" s="18" t="s">
        <v>231</v>
      </c>
      <c r="H59" s="6" t="str">
        <f t="shared" ref="H59:H61" si="10">IF(G59=C59,"ok",IF(C59="","--","Not ok"))</f>
        <v>--</v>
      </c>
    </row>
    <row r="60" spans="2:8" x14ac:dyDescent="0.25">
      <c r="B60" s="148"/>
      <c r="C60" s="5"/>
      <c r="D60" s="22" t="s">
        <v>213</v>
      </c>
      <c r="E60" s="22"/>
      <c r="F60" s="22"/>
      <c r="G60" s="18" t="s">
        <v>232</v>
      </c>
      <c r="H60" s="6" t="str">
        <f t="shared" si="10"/>
        <v>--</v>
      </c>
    </row>
    <row r="61" spans="2:8" x14ac:dyDescent="0.25">
      <c r="B61" s="149"/>
      <c r="C61" s="5"/>
      <c r="D61" s="22" t="s">
        <v>212</v>
      </c>
      <c r="E61" s="22"/>
      <c r="F61" s="22"/>
      <c r="G61" s="18" t="s">
        <v>233</v>
      </c>
      <c r="H61" s="6" t="str">
        <f t="shared" si="10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47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8"/>
      <c r="C66" s="5"/>
      <c r="D66" s="22" t="s">
        <v>4</v>
      </c>
      <c r="E66" s="22"/>
      <c r="F66" s="22"/>
      <c r="G66" s="18" t="s">
        <v>236</v>
      </c>
      <c r="H66" s="6" t="str">
        <f t="shared" ref="H66:H68" si="11">IF(G66=C66,"ok",IF(C66="","--","Not ok"))</f>
        <v>--</v>
      </c>
    </row>
    <row r="67" spans="2:8" x14ac:dyDescent="0.25">
      <c r="B67" s="148"/>
      <c r="C67" s="5"/>
      <c r="D67" s="22" t="s">
        <v>213</v>
      </c>
      <c r="E67" s="22"/>
      <c r="F67" s="22"/>
      <c r="G67" s="18" t="s">
        <v>237</v>
      </c>
      <c r="H67" s="6" t="str">
        <f t="shared" si="11"/>
        <v>--</v>
      </c>
    </row>
    <row r="68" spans="2:8" x14ac:dyDescent="0.25">
      <c r="B68" s="149"/>
      <c r="C68" s="5"/>
      <c r="D68" s="22" t="s">
        <v>212</v>
      </c>
      <c r="E68" s="22"/>
      <c r="F68" s="22"/>
      <c r="G68" s="18" t="s">
        <v>238</v>
      </c>
      <c r="H68" s="6" t="str">
        <f t="shared" si="11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47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8"/>
      <c r="C73" s="5"/>
      <c r="D73" s="22" t="s">
        <v>4</v>
      </c>
      <c r="E73" s="22"/>
      <c r="F73" s="22"/>
      <c r="G73" s="18" t="s">
        <v>216</v>
      </c>
      <c r="H73" s="6" t="str">
        <f t="shared" ref="H73:H75" si="12">IF(G73=C73,"ok",IF(C73="","--","Not ok"))</f>
        <v>--</v>
      </c>
    </row>
    <row r="74" spans="2:8" x14ac:dyDescent="0.25">
      <c r="B74" s="148"/>
      <c r="C74" s="5"/>
      <c r="D74" s="22" t="s">
        <v>213</v>
      </c>
      <c r="E74" s="22"/>
      <c r="F74" s="22"/>
      <c r="G74" s="18" t="s">
        <v>241</v>
      </c>
      <c r="H74" s="6" t="str">
        <f t="shared" si="12"/>
        <v>--</v>
      </c>
    </row>
    <row r="75" spans="2:8" x14ac:dyDescent="0.25">
      <c r="B75" s="149"/>
      <c r="C75" s="5"/>
      <c r="D75" s="22" t="s">
        <v>212</v>
      </c>
      <c r="E75" s="22"/>
      <c r="F75" s="22"/>
      <c r="G75" s="18" t="s">
        <v>242</v>
      </c>
      <c r="H75" s="6" t="str">
        <f t="shared" si="12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47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8"/>
      <c r="C80" s="5"/>
      <c r="D80" s="22" t="s">
        <v>4</v>
      </c>
      <c r="E80" s="22"/>
      <c r="F80" s="22"/>
      <c r="G80" s="18">
        <v>14</v>
      </c>
      <c r="H80" s="6" t="str">
        <f t="shared" ref="H80:H82" si="13">IF(G80=C80,"ok",IF(C80="","--","Not ok"))</f>
        <v>--</v>
      </c>
    </row>
    <row r="81" spans="2:8" x14ac:dyDescent="0.25">
      <c r="B81" s="148"/>
      <c r="C81" s="5"/>
      <c r="D81" s="22" t="s">
        <v>213</v>
      </c>
      <c r="E81" s="22"/>
      <c r="F81" s="22"/>
      <c r="G81" s="18">
        <v>24</v>
      </c>
      <c r="H81" s="6" t="str">
        <f t="shared" si="13"/>
        <v>--</v>
      </c>
    </row>
    <row r="82" spans="2:8" x14ac:dyDescent="0.25">
      <c r="B82" s="149"/>
      <c r="C82" s="5"/>
      <c r="D82" s="22" t="s">
        <v>212</v>
      </c>
      <c r="E82" s="22"/>
      <c r="F82" s="22"/>
      <c r="G82" s="18">
        <v>23</v>
      </c>
      <c r="H82" s="6" t="str">
        <f t="shared" si="13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47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8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14">IF(G87=C87,"ok",IF(C87="","--","Not ok"))</f>
        <v>--</v>
      </c>
    </row>
    <row r="88" spans="2:8" x14ac:dyDescent="0.25">
      <c r="B88" s="148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14"/>
        <v>--</v>
      </c>
    </row>
    <row r="89" spans="2:8" x14ac:dyDescent="0.25">
      <c r="B89" s="149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14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47" t="s">
        <v>262</v>
      </c>
      <c r="C93" s="5"/>
      <c r="D93" s="73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8"/>
      <c r="C94" s="5"/>
      <c r="D94" s="22" t="s">
        <v>261</v>
      </c>
      <c r="E94" s="22"/>
      <c r="F94" s="22"/>
      <c r="G94" s="18" t="s">
        <v>268</v>
      </c>
      <c r="H94" s="6" t="str">
        <f t="shared" ref="H94:H96" si="15">IF(G94=C94,"ok",IF(C94="","--","Not ok"))</f>
        <v>--</v>
      </c>
    </row>
    <row r="95" spans="2:8" x14ac:dyDescent="0.25">
      <c r="B95" s="148"/>
      <c r="C95" s="5"/>
      <c r="D95" s="22" t="s">
        <v>265</v>
      </c>
      <c r="E95" s="22"/>
      <c r="F95" s="22"/>
      <c r="G95" s="18" t="s">
        <v>269</v>
      </c>
      <c r="H95" s="6" t="str">
        <f t="shared" si="15"/>
        <v>--</v>
      </c>
    </row>
    <row r="96" spans="2:8" x14ac:dyDescent="0.25">
      <c r="B96" s="149"/>
      <c r="C96" s="5"/>
      <c r="D96" s="22" t="s">
        <v>266</v>
      </c>
      <c r="E96" s="22"/>
      <c r="F96" s="22"/>
      <c r="G96" s="18" t="s">
        <v>270</v>
      </c>
      <c r="H96" s="6" t="str">
        <f t="shared" si="15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47" t="s">
        <v>276</v>
      </c>
      <c r="C100" s="5"/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8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6">IF(G101=C101,"ok",IF(C101="","--","Not ok"))</f>
        <v>--</v>
      </c>
    </row>
    <row r="102" spans="2:8" x14ac:dyDescent="0.25">
      <c r="B102" s="148"/>
      <c r="C102" s="5"/>
      <c r="D102" s="22" t="s">
        <v>265</v>
      </c>
      <c r="E102" s="22"/>
      <c r="F102" s="22"/>
      <c r="G102" s="18" t="s">
        <v>278</v>
      </c>
      <c r="H102" s="6" t="str">
        <f t="shared" si="16"/>
        <v>--</v>
      </c>
    </row>
    <row r="103" spans="2:8" x14ac:dyDescent="0.25">
      <c r="B103" s="149"/>
      <c r="C103" s="5"/>
      <c r="D103" s="22" t="s">
        <v>266</v>
      </c>
      <c r="E103" s="22"/>
      <c r="F103" s="22"/>
      <c r="G103" s="18" t="s">
        <v>277</v>
      </c>
      <c r="H103" s="6" t="str">
        <f t="shared" si="16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47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8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7">IF(G108=C108,"ok",IF(C108="","--","Not ok"))</f>
        <v>--</v>
      </c>
    </row>
    <row r="109" spans="2:8" x14ac:dyDescent="0.25">
      <c r="B109" s="148"/>
      <c r="C109" s="5"/>
      <c r="D109" s="22" t="s">
        <v>213</v>
      </c>
      <c r="E109" s="22"/>
      <c r="F109" s="22"/>
      <c r="G109" s="18" t="s">
        <v>274</v>
      </c>
      <c r="H109" s="6" t="str">
        <f t="shared" si="17"/>
        <v>--</v>
      </c>
    </row>
    <row r="110" spans="2:8" x14ac:dyDescent="0.25">
      <c r="B110" s="149"/>
      <c r="C110" s="5"/>
      <c r="D110" s="22" t="s">
        <v>212</v>
      </c>
      <c r="E110" s="22"/>
      <c r="F110" s="22"/>
      <c r="G110" s="18" t="s">
        <v>275</v>
      </c>
      <c r="H110" s="6" t="str">
        <f t="shared" si="17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B3" sqref="B3"/>
    </sheetView>
  </sheetViews>
  <sheetFormatPr baseColWidth="10" defaultColWidth="10.85546875" defaultRowHeight="15" x14ac:dyDescent="0.25"/>
  <cols>
    <col min="3" max="3" width="12" bestFit="1" customWidth="1"/>
  </cols>
  <sheetData>
    <row r="2" spans="2:23" ht="18.75" x14ac:dyDescent="0.3">
      <c r="B2" s="74" t="s">
        <v>386</v>
      </c>
    </row>
    <row r="9" spans="2:23" ht="15.75" thickBot="1" x14ac:dyDescent="0.3"/>
    <row r="10" spans="2:23" x14ac:dyDescent="0.25">
      <c r="B10" s="93" t="s">
        <v>279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4" t="s">
        <v>280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2"/>
      <c r="Q15" s="83"/>
      <c r="R15" s="83"/>
      <c r="S15" s="83"/>
      <c r="T15" s="83"/>
      <c r="U15" s="83"/>
      <c r="V15" s="83"/>
      <c r="W15" s="84"/>
    </row>
    <row r="16" spans="2:23" ht="18.75" x14ac:dyDescent="0.3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 x14ac:dyDescent="0.25">
      <c r="P17" s="85"/>
      <c r="Q17" s="87"/>
      <c r="R17" s="87"/>
      <c r="S17" s="87"/>
      <c r="T17" s="87"/>
      <c r="U17" s="87"/>
      <c r="V17" s="87"/>
      <c r="W17" s="88"/>
    </row>
    <row r="18" spans="16:23" x14ac:dyDescent="0.25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 x14ac:dyDescent="0.25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 x14ac:dyDescent="0.25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 x14ac:dyDescent="0.25">
      <c r="P21" s="85"/>
      <c r="Q21" s="87" t="s">
        <v>299</v>
      </c>
      <c r="R21" s="87"/>
      <c r="S21" s="87"/>
      <c r="T21" s="87"/>
      <c r="U21" s="87"/>
      <c r="V21" s="87" t="s">
        <v>48</v>
      </c>
      <c r="W21" s="88"/>
    </row>
    <row r="22" spans="16:23" x14ac:dyDescent="0.25">
      <c r="P22" s="85"/>
      <c r="Q22" s="87" t="s">
        <v>300</v>
      </c>
      <c r="R22" s="87"/>
      <c r="S22" s="87"/>
      <c r="T22" s="87"/>
      <c r="U22" s="87"/>
      <c r="V22" s="87" t="s">
        <v>48</v>
      </c>
      <c r="W22" s="88"/>
    </row>
    <row r="23" spans="16:23" x14ac:dyDescent="0.25">
      <c r="P23" s="85"/>
      <c r="Q23" s="87" t="s">
        <v>291</v>
      </c>
      <c r="R23" s="87"/>
      <c r="S23" s="87"/>
      <c r="T23" s="87"/>
      <c r="U23" s="87"/>
      <c r="V23" s="87" t="s">
        <v>48</v>
      </c>
      <c r="W23" s="88"/>
    </row>
    <row r="24" spans="16:23" x14ac:dyDescent="0.25">
      <c r="P24" s="85"/>
      <c r="Q24" s="87" t="s">
        <v>301</v>
      </c>
      <c r="R24" s="87"/>
      <c r="S24" s="87"/>
      <c r="T24" s="87"/>
      <c r="U24" s="87"/>
      <c r="V24" s="87" t="s">
        <v>48</v>
      </c>
      <c r="W24" s="88"/>
    </row>
    <row r="25" spans="16:23" x14ac:dyDescent="0.25">
      <c r="P25" s="85"/>
      <c r="Q25" s="87"/>
      <c r="R25" s="87"/>
      <c r="S25" s="87"/>
      <c r="T25" s="87"/>
      <c r="U25" s="87" t="s">
        <v>297</v>
      </c>
      <c r="V25" s="87">
        <f>COUNTIF(V18:V24,"&lt;&gt; ")</f>
        <v>7</v>
      </c>
      <c r="W25" s="88"/>
    </row>
    <row r="26" spans="16:23" ht="15.75" thickBot="1" x14ac:dyDescent="0.3">
      <c r="P26" s="85"/>
      <c r="Q26" s="87"/>
      <c r="R26" s="87"/>
      <c r="S26" s="87"/>
      <c r="T26" s="87"/>
      <c r="U26" s="89" t="s">
        <v>298</v>
      </c>
      <c r="V26" s="87">
        <f>COUNTIF(V18:V24,"=Ja")</f>
        <v>0</v>
      </c>
      <c r="W26" s="88"/>
    </row>
    <row r="27" spans="16:23" ht="15.75" thickBot="1" x14ac:dyDescent="0.3">
      <c r="P27" s="85"/>
      <c r="Q27" s="87"/>
      <c r="R27" s="87"/>
      <c r="S27" s="87"/>
      <c r="T27" s="87"/>
      <c r="U27" s="95" t="s">
        <v>13</v>
      </c>
      <c r="V27" s="96">
        <f>(5/V25)*V26+1</f>
        <v>1</v>
      </c>
      <c r="W27" s="88"/>
    </row>
    <row r="28" spans="16:23" x14ac:dyDescent="0.25">
      <c r="P28" s="85"/>
      <c r="Q28" s="87"/>
      <c r="R28" s="87"/>
      <c r="S28" s="87"/>
      <c r="T28" s="87"/>
      <c r="U28" s="87"/>
      <c r="V28" s="87"/>
      <c r="W28" s="88"/>
    </row>
    <row r="29" spans="16:23" ht="15.75" thickBot="1" x14ac:dyDescent="0.3">
      <c r="P29" s="90"/>
      <c r="Q29" s="91"/>
      <c r="R29" s="91"/>
      <c r="S29" s="91"/>
      <c r="T29" s="91"/>
      <c r="U29" s="91"/>
      <c r="V29" s="91"/>
      <c r="W29" s="9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0" sqref="H20"/>
    </sheetView>
  </sheetViews>
  <sheetFormatPr baseColWidth="10" defaultColWidth="10.85546875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4" t="s">
        <v>387</v>
      </c>
    </row>
    <row r="8" spans="2:23" ht="15.75" thickBot="1" x14ac:dyDescent="0.3"/>
    <row r="9" spans="2:23" ht="15.75" thickBot="1" x14ac:dyDescent="0.3">
      <c r="C9" s="80" t="s">
        <v>283</v>
      </c>
      <c r="D9" s="81">
        <v>2</v>
      </c>
    </row>
    <row r="10" spans="2:23" ht="15.75" thickBot="1" x14ac:dyDescent="0.3">
      <c r="B10" s="75" t="s">
        <v>279</v>
      </c>
      <c r="C10" s="78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6" t="s">
        <v>281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79"/>
    </row>
    <row r="12" spans="2:23" ht="15.75" thickBot="1" x14ac:dyDescent="0.3">
      <c r="B12" s="77" t="s">
        <v>282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2"/>
      <c r="Q15" s="83"/>
      <c r="R15" s="83"/>
      <c r="S15" s="83"/>
      <c r="T15" s="83"/>
      <c r="U15" s="83"/>
      <c r="V15" s="83"/>
      <c r="W15" s="84"/>
    </row>
    <row r="16" spans="2:23" ht="18.75" x14ac:dyDescent="0.3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 x14ac:dyDescent="0.25">
      <c r="P17" s="85"/>
      <c r="Q17" s="87"/>
      <c r="R17" s="87"/>
      <c r="S17" s="87"/>
      <c r="T17" s="87"/>
      <c r="U17" s="87"/>
      <c r="V17" s="87"/>
      <c r="W17" s="88"/>
    </row>
    <row r="18" spans="16:23" x14ac:dyDescent="0.25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 x14ac:dyDescent="0.25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 x14ac:dyDescent="0.25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 x14ac:dyDescent="0.25">
      <c r="P21" s="85"/>
      <c r="Q21" s="87" t="s">
        <v>288</v>
      </c>
      <c r="R21" s="87"/>
      <c r="S21" s="87"/>
      <c r="T21" s="87"/>
      <c r="U21" s="87"/>
      <c r="V21" s="87" t="s">
        <v>48</v>
      </c>
      <c r="W21" s="88"/>
    </row>
    <row r="22" spans="16:23" x14ac:dyDescent="0.25">
      <c r="P22" s="85"/>
      <c r="Q22" s="87" t="s">
        <v>289</v>
      </c>
      <c r="R22" s="87"/>
      <c r="S22" s="87"/>
      <c r="T22" s="87"/>
      <c r="U22" s="87"/>
      <c r="V22" s="87" t="s">
        <v>48</v>
      </c>
      <c r="W22" s="88"/>
    </row>
    <row r="23" spans="16:23" x14ac:dyDescent="0.25">
      <c r="P23" s="85"/>
      <c r="Q23" s="87" t="s">
        <v>290</v>
      </c>
      <c r="R23" s="87"/>
      <c r="S23" s="87"/>
      <c r="T23" s="87"/>
      <c r="U23" s="87"/>
      <c r="V23" s="87" t="s">
        <v>48</v>
      </c>
      <c r="W23" s="88"/>
    </row>
    <row r="24" spans="16:23" x14ac:dyDescent="0.25">
      <c r="P24" s="85"/>
      <c r="Q24" s="87" t="s">
        <v>291</v>
      </c>
      <c r="R24" s="87"/>
      <c r="S24" s="87"/>
      <c r="T24" s="87"/>
      <c r="U24" s="87"/>
      <c r="V24" s="87" t="s">
        <v>48</v>
      </c>
      <c r="W24" s="88"/>
    </row>
    <row r="25" spans="16:23" x14ac:dyDescent="0.25">
      <c r="P25" s="85"/>
      <c r="Q25" s="87" t="s">
        <v>292</v>
      </c>
      <c r="R25" s="87"/>
      <c r="S25" s="87"/>
      <c r="T25" s="87"/>
      <c r="U25" s="87"/>
      <c r="V25" s="87" t="s">
        <v>48</v>
      </c>
      <c r="W25" s="88"/>
    </row>
    <row r="26" spans="16:23" x14ac:dyDescent="0.25">
      <c r="P26" s="85"/>
      <c r="Q26" s="87" t="s">
        <v>293</v>
      </c>
      <c r="R26" s="87"/>
      <c r="S26" s="87"/>
      <c r="T26" s="87"/>
      <c r="U26" s="87"/>
      <c r="V26" s="87" t="s">
        <v>48</v>
      </c>
      <c r="W26" s="88"/>
    </row>
    <row r="27" spans="16:23" x14ac:dyDescent="0.25">
      <c r="P27" s="85"/>
      <c r="Q27" s="87" t="s">
        <v>294</v>
      </c>
      <c r="R27" s="87"/>
      <c r="S27" s="87"/>
      <c r="T27" s="87"/>
      <c r="U27" s="87"/>
      <c r="V27" s="87" t="s">
        <v>48</v>
      </c>
      <c r="W27" s="88"/>
    </row>
    <row r="28" spans="16:23" x14ac:dyDescent="0.25">
      <c r="P28" s="85"/>
      <c r="Q28" s="87" t="s">
        <v>295</v>
      </c>
      <c r="R28" s="87"/>
      <c r="S28" s="87"/>
      <c r="T28" s="87"/>
      <c r="U28" s="87"/>
      <c r="V28" s="87" t="s">
        <v>48</v>
      </c>
      <c r="W28" s="88"/>
    </row>
    <row r="29" spans="16:23" x14ac:dyDescent="0.25">
      <c r="P29" s="85"/>
      <c r="Q29" s="87"/>
      <c r="R29" s="87"/>
      <c r="S29" s="87"/>
      <c r="T29" s="87"/>
      <c r="U29" s="87" t="s">
        <v>297</v>
      </c>
      <c r="V29" s="87">
        <f>COUNTIF(V18:V28,"&lt;&gt; ")</f>
        <v>11</v>
      </c>
      <c r="W29" s="88"/>
    </row>
    <row r="30" spans="16:23" ht="15.75" thickBot="1" x14ac:dyDescent="0.3">
      <c r="P30" s="85"/>
      <c r="Q30" s="87"/>
      <c r="R30" s="87"/>
      <c r="S30" s="87"/>
      <c r="T30" s="87"/>
      <c r="U30" s="89" t="s">
        <v>298</v>
      </c>
      <c r="V30" s="87">
        <f>COUNTIF(V18:V28,"=Ja")</f>
        <v>0</v>
      </c>
      <c r="W30" s="88"/>
    </row>
    <row r="31" spans="16:23" ht="15.75" thickBot="1" x14ac:dyDescent="0.3">
      <c r="P31" s="85"/>
      <c r="Q31" s="87"/>
      <c r="R31" s="87"/>
      <c r="S31" s="87"/>
      <c r="T31" s="87"/>
      <c r="U31" s="95" t="s">
        <v>13</v>
      </c>
      <c r="V31" s="96">
        <f>(5/V29)*V30+1</f>
        <v>1</v>
      </c>
      <c r="W31" s="88"/>
    </row>
    <row r="32" spans="16:23" x14ac:dyDescent="0.25">
      <c r="P32" s="85"/>
      <c r="Q32" s="87"/>
      <c r="R32" s="87"/>
      <c r="S32" s="87"/>
      <c r="T32" s="87"/>
      <c r="U32" s="87"/>
      <c r="V32" s="87"/>
      <c r="W32" s="88"/>
    </row>
    <row r="33" spans="16:23" ht="15.75" thickBot="1" x14ac:dyDescent="0.3">
      <c r="P33" s="90"/>
      <c r="Q33" s="91"/>
      <c r="R33" s="91"/>
      <c r="S33" s="91"/>
      <c r="T33" s="91"/>
      <c r="U33" s="91"/>
      <c r="V33" s="91"/>
      <c r="W33" s="9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/>
  </sheetViews>
  <sheetFormatPr baseColWidth="10" defaultColWidth="10.85546875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4" t="s">
        <v>388</v>
      </c>
      <c r="L2" s="82"/>
      <c r="M2" s="83"/>
      <c r="N2" s="83"/>
      <c r="O2" s="83"/>
      <c r="P2" s="83"/>
      <c r="Q2" s="83"/>
      <c r="R2" s="83"/>
      <c r="S2" s="84"/>
    </row>
    <row r="3" spans="1:19" ht="18.75" x14ac:dyDescent="0.3">
      <c r="L3" s="85"/>
      <c r="M3" s="86" t="s">
        <v>285</v>
      </c>
      <c r="N3" s="87"/>
      <c r="O3" s="87"/>
      <c r="P3" s="87"/>
      <c r="Q3" s="87"/>
      <c r="R3" s="87"/>
      <c r="S3" s="88"/>
    </row>
    <row r="4" spans="1:19" x14ac:dyDescent="0.25">
      <c r="L4" s="85"/>
      <c r="M4" s="87"/>
      <c r="N4" s="87"/>
      <c r="O4" s="87"/>
      <c r="P4" s="87"/>
      <c r="Q4" s="87"/>
      <c r="R4" s="87"/>
      <c r="S4" s="88"/>
    </row>
    <row r="5" spans="1:19" x14ac:dyDescent="0.25">
      <c r="L5" s="85"/>
      <c r="M5" s="87" t="s">
        <v>296</v>
      </c>
      <c r="N5" s="87"/>
      <c r="O5" s="87"/>
      <c r="P5" s="87"/>
      <c r="Q5" s="87"/>
      <c r="R5" s="87" t="s">
        <v>48</v>
      </c>
      <c r="S5" s="88"/>
    </row>
    <row r="6" spans="1:19" x14ac:dyDescent="0.25">
      <c r="L6" s="85"/>
      <c r="M6" s="87" t="s">
        <v>303</v>
      </c>
      <c r="N6" s="87"/>
      <c r="O6" s="87"/>
      <c r="P6" s="87"/>
      <c r="Q6" s="87"/>
      <c r="R6" s="87" t="s">
        <v>48</v>
      </c>
      <c r="S6" s="88"/>
    </row>
    <row r="7" spans="1:19" x14ac:dyDescent="0.25">
      <c r="L7" s="85"/>
      <c r="M7" s="87" t="s">
        <v>304</v>
      </c>
      <c r="N7" s="87"/>
      <c r="O7" s="87"/>
      <c r="P7" s="87"/>
      <c r="Q7" s="87"/>
      <c r="R7" s="87" t="s">
        <v>48</v>
      </c>
      <c r="S7" s="88"/>
    </row>
    <row r="8" spans="1:19" x14ac:dyDescent="0.25">
      <c r="L8" s="85"/>
      <c r="M8" s="87" t="s">
        <v>305</v>
      </c>
      <c r="N8" s="87"/>
      <c r="O8" s="87"/>
      <c r="P8" s="87"/>
      <c r="Q8" s="87"/>
      <c r="R8" s="87" t="s">
        <v>48</v>
      </c>
      <c r="S8" s="88"/>
    </row>
    <row r="9" spans="1:19" x14ac:dyDescent="0.25">
      <c r="L9" s="85"/>
      <c r="M9" s="87" t="s">
        <v>306</v>
      </c>
      <c r="N9" s="87"/>
      <c r="O9" s="87"/>
      <c r="P9" s="87"/>
      <c r="Q9" s="87"/>
      <c r="R9" s="87" t="s">
        <v>48</v>
      </c>
      <c r="S9" s="88"/>
    </row>
    <row r="10" spans="1:19" x14ac:dyDescent="0.25">
      <c r="L10" s="85"/>
      <c r="M10" s="87" t="s">
        <v>307</v>
      </c>
      <c r="N10" s="87"/>
      <c r="O10" s="87"/>
      <c r="P10" s="87"/>
      <c r="Q10" s="87"/>
      <c r="R10" s="87" t="s">
        <v>48</v>
      </c>
      <c r="S10" s="88"/>
    </row>
    <row r="11" spans="1:19" x14ac:dyDescent="0.25">
      <c r="L11" s="85"/>
      <c r="M11" s="87" t="s">
        <v>308</v>
      </c>
      <c r="N11" s="87"/>
      <c r="O11" s="87"/>
      <c r="P11" s="87"/>
      <c r="Q11" s="87"/>
      <c r="R11" s="87" t="s">
        <v>48</v>
      </c>
      <c r="S11" s="88"/>
    </row>
    <row r="12" spans="1:19" x14ac:dyDescent="0.25">
      <c r="L12" s="85"/>
      <c r="M12" s="87" t="s">
        <v>309</v>
      </c>
      <c r="N12" s="87"/>
      <c r="O12" s="87"/>
      <c r="P12" s="87"/>
      <c r="Q12" s="87"/>
      <c r="R12" s="87" t="s">
        <v>48</v>
      </c>
      <c r="S12" s="88"/>
    </row>
    <row r="13" spans="1:19" x14ac:dyDescent="0.25">
      <c r="L13" s="85"/>
      <c r="M13" s="87" t="s">
        <v>310</v>
      </c>
      <c r="N13" s="87"/>
      <c r="O13" s="87"/>
      <c r="P13" s="87"/>
      <c r="Q13" s="87"/>
      <c r="R13" s="87" t="s">
        <v>48</v>
      </c>
      <c r="S13" s="88"/>
    </row>
    <row r="14" spans="1:19" x14ac:dyDescent="0.25">
      <c r="L14" s="85"/>
      <c r="M14" s="87"/>
      <c r="N14" s="87"/>
      <c r="O14" s="87"/>
      <c r="P14" s="87"/>
      <c r="Q14" s="87" t="s">
        <v>297</v>
      </c>
      <c r="R14" s="87">
        <f>COUNTIF(R5:R13,"&lt;&gt; ")</f>
        <v>9</v>
      </c>
      <c r="S14" s="88"/>
    </row>
    <row r="15" spans="1:19" ht="15.75" thickBot="1" x14ac:dyDescent="0.3">
      <c r="L15" s="85"/>
      <c r="M15" s="87"/>
      <c r="N15" s="87"/>
      <c r="O15" s="87"/>
      <c r="P15" s="87"/>
      <c r="Q15" s="89" t="s">
        <v>298</v>
      </c>
      <c r="R15" s="87">
        <f>COUNTIF(R5:R13,"=Ja")</f>
        <v>0</v>
      </c>
      <c r="S15" s="88"/>
    </row>
    <row r="16" spans="1:19" ht="15.75" thickBot="1" x14ac:dyDescent="0.3">
      <c r="L16" s="85"/>
      <c r="M16" s="87"/>
      <c r="N16" s="87"/>
      <c r="O16" s="87"/>
      <c r="P16" s="87"/>
      <c r="Q16" s="95" t="s">
        <v>13</v>
      </c>
      <c r="R16" s="96">
        <f>(5/R14)*R15+1</f>
        <v>1</v>
      </c>
      <c r="S16" s="88"/>
    </row>
    <row r="17" spans="1:19" x14ac:dyDescent="0.25">
      <c r="L17" s="85"/>
      <c r="M17" s="87"/>
      <c r="N17" s="87"/>
      <c r="O17" s="87"/>
      <c r="P17" s="87"/>
      <c r="Q17" s="87"/>
      <c r="R17" s="87"/>
      <c r="S17" s="88"/>
    </row>
    <row r="18" spans="1:19" ht="15.75" thickBot="1" x14ac:dyDescent="0.3">
      <c r="L18" s="90"/>
      <c r="M18" s="91"/>
      <c r="N18" s="91"/>
      <c r="O18" s="91"/>
      <c r="P18" s="91"/>
      <c r="Q18" s="91"/>
      <c r="R18" s="91"/>
      <c r="S18" s="92"/>
    </row>
    <row r="22" spans="1:19" x14ac:dyDescent="0.25">
      <c r="A22" s="129"/>
      <c r="B22" s="38"/>
      <c r="C22" s="38"/>
      <c r="D22" s="38"/>
      <c r="E22" s="38"/>
      <c r="F22" s="38"/>
      <c r="G22" s="38"/>
      <c r="H22" s="38"/>
      <c r="I22" s="38"/>
      <c r="J22" s="38"/>
      <c r="L22" s="97" t="s">
        <v>311</v>
      </c>
    </row>
    <row r="23" spans="1:19" x14ac:dyDescent="0.25">
      <c r="A23" s="128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28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28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28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28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28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28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28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28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28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28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28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28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28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28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28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28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98"/>
      <c r="N39" s="38"/>
      <c r="O39" s="38"/>
      <c r="P39" s="38"/>
      <c r="Q39" s="38"/>
      <c r="R39" s="38"/>
      <c r="S39" s="38"/>
    </row>
    <row r="40" spans="1:19" x14ac:dyDescent="0.25">
      <c r="A40" s="128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28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28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28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28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28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28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28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28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28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28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28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99"/>
      <c r="R51" s="38"/>
      <c r="S51" s="38"/>
    </row>
    <row r="52" spans="1:19" x14ac:dyDescent="0.25">
      <c r="A52" s="128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99"/>
      <c r="R52" s="100"/>
      <c r="S52" s="38"/>
    </row>
    <row r="53" spans="1:19" x14ac:dyDescent="0.25">
      <c r="A53" s="128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28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28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28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28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28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28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28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28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28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28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28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28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28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28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28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28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28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28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28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28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28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28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28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28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28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28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28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28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28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28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28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28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28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28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28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28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28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28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28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28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28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28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28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28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28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28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28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28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28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28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28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28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28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28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28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28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28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28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28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28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28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28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28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28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28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28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28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28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28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28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28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28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28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28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28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28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28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28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28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28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28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28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28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28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28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28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28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28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28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28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28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28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28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28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28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28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28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28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28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28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28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28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28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28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28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28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28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28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28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28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28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28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28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28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28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28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28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28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28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28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28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28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28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28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28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28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28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28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28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28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28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28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28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28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28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28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28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28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28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28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28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28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28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28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28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28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28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28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28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28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28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28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28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28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28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28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28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28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28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28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28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28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28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28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28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28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28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28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28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28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28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28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28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28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28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28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28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28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28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28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28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28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28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28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28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28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28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28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28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28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28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28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28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28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28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28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28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28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28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28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28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28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28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28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28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28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28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28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28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28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28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28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28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28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28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28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28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28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28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28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28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28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28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28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28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28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dataValidations count="1">
    <dataValidation type="list" allowBlank="1" showInputMessage="1" showErrorMessage="1" sqref="R5:R13">
      <formula1>$J$102:$J$103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tabSelected="1" zoomScale="85" zoomScaleNormal="85" workbookViewId="0">
      <selection activeCell="F30" sqref="F30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389</v>
      </c>
      <c r="E2" s="7"/>
      <c r="F2" s="8"/>
      <c r="G2" s="8"/>
      <c r="H2" s="9"/>
      <c r="K2" s="82"/>
      <c r="L2" s="83"/>
      <c r="M2" s="83"/>
      <c r="N2" s="83"/>
      <c r="O2" s="83"/>
      <c r="P2" s="83"/>
      <c r="Q2" s="83"/>
      <c r="R2" s="84"/>
    </row>
    <row r="3" spans="2:18" ht="19.5" thickBot="1" x14ac:dyDescent="0.35">
      <c r="E3" s="13" t="s">
        <v>12</v>
      </c>
      <c r="F3" s="11"/>
      <c r="G3" s="11"/>
      <c r="H3" s="12"/>
      <c r="I3" s="17"/>
      <c r="K3" s="85"/>
      <c r="L3" s="86" t="s">
        <v>285</v>
      </c>
      <c r="M3" s="87"/>
      <c r="N3" s="87"/>
      <c r="O3" s="87"/>
      <c r="P3" s="87"/>
      <c r="Q3" s="87"/>
      <c r="R3" s="88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5"/>
      <c r="L4" s="87"/>
      <c r="M4" s="87"/>
      <c r="N4" s="87"/>
      <c r="O4" s="87"/>
      <c r="P4" s="87"/>
      <c r="Q4" s="87"/>
      <c r="R4" s="88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5"/>
      <c r="L5" s="87" t="s">
        <v>296</v>
      </c>
      <c r="M5" s="87"/>
      <c r="N5" s="87"/>
      <c r="O5" s="87"/>
      <c r="P5" s="87"/>
      <c r="Q5" s="87" t="s">
        <v>48</v>
      </c>
      <c r="R5" s="88"/>
    </row>
    <row r="6" spans="2:18" x14ac:dyDescent="0.25">
      <c r="E6" s="10"/>
      <c r="F6" s="47" t="s">
        <v>328</v>
      </c>
      <c r="G6" s="48">
        <f ca="1">COUNTIF(I34:I69,"=--")</f>
        <v>26</v>
      </c>
      <c r="H6" s="12"/>
      <c r="K6" s="85"/>
      <c r="L6" s="87" t="s">
        <v>312</v>
      </c>
      <c r="M6" s="87"/>
      <c r="N6" s="87"/>
      <c r="O6" s="87"/>
      <c r="P6" s="87"/>
      <c r="Q6" s="87" t="s">
        <v>48</v>
      </c>
      <c r="R6" s="88"/>
    </row>
    <row r="7" spans="2:18" ht="15.75" thickBot="1" x14ac:dyDescent="0.3">
      <c r="E7" s="10"/>
      <c r="F7" s="50" t="s">
        <v>314</v>
      </c>
      <c r="G7" s="104">
        <f ca="1">IF(G4+G5+G6&gt;0,ROUNDDOWN(((5*G4)/(G4+G5+G6))+1,1),"Not defined")</f>
        <v>1</v>
      </c>
      <c r="H7" s="12"/>
      <c r="K7" s="85"/>
      <c r="L7" s="87" t="s">
        <v>313</v>
      </c>
      <c r="M7" s="87"/>
      <c r="N7" s="87"/>
      <c r="O7" s="87"/>
      <c r="P7" s="87"/>
      <c r="Q7" s="87" t="s">
        <v>48</v>
      </c>
      <c r="R7" s="88"/>
    </row>
    <row r="8" spans="2:18" x14ac:dyDescent="0.25">
      <c r="E8" s="10"/>
      <c r="F8" s="11"/>
      <c r="G8" s="11"/>
      <c r="H8" s="12"/>
      <c r="K8" s="85"/>
      <c r="L8" s="87" t="s">
        <v>315</v>
      </c>
      <c r="M8" s="87"/>
      <c r="N8" s="87"/>
      <c r="O8" s="87"/>
      <c r="P8" s="87"/>
      <c r="Q8" s="87" t="s">
        <v>48</v>
      </c>
      <c r="R8" s="88"/>
    </row>
    <row r="9" spans="2:18" x14ac:dyDescent="0.25">
      <c r="E9" s="10"/>
      <c r="F9" s="11"/>
      <c r="G9" s="11"/>
      <c r="H9" s="12"/>
      <c r="K9" s="85"/>
      <c r="L9" s="87" t="s">
        <v>316</v>
      </c>
      <c r="M9" s="87"/>
      <c r="N9" s="87"/>
      <c r="O9" s="87"/>
      <c r="P9" s="87"/>
      <c r="Q9" s="87" t="s">
        <v>48</v>
      </c>
      <c r="R9" s="88"/>
    </row>
    <row r="10" spans="2:18" x14ac:dyDescent="0.25">
      <c r="E10" s="10"/>
      <c r="F10" s="11"/>
      <c r="G10" s="11"/>
      <c r="H10" s="12"/>
      <c r="K10" s="85"/>
      <c r="L10" s="87" t="s">
        <v>317</v>
      </c>
      <c r="M10" s="87"/>
      <c r="N10" s="87"/>
      <c r="O10" s="87"/>
      <c r="P10" s="87"/>
      <c r="Q10" s="87" t="s">
        <v>48</v>
      </c>
      <c r="R10" s="88"/>
    </row>
    <row r="11" spans="2:18" ht="15.75" thickBot="1" x14ac:dyDescent="0.3">
      <c r="E11" s="14"/>
      <c r="F11" s="15"/>
      <c r="G11" s="15"/>
      <c r="H11" s="16"/>
      <c r="K11" s="85"/>
      <c r="L11" s="87" t="s">
        <v>319</v>
      </c>
      <c r="M11" s="87"/>
      <c r="N11" s="87"/>
      <c r="O11" s="87"/>
      <c r="P11" s="87"/>
      <c r="Q11" s="87" t="s">
        <v>48</v>
      </c>
      <c r="R11" s="88"/>
    </row>
    <row r="12" spans="2:18" x14ac:dyDescent="0.25">
      <c r="E12" s="38"/>
      <c r="F12" s="38"/>
      <c r="G12" s="38"/>
      <c r="H12" s="38"/>
      <c r="K12" s="85"/>
      <c r="L12" s="87" t="s">
        <v>318</v>
      </c>
      <c r="M12" s="87"/>
      <c r="N12" s="87"/>
      <c r="O12" s="87"/>
      <c r="P12" s="87"/>
      <c r="Q12" s="87" t="s">
        <v>48</v>
      </c>
      <c r="R12" s="88"/>
    </row>
    <row r="13" spans="2:18" x14ac:dyDescent="0.25">
      <c r="E13" s="38"/>
      <c r="F13" s="38"/>
      <c r="G13" s="38"/>
      <c r="H13" s="38"/>
      <c r="K13" s="85"/>
      <c r="L13" s="87" t="s">
        <v>320</v>
      </c>
      <c r="M13" s="87"/>
      <c r="N13" s="87"/>
      <c r="O13" s="87"/>
      <c r="P13" s="87"/>
      <c r="Q13" s="87" t="s">
        <v>48</v>
      </c>
      <c r="R13" s="88"/>
    </row>
    <row r="14" spans="2:18" ht="15.75" thickBot="1" x14ac:dyDescent="0.3">
      <c r="E14" s="38"/>
      <c r="F14" s="38"/>
      <c r="G14" s="38"/>
      <c r="H14" s="38"/>
      <c r="K14" s="85"/>
      <c r="L14" s="87"/>
      <c r="M14" s="87"/>
      <c r="N14" s="87"/>
      <c r="O14" s="87"/>
      <c r="P14" s="87" t="s">
        <v>297</v>
      </c>
      <c r="Q14" s="87">
        <f>COUNTIF(Q5:Q13,"&lt;&gt; ")</f>
        <v>9</v>
      </c>
      <c r="R14" s="88"/>
    </row>
    <row r="15" spans="2:18" ht="21.75" thickBot="1" x14ac:dyDescent="0.4">
      <c r="E15" s="38"/>
      <c r="F15" s="38"/>
      <c r="G15" s="38"/>
      <c r="H15" s="38"/>
      <c r="K15" s="85"/>
      <c r="L15" s="101"/>
      <c r="M15" s="87"/>
      <c r="N15" s="102" t="s">
        <v>321</v>
      </c>
      <c r="O15" s="87"/>
      <c r="P15" s="89" t="s">
        <v>298</v>
      </c>
      <c r="Q15" s="87">
        <f>COUNTIF(Q5:Q13,"=Ja")</f>
        <v>0</v>
      </c>
      <c r="R15" s="88"/>
    </row>
    <row r="16" spans="2:18" ht="21.75" thickBot="1" x14ac:dyDescent="0.4">
      <c r="E16" s="38"/>
      <c r="F16" s="38"/>
      <c r="G16" s="38"/>
      <c r="H16" s="38"/>
      <c r="K16" s="85"/>
      <c r="L16" s="87"/>
      <c r="M16" s="87">
        <f ca="1">(G7-1.5) + (Q16/4)</f>
        <v>-0.25</v>
      </c>
      <c r="N16" s="103">
        <f ca="1">IF(M16&lt;1,1,M16)</f>
        <v>1</v>
      </c>
      <c r="O16" s="87"/>
      <c r="P16" s="95" t="s">
        <v>314</v>
      </c>
      <c r="Q16" s="96">
        <f>(5/Q14)*Q15+1</f>
        <v>1</v>
      </c>
      <c r="R16" s="88"/>
    </row>
    <row r="17" spans="5:18" x14ac:dyDescent="0.25">
      <c r="E17" s="38"/>
      <c r="F17" s="38"/>
      <c r="G17" s="38"/>
      <c r="H17" s="38"/>
      <c r="K17" s="85"/>
      <c r="L17" s="87"/>
      <c r="M17" s="87"/>
      <c r="N17" s="87"/>
      <c r="O17" s="87"/>
      <c r="P17" s="87"/>
      <c r="Q17" s="87"/>
      <c r="R17" s="88"/>
    </row>
    <row r="18" spans="5:18" ht="15.75" thickBot="1" x14ac:dyDescent="0.3">
      <c r="E18" s="38"/>
      <c r="F18" s="38"/>
      <c r="G18" s="38"/>
      <c r="H18" s="38"/>
      <c r="K18" s="90"/>
      <c r="L18" s="91"/>
      <c r="M18" s="91"/>
      <c r="N18" s="91"/>
      <c r="O18" s="91"/>
      <c r="P18" s="91"/>
      <c r="Q18" s="91"/>
      <c r="R18" s="92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380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 x14ac:dyDescent="0.25">
      <c r="B42" s="4" t="s">
        <v>381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2021-09-29T05:01:49Z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