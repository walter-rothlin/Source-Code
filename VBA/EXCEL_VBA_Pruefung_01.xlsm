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 activeTab="1"/>
  </bookViews>
  <sheets>
    <sheet name="Aufgaben" sheetId="2" r:id="rId1"/>
    <sheet name="VBA_Programmierung" sheetId="44" r:id="rId2"/>
  </sheets>
  <functionGroups builtInGroupCount="18"/>
  <calcPr calcId="152511"/>
</workbook>
</file>

<file path=xl/calcChain.xml><?xml version="1.0" encoding="utf-8"?>
<calcChain xmlns="http://schemas.openxmlformats.org/spreadsheetml/2006/main">
  <c r="C35" i="44" l="1"/>
  <c r="C71" i="44"/>
  <c r="C72" i="44"/>
  <c r="C73" i="44"/>
  <c r="C65" i="44"/>
  <c r="C66" i="44"/>
  <c r="C67" i="44"/>
  <c r="C57" i="44"/>
  <c r="H57" i="44" s="1"/>
  <c r="C61" i="44"/>
  <c r="H61" i="44" s="1"/>
  <c r="C58" i="44"/>
  <c r="H58" i="44" s="1"/>
  <c r="C60" i="44"/>
  <c r="H60" i="44" s="1"/>
  <c r="C59" i="44"/>
  <c r="H59" i="44" s="1"/>
  <c r="C56" i="44"/>
  <c r="H56" i="44" s="1"/>
  <c r="H72" i="44" l="1"/>
  <c r="H71" i="44"/>
  <c r="H73" i="44"/>
  <c r="C49" i="44"/>
  <c r="C50" i="44"/>
  <c r="C53" i="44"/>
  <c r="C51" i="44"/>
  <c r="C52" i="44"/>
  <c r="C40" i="44"/>
  <c r="C41" i="44"/>
  <c r="C45" i="44"/>
  <c r="C42" i="44"/>
  <c r="C46" i="44"/>
  <c r="C43" i="44"/>
  <c r="C44" i="44"/>
  <c r="C36" i="44"/>
  <c r="C37" i="44"/>
  <c r="H52" i="44" l="1"/>
  <c r="H51" i="44"/>
  <c r="H53" i="44"/>
  <c r="H50" i="44"/>
  <c r="H49" i="44"/>
  <c r="I66" i="44" l="1"/>
  <c r="I65" i="44"/>
  <c r="I67" i="44"/>
  <c r="I61" i="44"/>
  <c r="I56" i="44"/>
  <c r="I59" i="44"/>
  <c r="I60" i="44"/>
  <c r="I50" i="44"/>
  <c r="I52" i="44"/>
  <c r="I53" i="44"/>
  <c r="I51" i="44"/>
  <c r="I49" i="44"/>
  <c r="I44" i="44"/>
  <c r="I43" i="44"/>
  <c r="I41" i="44"/>
  <c r="I46" i="44"/>
  <c r="I45" i="44"/>
  <c r="I40" i="44"/>
  <c r="I42" i="44"/>
  <c r="I36" i="44"/>
  <c r="I37" i="44"/>
  <c r="I35" i="44"/>
  <c r="H36" i="44"/>
  <c r="H35" i="44"/>
  <c r="H66" i="44"/>
  <c r="H65" i="44"/>
  <c r="H67" i="44"/>
  <c r="H37" i="44"/>
  <c r="H41" i="44"/>
  <c r="H45" i="44"/>
  <c r="H42" i="44"/>
  <c r="H40" i="44"/>
  <c r="H44" i="44"/>
  <c r="H46" i="44"/>
  <c r="H43" i="44"/>
  <c r="G4" i="44" l="1"/>
  <c r="G6" i="44"/>
  <c r="G5" i="44"/>
  <c r="G7" i="44" l="1"/>
</calcChain>
</file>

<file path=xl/comments1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 xml:space="preserve">Analysieren Sie die Testfälle und implementieren Sie die Function.
</t>
        </r>
      </text>
    </comment>
    <comment ref="B40" authorId="0" shapeId="0">
      <text>
        <r>
          <rPr>
            <sz val="11"/>
            <color indexed="81"/>
            <rFont val="Segoe UI"/>
            <family val="2"/>
          </rPr>
          <t xml:space="preserve">Die Fct berechnet das Bogenmass eines Winkels nach folgender Formel:  </t>
        </r>
        <r>
          <rPr>
            <b/>
            <sz val="11"/>
            <color indexed="81"/>
            <rFont val="Segoe UI"/>
            <family val="2"/>
          </rPr>
          <t>Radianten = 3.1415 * GradWert / 180</t>
        </r>
        <r>
          <rPr>
            <sz val="11"/>
            <color indexed="81"/>
            <rFont val="Segoe UI"/>
            <family val="2"/>
          </rPr>
          <t xml:space="preserve">
</t>
        </r>
      </text>
    </comment>
    <comment ref="B49" authorId="0" shapeId="0">
      <text>
        <r>
          <rPr>
            <sz val="11"/>
            <color indexed="81"/>
            <rFont val="Segoe UI"/>
            <family val="2"/>
          </rPr>
          <t>Die Fct gibt die beiden Anfangsbuchstaben mit einem . zurück.</t>
        </r>
      </text>
    </comment>
    <comment ref="B56" authorId="0" shapeId="0">
      <text>
        <r>
          <rPr>
            <sz val="11"/>
            <color indexed="81"/>
            <rFont val="Segoe UI"/>
            <family val="2"/>
          </rPr>
          <t>Berechnet das Volumen eines Quaders nach der Formel:  V = l * b * h
Ist h = 0 oder wird nicht beim Fct Aufruf übergeben wird h = l
Ist b = 0 oder wird nicht beim Fct Aufruf übergeben wird b = l</t>
        </r>
      </text>
    </comment>
    <comment ref="B65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</t>
        </r>
      </text>
    </comment>
    <comment ref="B71" authorId="0" shapeId="0">
      <text>
        <r>
          <rPr>
            <sz val="11"/>
            <color indexed="81"/>
            <rFont val="Segoe UI"/>
            <family val="2"/>
          </rPr>
          <t xml:space="preserve">Die Fct summiert die Zahlen von 1 bis EndNummer.
</t>
        </r>
      </text>
    </comment>
  </commentList>
</comments>
</file>

<file path=xl/sharedStrings.xml><?xml version="1.0" encoding="utf-8"?>
<sst xmlns="http://schemas.openxmlformats.org/spreadsheetml/2006/main" count="105" uniqueCount="85">
  <si>
    <t>Aufgabenstellung</t>
  </si>
  <si>
    <t>Function-Test</t>
  </si>
  <si>
    <t>Richtig / Falsch</t>
  </si>
  <si>
    <t>Erwartet</t>
  </si>
  <si>
    <t>Anzahl ok:</t>
  </si>
  <si>
    <t>Anzahl Not ok:</t>
  </si>
  <si>
    <t>Test-Statistik</t>
  </si>
  <si>
    <t>Vorname</t>
  </si>
  <si>
    <t>Nachname</t>
  </si>
  <si>
    <t>Land</t>
  </si>
  <si>
    <t>PLZ</t>
  </si>
  <si>
    <t>Ort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</si>
  <si>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</si>
  <si>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</si>
  <si>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</si>
  <si>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</si>
  <si>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</si>
  <si>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</si>
  <si>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</si>
  <si>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</si>
  <si>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</si>
  <si>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Ja</t>
  </si>
  <si>
    <t>Nein</t>
  </si>
  <si>
    <t>Claudia</t>
  </si>
  <si>
    <t>Meier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</si>
  <si>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</si>
  <si>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</si>
  <si>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</si>
  <si>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</si>
  <si>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</si>
  <si>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</si>
  <si>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</si>
  <si>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</si>
  <si>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</si>
  <si>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</si>
  <si>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</si>
  <si>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</si>
  <si>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</si>
  <si>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</si>
  <si>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</si>
  <si>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Max</t>
  </si>
  <si>
    <t>Teil-Note:</t>
  </si>
  <si>
    <t>Laenge</t>
  </si>
  <si>
    <t>Breite</t>
  </si>
  <si>
    <t>Anzahl --:</t>
  </si>
  <si>
    <t>Bewertet von:</t>
  </si>
  <si>
    <t xml:space="preserve"> Name</t>
  </si>
  <si>
    <t>Lead</t>
  </si>
  <si>
    <t>2.Beurteiler</t>
  </si>
  <si>
    <t>Funktionen in VBA programmieren</t>
  </si>
  <si>
    <t>V3.1</t>
  </si>
  <si>
    <t>SagHallo</t>
  </si>
  <si>
    <t>Anrede</t>
  </si>
  <si>
    <t>Liebe</t>
  </si>
  <si>
    <t>Sarah</t>
  </si>
  <si>
    <t>Hoi</t>
  </si>
  <si>
    <t>Franz</t>
  </si>
  <si>
    <t>Guten Morgen</t>
  </si>
  <si>
    <t>Michaela</t>
  </si>
  <si>
    <t>Liebe Sarah,</t>
  </si>
  <si>
    <t>Hoi Franz,</t>
  </si>
  <si>
    <t>Guten Morgen Michaela,</t>
  </si>
  <si>
    <t>GetInitialen</t>
  </si>
  <si>
    <t>GradToRad</t>
  </si>
  <si>
    <t>Grad</t>
  </si>
  <si>
    <t>Collet</t>
  </si>
  <si>
    <t>Rosmarie</t>
  </si>
  <si>
    <t>maria</t>
  </si>
  <si>
    <t>fritsche</t>
  </si>
  <si>
    <t>Paul</t>
  </si>
  <si>
    <t>keller</t>
  </si>
  <si>
    <t>M.M.</t>
  </si>
  <si>
    <t>C.C.</t>
  </si>
  <si>
    <t>R.M.</t>
  </si>
  <si>
    <t>M.F.</t>
  </si>
  <si>
    <t>P.K.</t>
  </si>
  <si>
    <t>Function (string)</t>
  </si>
  <si>
    <t>Function (Math)</t>
  </si>
  <si>
    <t>Function (String)</t>
  </si>
  <si>
    <t>CalcQuaderVolumen</t>
  </si>
  <si>
    <t>Höhe</t>
  </si>
  <si>
    <t>Function (Algorithmus)</t>
  </si>
  <si>
    <t>OrtFuerAdressLabel</t>
  </si>
  <si>
    <t>AddNummern</t>
  </si>
  <si>
    <t>EndNummer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</si>
</sst>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65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34" borderId="10" xfId="0" quotePrefix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Fill="1" applyBorder="1"/>
    <xf numFmtId="0" fontId="0" fillId="35" borderId="19" xfId="0" applyFill="1" applyBorder="1" applyAlignment="1">
      <alignment horizontal="right"/>
    </xf>
    <xf numFmtId="0" fontId="0" fillId="35" borderId="21" xfId="0" applyFill="1" applyBorder="1" applyAlignment="1">
      <alignment horizontal="left"/>
    </xf>
    <xf numFmtId="0" fontId="0" fillId="35" borderId="22" xfId="0" applyFill="1" applyBorder="1" applyAlignment="1">
      <alignment horizontal="right"/>
    </xf>
    <xf numFmtId="0" fontId="0" fillId="35" borderId="23" xfId="0" applyFill="1" applyBorder="1" applyAlignment="1">
      <alignment horizontal="left"/>
    </xf>
    <xf numFmtId="0" fontId="0" fillId="35" borderId="24" xfId="0" applyFill="1" applyBorder="1" applyAlignment="1">
      <alignment horizontal="right"/>
    </xf>
    <xf numFmtId="0" fontId="25" fillId="0" borderId="0" xfId="0" applyFont="1"/>
    <xf numFmtId="0" fontId="0" fillId="33" borderId="33" xfId="0" applyFill="1" applyBorder="1"/>
    <xf numFmtId="0" fontId="0" fillId="0" borderId="34" xfId="0" applyBorder="1"/>
    <xf numFmtId="0" fontId="0" fillId="0" borderId="32" xfId="0" applyBorder="1"/>
    <xf numFmtId="0" fontId="0" fillId="36" borderId="31" xfId="0" applyFill="1" applyBorder="1"/>
    <xf numFmtId="0" fontId="27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0" fillId="35" borderId="26" xfId="0" applyNumberFormat="1" applyFill="1" applyBorder="1" applyAlignment="1">
      <alignment horizontal="left"/>
    </xf>
    <xf numFmtId="164" fontId="0" fillId="0" borderId="0" xfId="0" applyNumberFormat="1"/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0" fontId="0" fillId="37" borderId="24" xfId="0" applyFill="1" applyBorder="1"/>
    <xf numFmtId="0" fontId="28" fillId="0" borderId="0" xfId="0" applyFont="1" applyFill="1" applyBorder="1" applyAlignment="1">
      <alignment horizontal="right"/>
    </xf>
    <xf numFmtId="164" fontId="28" fillId="0" borderId="0" xfId="0" applyNumberFormat="1" applyFont="1" applyFill="1" applyBorder="1" applyAlignment="1">
      <alignment horizontal="left"/>
    </xf>
    <xf numFmtId="164" fontId="29" fillId="0" borderId="0" xfId="0" applyNumberFormat="1" applyFont="1" applyFill="1" applyBorder="1"/>
    <xf numFmtId="0" fontId="28" fillId="0" borderId="0" xfId="0" applyFont="1" applyFill="1" applyBorder="1" applyAlignment="1">
      <alignment horizontal="center"/>
    </xf>
    <xf numFmtId="164" fontId="29" fillId="0" borderId="0" xfId="0" applyNumberFormat="1" applyFont="1" applyFill="1" applyBorder="1" applyAlignment="1">
      <alignment horizontal="center"/>
    </xf>
    <xf numFmtId="0" fontId="26" fillId="0" borderId="0" xfId="0" applyFont="1" applyFill="1" applyBorder="1"/>
    <xf numFmtId="0" fontId="24" fillId="0" borderId="0" xfId="42" applyFill="1" applyBorder="1" applyAlignment="1"/>
    <xf numFmtId="0" fontId="0" fillId="0" borderId="0" xfId="0" applyFill="1" applyBorder="1" applyAlignment="1"/>
    <xf numFmtId="16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0" fontId="24" fillId="0" borderId="0" xfId="42" applyFill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"/>
      <tableStyleElement type="headerRow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661143</xdr:colOff>
      <xdr:row>3</xdr:row>
      <xdr:rowOff>7464</xdr:rowOff>
    </xdr:from>
    <xdr:ext cx="11452413" cy="2017060"/>
    <xdr:sp macro="" textlink="">
      <xdr:nvSpPr>
        <xdr:cNvPr id="4" name="Textfeld 3"/>
        <xdr:cNvSpPr txBox="1"/>
      </xdr:nvSpPr>
      <xdr:spPr>
        <a:xfrm>
          <a:off x="661143" y="679817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Walter_Rothlin_2022_03_24.xlsm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dem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keine Felder in diesem Excel-File, nur im Module "Ihre Loesungen"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11207</xdr:colOff>
      <xdr:row>12</xdr:row>
      <xdr:rowOff>11203</xdr:rowOff>
    </xdr:from>
    <xdr:ext cx="11127442" cy="3059205"/>
    <xdr:sp macro="" textlink="">
      <xdr:nvSpPr>
        <xdr:cNvPr id="2" name="Textfeld 1"/>
        <xdr:cNvSpPr txBox="1"/>
      </xdr:nvSpPr>
      <xdr:spPr>
        <a:xfrm>
          <a:off x="392207" y="2487703"/>
          <a:ext cx="11127442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zoomScale="85" zoomScaleNormal="85" workbookViewId="0">
      <selection activeCell="N27" sqref="N27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50</v>
      </c>
    </row>
    <row r="4" spans="2:6" ht="15.75" thickBot="1" x14ac:dyDescent="0.3"/>
    <row r="5" spans="2:6" ht="15.75" thickBot="1" x14ac:dyDescent="0.3">
      <c r="B5" s="28"/>
      <c r="C5" s="29"/>
    </row>
    <row r="6" spans="2:6" x14ac:dyDescent="0.25">
      <c r="B6" s="30"/>
      <c r="C6" s="31"/>
    </row>
    <row r="18" spans="2:13" ht="15.75" thickBot="1" x14ac:dyDescent="0.3"/>
    <row r="19" spans="2:13" x14ac:dyDescent="0.25">
      <c r="K19" s="48" t="s">
        <v>45</v>
      </c>
      <c r="L19" s="49" t="s">
        <v>46</v>
      </c>
      <c r="M19" s="50" t="s">
        <v>7</v>
      </c>
    </row>
    <row r="20" spans="2:13" x14ac:dyDescent="0.25">
      <c r="K20" s="51" t="s">
        <v>47</v>
      </c>
      <c r="L20" s="4"/>
      <c r="M20" s="24"/>
    </row>
    <row r="21" spans="2:13" ht="15.75" thickBot="1" x14ac:dyDescent="0.3">
      <c r="K21" s="52" t="s">
        <v>48</v>
      </c>
      <c r="L21" s="25"/>
      <c r="M21" s="26"/>
    </row>
    <row r="22" spans="2:13" x14ac:dyDescent="0.25">
      <c r="B22" s="17"/>
    </row>
    <row r="23" spans="2:13" x14ac:dyDescent="0.25">
      <c r="B23" s="17"/>
    </row>
    <row r="25" spans="2:13" ht="18.75" x14ac:dyDescent="0.3">
      <c r="B25" s="58"/>
      <c r="C25" s="32"/>
      <c r="D25" s="32"/>
      <c r="E25" s="32"/>
      <c r="F25" s="32"/>
      <c r="G25" s="32"/>
      <c r="H25" s="32"/>
      <c r="I25" s="32"/>
      <c r="J25" s="32"/>
    </row>
    <row r="26" spans="2:13" x14ac:dyDescent="0.25">
      <c r="B26" s="32"/>
      <c r="C26" s="32"/>
      <c r="D26" s="32"/>
      <c r="E26" s="32"/>
      <c r="F26" s="32"/>
      <c r="G26" s="32"/>
      <c r="H26" s="32"/>
      <c r="I26" s="32"/>
      <c r="J26" s="32"/>
    </row>
    <row r="27" spans="2:13" x14ac:dyDescent="0.25">
      <c r="B27" s="59"/>
      <c r="C27" s="60"/>
      <c r="D27" s="60"/>
      <c r="E27" s="60"/>
      <c r="F27" s="60"/>
      <c r="G27" s="60"/>
      <c r="H27" s="61"/>
      <c r="I27" s="62"/>
      <c r="J27" s="63"/>
    </row>
    <row r="28" spans="2:13" x14ac:dyDescent="0.25">
      <c r="B28" s="59"/>
      <c r="C28" s="60"/>
      <c r="D28" s="60"/>
      <c r="E28" s="60"/>
      <c r="F28" s="60"/>
      <c r="G28" s="60"/>
      <c r="H28" s="61"/>
      <c r="I28" s="62"/>
      <c r="J28" s="63"/>
    </row>
    <row r="29" spans="2:13" x14ac:dyDescent="0.25">
      <c r="B29" s="59"/>
      <c r="C29" s="60"/>
      <c r="D29" s="60"/>
      <c r="E29" s="60"/>
      <c r="F29" s="60"/>
      <c r="G29" s="60"/>
      <c r="H29" s="61"/>
      <c r="I29" s="62"/>
      <c r="J29" s="63"/>
    </row>
    <row r="30" spans="2:13" x14ac:dyDescent="0.25">
      <c r="B30" s="59"/>
      <c r="C30" s="60"/>
      <c r="D30" s="60"/>
      <c r="E30" s="60"/>
      <c r="F30" s="60"/>
      <c r="G30" s="60"/>
      <c r="H30" s="61"/>
      <c r="I30" s="62"/>
      <c r="J30" s="63"/>
    </row>
    <row r="31" spans="2:13" x14ac:dyDescent="0.25">
      <c r="B31" s="59"/>
      <c r="C31" s="60"/>
      <c r="D31" s="60"/>
      <c r="E31" s="60"/>
      <c r="F31" s="60"/>
      <c r="G31" s="60"/>
      <c r="H31" s="61"/>
      <c r="I31" s="62"/>
      <c r="J31" s="63"/>
    </row>
    <row r="32" spans="2:13" x14ac:dyDescent="0.25">
      <c r="B32" s="59"/>
      <c r="C32" s="60"/>
      <c r="D32" s="60"/>
      <c r="E32" s="60"/>
      <c r="F32" s="60"/>
      <c r="G32" s="60"/>
      <c r="H32" s="61"/>
      <c r="I32" s="62"/>
      <c r="J32" s="63"/>
    </row>
    <row r="33" spans="2:10" x14ac:dyDescent="0.25">
      <c r="B33" s="64"/>
      <c r="C33" s="32"/>
      <c r="D33" s="32"/>
      <c r="E33" s="32"/>
      <c r="F33" s="32"/>
      <c r="G33" s="32"/>
      <c r="H33" s="61"/>
      <c r="I33" s="62"/>
      <c r="J33" s="63"/>
    </row>
    <row r="34" spans="2:10" ht="18.75" x14ac:dyDescent="0.3">
      <c r="B34" s="32"/>
      <c r="C34" s="32"/>
      <c r="D34" s="32"/>
      <c r="E34" s="32"/>
      <c r="F34" s="32"/>
      <c r="G34" s="32"/>
      <c r="H34" s="45"/>
      <c r="I34" s="53"/>
      <c r="J34" s="54"/>
    </row>
    <row r="35" spans="2:10" x14ac:dyDescent="0.25">
      <c r="H35" s="47"/>
    </row>
    <row r="36" spans="2:10" x14ac:dyDescent="0.25">
      <c r="H36" s="47"/>
    </row>
    <row r="38" spans="2:10" ht="18.75" x14ac:dyDescent="0.3">
      <c r="I38" s="53"/>
      <c r="J38" s="54"/>
    </row>
    <row r="102" spans="3:10" ht="21" x14ac:dyDescent="0.35">
      <c r="C102" s="38" t="s">
        <v>25</v>
      </c>
    </row>
    <row r="103" spans="3:10" x14ac:dyDescent="0.25">
      <c r="C103" s="39" t="s">
        <v>26</v>
      </c>
      <c r="D103" s="39"/>
      <c r="E103" s="39"/>
      <c r="F103" s="39"/>
      <c r="J103" t="s">
        <v>21</v>
      </c>
    </row>
    <row r="104" spans="3:10" x14ac:dyDescent="0.25">
      <c r="C104" s="42" t="s">
        <v>27</v>
      </c>
      <c r="D104" s="40"/>
      <c r="E104" s="40"/>
      <c r="F104" s="41"/>
      <c r="J104" t="s">
        <v>22</v>
      </c>
    </row>
    <row r="105" spans="3:10" x14ac:dyDescent="0.25">
      <c r="C105" s="42" t="s">
        <v>28</v>
      </c>
      <c r="D105" s="40"/>
      <c r="E105" s="40"/>
      <c r="F105" s="41"/>
    </row>
    <row r="106" spans="3:10" x14ac:dyDescent="0.25">
      <c r="C106" s="42" t="s">
        <v>29</v>
      </c>
      <c r="D106" s="40"/>
      <c r="E106" s="40"/>
      <c r="F106" s="41"/>
    </row>
    <row r="107" spans="3:10" x14ac:dyDescent="0.25">
      <c r="C107" s="42" t="s">
        <v>30</v>
      </c>
      <c r="D107" s="40"/>
      <c r="E107" s="40"/>
      <c r="F107" s="41"/>
    </row>
    <row r="108" spans="3:10" x14ac:dyDescent="0.25">
      <c r="C108" s="42" t="s">
        <v>31</v>
      </c>
      <c r="D108" s="40"/>
      <c r="E108" s="40"/>
      <c r="F108" s="41"/>
    </row>
    <row r="109" spans="3:10" x14ac:dyDescent="0.25">
      <c r="C109" s="42" t="s">
        <v>32</v>
      </c>
      <c r="D109" s="40"/>
      <c r="E109" s="40"/>
      <c r="F109" s="41"/>
    </row>
    <row r="110" spans="3:10" x14ac:dyDescent="0.25">
      <c r="C110" s="42" t="s">
        <v>33</v>
      </c>
      <c r="D110" s="40"/>
      <c r="E110" s="40"/>
      <c r="F110" s="41"/>
    </row>
    <row r="111" spans="3:10" x14ac:dyDescent="0.25">
      <c r="C111" s="42" t="s">
        <v>34</v>
      </c>
      <c r="D111" s="40"/>
      <c r="E111" s="40"/>
      <c r="F111" s="41"/>
    </row>
    <row r="112" spans="3:10" x14ac:dyDescent="0.25">
      <c r="C112" s="42" t="s">
        <v>35</v>
      </c>
      <c r="D112" s="40"/>
      <c r="E112" s="40"/>
      <c r="F112" s="41"/>
    </row>
    <row r="113" spans="3:6" x14ac:dyDescent="0.25">
      <c r="C113" s="42" t="s">
        <v>36</v>
      </c>
      <c r="D113" s="40"/>
      <c r="E113" s="40"/>
      <c r="F113" s="41"/>
    </row>
    <row r="114" spans="3:6" x14ac:dyDescent="0.25">
      <c r="C114" s="42" t="s">
        <v>37</v>
      </c>
      <c r="D114" s="40"/>
      <c r="E114" s="40"/>
      <c r="F114" s="41"/>
    </row>
    <row r="115" spans="3:6" x14ac:dyDescent="0.25">
      <c r="C115" s="42" t="s">
        <v>38</v>
      </c>
      <c r="D115" s="40"/>
      <c r="E115" s="40"/>
      <c r="F115" s="41"/>
    </row>
    <row r="116" spans="3:6" x14ac:dyDescent="0.25">
      <c r="C116" s="42" t="s">
        <v>39</v>
      </c>
      <c r="D116" s="40"/>
      <c r="E116" s="40"/>
      <c r="F116" s="4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37" priority="7">
      <formula>$B$6&lt;&gt;""</formula>
    </cfRule>
  </conditionalFormatting>
  <conditionalFormatting sqref="B27">
    <cfRule type="expression" dxfId="36" priority="6">
      <formula>I27=0</formula>
    </cfRule>
  </conditionalFormatting>
  <conditionalFormatting sqref="B28">
    <cfRule type="expression" dxfId="35" priority="5">
      <formula>I28=0</formula>
    </cfRule>
  </conditionalFormatting>
  <conditionalFormatting sqref="B29">
    <cfRule type="expression" dxfId="34" priority="4">
      <formula>I29=0</formula>
    </cfRule>
  </conditionalFormatting>
  <conditionalFormatting sqref="B30">
    <cfRule type="expression" dxfId="33" priority="3">
      <formula>I30=0</formula>
    </cfRule>
  </conditionalFormatting>
  <conditionalFormatting sqref="B31">
    <cfRule type="expression" dxfId="32" priority="2">
      <formula>I31=0</formula>
    </cfRule>
  </conditionalFormatting>
  <conditionalFormatting sqref="B32">
    <cfRule type="expression" dxfId="31" priority="1">
      <formula>I32=0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73"/>
  <sheetViews>
    <sheetView tabSelected="1" zoomScale="85" zoomScaleNormal="85" workbookViewId="0">
      <selection activeCell="C36" sqref="C36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9.140625" customWidth="1"/>
    <col min="9" max="9" width="9.28515625" hidden="1" customWidth="1"/>
    <col min="10" max="10" width="15" style="32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49</v>
      </c>
      <c r="E2" s="7"/>
      <c r="F2" s="8"/>
      <c r="G2" s="8"/>
      <c r="H2" s="9"/>
      <c r="K2" s="32"/>
      <c r="L2" s="32"/>
      <c r="M2" s="32"/>
      <c r="N2" s="32"/>
      <c r="O2" s="32"/>
      <c r="P2" s="32"/>
      <c r="Q2" s="32"/>
      <c r="R2" s="32"/>
    </row>
    <row r="3" spans="2:18" ht="19.5" thickBot="1" x14ac:dyDescent="0.35">
      <c r="E3" s="13" t="s">
        <v>6</v>
      </c>
      <c r="F3" s="11"/>
      <c r="G3" s="11"/>
      <c r="H3" s="12"/>
      <c r="I3" s="17"/>
      <c r="K3" s="32"/>
      <c r="L3" s="43"/>
      <c r="M3" s="32"/>
      <c r="N3" s="32"/>
      <c r="O3" s="32"/>
      <c r="P3" s="32"/>
      <c r="Q3" s="32"/>
      <c r="R3" s="32"/>
    </row>
    <row r="4" spans="2:18" x14ac:dyDescent="0.25">
      <c r="E4" s="10"/>
      <c r="F4" s="33" t="s">
        <v>4</v>
      </c>
      <c r="G4" s="34">
        <f ca="1">COUNTIF(H34:H73,"=ok")</f>
        <v>0</v>
      </c>
      <c r="H4" s="12"/>
      <c r="K4" s="32"/>
      <c r="L4" s="32"/>
      <c r="M4" s="32"/>
      <c r="N4" s="32"/>
      <c r="O4" s="32"/>
      <c r="P4" s="32"/>
      <c r="Q4" s="32"/>
      <c r="R4" s="32"/>
    </row>
    <row r="5" spans="2:18" x14ac:dyDescent="0.25">
      <c r="E5" s="10"/>
      <c r="F5" s="35" t="s">
        <v>5</v>
      </c>
      <c r="G5" s="36">
        <f ca="1">COUNTIF(H34:H67,"=Not ok")</f>
        <v>0</v>
      </c>
      <c r="H5" s="12"/>
      <c r="K5" s="32"/>
      <c r="L5" s="32"/>
      <c r="M5" s="32"/>
      <c r="N5" s="32"/>
      <c r="O5" s="32"/>
      <c r="P5" s="32"/>
      <c r="Q5" s="32"/>
      <c r="R5" s="32"/>
    </row>
    <row r="6" spans="2:18" x14ac:dyDescent="0.25">
      <c r="E6" s="10"/>
      <c r="F6" s="35" t="s">
        <v>44</v>
      </c>
      <c r="G6" s="36">
        <f ca="1">COUNTIF(I34:I67,"=--")</f>
        <v>22</v>
      </c>
      <c r="H6" s="12"/>
      <c r="K6" s="32"/>
      <c r="L6" s="32"/>
      <c r="M6" s="32"/>
      <c r="N6" s="32"/>
      <c r="O6" s="32"/>
      <c r="P6" s="32"/>
      <c r="Q6" s="32"/>
      <c r="R6" s="32"/>
    </row>
    <row r="7" spans="2:18" ht="15.75" thickBot="1" x14ac:dyDescent="0.3">
      <c r="E7" s="10"/>
      <c r="F7" s="37" t="s">
        <v>41</v>
      </c>
      <c r="G7" s="46">
        <f ca="1">IF(G4+G5+G6&gt;0,ROUNDDOWN(((5*G4)/(G4+G5+G6))+1,1),"Not defined")</f>
        <v>1</v>
      </c>
      <c r="H7" s="12"/>
      <c r="K7" s="32"/>
      <c r="L7" s="32"/>
      <c r="M7" s="32"/>
      <c r="N7" s="32"/>
      <c r="O7" s="32"/>
      <c r="P7" s="32"/>
      <c r="Q7" s="32"/>
      <c r="R7" s="32"/>
    </row>
    <row r="8" spans="2:18" x14ac:dyDescent="0.25">
      <c r="E8" s="10"/>
      <c r="F8" s="11"/>
      <c r="G8" s="11"/>
      <c r="H8" s="12"/>
      <c r="K8" s="32"/>
      <c r="L8" s="32"/>
      <c r="M8" s="32"/>
      <c r="N8" s="32"/>
      <c r="O8" s="32"/>
      <c r="P8" s="32"/>
      <c r="Q8" s="32"/>
      <c r="R8" s="32"/>
    </row>
    <row r="9" spans="2:18" x14ac:dyDescent="0.25">
      <c r="E9" s="10"/>
      <c r="F9" s="11"/>
      <c r="G9" s="11"/>
      <c r="H9" s="12"/>
      <c r="K9" s="32"/>
      <c r="L9" s="32"/>
      <c r="M9" s="32"/>
      <c r="N9" s="32"/>
      <c r="O9" s="32"/>
      <c r="P9" s="32"/>
      <c r="Q9" s="32"/>
      <c r="R9" s="32"/>
    </row>
    <row r="10" spans="2:18" x14ac:dyDescent="0.25">
      <c r="E10" s="10"/>
      <c r="F10" s="11"/>
      <c r="G10" s="11"/>
      <c r="H10" s="12"/>
      <c r="K10" s="32"/>
      <c r="L10" s="32"/>
      <c r="M10" s="32"/>
      <c r="N10" s="32"/>
      <c r="O10" s="32"/>
      <c r="P10" s="32"/>
      <c r="Q10" s="32"/>
      <c r="R10" s="32"/>
    </row>
    <row r="11" spans="2:18" ht="15.75" thickBot="1" x14ac:dyDescent="0.3">
      <c r="E11" s="14"/>
      <c r="F11" s="15"/>
      <c r="G11" s="15"/>
      <c r="H11" s="16"/>
      <c r="K11" s="32"/>
      <c r="L11" s="32"/>
      <c r="M11" s="32"/>
      <c r="N11" s="32"/>
      <c r="O11" s="32"/>
      <c r="P11" s="32"/>
      <c r="Q11" s="32"/>
      <c r="R11" s="32"/>
    </row>
    <row r="12" spans="2:18" x14ac:dyDescent="0.25">
      <c r="E12" s="32"/>
      <c r="F12" s="32"/>
      <c r="G12" s="32"/>
      <c r="H12" s="32"/>
      <c r="K12" s="32"/>
      <c r="L12" s="32"/>
      <c r="M12" s="32"/>
      <c r="N12" s="32"/>
      <c r="O12" s="32"/>
      <c r="P12" s="32"/>
      <c r="Q12" s="32"/>
      <c r="R12" s="32"/>
    </row>
    <row r="13" spans="2:18" x14ac:dyDescent="0.25">
      <c r="E13" s="32"/>
      <c r="F13" s="32"/>
      <c r="G13" s="32"/>
      <c r="H13" s="32"/>
      <c r="K13" s="32"/>
      <c r="L13" s="32"/>
      <c r="M13" s="32"/>
      <c r="N13" s="32"/>
      <c r="O13" s="32"/>
      <c r="P13" s="32"/>
      <c r="Q13" s="32"/>
      <c r="R13" s="32"/>
    </row>
    <row r="14" spans="2:18" x14ac:dyDescent="0.25">
      <c r="E14" s="32"/>
      <c r="F14" s="32"/>
      <c r="G14" s="32"/>
      <c r="H14" s="32"/>
      <c r="K14" s="32"/>
      <c r="L14" s="32"/>
      <c r="M14" s="32"/>
      <c r="N14" s="32"/>
      <c r="O14" s="32"/>
      <c r="P14" s="32"/>
      <c r="Q14" s="32"/>
      <c r="R14" s="32"/>
    </row>
    <row r="15" spans="2:18" ht="21" x14ac:dyDescent="0.35">
      <c r="E15" s="32"/>
      <c r="F15" s="32"/>
      <c r="G15" s="32"/>
      <c r="H15" s="32"/>
      <c r="K15" s="32"/>
      <c r="L15" s="55"/>
      <c r="M15" s="32"/>
      <c r="N15" s="56"/>
      <c r="O15" s="32"/>
      <c r="P15" s="44"/>
      <c r="Q15" s="32"/>
      <c r="R15" s="32"/>
    </row>
    <row r="16" spans="2:18" ht="21" x14ac:dyDescent="0.35">
      <c r="E16" s="32"/>
      <c r="F16" s="32"/>
      <c r="G16" s="32"/>
      <c r="H16" s="32"/>
      <c r="K16" s="32"/>
      <c r="L16" s="32"/>
      <c r="M16" s="32"/>
      <c r="N16" s="57"/>
      <c r="O16" s="32"/>
      <c r="P16" s="44"/>
      <c r="Q16" s="45"/>
      <c r="R16" s="32"/>
    </row>
    <row r="17" spans="5:18" x14ac:dyDescent="0.25">
      <c r="E17" s="32"/>
      <c r="F17" s="32"/>
      <c r="G17" s="32"/>
      <c r="H17" s="32"/>
      <c r="K17" s="32"/>
      <c r="L17" s="32"/>
      <c r="M17" s="32"/>
      <c r="N17" s="32"/>
      <c r="O17" s="32"/>
      <c r="P17" s="32"/>
      <c r="Q17" s="32"/>
      <c r="R17" s="32"/>
    </row>
    <row r="18" spans="5:18" x14ac:dyDescent="0.25">
      <c r="E18" s="32"/>
      <c r="F18" s="32"/>
      <c r="G18" s="32"/>
      <c r="H18" s="32"/>
      <c r="K18" s="32"/>
      <c r="L18" s="32"/>
      <c r="M18" s="32"/>
      <c r="N18" s="32"/>
      <c r="O18" s="32"/>
      <c r="P18" s="32"/>
      <c r="Q18" s="32"/>
      <c r="R18" s="32"/>
    </row>
    <row r="19" spans="5:18" x14ac:dyDescent="0.25">
      <c r="E19" s="32"/>
      <c r="F19" s="32"/>
      <c r="G19" s="32"/>
      <c r="H19" s="32"/>
      <c r="K19" s="32"/>
      <c r="L19" s="32"/>
      <c r="M19" s="32"/>
      <c r="N19" s="32"/>
      <c r="O19" s="32"/>
      <c r="P19" s="32"/>
      <c r="Q19" s="32"/>
      <c r="R19" s="32"/>
    </row>
    <row r="20" spans="5:18" x14ac:dyDescent="0.25">
      <c r="E20" s="32"/>
      <c r="F20" s="32"/>
      <c r="G20" s="32"/>
      <c r="H20" s="32"/>
    </row>
    <row r="21" spans="5:18" x14ac:dyDescent="0.25">
      <c r="E21" s="32"/>
      <c r="F21" s="32"/>
      <c r="G21" s="32"/>
      <c r="H21" s="32"/>
    </row>
    <row r="22" spans="5:18" x14ac:dyDescent="0.25">
      <c r="E22" s="32"/>
      <c r="F22" s="32"/>
      <c r="G22" s="32"/>
      <c r="H22" s="32"/>
    </row>
    <row r="23" spans="5:18" x14ac:dyDescent="0.25">
      <c r="E23" s="32"/>
      <c r="F23" s="32"/>
      <c r="G23" s="32"/>
      <c r="H23" s="32"/>
    </row>
    <row r="24" spans="5:18" x14ac:dyDescent="0.25">
      <c r="E24" s="32"/>
      <c r="F24" s="32"/>
      <c r="G24" s="32"/>
      <c r="H24" s="32"/>
    </row>
    <row r="25" spans="5:18" x14ac:dyDescent="0.25">
      <c r="E25" s="32"/>
      <c r="F25" s="32"/>
      <c r="G25" s="32"/>
      <c r="H25" s="32"/>
    </row>
    <row r="26" spans="5:18" x14ac:dyDescent="0.25">
      <c r="E26" s="32"/>
      <c r="F26" s="32"/>
      <c r="G26" s="32"/>
      <c r="H26" s="32"/>
    </row>
    <row r="27" spans="5:18" x14ac:dyDescent="0.25">
      <c r="E27" s="32"/>
      <c r="F27" s="32"/>
      <c r="G27" s="32"/>
      <c r="H27" s="32"/>
    </row>
    <row r="28" spans="5:18" x14ac:dyDescent="0.25">
      <c r="E28" s="32"/>
      <c r="F28" s="32"/>
      <c r="G28" s="32"/>
      <c r="H28" s="32"/>
    </row>
    <row r="29" spans="5:18" x14ac:dyDescent="0.25">
      <c r="E29" s="32"/>
      <c r="F29" s="32"/>
      <c r="G29" s="32"/>
      <c r="H29" s="32"/>
    </row>
    <row r="30" spans="5:18" x14ac:dyDescent="0.25">
      <c r="E30" s="32"/>
      <c r="F30" s="32"/>
      <c r="G30" s="32"/>
      <c r="H30" s="32"/>
    </row>
    <row r="31" spans="5:18" x14ac:dyDescent="0.25">
      <c r="E31" s="32"/>
      <c r="F31" s="32"/>
      <c r="G31" s="32"/>
      <c r="H31" s="32"/>
    </row>
    <row r="32" spans="5:18" x14ac:dyDescent="0.25">
      <c r="E32" s="32"/>
      <c r="F32" s="32"/>
      <c r="G32" s="32"/>
      <c r="H32" s="32"/>
    </row>
    <row r="34" spans="2:9" x14ac:dyDescent="0.25">
      <c r="B34" s="2" t="s">
        <v>76</v>
      </c>
      <c r="C34" s="2" t="s">
        <v>1</v>
      </c>
      <c r="D34" s="21" t="s">
        <v>52</v>
      </c>
      <c r="E34" s="21" t="s">
        <v>7</v>
      </c>
      <c r="F34" s="21"/>
      <c r="G34" s="19" t="s">
        <v>3</v>
      </c>
      <c r="H34" s="3" t="s">
        <v>2</v>
      </c>
    </row>
    <row r="35" spans="2:9" x14ac:dyDescent="0.25">
      <c r="B35" s="4" t="s">
        <v>51</v>
      </c>
      <c r="C35" s="5" t="e">
        <f ca="1">SagHallo(D35,E35)</f>
        <v>#NAME?</v>
      </c>
      <c r="D35" s="22" t="s">
        <v>53</v>
      </c>
      <c r="E35" s="22" t="s">
        <v>54</v>
      </c>
      <c r="F35" s="22"/>
      <c r="G35" s="18" t="s">
        <v>59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7" ca="1" si="0">SagHallo(D36,E36)</f>
        <v>#NAME?</v>
      </c>
      <c r="D36" s="22" t="s">
        <v>55</v>
      </c>
      <c r="E36" s="22" t="s">
        <v>56</v>
      </c>
      <c r="F36" s="22"/>
      <c r="G36" s="18" t="s">
        <v>60</v>
      </c>
      <c r="H36" s="6" t="e">
        <f ca="1">IF(G36=C36,"ok","Not ok")</f>
        <v>#NAME?</v>
      </c>
      <c r="I36" t="str">
        <f t="shared" ref="I36:I37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57</v>
      </c>
      <c r="E37" s="22" t="s">
        <v>58</v>
      </c>
      <c r="F37" s="22"/>
      <c r="G37" s="18" t="s">
        <v>61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D38" s="23"/>
      <c r="E38" s="23"/>
      <c r="F38" s="23"/>
      <c r="G38" s="20"/>
    </row>
    <row r="39" spans="2:9" x14ac:dyDescent="0.25">
      <c r="B39" s="2" t="s">
        <v>77</v>
      </c>
      <c r="C39" s="2" t="s">
        <v>1</v>
      </c>
      <c r="D39" s="21" t="s">
        <v>64</v>
      </c>
      <c r="E39" s="21"/>
      <c r="F39" s="21"/>
      <c r="G39" s="19" t="s">
        <v>3</v>
      </c>
      <c r="H39" s="3" t="s">
        <v>2</v>
      </c>
    </row>
    <row r="40" spans="2:9" x14ac:dyDescent="0.25">
      <c r="B40" s="4" t="s">
        <v>63</v>
      </c>
      <c r="C40" s="5" t="e">
        <f ca="1">GradToRad(D40)</f>
        <v>#NAME?</v>
      </c>
      <c r="D40" s="22">
        <v>0</v>
      </c>
      <c r="E40" s="22"/>
      <c r="F40" s="22"/>
      <c r="G40" s="18">
        <v>0</v>
      </c>
      <c r="H40" s="6" t="e">
        <f ca="1">(IF(EqualsWithinTolerance(G40,C40,1),"ok","Not ok"))</f>
        <v>#VALUE!</v>
      </c>
      <c r="I40" t="str">
        <f t="shared" ref="I40:I46" ca="1" si="2">IFERROR(C40,"--")</f>
        <v>--</v>
      </c>
    </row>
    <row r="41" spans="2:9" x14ac:dyDescent="0.25">
      <c r="B41" s="4"/>
      <c r="C41" s="5" t="e">
        <f t="shared" ref="C41:C46" ca="1" si="3">GradToRad(D41)</f>
        <v>#NAME?</v>
      </c>
      <c r="D41" s="22">
        <v>90</v>
      </c>
      <c r="E41" s="22"/>
      <c r="F41" s="22"/>
      <c r="G41" s="18">
        <v>1.5707500000000001</v>
      </c>
      <c r="H41" s="6" t="e">
        <f t="shared" ref="H41:H42" ca="1" si="4">IF(EqualsWithinTolerance(G41,C41),"ok","Not ok")</f>
        <v>#VALUE!</v>
      </c>
      <c r="I41" t="str">
        <f t="shared" ca="1" si="2"/>
        <v>--</v>
      </c>
    </row>
    <row r="42" spans="2:9" x14ac:dyDescent="0.25">
      <c r="B42" s="4"/>
      <c r="C42" s="5" t="e">
        <f t="shared" ca="1" si="3"/>
        <v>#NAME?</v>
      </c>
      <c r="D42" s="22">
        <v>180</v>
      </c>
      <c r="E42" s="22"/>
      <c r="F42" s="22"/>
      <c r="G42" s="18">
        <v>3.1415000000000002</v>
      </c>
      <c r="H42" s="6" t="e">
        <f t="shared" ca="1" si="4"/>
        <v>#VALUE!</v>
      </c>
      <c r="I42" t="str">
        <f t="shared" ca="1" si="2"/>
        <v>--</v>
      </c>
    </row>
    <row r="43" spans="2:9" x14ac:dyDescent="0.25">
      <c r="B43" s="4"/>
      <c r="C43" s="5" t="e">
        <f t="shared" ca="1" si="3"/>
        <v>#NAME?</v>
      </c>
      <c r="D43" s="22">
        <v>270</v>
      </c>
      <c r="E43" s="22"/>
      <c r="F43" s="22"/>
      <c r="G43" s="18">
        <v>4.71225</v>
      </c>
      <c r="H43" s="6" t="e">
        <f ca="1">IF(EqualsWithinTolerance(G43,C43),"ok","Not ok")</f>
        <v>#VALUE!</v>
      </c>
      <c r="I43" t="str">
        <f t="shared" ca="1" si="2"/>
        <v>--</v>
      </c>
    </row>
    <row r="44" spans="2:9" x14ac:dyDescent="0.25">
      <c r="B44" s="4"/>
      <c r="C44" s="5" t="e">
        <f t="shared" ca="1" si="3"/>
        <v>#NAME?</v>
      </c>
      <c r="D44" s="22">
        <v>360</v>
      </c>
      <c r="E44" s="22"/>
      <c r="F44" s="22"/>
      <c r="G44" s="18">
        <v>6.2830000000000004</v>
      </c>
      <c r="H44" s="6" t="e">
        <f ca="1">IF(EqualsWithinTolerance(G44,C44),"ok","Not ok")</f>
        <v>#VALUE!</v>
      </c>
      <c r="I44" t="str">
        <f t="shared" ca="1" si="2"/>
        <v>--</v>
      </c>
    </row>
    <row r="45" spans="2:9" x14ac:dyDescent="0.25">
      <c r="B45" s="4"/>
      <c r="C45" s="5" t="e">
        <f t="shared" ca="1" si="3"/>
        <v>#NAME?</v>
      </c>
      <c r="D45" s="22">
        <v>-90</v>
      </c>
      <c r="E45" s="22"/>
      <c r="F45" s="22"/>
      <c r="G45" s="18">
        <v>-1.5707500000000001</v>
      </c>
      <c r="H45" s="6" t="e">
        <f t="shared" ref="H45:H46" ca="1" si="5">IF(EqualsWithinTolerance(G45,C45),"ok","Not ok")</f>
        <v>#VALUE!</v>
      </c>
      <c r="I45" t="str">
        <f t="shared" ca="1" si="2"/>
        <v>--</v>
      </c>
    </row>
    <row r="46" spans="2:9" x14ac:dyDescent="0.25">
      <c r="B46" s="4"/>
      <c r="C46" s="5" t="e">
        <f t="shared" ca="1" si="3"/>
        <v>#NAME?</v>
      </c>
      <c r="D46" s="22">
        <v>-180</v>
      </c>
      <c r="E46" s="22"/>
      <c r="F46" s="22"/>
      <c r="G46" s="18">
        <v>-3.1415000000000002</v>
      </c>
      <c r="H46" s="6" t="e">
        <f t="shared" ca="1" si="5"/>
        <v>#VALUE!</v>
      </c>
      <c r="I46" t="str">
        <f t="shared" ca="1" si="2"/>
        <v>--</v>
      </c>
    </row>
    <row r="47" spans="2:9" x14ac:dyDescent="0.25">
      <c r="D47" s="23"/>
      <c r="E47" s="23"/>
      <c r="F47" s="23"/>
      <c r="G47" s="20"/>
    </row>
    <row r="48" spans="2:9" x14ac:dyDescent="0.25">
      <c r="B48" s="2" t="s">
        <v>78</v>
      </c>
      <c r="C48" s="2" t="s">
        <v>1</v>
      </c>
      <c r="D48" s="21" t="s">
        <v>7</v>
      </c>
      <c r="E48" s="21" t="s">
        <v>8</v>
      </c>
      <c r="F48" s="21"/>
      <c r="G48" s="19" t="s">
        <v>3</v>
      </c>
      <c r="H48" s="3" t="s">
        <v>2</v>
      </c>
    </row>
    <row r="49" spans="2:9" x14ac:dyDescent="0.25">
      <c r="B49" s="4" t="s">
        <v>62</v>
      </c>
      <c r="C49" s="5" t="e">
        <f ca="1">GetInitialen(D49,E49)</f>
        <v>#NAME?</v>
      </c>
      <c r="D49" s="22" t="s">
        <v>40</v>
      </c>
      <c r="E49" s="22" t="s">
        <v>24</v>
      </c>
      <c r="F49" s="22"/>
      <c r="G49" s="18" t="s">
        <v>71</v>
      </c>
      <c r="H49" s="6" t="e">
        <f ca="1">IF(G49=C49,"ok","Not ok")</f>
        <v>#NAME?</v>
      </c>
      <c r="I49" t="str">
        <f t="shared" ref="I49:I53" ca="1" si="6">IFERROR(C49,"--")</f>
        <v>--</v>
      </c>
    </row>
    <row r="50" spans="2:9" x14ac:dyDescent="0.25">
      <c r="B50" s="4"/>
      <c r="C50" s="5" t="e">
        <f t="shared" ref="C50:C53" ca="1" si="7">GetInitialen(D50,E50)</f>
        <v>#NAME?</v>
      </c>
      <c r="D50" s="22" t="s">
        <v>23</v>
      </c>
      <c r="E50" s="22" t="s">
        <v>65</v>
      </c>
      <c r="F50" s="22"/>
      <c r="G50" s="18" t="s">
        <v>72</v>
      </c>
      <c r="H50" s="6" t="e">
        <f t="shared" ref="H50:H53" ca="1" si="8">IF(G50=C50,"ok","Not ok")</f>
        <v>#NAME?</v>
      </c>
      <c r="I50" t="str">
        <f t="shared" ca="1" si="6"/>
        <v>--</v>
      </c>
    </row>
    <row r="51" spans="2:9" x14ac:dyDescent="0.25">
      <c r="B51" s="4"/>
      <c r="C51" s="5" t="e">
        <f t="shared" ca="1" si="7"/>
        <v>#NAME?</v>
      </c>
      <c r="D51" s="22" t="s">
        <v>66</v>
      </c>
      <c r="E51" s="22" t="s">
        <v>24</v>
      </c>
      <c r="F51" s="22"/>
      <c r="G51" s="18" t="s">
        <v>73</v>
      </c>
      <c r="H51" s="6" t="e">
        <f t="shared" ca="1" si="8"/>
        <v>#NAME?</v>
      </c>
      <c r="I51" t="str">
        <f t="shared" ca="1" si="6"/>
        <v>--</v>
      </c>
    </row>
    <row r="52" spans="2:9" x14ac:dyDescent="0.25">
      <c r="B52" s="4"/>
      <c r="C52" s="5" t="e">
        <f t="shared" ca="1" si="7"/>
        <v>#NAME?</v>
      </c>
      <c r="D52" s="22" t="s">
        <v>67</v>
      </c>
      <c r="E52" s="22" t="s">
        <v>68</v>
      </c>
      <c r="F52" s="22"/>
      <c r="G52" s="18" t="s">
        <v>74</v>
      </c>
      <c r="H52" s="6" t="e">
        <f t="shared" ca="1" si="8"/>
        <v>#NAME?</v>
      </c>
      <c r="I52" t="str">
        <f t="shared" ca="1" si="6"/>
        <v>--</v>
      </c>
    </row>
    <row r="53" spans="2:9" x14ac:dyDescent="0.25">
      <c r="B53" s="4"/>
      <c r="C53" s="5" t="e">
        <f t="shared" ca="1" si="7"/>
        <v>#NAME?</v>
      </c>
      <c r="D53" s="22" t="s">
        <v>69</v>
      </c>
      <c r="E53" s="22" t="s">
        <v>70</v>
      </c>
      <c r="F53" s="22"/>
      <c r="G53" s="18" t="s">
        <v>75</v>
      </c>
      <c r="H53" s="6" t="e">
        <f t="shared" ca="1" si="8"/>
        <v>#NAME?</v>
      </c>
      <c r="I53" t="str">
        <f t="shared" ca="1" si="6"/>
        <v>--</v>
      </c>
    </row>
    <row r="54" spans="2:9" x14ac:dyDescent="0.25">
      <c r="D54" s="23"/>
      <c r="E54" s="23"/>
      <c r="F54" s="23"/>
      <c r="G54" s="20"/>
    </row>
    <row r="55" spans="2:9" x14ac:dyDescent="0.25">
      <c r="B55" s="2" t="s">
        <v>77</v>
      </c>
      <c r="C55" s="2" t="s">
        <v>1</v>
      </c>
      <c r="D55" s="21" t="s">
        <v>42</v>
      </c>
      <c r="E55" s="21" t="s">
        <v>43</v>
      </c>
      <c r="F55" s="21" t="s">
        <v>80</v>
      </c>
      <c r="G55" s="19" t="s">
        <v>3</v>
      </c>
      <c r="H55" s="3" t="s">
        <v>2</v>
      </c>
    </row>
    <row r="56" spans="2:9" x14ac:dyDescent="0.25">
      <c r="B56" s="4" t="s">
        <v>79</v>
      </c>
      <c r="C56" s="5" t="e">
        <f ca="1">CalcQuaderVolumen(D56,E56,F56)</f>
        <v>#NAME?</v>
      </c>
      <c r="D56" s="22">
        <v>2.5</v>
      </c>
      <c r="E56" s="22">
        <v>3.2</v>
      </c>
      <c r="F56" s="22">
        <v>2.2999999999999998</v>
      </c>
      <c r="G56" s="18">
        <v>18.399999999999999</v>
      </c>
      <c r="H56" s="6" t="e">
        <f t="shared" ref="H56:H61" ca="1" si="9">IF(EqualsWithinTolerance(G56,C56),"ok","Not ok")</f>
        <v>#VALUE!</v>
      </c>
      <c r="I56" t="str">
        <f t="shared" ref="I56:I61" ca="1" si="10">IFERROR(C56,"--")</f>
        <v>--</v>
      </c>
    </row>
    <row r="57" spans="2:9" x14ac:dyDescent="0.25">
      <c r="B57" s="4"/>
      <c r="C57" s="5" t="e">
        <f t="shared" ref="C57:C61" ca="1" si="11">CalcQuaderVolumen(D57,E57,F57)</f>
        <v>#NAME?</v>
      </c>
      <c r="D57" s="22">
        <v>5.0999999999999996</v>
      </c>
      <c r="E57" s="22">
        <v>2</v>
      </c>
      <c r="F57" s="22">
        <v>1.3</v>
      </c>
      <c r="G57" s="18">
        <v>13.26</v>
      </c>
      <c r="H57" s="6" t="e">
        <f t="shared" ca="1" si="9"/>
        <v>#VALUE!</v>
      </c>
    </row>
    <row r="58" spans="2:9" x14ac:dyDescent="0.25">
      <c r="B58" s="4"/>
      <c r="C58" s="5" t="e">
        <f t="shared" ca="1" si="11"/>
        <v>#NAME?</v>
      </c>
      <c r="D58" s="22">
        <v>2</v>
      </c>
      <c r="E58" s="22">
        <v>3</v>
      </c>
      <c r="F58" s="22">
        <v>5</v>
      </c>
      <c r="G58" s="18">
        <v>30</v>
      </c>
      <c r="H58" s="6" t="e">
        <f t="shared" ca="1" si="9"/>
        <v>#VALUE!</v>
      </c>
    </row>
    <row r="59" spans="2:9" x14ac:dyDescent="0.25">
      <c r="B59" s="4"/>
      <c r="C59" s="5" t="e">
        <f t="shared" ca="1" si="11"/>
        <v>#NAME?</v>
      </c>
      <c r="D59" s="22">
        <v>3</v>
      </c>
      <c r="E59" s="22">
        <v>4</v>
      </c>
      <c r="F59" s="22"/>
      <c r="G59" s="18">
        <v>36</v>
      </c>
      <c r="H59" s="6" t="e">
        <f t="shared" ca="1" si="9"/>
        <v>#VALUE!</v>
      </c>
      <c r="I59" t="str">
        <f t="shared" ca="1" si="10"/>
        <v>--</v>
      </c>
    </row>
    <row r="60" spans="2:9" x14ac:dyDescent="0.25">
      <c r="B60" s="4"/>
      <c r="C60" s="5" t="e">
        <f t="shared" ca="1" si="11"/>
        <v>#NAME?</v>
      </c>
      <c r="D60" s="22">
        <v>3</v>
      </c>
      <c r="E60" s="22"/>
      <c r="F60" s="22"/>
      <c r="G60" s="18">
        <v>27</v>
      </c>
      <c r="H60" s="6" t="e">
        <f t="shared" ca="1" si="9"/>
        <v>#VALUE!</v>
      </c>
      <c r="I60" t="str">
        <f t="shared" ca="1" si="10"/>
        <v>--</v>
      </c>
    </row>
    <row r="61" spans="2:9" x14ac:dyDescent="0.25">
      <c r="B61" s="4"/>
      <c r="C61" s="5" t="e">
        <f t="shared" ca="1" si="11"/>
        <v>#NAME?</v>
      </c>
      <c r="D61" s="22">
        <v>-2.4</v>
      </c>
      <c r="E61" s="22">
        <v>-3.1</v>
      </c>
      <c r="F61" s="22">
        <v>-5.0999999999999996</v>
      </c>
      <c r="G61" s="18">
        <v>0</v>
      </c>
      <c r="H61" s="6" t="e">
        <f ca="1">IF(EqualsWithinTolerance(G61,C61),"ok","Not ok")</f>
        <v>#VALUE!</v>
      </c>
      <c r="I61" t="str">
        <f t="shared" ca="1" si="10"/>
        <v>--</v>
      </c>
    </row>
    <row r="62" spans="2:9" x14ac:dyDescent="0.25">
      <c r="D62" s="23"/>
      <c r="E62" s="23"/>
      <c r="F62" s="23"/>
      <c r="G62" s="20"/>
    </row>
    <row r="64" spans="2:9" x14ac:dyDescent="0.25">
      <c r="B64" s="2" t="s">
        <v>78</v>
      </c>
      <c r="C64" s="2" t="s">
        <v>1</v>
      </c>
      <c r="D64" s="21" t="s">
        <v>9</v>
      </c>
      <c r="E64" s="21" t="s">
        <v>10</v>
      </c>
      <c r="F64" s="21" t="s">
        <v>11</v>
      </c>
      <c r="G64" s="19" t="s">
        <v>3</v>
      </c>
      <c r="H64" s="3" t="s">
        <v>2</v>
      </c>
    </row>
    <row r="65" spans="2:9" x14ac:dyDescent="0.25">
      <c r="B65" s="4" t="s">
        <v>82</v>
      </c>
      <c r="C65" s="27" t="e">
        <f ca="1">OrtFuerAdressLabel(D65,E65,F65)</f>
        <v>#NAME?</v>
      </c>
      <c r="D65" s="22" t="s">
        <v>12</v>
      </c>
      <c r="E65" s="22">
        <v>8855</v>
      </c>
      <c r="F65" s="22" t="s">
        <v>13</v>
      </c>
      <c r="G65" s="18" t="s">
        <v>18</v>
      </c>
      <c r="H65" s="6" t="e">
        <f t="shared" ref="H65:H67" ca="1" si="12">IF(G65=C65,"ok","Not ok")</f>
        <v>#NAME?</v>
      </c>
      <c r="I65" t="str">
        <f t="shared" ref="I65:I67" ca="1" si="13">IFERROR(C65,"--")</f>
        <v>--</v>
      </c>
    </row>
    <row r="66" spans="2:9" x14ac:dyDescent="0.25">
      <c r="B66" s="4"/>
      <c r="C66" s="27" t="e">
        <f t="shared" ref="C66:C67" ca="1" si="14">OrtFuerAdressLabel(D66,E66,F66)</f>
        <v>#NAME?</v>
      </c>
      <c r="D66" s="22" t="s">
        <v>14</v>
      </c>
      <c r="E66" s="22">
        <v>69115</v>
      </c>
      <c r="F66" s="22" t="s">
        <v>15</v>
      </c>
      <c r="G66" s="18" t="s">
        <v>19</v>
      </c>
      <c r="H66" s="6" t="e">
        <f t="shared" ca="1" si="12"/>
        <v>#NAME?</v>
      </c>
      <c r="I66" t="str">
        <f t="shared" ca="1" si="13"/>
        <v>--</v>
      </c>
    </row>
    <row r="67" spans="2:9" x14ac:dyDescent="0.25">
      <c r="B67" s="4"/>
      <c r="C67" s="27" t="e">
        <f t="shared" ca="1" si="14"/>
        <v>#NAME?</v>
      </c>
      <c r="D67" s="22" t="s">
        <v>16</v>
      </c>
      <c r="E67" s="22">
        <v>75000</v>
      </c>
      <c r="F67" s="22" t="s">
        <v>17</v>
      </c>
      <c r="G67" s="18" t="s">
        <v>20</v>
      </c>
      <c r="H67" s="6" t="e">
        <f t="shared" ca="1" si="12"/>
        <v>#NAME?</v>
      </c>
      <c r="I67" t="str">
        <f t="shared" ca="1" si="13"/>
        <v>--</v>
      </c>
    </row>
    <row r="70" spans="2:9" x14ac:dyDescent="0.25">
      <c r="B70" s="2" t="s">
        <v>81</v>
      </c>
      <c r="C70" s="2" t="s">
        <v>1</v>
      </c>
      <c r="D70" s="21" t="s">
        <v>84</v>
      </c>
      <c r="E70" s="21"/>
      <c r="F70" s="21"/>
      <c r="G70" s="19" t="s">
        <v>3</v>
      </c>
      <c r="H70" s="3" t="s">
        <v>2</v>
      </c>
    </row>
    <row r="71" spans="2:9" x14ac:dyDescent="0.25">
      <c r="B71" s="4" t="s">
        <v>83</v>
      </c>
      <c r="C71" s="27" t="e">
        <f ca="1">AddNummern(D71)</f>
        <v>#NAME?</v>
      </c>
      <c r="D71" s="22">
        <v>2</v>
      </c>
      <c r="E71" s="22"/>
      <c r="F71" s="22"/>
      <c r="G71" s="18">
        <v>3</v>
      </c>
      <c r="H71" s="6" t="e">
        <f t="shared" ref="H71:H73" ca="1" si="15">IF(G71=C71,"ok","Not ok")</f>
        <v>#NAME?</v>
      </c>
    </row>
    <row r="72" spans="2:9" x14ac:dyDescent="0.25">
      <c r="B72" s="4"/>
      <c r="C72" s="27" t="e">
        <f ca="1">AddNummern(D72)</f>
        <v>#NAME?</v>
      </c>
      <c r="D72" s="22">
        <v>10</v>
      </c>
      <c r="E72" s="22"/>
      <c r="F72" s="22"/>
      <c r="G72" s="18">
        <v>55</v>
      </c>
      <c r="H72" s="6" t="e">
        <f t="shared" ca="1" si="15"/>
        <v>#NAME?</v>
      </c>
    </row>
    <row r="73" spans="2:9" x14ac:dyDescent="0.25">
      <c r="B73" s="4"/>
      <c r="C73" s="27" t="e">
        <f t="shared" ref="C72:C73" ca="1" si="16">AddNummern(D73)</f>
        <v>#NAME?</v>
      </c>
      <c r="D73" s="22">
        <v>-2</v>
      </c>
      <c r="E73" s="22"/>
      <c r="F73" s="22"/>
      <c r="G73" s="18">
        <v>0</v>
      </c>
      <c r="H73" s="6" t="e">
        <f t="shared" ca="1" si="15"/>
        <v>#NAME?</v>
      </c>
    </row>
  </sheetData>
  <conditionalFormatting sqref="H65:H67">
    <cfRule type="cellIs" dxfId="28" priority="32" operator="equal">
      <formula>"Not ok"</formula>
    </cfRule>
    <cfRule type="cellIs" dxfId="27" priority="33" operator="equal">
      <formula>"ok"</formula>
    </cfRule>
  </conditionalFormatting>
  <conditionalFormatting sqref="G7">
    <cfRule type="cellIs" dxfId="26" priority="15" stopIfTrue="1" operator="equal">
      <formula>"Not defined"</formula>
    </cfRule>
    <cfRule type="cellIs" dxfId="25" priority="16" stopIfTrue="1" operator="greaterThan">
      <formula>5.7</formula>
    </cfRule>
    <cfRule type="cellIs" dxfId="24" priority="17" stopIfTrue="1" operator="greaterThan">
      <formula>5</formula>
    </cfRule>
    <cfRule type="cellIs" dxfId="23" priority="18" stopIfTrue="1" operator="greaterThan">
      <formula>4.5</formula>
    </cfRule>
    <cfRule type="cellIs" dxfId="22" priority="19" stopIfTrue="1" operator="greaterThanOrEqual">
      <formula>4</formula>
    </cfRule>
    <cfRule type="cellIs" dxfId="21" priority="20" stopIfTrue="1" operator="greaterThanOrEqual">
      <formula>3</formula>
    </cfRule>
    <cfRule type="cellIs" dxfId="20" priority="21" stopIfTrue="1" operator="greaterThanOrEqual">
      <formula>1</formula>
    </cfRule>
  </conditionalFormatting>
  <conditionalFormatting sqref="H35:H37">
    <cfRule type="cellIs" dxfId="19" priority="13" operator="equal">
      <formula>"Not ok"</formula>
    </cfRule>
    <cfRule type="cellIs" dxfId="18" priority="14" operator="equal">
      <formula>"ok"</formula>
    </cfRule>
  </conditionalFormatting>
  <conditionalFormatting sqref="H40:H46">
    <cfRule type="cellIs" dxfId="17" priority="11" operator="equal">
      <formula>"Not ok"</formula>
    </cfRule>
    <cfRule type="cellIs" dxfId="16" priority="12" operator="equal">
      <formula>"ok"</formula>
    </cfRule>
  </conditionalFormatting>
  <conditionalFormatting sqref="H49:H53">
    <cfRule type="cellIs" dxfId="13" priority="5" operator="equal">
      <formula>"Not ok"</formula>
    </cfRule>
    <cfRule type="cellIs" dxfId="12" priority="6" operator="equal">
      <formula>"ok"</formula>
    </cfRule>
  </conditionalFormatting>
  <conditionalFormatting sqref="H71:H73">
    <cfRule type="cellIs" dxfId="7" priority="3" operator="equal">
      <formula>"Not ok"</formula>
    </cfRule>
    <cfRule type="cellIs" dxfId="6" priority="4" operator="equal">
      <formula>"ok"</formula>
    </cfRule>
  </conditionalFormatting>
  <conditionalFormatting sqref="H56:H61">
    <cfRule type="cellIs" dxfId="3" priority="1" operator="equal">
      <formula>"Not ok"</formula>
    </cfRule>
    <cfRule type="cellIs" dxfId="2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Aufgaben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2022-03-10T21:02:34Z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