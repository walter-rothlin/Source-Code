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360" yWindow="60" windowWidth="17985" windowHeight="6720"/>
  </bookViews>
  <sheets>
    <sheet name="Fragen_Bruch" sheetId="19" r:id="rId1"/>
    <sheet name="SetUp_Run" sheetId="4" r:id="rId2"/>
    <sheet name="Type_Shortanswer" sheetId="13" r:id="rId3"/>
  </sheets>
  <functionGroups builtInGroupCount="18"/>
  <externalReferences>
    <externalReference r:id="rId4"/>
    <externalReference r:id="rId5"/>
  </externalReferences>
  <definedNames>
    <definedName name="aaaa">[1]Sektoren!#REF!</definedName>
    <definedName name="aassssss">[2]Kreisbogen!#REF!</definedName>
    <definedName name="AndiPic">"Picture 3"</definedName>
    <definedName name="Coupon">'[1]Bond pricing'!$B$5</definedName>
    <definedName name="days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>[2]Kreisbogen!#REF!</definedName>
    <definedName name="rates">#REF!</definedName>
    <definedName name="Reqd_rtn">'[1]Bond pricing'!$F$5</definedName>
    <definedName name="rrrr">#REF!</definedName>
    <definedName name="ssss">#REF!</definedName>
    <definedName name="tocFctGraph">#REF!</definedName>
    <definedName name="tocLinearFct">#REF!</definedName>
    <definedName name="tocNormberechnung">#REF!</definedName>
    <definedName name="tocRGBCalc">#REF!</definedName>
    <definedName name="ttttttt">#REF!</definedName>
    <definedName name="uu">#REF!</definedName>
    <definedName name="uuuuuuuu">#REF!</definedName>
    <definedName name="x">[1]Sektoren!#REF!</definedName>
    <definedName name="xxxxx">#REF!</definedName>
    <definedName name="xxxxxxxx">[1]Sektoren!#REF!</definedName>
    <definedName name="xxxxxxxxx">#REF!</definedName>
    <definedName name="zzzzzzzzzzz">#REF!</definedName>
  </definedNames>
  <calcPr calcId="152511"/>
</workbook>
</file>

<file path=xl/calcChain.xml><?xml version="1.0" encoding="utf-8"?>
<calcChain xmlns="http://schemas.openxmlformats.org/spreadsheetml/2006/main">
  <c r="H2" i="19" l="1"/>
  <c r="G2" i="19"/>
  <c r="G3" i="19"/>
  <c r="G5" i="19"/>
  <c r="G6" i="19"/>
  <c r="G7" i="19"/>
  <c r="G8" i="19"/>
  <c r="G9" i="19"/>
  <c r="G4" i="19"/>
  <c r="E3" i="19"/>
  <c r="E4" i="19"/>
  <c r="E5" i="19"/>
  <c r="E6" i="19"/>
  <c r="E7" i="19"/>
  <c r="E8" i="19"/>
  <c r="E9" i="19"/>
  <c r="E2" i="19"/>
  <c r="F6" i="19"/>
  <c r="F2" i="19"/>
  <c r="F4" i="19"/>
  <c r="F5" i="19"/>
  <c r="F7" i="19"/>
  <c r="F8" i="19"/>
  <c r="F3" i="19"/>
  <c r="F9" i="19"/>
  <c r="I3" i="19" l="1"/>
  <c r="I4" i="19" s="1"/>
  <c r="H4" i="19" s="1"/>
  <c r="G2" i="4"/>
  <c r="H3" i="19" l="1"/>
  <c r="I5" i="19"/>
  <c r="I6" i="19" s="1"/>
  <c r="H5" i="19" l="1"/>
  <c r="H6" i="19"/>
  <c r="I7" i="19"/>
  <c r="I8" i="19" l="1"/>
  <c r="H7" i="19"/>
  <c r="H8" i="19" l="1"/>
  <c r="I9" i="19"/>
  <c r="H9" i="19" l="1"/>
</calcChain>
</file>

<file path=xl/sharedStrings.xml><?xml version="1.0" encoding="utf-8"?>
<sst xmlns="http://schemas.openxmlformats.org/spreadsheetml/2006/main" count="59" uniqueCount="47">
  <si>
    <t>Bezeichnung</t>
  </si>
  <si>
    <t>Field-Name Reference / Value</t>
  </si>
  <si>
    <t>Type_Shortanswer</t>
  </si>
  <si>
    <t>Question</t>
  </si>
  <si>
    <t>Fragetype</t>
  </si>
  <si>
    <r>
      <t xml:space="preserve">  &lt;question type="shortanswer"&gt;
    &lt;name&gt;
      &lt;text&gt;</t>
    </r>
    <r>
      <rPr>
        <sz val="11"/>
        <color rgb="FFFF0000"/>
        <rFont val="Calibri"/>
        <family val="2"/>
        <scheme val="minor"/>
      </rPr>
      <t>{Fragetitle}</t>
    </r>
    <r>
      <rPr>
        <sz val="11"/>
        <color theme="1"/>
        <rFont val="Calibri"/>
        <family val="2"/>
        <scheme val="minor"/>
      </rPr>
      <t>&lt;/text&gt;
    &lt;/name&gt;
    &lt;questiontext format="html"&gt;
      &lt;text&gt;&lt;![CDATA[&lt;p&gt;</t>
    </r>
    <r>
      <rPr>
        <sz val="11"/>
        <color rgb="FFFF0000"/>
        <rFont val="Calibri"/>
        <family val="2"/>
        <scheme val="minor"/>
      </rPr>
      <t>{Fragetext}</t>
    </r>
    <r>
      <rPr>
        <sz val="11"/>
        <color theme="1"/>
        <rFont val="Calibri"/>
        <family val="2"/>
        <scheme val="minor"/>
      </rPr>
      <t>&lt;/p&gt;]]&gt;&lt;/text&gt;
    &lt;/questiontext&gt;
    &lt;generalfeedback format="html"&gt;
      &lt;text&gt;&lt;/text&gt;
    &lt;/generalfeedback&gt;
    &lt;defaultgrade&gt;1.0000000&lt;/defaultgrade&gt;
    &lt;penalty&gt;0.3333333&lt;/penalty&gt;
    &lt;hidden&gt;0&lt;/hidden&gt;
    &lt;idnumber&gt;&lt;/idnumber&gt;
    &lt;usecase&gt;0&lt;/usecase&gt;
    &lt;answer fraction="100" format="moodle_auto_format"&gt;
      &lt;text&gt;</t>
    </r>
    <r>
      <rPr>
        <sz val="11"/>
        <color rgb="FFFF0000"/>
        <rFont val="Calibri"/>
        <family val="2"/>
        <scheme val="minor"/>
      </rPr>
      <t>{Frageantwort}</t>
    </r>
    <r>
      <rPr>
        <sz val="11"/>
        <color theme="1"/>
        <rFont val="Calibri"/>
        <family val="2"/>
        <scheme val="minor"/>
      </rPr>
      <t>&lt;/text&gt;
      &lt;feedback format="html"&gt;
        &lt;text&gt;&lt;/text&gt;
      &lt;/feedback&gt;
    &lt;/answer&gt;
  &lt;/question&gt;</t>
    </r>
  </si>
  <si>
    <t>Generate Moodle Questions</t>
  </si>
  <si>
    <t>Moodle-Question:</t>
  </si>
  <si>
    <t>Header</t>
  </si>
  <si>
    <t>&lt;?xml version="1.0" encoding="UTF-8"?&gt;
&lt;quiz&gt;</t>
  </si>
  <si>
    <t>Footer</t>
  </si>
  <si>
    <t>&lt;/quiz&gt;</t>
  </si>
  <si>
    <t>A1</t>
  </si>
  <si>
    <t>B4</t>
  </si>
  <si>
    <t>CellAdr</t>
  </si>
  <si>
    <t>{Fragetitle}</t>
  </si>
  <si>
    <t>{Fragetext}</t>
  </si>
  <si>
    <t>{Frageantwort}</t>
  </si>
  <si>
    <t>Hilfetext</t>
  </si>
  <si>
    <t>Op1</t>
  </si>
  <si>
    <t>Op</t>
  </si>
  <si>
    <t>Op2</t>
  </si>
  <si>
    <t>+</t>
  </si>
  <si>
    <t>1/6</t>
  </si>
  <si>
    <t>-</t>
  </si>
  <si>
    <t>*</t>
  </si>
  <si>
    <t>Moodle Import Filename (Moodle-XML-Format)</t>
  </si>
  <si>
    <t>4/3</t>
  </si>
  <si>
    <t>:</t>
  </si>
  <si>
    <t>1/3</t>
  </si>
  <si>
    <t>4/7</t>
  </si>
  <si>
    <t>1 2/3</t>
  </si>
  <si>
    <t>3/4</t>
  </si>
  <si>
    <t>1/2</t>
  </si>
  <si>
    <t>3/12</t>
  </si>
  <si>
    <t>2 1/2</t>
  </si>
  <si>
    <t>3 1/4</t>
  </si>
  <si>
    <t>5 6/9</t>
  </si>
  <si>
    <t>4 2/3</t>
  </si>
  <si>
    <t>5 4/7</t>
  </si>
  <si>
    <t>4 1/4</t>
  </si>
  <si>
    <t>4/5</t>
  </si>
  <si>
    <t>G:\_WaltisDaten\SourceCode\GitHosted\VBA\Generated_Moodle_XML_Questions.xml</t>
  </si>
  <si>
    <t>"Bitte Antwort als ungekuerzten Bruch in der Form z.B. &lt;b&gt;-24/7&lt;/b&gt; eingeben. Keine Leerschlaege!&lt;br&gt;</t>
  </si>
  <si>
    <t>V1.0</t>
  </si>
  <si>
    <t>Fragen_Bruch</t>
  </si>
  <si>
    <t>Source questions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</si>
</sst>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\ ???/???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Arial"/>
      <family val="2"/>
    </font>
    <font>
      <b/>
      <u/>
      <sz val="11"/>
      <name val="Arial"/>
      <family val="2"/>
    </font>
    <font>
      <sz val="10"/>
      <color indexed="8"/>
      <name val="Tahoma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</cellStyleXfs>
  <cellXfs count="30">
    <xf numFmtId="0" fontId="0" fillId="0" borderId="0" xfId="0"/>
    <xf numFmtId="0" fontId="19" fillId="0" borderId="0" xfId="42" applyFont="1"/>
    <xf numFmtId="0" fontId="18" fillId="0" borderId="0" xfId="42"/>
    <xf numFmtId="0" fontId="18" fillId="0" borderId="0" xfId="42" applyAlignment="1">
      <alignment wrapText="1"/>
    </xf>
    <xf numFmtId="0" fontId="18" fillId="0" borderId="0" xfId="42" applyAlignment="1">
      <alignment horizontal="left" vertical="top"/>
    </xf>
    <xf numFmtId="0" fontId="18" fillId="0" borderId="0" xfId="42" applyFill="1" applyBorder="1"/>
    <xf numFmtId="0" fontId="18" fillId="0" borderId="0" xfId="42" applyBorder="1"/>
    <xf numFmtId="0" fontId="18" fillId="0" borderId="0" xfId="42" applyFill="1" applyBorder="1" applyAlignment="1">
      <alignment horizontal="center" vertical="center"/>
    </xf>
    <xf numFmtId="0" fontId="18" fillId="0" borderId="0" xfId="42" applyFill="1" applyBorder="1" applyAlignment="1">
      <alignment wrapText="1"/>
    </xf>
    <xf numFmtId="0" fontId="18" fillId="0" borderId="0" xfId="42" applyAlignment="1">
      <alignment horizontal="right"/>
    </xf>
    <xf numFmtId="0" fontId="21" fillId="0" borderId="0" xfId="44"/>
    <xf numFmtId="0" fontId="0" fillId="35" borderId="10" xfId="44" applyFont="1" applyFill="1" applyBorder="1" applyAlignment="1">
      <alignment vertical="top" wrapText="1"/>
    </xf>
    <xf numFmtId="0" fontId="18" fillId="33" borderId="11" xfId="42" applyFill="1" applyBorder="1"/>
    <xf numFmtId="0" fontId="18" fillId="0" borderId="11" xfId="42" applyFill="1" applyBorder="1"/>
    <xf numFmtId="0" fontId="18" fillId="34" borderId="11" xfId="42" applyFill="1" applyBorder="1"/>
    <xf numFmtId="0" fontId="18" fillId="0" borderId="11" xfId="42" applyBorder="1"/>
    <xf numFmtId="0" fontId="18" fillId="0" borderId="11" xfId="42" applyBorder="1" applyAlignment="1">
      <alignment horizontal="left" vertical="top"/>
    </xf>
    <xf numFmtId="0" fontId="18" fillId="34" borderId="11" xfId="42" applyFill="1" applyBorder="1" applyAlignment="1">
      <alignment wrapText="1"/>
    </xf>
    <xf numFmtId="0" fontId="18" fillId="0" borderId="11" xfId="42" applyBorder="1" applyAlignment="1">
      <alignment vertical="top"/>
    </xf>
    <xf numFmtId="0" fontId="18" fillId="34" borderId="11" xfId="42" applyFill="1" applyBorder="1" applyAlignment="1">
      <alignment vertical="top" wrapText="1"/>
    </xf>
    <xf numFmtId="0" fontId="0" fillId="35" borderId="11" xfId="0" applyFill="1" applyBorder="1"/>
    <xf numFmtId="0" fontId="0" fillId="0" borderId="11" xfId="0" applyBorder="1"/>
    <xf numFmtId="164" fontId="0" fillId="0" borderId="11" xfId="0" quotePrefix="1" applyNumberFormat="1" applyBorder="1"/>
    <xf numFmtId="164" fontId="0" fillId="0" borderId="11" xfId="0" applyNumberFormat="1" applyBorder="1"/>
    <xf numFmtId="164" fontId="24" fillId="0" borderId="11" xfId="54" applyNumberFormat="1" applyFill="1" applyBorder="1" applyAlignment="1"/>
    <xf numFmtId="0" fontId="0" fillId="0" borderId="11" xfId="0" quotePrefix="1" applyBorder="1" applyAlignment="1">
      <alignment horizontal="center"/>
    </xf>
    <xf numFmtId="0" fontId="18" fillId="0" borderId="11" xfId="42" applyFill="1" applyBorder="1" applyAlignment="1">
      <alignment wrapText="1"/>
    </xf>
    <xf numFmtId="0" fontId="0" fillId="0" borderId="0" xfId="0" applyBorder="1"/>
    <xf numFmtId="164" fontId="24" fillId="0" borderId="0" xfId="54" applyNumberFormat="1" applyFill="1" applyBorder="1" applyAlignment="1"/>
    <xf numFmtId="164" fontId="24" fillId="34" borderId="11" xfId="54" quotePrefix="1" applyNumberFormat="1" applyFill="1" applyBorder="1" applyAlignment="1">
      <alignment horizontal="center"/>
    </xf>
  </cellXfs>
  <cellStyles count="55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7"/>
    <cellStyle name="Normal_FunktionGraphs" xfId="54"/>
    <cellStyle name="Notiz" xfId="15" builtinId="10" customBuiltin="1"/>
    <cellStyle name="Schlecht" xfId="7" builtinId="27" customBuiltin="1"/>
    <cellStyle name="Standard" xfId="0" builtinId="0"/>
    <cellStyle name="Standard 10" xfId="42"/>
    <cellStyle name="Standard 10 2" xfId="51"/>
    <cellStyle name="Standard 2" xfId="43"/>
    <cellStyle name="Standard 2 2" xfId="46"/>
    <cellStyle name="Standard 3" xfId="44"/>
    <cellStyle name="Standard 3 2" xfId="48"/>
    <cellStyle name="Standard 4" xfId="49"/>
    <cellStyle name="Standard 5" xfId="45"/>
    <cellStyle name="Standard 7" xfId="52"/>
    <cellStyle name="Standard 8" xfId="50"/>
    <cellStyle name="Standard 9" xfId="53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514350</xdr:rowOff>
    </xdr:from>
    <xdr:to>
      <xdr:col>1</xdr:col>
      <xdr:colOff>2200275</xdr:colOff>
      <xdr:row>4</xdr:row>
      <xdr:rowOff>133350</xdr:rowOff>
    </xdr:to>
    <xdr:sp macro="[0]!GenerateMoodleQuestionImport" textlink="">
      <xdr:nvSpPr>
        <xdr:cNvPr id="3" name="Abgerundetes Rechteck 2"/>
        <xdr:cNvSpPr/>
      </xdr:nvSpPr>
      <xdr:spPr bwMode="auto">
        <a:xfrm>
          <a:off x="1381125" y="704850"/>
          <a:ext cx="2114550" cy="523875"/>
        </a:xfrm>
        <a:prstGeom prst="roundRect">
          <a:avLst/>
        </a:prstGeom>
        <a:solidFill>
          <a:schemeClr val="bg1">
            <a:lumMod val="8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600"/>
            <a:t>Generate Importfile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92D050"/>
  </sheetPr>
  <dimension ref="A1:I11"/>
  <sheetViews>
    <sheetView tabSelected="1" workbookViewId="0">
      <selection activeCell="H8" sqref="H8"/>
    </sheetView>
  </sheetViews>
  <sheetFormatPr baseColWidth="10" defaultRowHeight="15" x14ac:dyDescent="0.25"/>
  <cols>
    <col min="1" max="2" width="17.7109375" customWidth="1"/>
    <col min="3" max="3" width="4.5703125" customWidth="1"/>
    <col min="4" max="5" width="17.7109375" customWidth="1"/>
    <col min="6" max="6" width="15" customWidth="1"/>
    <col min="7" max="7" width="23" customWidth="1"/>
    <col min="8" max="8" width="192.140625" customWidth="1"/>
    <col min="9" max="9" width="153.140625" customWidth="1"/>
  </cols>
  <sheetData>
    <row r="1" spans="1:9" x14ac:dyDescent="0.25">
      <c r="A1" s="20" t="s">
        <v>4</v>
      </c>
      <c r="B1" s="20" t="s">
        <v>19</v>
      </c>
      <c r="C1" s="20" t="s">
        <v>20</v>
      </c>
      <c r="D1" s="20" t="s">
        <v>21</v>
      </c>
      <c r="E1" s="20" t="s">
        <v>3</v>
      </c>
      <c r="F1" s="20" t="s">
        <v>17</v>
      </c>
      <c r="G1" s="20" t="s">
        <v>15</v>
      </c>
      <c r="H1" s="20" t="s">
        <v>16</v>
      </c>
      <c r="I1" s="20" t="s">
        <v>18</v>
      </c>
    </row>
    <row r="2" spans="1:9" ht="15.75" customHeight="1" x14ac:dyDescent="0.25">
      <c r="A2" s="21" t="s">
        <v>2</v>
      </c>
      <c r="B2" s="29" t="s">
        <v>30</v>
      </c>
      <c r="C2" s="25" t="s">
        <v>22</v>
      </c>
      <c r="D2" s="29" t="s">
        <v>29</v>
      </c>
      <c r="E2" s="24" t="str">
        <f>CONCATENATE(B2," ",C2," ",D2)</f>
        <v>4/7 + 1/3</v>
      </c>
      <c r="F2" s="22" t="str">
        <f>Bruch_eval(E2)</f>
        <v>19/21</v>
      </c>
      <c r="G2" s="23" t="str">
        <f t="shared" ref="G2:G3" si="0">IF(C2="+","Bruch-Addition",IF(C2="-","Bruch-Subtraktion",IF(C2=":","Bruch-Division",IF(C2="*","Bruch-Multiplikation"))))</f>
        <v>Bruch-Addition</v>
      </c>
      <c r="H2" s="21" t="str">
        <f>CONCATENATE(I2,"&lt;/p&gt;&lt;p&gt;",E2,"= ?&lt;/p&gt;&lt;p&gt;&lt;br&gt;&lt;/p&gt;&lt;p&gt;&lt;br&gt;")</f>
        <v>"Bitte Antwort als ungekuerzten Bruch in der Form z.B. &lt;b&gt;-24/7&lt;/b&gt; eingeben. Keine Leerschlaege!&lt;br&gt;&lt;/p&gt;&lt;p&gt;4/7 + 1/3= ?&lt;/p&gt;&lt;p&gt;&lt;br&gt;&lt;/p&gt;&lt;p&gt;&lt;br&gt;</v>
      </c>
      <c r="I2" s="21" t="s">
        <v>43</v>
      </c>
    </row>
    <row r="3" spans="1:9" ht="15.75" customHeight="1" x14ac:dyDescent="0.25">
      <c r="A3" s="21" t="s">
        <v>2</v>
      </c>
      <c r="B3" s="29" t="s">
        <v>31</v>
      </c>
      <c r="C3" s="25" t="s">
        <v>24</v>
      </c>
      <c r="D3" s="29" t="s">
        <v>23</v>
      </c>
      <c r="E3" s="24" t="str">
        <f t="shared" ref="E3:E9" si="1">CONCATENATE(B3," ",C3," ",D3)</f>
        <v>1 2/3 - 1/6</v>
      </c>
      <c r="F3" s="22" t="str">
        <f t="shared" ref="F3:F9" si="2">Bruch_eval(E3)</f>
        <v>27/18</v>
      </c>
      <c r="G3" s="23" t="str">
        <f t="shared" si="0"/>
        <v>Bruch-Subtraktion</v>
      </c>
      <c r="H3" s="21" t="str">
        <f>CONCATENATE(I3,"&lt;/p&gt;&lt;p&gt;",E3,"= ?&lt;/p&gt;&lt;p&gt;&lt;br&gt;&lt;/p&gt;&lt;p&gt;&lt;br&gt;")</f>
        <v>"Bitte Antwort als ungekuerzten Bruch in der Form z.B. &lt;b&gt;-24/7&lt;/b&gt; eingeben. Keine Leerschlaege!&lt;br&gt;&lt;/p&gt;&lt;p&gt;1 2/3 - 1/6= ?&lt;/p&gt;&lt;p&gt;&lt;br&gt;&lt;/p&gt;&lt;p&gt;&lt;br&gt;</v>
      </c>
      <c r="I3" s="21" t="str">
        <f>I2</f>
        <v>"Bitte Antwort als ungekuerzten Bruch in der Form z.B. &lt;b&gt;-24/7&lt;/b&gt; eingeben. Keine Leerschlaege!&lt;br&gt;</v>
      </c>
    </row>
    <row r="4" spans="1:9" x14ac:dyDescent="0.25">
      <c r="A4" s="21" t="s">
        <v>2</v>
      </c>
      <c r="B4" s="29" t="s">
        <v>32</v>
      </c>
      <c r="C4" s="25" t="s">
        <v>28</v>
      </c>
      <c r="D4" s="29" t="s">
        <v>33</v>
      </c>
      <c r="E4" s="24" t="str">
        <f t="shared" si="1"/>
        <v>3/4 : 1/2</v>
      </c>
      <c r="F4" s="22" t="str">
        <f t="shared" si="2"/>
        <v>6/4</v>
      </c>
      <c r="G4" s="23" t="str">
        <f>IF(C4="+","Bruch-Addition",IF(C4="-","Bruch-Subtraktion",IF(C4=":","Bruch-Division",IF(C4="*","Bruch-Multiplikation"))))</f>
        <v>Bruch-Division</v>
      </c>
      <c r="H4" s="21" t="str">
        <f t="shared" ref="H4:H9" si="3">CONCATENATE(I4,"&lt;/p&gt;&lt;p&gt;",E4,"= ?&lt;/p&gt;&lt;p&gt;&lt;br&gt;&lt;/p&gt;&lt;p&gt;&lt;br&gt;")</f>
        <v>"Bitte Antwort als ungekuerzten Bruch in der Form z.B. &lt;b&gt;-24/7&lt;/b&gt; eingeben. Keine Leerschlaege!&lt;br&gt;&lt;/p&gt;&lt;p&gt;3/4 : 1/2= ?&lt;/p&gt;&lt;p&gt;&lt;br&gt;&lt;/p&gt;&lt;p&gt;&lt;br&gt;</v>
      </c>
      <c r="I4" s="21" t="str">
        <f t="shared" ref="I4:I9" si="4">I3</f>
        <v>"Bitte Antwort als ungekuerzten Bruch in der Form z.B. &lt;b&gt;-24/7&lt;/b&gt; eingeben. Keine Leerschlaege!&lt;br&gt;</v>
      </c>
    </row>
    <row r="5" spans="1:9" x14ac:dyDescent="0.25">
      <c r="A5" s="21" t="s">
        <v>2</v>
      </c>
      <c r="B5" s="29" t="s">
        <v>27</v>
      </c>
      <c r="C5" s="25" t="s">
        <v>25</v>
      </c>
      <c r="D5" s="29" t="s">
        <v>34</v>
      </c>
      <c r="E5" s="24" t="str">
        <f t="shared" si="1"/>
        <v>4/3 * 3/12</v>
      </c>
      <c r="F5" s="22" t="str">
        <f t="shared" si="2"/>
        <v>12/36</v>
      </c>
      <c r="G5" s="23" t="str">
        <f t="shared" ref="G5:G9" si="5">IF(C5="+","Bruch-Addition",IF(C5="-","Bruch-Subtraktion",IF(C5=":","Bruch-Division",IF(C5="*","Bruch-Multiplikation"))))</f>
        <v>Bruch-Multiplikation</v>
      </c>
      <c r="H5" s="21" t="str">
        <f t="shared" si="3"/>
        <v>"Bitte Antwort als ungekuerzten Bruch in der Form z.B. &lt;b&gt;-24/7&lt;/b&gt; eingeben. Keine Leerschlaege!&lt;br&gt;&lt;/p&gt;&lt;p&gt;4/3 * 3/12= ?&lt;/p&gt;&lt;p&gt;&lt;br&gt;&lt;/p&gt;&lt;p&gt;&lt;br&gt;</v>
      </c>
      <c r="I5" s="21" t="str">
        <f t="shared" si="4"/>
        <v>"Bitte Antwort als ungekuerzten Bruch in der Form z.B. &lt;b&gt;-24/7&lt;/b&gt; eingeben. Keine Leerschlaege!&lt;br&gt;</v>
      </c>
    </row>
    <row r="6" spans="1:9" x14ac:dyDescent="0.25">
      <c r="A6" s="21" t="s">
        <v>2</v>
      </c>
      <c r="B6" s="29" t="s">
        <v>35</v>
      </c>
      <c r="C6" s="25" t="s">
        <v>22</v>
      </c>
      <c r="D6" s="29" t="s">
        <v>36</v>
      </c>
      <c r="E6" s="24" t="str">
        <f t="shared" si="1"/>
        <v>2 1/2 + 3 1/4</v>
      </c>
      <c r="F6" s="22" t="str">
        <f t="shared" si="2"/>
        <v>46/8</v>
      </c>
      <c r="G6" s="23" t="str">
        <f t="shared" si="5"/>
        <v>Bruch-Addition</v>
      </c>
      <c r="H6" s="21" t="str">
        <f t="shared" si="3"/>
        <v>"Bitte Antwort als ungekuerzten Bruch in der Form z.B. &lt;b&gt;-24/7&lt;/b&gt; eingeben. Keine Leerschlaege!&lt;br&gt;&lt;/p&gt;&lt;p&gt;2 1/2 + 3 1/4= ?&lt;/p&gt;&lt;p&gt;&lt;br&gt;&lt;/p&gt;&lt;p&gt;&lt;br&gt;</v>
      </c>
      <c r="I6" s="21" t="str">
        <f t="shared" si="4"/>
        <v>"Bitte Antwort als ungekuerzten Bruch in der Form z.B. &lt;b&gt;-24/7&lt;/b&gt; eingeben. Keine Leerschlaege!&lt;br&gt;</v>
      </c>
    </row>
    <row r="7" spans="1:9" x14ac:dyDescent="0.25">
      <c r="A7" s="21" t="s">
        <v>2</v>
      </c>
      <c r="B7" s="29" t="s">
        <v>37</v>
      </c>
      <c r="C7" s="25" t="s">
        <v>24</v>
      </c>
      <c r="D7" s="29" t="s">
        <v>38</v>
      </c>
      <c r="E7" s="24" t="str">
        <f t="shared" si="1"/>
        <v>5 6/9 - 4 2/3</v>
      </c>
      <c r="F7" s="22" t="str">
        <f t="shared" si="2"/>
        <v>27/27</v>
      </c>
      <c r="G7" s="23" t="str">
        <f t="shared" si="5"/>
        <v>Bruch-Subtraktion</v>
      </c>
      <c r="H7" s="21" t="str">
        <f t="shared" si="3"/>
        <v>"Bitte Antwort als ungekuerzten Bruch in der Form z.B. &lt;b&gt;-24/7&lt;/b&gt; eingeben. Keine Leerschlaege!&lt;br&gt;&lt;/p&gt;&lt;p&gt;5 6/9 - 4 2/3= ?&lt;/p&gt;&lt;p&gt;&lt;br&gt;&lt;/p&gt;&lt;p&gt;&lt;br&gt;</v>
      </c>
      <c r="I7" s="21" t="str">
        <f t="shared" si="4"/>
        <v>"Bitte Antwort als ungekuerzten Bruch in der Form z.B. &lt;b&gt;-24/7&lt;/b&gt; eingeben. Keine Leerschlaege!&lt;br&gt;</v>
      </c>
    </row>
    <row r="8" spans="1:9" x14ac:dyDescent="0.25">
      <c r="A8" s="21" t="s">
        <v>2</v>
      </c>
      <c r="B8" s="29" t="s">
        <v>39</v>
      </c>
      <c r="C8" s="25" t="s">
        <v>28</v>
      </c>
      <c r="D8" s="29" t="s">
        <v>32</v>
      </c>
      <c r="E8" s="24" t="str">
        <f t="shared" si="1"/>
        <v>5 4/7 : 3/4</v>
      </c>
      <c r="F8" s="22" t="str">
        <f t="shared" si="2"/>
        <v>156/21</v>
      </c>
      <c r="G8" s="23" t="str">
        <f t="shared" si="5"/>
        <v>Bruch-Division</v>
      </c>
      <c r="H8" s="21" t="str">
        <f t="shared" si="3"/>
        <v>"Bitte Antwort als ungekuerzten Bruch in der Form z.B. &lt;b&gt;-24/7&lt;/b&gt; eingeben. Keine Leerschlaege!&lt;br&gt;&lt;/p&gt;&lt;p&gt;5 4/7 : 3/4= ?&lt;/p&gt;&lt;p&gt;&lt;br&gt;&lt;/p&gt;&lt;p&gt;&lt;br&gt;</v>
      </c>
      <c r="I8" s="21" t="str">
        <f t="shared" si="4"/>
        <v>"Bitte Antwort als ungekuerzten Bruch in der Form z.B. &lt;b&gt;-24/7&lt;/b&gt; eingeben. Keine Leerschlaege!&lt;br&gt;</v>
      </c>
    </row>
    <row r="9" spans="1:9" x14ac:dyDescent="0.25">
      <c r="A9" s="21" t="s">
        <v>2</v>
      </c>
      <c r="B9" s="29" t="s">
        <v>40</v>
      </c>
      <c r="C9" s="25" t="s">
        <v>25</v>
      </c>
      <c r="D9" s="29" t="s">
        <v>41</v>
      </c>
      <c r="E9" s="24" t="str">
        <f t="shared" si="1"/>
        <v>4 1/4 * 4/5</v>
      </c>
      <c r="F9" s="22" t="str">
        <f t="shared" si="2"/>
        <v>68/20</v>
      </c>
      <c r="G9" s="23" t="str">
        <f t="shared" si="5"/>
        <v>Bruch-Multiplikation</v>
      </c>
      <c r="H9" s="21" t="str">
        <f t="shared" si="3"/>
        <v>"Bitte Antwort als ungekuerzten Bruch in der Form z.B. &lt;b&gt;-24/7&lt;/b&gt; eingeben. Keine Leerschlaege!&lt;br&gt;&lt;/p&gt;&lt;p&gt;4 1/4 * 4/5= ?&lt;/p&gt;&lt;p&gt;&lt;br&gt;&lt;/p&gt;&lt;p&gt;&lt;br&gt;</v>
      </c>
      <c r="I9" s="21" t="str">
        <f t="shared" si="4"/>
        <v>"Bitte Antwort als ungekuerzten Bruch in der Form z.B. &lt;b&gt;-24/7&lt;/b&gt; eingeben. Keine Leerschlaege!&lt;br&gt;</v>
      </c>
    </row>
    <row r="10" spans="1:9" x14ac:dyDescent="0.25">
      <c r="A10" s="27"/>
      <c r="B10" s="27"/>
      <c r="C10" s="27"/>
      <c r="D10" s="27"/>
      <c r="E10" s="28"/>
      <c r="F10" s="28"/>
    </row>
    <row r="11" spans="1:9" x14ac:dyDescent="0.25">
      <c r="A11" s="27"/>
      <c r="B11" s="27"/>
      <c r="C11" s="27"/>
      <c r="D11" s="27"/>
      <c r="E11" s="28"/>
      <c r="F11" s="28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7">
    <tabColor rgb="FFFF0000"/>
  </sheetPr>
  <dimension ref="A1:G21"/>
  <sheetViews>
    <sheetView zoomScale="85" zoomScaleNormal="85" workbookViewId="0">
      <selection activeCell="C27" sqref="C27"/>
    </sheetView>
  </sheetViews>
  <sheetFormatPr baseColWidth="10" defaultColWidth="11.42578125" defaultRowHeight="14.25" x14ac:dyDescent="0.2"/>
  <cols>
    <col min="1" max="1" width="19.42578125" style="2" customWidth="1"/>
    <col min="2" max="2" width="54.85546875" style="2" customWidth="1"/>
    <col min="3" max="3" width="86.28515625" style="2" customWidth="1"/>
    <col min="4" max="4" width="9.85546875" style="2" customWidth="1"/>
    <col min="5" max="6" width="65.85546875" style="2" customWidth="1"/>
    <col min="7" max="16384" width="11.42578125" style="2"/>
  </cols>
  <sheetData>
    <row r="1" spans="1:7" ht="15" x14ac:dyDescent="0.25">
      <c r="A1" s="1" t="s">
        <v>6</v>
      </c>
    </row>
    <row r="2" spans="1:7" ht="42.75" customHeight="1" x14ac:dyDescent="0.2">
      <c r="G2" s="9" t="str">
        <f>roundDoubleAsString(F2,2)</f>
        <v/>
      </c>
    </row>
    <row r="3" spans="1:7" x14ac:dyDescent="0.2">
      <c r="A3" s="2" t="s">
        <v>44</v>
      </c>
      <c r="G3" s="9"/>
    </row>
    <row r="4" spans="1:7" x14ac:dyDescent="0.2">
      <c r="G4" s="9"/>
    </row>
    <row r="5" spans="1:7" x14ac:dyDescent="0.2">
      <c r="C5" s="3"/>
      <c r="G5" s="9"/>
    </row>
    <row r="6" spans="1:7" x14ac:dyDescent="0.2">
      <c r="E6" s="4"/>
      <c r="F6" s="3"/>
      <c r="G6" s="9"/>
    </row>
    <row r="7" spans="1:7" x14ac:dyDescent="0.2">
      <c r="B7" s="5"/>
      <c r="C7" s="5"/>
      <c r="D7" s="6"/>
      <c r="E7" s="6"/>
      <c r="G7" s="9"/>
    </row>
    <row r="8" spans="1:7" x14ac:dyDescent="0.2">
      <c r="B8" s="12" t="s">
        <v>0</v>
      </c>
      <c r="C8" s="12" t="s">
        <v>1</v>
      </c>
      <c r="D8" s="12" t="s">
        <v>14</v>
      </c>
      <c r="E8" s="6"/>
      <c r="G8" s="9"/>
    </row>
    <row r="9" spans="1:7" x14ac:dyDescent="0.2">
      <c r="B9" s="13" t="s">
        <v>26</v>
      </c>
      <c r="C9" s="14" t="s">
        <v>42</v>
      </c>
      <c r="D9" s="15"/>
      <c r="E9" s="6"/>
      <c r="G9" s="9"/>
    </row>
    <row r="10" spans="1:7" x14ac:dyDescent="0.2">
      <c r="B10" s="13" t="s">
        <v>46</v>
      </c>
      <c r="C10" s="14" t="s">
        <v>45</v>
      </c>
      <c r="D10" s="14" t="s">
        <v>12</v>
      </c>
      <c r="E10" s="6"/>
      <c r="G10" s="9"/>
    </row>
    <row r="11" spans="1:7" x14ac:dyDescent="0.2">
      <c r="A11" s="5"/>
      <c r="B11" s="16"/>
      <c r="C11" s="26"/>
      <c r="D11" s="13"/>
      <c r="E11" s="6"/>
      <c r="G11" s="9"/>
    </row>
    <row r="12" spans="1:7" x14ac:dyDescent="0.2">
      <c r="B12" s="15"/>
      <c r="C12" s="13"/>
      <c r="D12" s="15"/>
      <c r="E12" s="6"/>
      <c r="G12" s="9"/>
    </row>
    <row r="13" spans="1:7" x14ac:dyDescent="0.2">
      <c r="A13" s="5"/>
      <c r="B13" s="15"/>
      <c r="C13" s="13"/>
      <c r="D13" s="15"/>
      <c r="E13" s="6"/>
      <c r="G13" s="9"/>
    </row>
    <row r="14" spans="1:7" x14ac:dyDescent="0.2">
      <c r="A14" s="5"/>
      <c r="B14" s="15"/>
      <c r="C14" s="13"/>
      <c r="D14" s="15"/>
      <c r="E14" s="6"/>
      <c r="G14" s="9"/>
    </row>
    <row r="15" spans="1:7" x14ac:dyDescent="0.2">
      <c r="A15" s="5"/>
      <c r="B15" s="15" t="s">
        <v>7</v>
      </c>
      <c r="C15" s="13"/>
      <c r="D15" s="15"/>
      <c r="E15" s="6"/>
      <c r="G15" s="9"/>
    </row>
    <row r="16" spans="1:7" ht="45" customHeight="1" x14ac:dyDescent="0.2">
      <c r="A16" s="5"/>
      <c r="B16" s="18" t="s">
        <v>8</v>
      </c>
      <c r="C16" s="19" t="s">
        <v>9</v>
      </c>
      <c r="D16" s="15"/>
      <c r="E16" s="6"/>
      <c r="G16" s="9"/>
    </row>
    <row r="17" spans="1:7" x14ac:dyDescent="0.2">
      <c r="A17" s="7"/>
      <c r="B17" s="15" t="s">
        <v>10</v>
      </c>
      <c r="C17" s="17" t="s">
        <v>11</v>
      </c>
      <c r="D17" s="15"/>
      <c r="E17" s="6"/>
      <c r="G17" s="9"/>
    </row>
    <row r="18" spans="1:7" x14ac:dyDescent="0.2">
      <c r="A18" s="5"/>
      <c r="B18" s="15"/>
      <c r="C18" s="26"/>
      <c r="D18" s="15"/>
      <c r="E18" s="6"/>
      <c r="G18" s="9"/>
    </row>
    <row r="19" spans="1:7" x14ac:dyDescent="0.2">
      <c r="A19" s="5"/>
      <c r="B19" s="13"/>
      <c r="C19" s="13"/>
      <c r="D19" s="15"/>
    </row>
    <row r="20" spans="1:7" x14ac:dyDescent="0.2">
      <c r="A20" s="5"/>
      <c r="B20" s="8"/>
    </row>
    <row r="21" spans="1:7" x14ac:dyDescent="0.2">
      <c r="A21" s="5"/>
      <c r="B21" s="5"/>
    </row>
  </sheetData>
  <dataValidations count="1">
    <dataValidation type="list" allowBlank="1" showInputMessage="1" showErrorMessage="1" sqref="C19">
      <formula1>"TRUE,FALSE"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9" tint="-0.249977111117893"/>
    <pageSetUpPr fitToPage="1"/>
  </sheetPr>
  <dimension ref="A1:B4"/>
  <sheetViews>
    <sheetView zoomScaleNormal="100" workbookViewId="0">
      <selection activeCell="B12" sqref="B12"/>
    </sheetView>
  </sheetViews>
  <sheetFormatPr baseColWidth="10" defaultRowHeight="12.75" x14ac:dyDescent="0.2"/>
  <cols>
    <col min="1" max="1" width="11.42578125" style="10"/>
    <col min="2" max="2" width="65.7109375" style="10" customWidth="1"/>
    <col min="3" max="16384" width="11.42578125" style="10"/>
  </cols>
  <sheetData>
    <row r="1" spans="1:2" x14ac:dyDescent="0.2">
      <c r="A1" s="10" t="s">
        <v>13</v>
      </c>
    </row>
    <row r="3" spans="1:2" ht="13.5" thickBot="1" x14ac:dyDescent="0.25"/>
    <row r="4" spans="1:2" ht="330.75" thickBot="1" x14ac:dyDescent="0.25">
      <c r="B4" s="11" t="s">
        <v>5</v>
      </c>
    </row>
  </sheetData>
  <pageMargins left="0.7" right="0.7" top="0.78740157499999996" bottom="0.78740157499999996" header="0.3" footer="0.3"/>
  <pageSetup paperSize="9" scale="9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Fragen_Bruch</vt:lpstr>
      <vt:lpstr>SetUp_Run</vt:lpstr>
      <vt:lpstr>Type_Shortanswer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Rothlin, Walter (WTIR 523)</dc:creator>
  <cp:lastModifiedBy>admin</cp:lastModifiedBy>
  <cp:lastPrinted>2020-07-02T10:07:19Z</cp:lastPrinted>
  <dcterms:created xsi:type="dcterms:W3CDTF">2017-05-09T10:22:02Z</dcterms:created>
  <dcterms:modified xsi:type="dcterms:W3CDTF">2021-02-08T09:23:15Z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-1174632144</vt:i4>
  </property>
  <property fmtid="{D5CDD505-2E9C-101B-9397-08002B2CF9AE}" pid="3" name="_NewReviewCycle">
    <vt:lpwstr/>
  </property>
  <property fmtid="{D5CDD505-2E9C-101B-9397-08002B2CF9AE}" pid="4" name="_EmailSubject">
    <vt:lpwstr>DB-Prüfung</vt:lpwstr>
  </property>
  <property fmtid="{D5CDD505-2E9C-101B-9397-08002B2CF9AE}" pid="5" name="_AuthorEmail">
    <vt:lpwstr>walter.rothlin@credit-suisse.com</vt:lpwstr>
  </property>
  <property fmtid="{D5CDD505-2E9C-101B-9397-08002B2CF9AE}" pid="6" name="_AuthorEmailDisplayName">
    <vt:lpwstr>Rothlin, Walter (WTIR 523)</vt:lpwstr>
  </property>
  <property fmtid="{D5CDD505-2E9C-101B-9397-08002B2CF9AE}" pid="7" name="_ReviewingToolsShownOnce">
    <vt:lpwstr/>
  </property>
  <property fmtid="{D5CDD505-2E9C-101B-9397-08002B2CF9AE}" pid="8" name="WorkbookGuid">
    <vt:lpwstr>abdcfa3f-5672-4ca1-844a-d98be0382bfc</vt:lpwstr>
  </property>
</Properties>
</file>