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G:\_WaltisDaten\SourceCode\GitHosted\VBA\"/>
    </mc:Choice>
  </mc:AlternateContent>
  <bookViews>
    <workbookView xWindow="360" yWindow="60" windowWidth="17985" windowHeight="6720"/>
  </bookViews>
  <sheets>
    <sheet name="Shortanswer_Questions" sheetId="19" r:id="rId1"/>
    <sheet name="GenerateQuestionsToImport" sheetId="4" r:id="rId2"/>
    <sheet name="Type_Shortanswer" sheetId="13" r:id="rId3"/>
    <sheet name="UnitTests_Bruch" sheetId="20" r:id="rId4"/>
  </sheets>
  <functionGroups builtInGroupCount="18"/>
  <externalReferences>
    <externalReference r:id="rId5"/>
    <externalReference r:id="rId6"/>
  </externalReferences>
  <definedNames>
    <definedName name="aaaa">[1]Sektoren!#REF!</definedName>
    <definedName name="aassssss">[2]Kreisbogen!#REF!</definedName>
    <definedName name="AndiPic">"Picture 3"</definedName>
    <definedName name="Coupon">'[1]Bond pricing'!$B$5</definedName>
    <definedName name="days">#REF!</definedName>
    <definedName name="eeeeeeeee">#REF!</definedName>
    <definedName name="Nominal">'[1]Bond pricing'!$B$3</definedName>
    <definedName name="pi">[1]Sektoren!$N$3</definedName>
    <definedName name="Preis">'[1]Formeln-Feldnamen'!$B$4</definedName>
    <definedName name="qqq">[2]Kreisbogen!#REF!</definedName>
    <definedName name="rates">#REF!</definedName>
    <definedName name="Reqd_rtn">'[1]Bond pricing'!$F$5</definedName>
    <definedName name="rrrr">#REF!</definedName>
    <definedName name="ssss">#REF!</definedName>
    <definedName name="tocFctGraph">#REF!</definedName>
    <definedName name="tocLinearFct">#REF!</definedName>
    <definedName name="tocNormberechnung">#REF!</definedName>
    <definedName name="tocRGBCalc">#REF!</definedName>
    <definedName name="ttttttt">#REF!</definedName>
    <definedName name="uu">#REF!</definedName>
    <definedName name="uuuuuuuu">#REF!</definedName>
    <definedName name="x">[1]Sektoren!#REF!</definedName>
    <definedName name="xxxxx">#REF!</definedName>
    <definedName name="xxxxxxxx">[1]Sektoren!#REF!</definedName>
    <definedName name="xxxxxxxxx">#REF!</definedName>
    <definedName name="zzzzzzzzzzz">#REF!</definedName>
  </definedNames>
  <calcPr calcId="152511"/>
</workbook>
</file>

<file path=xl/calcChain.xml><?xml version="1.0" encoding="utf-8"?>
<calcChain xmlns="http://schemas.openxmlformats.org/spreadsheetml/2006/main">
  <c r="H2" i="19" l="1"/>
  <c r="G2" i="19"/>
  <c r="G3" i="19"/>
  <c r="G5" i="19"/>
  <c r="G6" i="19"/>
  <c r="G7" i="19"/>
  <c r="G8" i="19"/>
  <c r="G9" i="19"/>
  <c r="G4" i="19"/>
  <c r="E3" i="19"/>
  <c r="E4" i="19"/>
  <c r="E5" i="19"/>
  <c r="E6" i="19"/>
  <c r="E7" i="19"/>
  <c r="E8" i="19"/>
  <c r="E9" i="19"/>
  <c r="E2" i="19"/>
  <c r="V4" i="20"/>
  <c r="V8" i="20"/>
  <c r="V12" i="20"/>
  <c r="V5" i="20"/>
  <c r="V9" i="20"/>
  <c r="V13" i="20"/>
  <c r="V11" i="20"/>
  <c r="V6" i="20"/>
  <c r="V10" i="20"/>
  <c r="V7" i="20"/>
  <c r="V3" i="20"/>
  <c r="T3" i="20"/>
  <c r="R4" i="20"/>
  <c r="R8" i="20"/>
  <c r="R12" i="20"/>
  <c r="R11" i="20"/>
  <c r="R5" i="20"/>
  <c r="R9" i="20"/>
  <c r="R13" i="20"/>
  <c r="R6" i="20"/>
  <c r="R10" i="20"/>
  <c r="R7" i="20"/>
  <c r="R3" i="20"/>
  <c r="P3" i="20"/>
  <c r="F4" i="20"/>
  <c r="F8" i="20"/>
  <c r="F12" i="20"/>
  <c r="F7" i="20"/>
  <c r="F5" i="20"/>
  <c r="F9" i="20"/>
  <c r="F13" i="20"/>
  <c r="F6" i="20"/>
  <c r="F10" i="20"/>
  <c r="F11" i="20"/>
  <c r="P6" i="20"/>
  <c r="P4" i="20"/>
  <c r="P8" i="20"/>
  <c r="P12" i="20"/>
  <c r="P10" i="20"/>
  <c r="P11" i="20"/>
  <c r="P5" i="20"/>
  <c r="P9" i="20"/>
  <c r="P13" i="20"/>
  <c r="P7" i="20"/>
  <c r="T4" i="20"/>
  <c r="T5" i="20"/>
  <c r="T9" i="20"/>
  <c r="T6" i="20"/>
  <c r="T10" i="20"/>
  <c r="T7" i="20"/>
  <c r="T11" i="20"/>
  <c r="T8" i="20"/>
  <c r="T12" i="20"/>
  <c r="T13" i="20"/>
  <c r="M4" i="20"/>
  <c r="U4" i="20"/>
  <c r="S5" i="20"/>
  <c r="Q6" i="20"/>
  <c r="O7" i="20"/>
  <c r="M8" i="20"/>
  <c r="U8" i="20"/>
  <c r="S9" i="20"/>
  <c r="Q10" i="20"/>
  <c r="O11" i="20"/>
  <c r="M12" i="20"/>
  <c r="U12" i="20"/>
  <c r="S13" i="20"/>
  <c r="O5" i="20"/>
  <c r="M6" i="20"/>
  <c r="S7" i="20"/>
  <c r="M10" i="20"/>
  <c r="S11" i="20"/>
  <c r="Q12" i="20"/>
  <c r="Q5" i="20"/>
  <c r="M7" i="20"/>
  <c r="S8" i="20"/>
  <c r="O10" i="20"/>
  <c r="U11" i="20"/>
  <c r="Q13" i="20"/>
  <c r="O4" i="20"/>
  <c r="M5" i="20"/>
  <c r="U5" i="20"/>
  <c r="S6" i="20"/>
  <c r="Q7" i="20"/>
  <c r="O8" i="20"/>
  <c r="M9" i="20"/>
  <c r="U9" i="20"/>
  <c r="S10" i="20"/>
  <c r="Q11" i="20"/>
  <c r="O12" i="20"/>
  <c r="M13" i="20"/>
  <c r="U13" i="20"/>
  <c r="Q4" i="20"/>
  <c r="U6" i="20"/>
  <c r="Q8" i="20"/>
  <c r="O9" i="20"/>
  <c r="U10" i="20"/>
  <c r="O13" i="20"/>
  <c r="S4" i="20"/>
  <c r="O6" i="20"/>
  <c r="U7" i="20"/>
  <c r="Q9" i="20"/>
  <c r="M11" i="20"/>
  <c r="S12" i="20"/>
  <c r="U3" i="20"/>
  <c r="S3" i="20"/>
  <c r="Q3" i="20"/>
  <c r="O3" i="20"/>
  <c r="M3" i="20"/>
  <c r="F3" i="20"/>
  <c r="L13" i="20"/>
  <c r="K12" i="20"/>
  <c r="J11" i="20"/>
  <c r="L9" i="20"/>
  <c r="K8" i="20"/>
  <c r="J7" i="20"/>
  <c r="L5" i="20"/>
  <c r="K4" i="20"/>
  <c r="J3" i="20"/>
  <c r="J10" i="20"/>
  <c r="J6" i="20"/>
  <c r="K3" i="20"/>
  <c r="K13" i="20"/>
  <c r="J12" i="20"/>
  <c r="L10" i="20"/>
  <c r="K9" i="20"/>
  <c r="J8" i="20"/>
  <c r="L6" i="20"/>
  <c r="K5" i="20"/>
  <c r="J4" i="20"/>
  <c r="K11" i="20"/>
  <c r="K7" i="20"/>
  <c r="J13" i="20"/>
  <c r="L11" i="20"/>
  <c r="K10" i="20"/>
  <c r="J9" i="20"/>
  <c r="L7" i="20"/>
  <c r="K6" i="20"/>
  <c r="J5" i="20"/>
  <c r="L3" i="20"/>
  <c r="L12" i="20"/>
  <c r="L8" i="20"/>
  <c r="L4" i="20"/>
  <c r="I13" i="20"/>
  <c r="I9" i="20"/>
  <c r="I5" i="20"/>
  <c r="I7" i="20"/>
  <c r="I3" i="20"/>
  <c r="I6" i="20"/>
  <c r="I12" i="20"/>
  <c r="I8" i="20"/>
  <c r="I4" i="20"/>
  <c r="I11" i="20"/>
  <c r="I10" i="20"/>
  <c r="E3" i="20"/>
  <c r="E4" i="20"/>
  <c r="E8" i="20"/>
  <c r="E12" i="20"/>
  <c r="E16" i="20"/>
  <c r="E11" i="20"/>
  <c r="E5" i="20"/>
  <c r="E9" i="20"/>
  <c r="E13" i="20"/>
  <c r="E17" i="20"/>
  <c r="E6" i="20"/>
  <c r="E10" i="20"/>
  <c r="E14" i="20"/>
  <c r="E18" i="20"/>
  <c r="E7" i="20"/>
  <c r="E15" i="20"/>
  <c r="D3" i="20"/>
  <c r="F4" i="19"/>
  <c r="F6" i="19"/>
  <c r="F3" i="19"/>
  <c r="F7" i="19"/>
  <c r="F8" i="19"/>
  <c r="F5" i="19"/>
  <c r="F9" i="19"/>
  <c r="F2" i="19"/>
  <c r="D4" i="20"/>
  <c r="D8" i="20"/>
  <c r="D12" i="20"/>
  <c r="D16" i="20"/>
  <c r="D11" i="20"/>
  <c r="D5" i="20"/>
  <c r="D9" i="20"/>
  <c r="D13" i="20"/>
  <c r="D17" i="20"/>
  <c r="D15" i="20"/>
  <c r="D6" i="20"/>
  <c r="D10" i="20"/>
  <c r="D14" i="20"/>
  <c r="D18" i="20"/>
  <c r="D7" i="20"/>
  <c r="C4" i="20"/>
  <c r="C6" i="20"/>
  <c r="C10" i="20"/>
  <c r="C13" i="20"/>
  <c r="C18" i="20"/>
  <c r="C12" i="20"/>
  <c r="C7" i="20"/>
  <c r="C11" i="20"/>
  <c r="C15" i="20"/>
  <c r="C17" i="20"/>
  <c r="C8" i="20"/>
  <c r="C14" i="20"/>
  <c r="C16" i="20"/>
  <c r="C9" i="20"/>
  <c r="C3" i="20"/>
  <c r="C5" i="20"/>
  <c r="B9" i="20"/>
  <c r="B12" i="20"/>
  <c r="B14" i="20"/>
  <c r="B6" i="20"/>
  <c r="B13" i="20"/>
  <c r="B15" i="20"/>
  <c r="B7" i="20"/>
  <c r="B5" i="20"/>
  <c r="B4" i="20"/>
  <c r="B3" i="20"/>
  <c r="B10" i="20"/>
  <c r="B18" i="20"/>
  <c r="B11" i="20"/>
  <c r="B16" i="20"/>
  <c r="B17" i="20"/>
  <c r="B8" i="20"/>
  <c r="I3" i="19" l="1"/>
  <c r="I4" i="19" s="1"/>
  <c r="H4" i="19" s="1"/>
  <c r="G2" i="4"/>
  <c r="H3" i="19" l="1"/>
  <c r="I5" i="19"/>
  <c r="I6" i="19" s="1"/>
  <c r="H5" i="19" l="1"/>
  <c r="H6" i="19"/>
  <c r="I7" i="19"/>
  <c r="I8" i="19" l="1"/>
  <c r="H7" i="19"/>
  <c r="H8" i="19" l="1"/>
  <c r="I9" i="19"/>
  <c r="H9" i="19" l="1"/>
</calcChain>
</file>

<file path=xl/sharedStrings.xml><?xml version="1.0" encoding="utf-8"?>
<sst xmlns="http://schemas.openxmlformats.org/spreadsheetml/2006/main" count="106" uniqueCount="74">
  <si>
    <t>Bezeichnung</t>
  </si>
  <si>
    <t>Field-Name Reference / Value</t>
  </si>
  <si>
    <t>Type_Shortanswer</t>
  </si>
  <si>
    <t>Question</t>
  </si>
  <si>
    <t>Fragetype</t>
  </si>
  <si>
    <r>
      <t xml:space="preserve">  &lt;question type="shortanswer"&gt;
    &lt;name&gt;
      &lt;text&gt;</t>
    </r>
    <r>
      <rPr>
        <sz val="11"/>
        <color rgb="FFFF0000"/>
        <rFont val="Calibri"/>
        <family val="2"/>
        <scheme val="minor"/>
      </rPr>
      <t>{Fragetitle}</t>
    </r>
    <r>
      <rPr>
        <sz val="11"/>
        <color theme="1"/>
        <rFont val="Calibri"/>
        <family val="2"/>
        <scheme val="minor"/>
      </rPr>
      <t>&lt;/text&gt;
    &lt;/name&gt;
    &lt;questiontext format="html"&gt;
      &lt;text&gt;&lt;![CDATA[&lt;p&gt;</t>
    </r>
    <r>
      <rPr>
        <sz val="11"/>
        <color rgb="FFFF0000"/>
        <rFont val="Calibri"/>
        <family val="2"/>
        <scheme val="minor"/>
      </rPr>
      <t>{Fragetext}</t>
    </r>
    <r>
      <rPr>
        <sz val="11"/>
        <color theme="1"/>
        <rFont val="Calibri"/>
        <family val="2"/>
        <scheme val="minor"/>
      </rPr>
      <t>&lt;/p&gt;]]&gt;&lt;/text&gt;
    &lt;/questiontext&gt;
    &lt;generalfeedback format="html"&gt;
      &lt;text&gt;&lt;/text&gt;
    &lt;/generalfeedback&gt;
    &lt;defaultgrade&gt;1.0000000&lt;/defaultgrade&gt;
    &lt;penalty&gt;0.3333333&lt;/penalty&gt;
    &lt;hidden&gt;0&lt;/hidden&gt;
    &lt;idnumber&gt;&lt;/idnumber&gt;
    &lt;usecase&gt;0&lt;/usecase&gt;
    &lt;answer fraction="100" format="moodle_auto_format"&gt;
      &lt;text&gt;</t>
    </r>
    <r>
      <rPr>
        <sz val="11"/>
        <color rgb="FFFF0000"/>
        <rFont val="Calibri"/>
        <family val="2"/>
        <scheme val="minor"/>
      </rPr>
      <t>{Frageantwort}</t>
    </r>
    <r>
      <rPr>
        <sz val="11"/>
        <color theme="1"/>
        <rFont val="Calibri"/>
        <family val="2"/>
        <scheme val="minor"/>
      </rPr>
      <t>&lt;/text&gt;
      &lt;feedback format="html"&gt;
        &lt;text&gt;&lt;/text&gt;
      &lt;/feedback&gt;
    &lt;/answer&gt;
  &lt;/question&gt;</t>
    </r>
  </si>
  <si>
    <t>Generate Moodle Questions</t>
  </si>
  <si>
    <t>Moodle-Question:</t>
  </si>
  <si>
    <t>Header</t>
  </si>
  <si>
    <t>&lt;?xml version="1.0" encoding="UTF-8"?&gt;
&lt;quiz&gt;</t>
  </si>
  <si>
    <t>Footer</t>
  </si>
  <si>
    <t>&lt;/quiz&gt;</t>
  </si>
  <si>
    <t>Shortanswer_Questions</t>
  </si>
  <si>
    <t>A1</t>
  </si>
  <si>
    <t>B4</t>
  </si>
  <si>
    <t>CellAdr</t>
  </si>
  <si>
    <t>{Fragetitle}</t>
  </si>
  <si>
    <t>{Fragetext}</t>
  </si>
  <si>
    <t>{Frageantwort}</t>
  </si>
  <si>
    <t>Hilfetext</t>
  </si>
  <si>
    <t>Op1</t>
  </si>
  <si>
    <t>Op</t>
  </si>
  <si>
    <t>Op2</t>
  </si>
  <si>
    <t>+</t>
  </si>
  <si>
    <t>1/6</t>
  </si>
  <si>
    <t>-</t>
  </si>
  <si>
    <t>*</t>
  </si>
  <si>
    <t>Source to generate question file</t>
  </si>
  <si>
    <t>Moodle Import Filename (Moodle-XML-Format)</t>
  </si>
  <si>
    <t xml:space="preserve"> 1 2/3</t>
  </si>
  <si>
    <t>45</t>
  </si>
  <si>
    <t>34434 555</t>
  </si>
  <si>
    <t>Bruch</t>
  </si>
  <si>
    <t>BruchType</t>
  </si>
  <si>
    <t>Ganzer Teil</t>
  </si>
  <si>
    <t>Zaehler</t>
  </si>
  <si>
    <t>Nenner</t>
  </si>
  <si>
    <t>+    1     3/40</t>
  </si>
  <si>
    <t>+    1     3/40.3</t>
  </si>
  <si>
    <t>12.34</t>
  </si>
  <si>
    <t>-12/ -3</t>
  </si>
  <si>
    <t xml:space="preserve"> -22/3</t>
  </si>
  <si>
    <t>- 2/3</t>
  </si>
  <si>
    <t xml:space="preserve">   -  45</t>
  </si>
  <si>
    <t>+ 2/3</t>
  </si>
  <si>
    <t xml:space="preserve">   +  45</t>
  </si>
  <si>
    <t>-   1   - 2/3</t>
  </si>
  <si>
    <t>4/3</t>
  </si>
  <si>
    <t xml:space="preserve"> - 1 20/30</t>
  </si>
  <si>
    <t xml:space="preserve"> + 1 21/311</t>
  </si>
  <si>
    <t xml:space="preserve"> 2 6/4</t>
  </si>
  <si>
    <t>Mul</t>
  </si>
  <si>
    <t>Unechter Bruch</t>
  </si>
  <si>
    <t>Div</t>
  </si>
  <si>
    <t>Add</t>
  </si>
  <si>
    <t>Sub</t>
  </si>
  <si>
    <t xml:space="preserve"> + 1 21/11</t>
  </si>
  <si>
    <t>:</t>
  </si>
  <si>
    <t>1/3</t>
  </si>
  <si>
    <t>4/7</t>
  </si>
  <si>
    <t>1 2/3</t>
  </si>
  <si>
    <t>3/4</t>
  </si>
  <si>
    <t>1/2</t>
  </si>
  <si>
    <t>3/12</t>
  </si>
  <si>
    <t>2 1/2</t>
  </si>
  <si>
    <t>3 1/4</t>
  </si>
  <si>
    <t>5 6/9</t>
  </si>
  <si>
    <t>4 2/3</t>
  </si>
  <si>
    <t>5 4/7</t>
  </si>
  <si>
    <t>4 1/4</t>
  </si>
  <si>
    <t>4/5</t>
  </si>
  <si>
    <t>G:\_WaltisDaten\SourceCode\GitHosted\VBA\Generated_Moodle_XML_Questions.xml</t>
  </si>
  <si>
    <t>"Bitte Antwort als ungekuerzten Bruch in der Form z.B. &lt;b&gt;-24/7&lt;/b&gt; eingeben. Keine Leerschlaege!&lt;br&gt;</t>
  </si>
  <si>
    <t>V1.0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</si>
</sst>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\ ???/???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Arial"/>
      <family val="2"/>
    </font>
    <font>
      <b/>
      <u/>
      <sz val="11"/>
      <name val="Arial"/>
      <family val="2"/>
    </font>
    <font>
      <sz val="10"/>
      <color indexed="8"/>
      <name val="Tahoma"/>
      <family val="2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rgb="FF000000"/>
      <name val="Calibri"/>
      <family val="2"/>
    </font>
    <font>
      <sz val="10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5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20" fillId="0" borderId="0"/>
    <xf numFmtId="0" fontId="21" fillId="0" borderId="0"/>
    <xf numFmtId="0" fontId="22" fillId="0" borderId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4" fillId="0" borderId="0"/>
  </cellStyleXfs>
  <cellXfs count="40">
    <xf numFmtId="0" fontId="0" fillId="0" borderId="0" xfId="0"/>
    <xf numFmtId="0" fontId="19" fillId="0" borderId="0" xfId="42" applyFont="1"/>
    <xf numFmtId="0" fontId="18" fillId="0" borderId="0" xfId="42"/>
    <xf numFmtId="0" fontId="18" fillId="0" borderId="0" xfId="42" applyAlignment="1">
      <alignment wrapText="1"/>
    </xf>
    <xf numFmtId="0" fontId="18" fillId="0" borderId="0" xfId="42" applyAlignment="1">
      <alignment horizontal="left" vertical="top"/>
    </xf>
    <xf numFmtId="0" fontId="18" fillId="0" borderId="0" xfId="42" applyFill="1" applyBorder="1"/>
    <xf numFmtId="0" fontId="18" fillId="0" borderId="0" xfId="42" applyBorder="1"/>
    <xf numFmtId="0" fontId="18" fillId="0" borderId="0" xfId="42" applyFill="1" applyBorder="1" applyAlignment="1">
      <alignment horizontal="center" vertical="center"/>
    </xf>
    <xf numFmtId="0" fontId="18" fillId="0" borderId="0" xfId="42" applyFill="1" applyBorder="1" applyAlignment="1">
      <alignment wrapText="1"/>
    </xf>
    <xf numFmtId="0" fontId="18" fillId="0" borderId="0" xfId="42" applyAlignment="1">
      <alignment horizontal="right"/>
    </xf>
    <xf numFmtId="0" fontId="21" fillId="0" borderId="0" xfId="44"/>
    <xf numFmtId="0" fontId="0" fillId="35" borderId="10" xfId="44" applyFont="1" applyFill="1" applyBorder="1" applyAlignment="1">
      <alignment vertical="top" wrapText="1"/>
    </xf>
    <xf numFmtId="0" fontId="18" fillId="33" borderId="11" xfId="42" applyFill="1" applyBorder="1"/>
    <xf numFmtId="0" fontId="18" fillId="0" borderId="11" xfId="42" applyFill="1" applyBorder="1"/>
    <xf numFmtId="0" fontId="18" fillId="34" borderId="11" xfId="42" applyFill="1" applyBorder="1"/>
    <xf numFmtId="0" fontId="18" fillId="0" borderId="11" xfId="42" applyBorder="1"/>
    <xf numFmtId="0" fontId="18" fillId="0" borderId="11" xfId="42" applyBorder="1" applyAlignment="1">
      <alignment horizontal="left" vertical="top"/>
    </xf>
    <xf numFmtId="0" fontId="18" fillId="34" borderId="11" xfId="42" applyFill="1" applyBorder="1" applyAlignment="1">
      <alignment wrapText="1"/>
    </xf>
    <xf numFmtId="0" fontId="18" fillId="0" borderId="11" xfId="42" applyBorder="1" applyAlignment="1">
      <alignment vertical="top"/>
    </xf>
    <xf numFmtId="0" fontId="18" fillId="34" borderId="11" xfId="42" applyFill="1" applyBorder="1" applyAlignment="1">
      <alignment vertical="top" wrapText="1"/>
    </xf>
    <xf numFmtId="0" fontId="0" fillId="35" borderId="11" xfId="0" applyFill="1" applyBorder="1"/>
    <xf numFmtId="0" fontId="0" fillId="0" borderId="11" xfId="0" applyBorder="1"/>
    <xf numFmtId="0" fontId="0" fillId="0" borderId="11" xfId="0" quotePrefix="1" applyBorder="1"/>
    <xf numFmtId="164" fontId="0" fillId="0" borderId="11" xfId="0" quotePrefix="1" applyNumberFormat="1" applyBorder="1"/>
    <xf numFmtId="164" fontId="0" fillId="0" borderId="11" xfId="0" applyNumberFormat="1" applyBorder="1"/>
    <xf numFmtId="164" fontId="24" fillId="0" borderId="11" xfId="54" applyNumberFormat="1" applyFill="1" applyBorder="1" applyAlignment="1"/>
    <xf numFmtId="0" fontId="0" fillId="0" borderId="11" xfId="0" quotePrefix="1" applyBorder="1" applyAlignment="1">
      <alignment horizontal="center"/>
    </xf>
    <xf numFmtId="0" fontId="18" fillId="0" borderId="11" xfId="42" applyFill="1" applyBorder="1" applyAlignment="1">
      <alignment wrapText="1"/>
    </xf>
    <xf numFmtId="0" fontId="0" fillId="0" borderId="0" xfId="0" applyBorder="1"/>
    <xf numFmtId="164" fontId="24" fillId="0" borderId="0" xfId="54" applyNumberFormat="1" applyFill="1" applyBorder="1" applyAlignment="1"/>
    <xf numFmtId="164" fontId="24" fillId="34" borderId="11" xfId="54" quotePrefix="1" applyNumberFormat="1" applyFill="1" applyBorder="1" applyAlignment="1">
      <alignment horizontal="center"/>
    </xf>
    <xf numFmtId="0" fontId="0" fillId="0" borderId="11" xfId="0" quotePrefix="1" applyBorder="1" applyAlignment="1">
      <alignment horizontal="right"/>
    </xf>
    <xf numFmtId="12" fontId="0" fillId="0" borderId="0" xfId="0" quotePrefix="1" applyNumberFormat="1"/>
    <xf numFmtId="0" fontId="0" fillId="0" borderId="0" xfId="0" quotePrefix="1"/>
    <xf numFmtId="0" fontId="0" fillId="33" borderId="0" xfId="0" applyFill="1"/>
    <xf numFmtId="0" fontId="0" fillId="33" borderId="11" xfId="0" applyFill="1" applyBorder="1"/>
    <xf numFmtId="12" fontId="0" fillId="0" borderId="11" xfId="0" quotePrefix="1" applyNumberFormat="1" applyBorder="1" applyAlignment="1">
      <alignment horizontal="right" indent="1"/>
    </xf>
    <xf numFmtId="0" fontId="0" fillId="0" borderId="11" xfId="0" applyBorder="1" applyAlignment="1">
      <alignment horizontal="right"/>
    </xf>
    <xf numFmtId="16" fontId="0" fillId="0" borderId="11" xfId="0" quotePrefix="1" applyNumberFormat="1" applyBorder="1" applyAlignment="1">
      <alignment horizontal="right"/>
    </xf>
    <xf numFmtId="0" fontId="0" fillId="33" borderId="0" xfId="0" quotePrefix="1" applyFill="1" applyAlignment="1">
      <alignment horizontal="center"/>
    </xf>
  </cellXfs>
  <cellStyles count="55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rmal 2" xfId="47"/>
    <cellStyle name="Normal_FunktionGraphs" xfId="54"/>
    <cellStyle name="Notiz" xfId="15" builtinId="10" customBuiltin="1"/>
    <cellStyle name="Schlecht" xfId="7" builtinId="27" customBuiltin="1"/>
    <cellStyle name="Standard" xfId="0" builtinId="0"/>
    <cellStyle name="Standard 10" xfId="42"/>
    <cellStyle name="Standard 10 2" xfId="51"/>
    <cellStyle name="Standard 2" xfId="43"/>
    <cellStyle name="Standard 2 2" xfId="46"/>
    <cellStyle name="Standard 3" xfId="44"/>
    <cellStyle name="Standard 3 2" xfId="48"/>
    <cellStyle name="Standard 4" xfId="49"/>
    <cellStyle name="Standard 5" xfId="45"/>
    <cellStyle name="Standard 7" xfId="52"/>
    <cellStyle name="Standard 8" xfId="50"/>
    <cellStyle name="Standard 9" xfId="53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</xdr:row>
      <xdr:rowOff>514350</xdr:rowOff>
    </xdr:from>
    <xdr:to>
      <xdr:col>1</xdr:col>
      <xdr:colOff>2200275</xdr:colOff>
      <xdr:row>4</xdr:row>
      <xdr:rowOff>133350</xdr:rowOff>
    </xdr:to>
    <xdr:sp macro="[0]!GenerateMoodleQuestionImport" textlink="">
      <xdr:nvSpPr>
        <xdr:cNvPr id="3" name="Abgerundetes Rechteck 2"/>
        <xdr:cNvSpPr/>
      </xdr:nvSpPr>
      <xdr:spPr bwMode="auto">
        <a:xfrm>
          <a:off x="1381125" y="704850"/>
          <a:ext cx="2114550" cy="523875"/>
        </a:xfrm>
        <a:prstGeom prst="roundRect">
          <a:avLst/>
        </a:prstGeom>
        <a:solidFill>
          <a:schemeClr val="bg1">
            <a:lumMod val="8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GB" sz="1600"/>
            <a:t>Generate Importfile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_Daten_2017_06_24\SourceCode\VBA\Formelbuch\formeln_2017_05_0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walter\AppData\Local\Temp\formeln_2014_02_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OfContent"/>
      <sheetName val="TBA"/>
      <sheetName val="Version"/>
      <sheetName val="Help"/>
      <sheetName val="Excel Shortcuts"/>
      <sheetName val="Bilderliste"/>
      <sheetName val="VBA Tipps"/>
      <sheetName val="Kalender"/>
      <sheetName val="Kalendergrid"/>
      <sheetName val="DatumsListen"/>
      <sheetName val="Picasso_Stunden"/>
      <sheetName val="Picasso_Tages"/>
      <sheetName val="Oktober_Feinplanung"/>
      <sheetName val="Oktober_Jahresplanung"/>
      <sheetName val="Formatierungen"/>
      <sheetName val="Bedingte Formatierung"/>
      <sheetName val="Eingabe-Kontrolle"/>
      <sheetName val="Look-Ups"/>
      <sheetName val="Mechanik_Balken"/>
      <sheetName val="Mechanik_Seilbahn"/>
      <sheetName val="Mechanik_ResKraft"/>
      <sheetName val="Schatzinsel-Problem"/>
      <sheetName val="Kinematik_2"/>
      <sheetName val="String-Lookups"/>
      <sheetName val="Iteration"/>
      <sheetName val="Formeln-Feldnamen"/>
      <sheetName val="ChangeEventHandler"/>
      <sheetName val="Eigene ExcelFct"/>
      <sheetName val="RegularExpression"/>
      <sheetName val="Geometrie"/>
      <sheetName val="Winkelfunktionen"/>
      <sheetName val="Winkel im am Kreis"/>
      <sheetName val="Dreieck"/>
      <sheetName val="Satzgruppe von Pythagoras"/>
      <sheetName val="Sektoren"/>
      <sheetName val="TobiasKübelProblem"/>
      <sheetName val="Schiefer Wurf"/>
      <sheetName val="Zahlensysteme"/>
      <sheetName val="Memory management"/>
      <sheetName val="IP-Adressen"/>
      <sheetName val="Semaphore"/>
      <sheetName val="Deadlock Gefahr"/>
      <sheetName val="Big-Little Endian"/>
      <sheetName val="RSA"/>
      <sheetName val="Kassenbuch"/>
      <sheetName val="Ohmsches Gesetz"/>
      <sheetName val="Spannungsteiler"/>
      <sheetName val="Widerstandsglieder"/>
      <sheetName val="Widerstand Dreieck-Stern"/>
      <sheetName val="Drehstrom-Verbraucher"/>
      <sheetName val="Funktionstypen"/>
      <sheetName val="Fall-Wurf"/>
      <sheetName val="Umlaufbahnen"/>
      <sheetName val="Funktionsgraphen"/>
      <sheetName val="Vektor"/>
      <sheetName val="Funktionsgraphen_OLD_2"/>
      <sheetName val="Geraden-Gleichung"/>
      <sheetName val="Lufttransport"/>
      <sheetName val="Quadratisch-Gleichung"/>
      <sheetName val="Kubische-Gleichung"/>
      <sheetName val="Parabolspiegel"/>
      <sheetName val="Determinaten"/>
      <sheetName val="Lineare Regression"/>
      <sheetName val="Lineare Regression (2)"/>
      <sheetName val="Lineare Regression (3)"/>
      <sheetName val="Umrechnungen"/>
      <sheetName val="Umrechnungs-Tabellen"/>
      <sheetName val="Currency"/>
      <sheetName val="Runden"/>
      <sheetName val="Currency Verteilung"/>
      <sheetName val="Benzinverbrauch"/>
      <sheetName val="Karten-Koordinaten"/>
      <sheetName val="WGS84-CH1903"/>
      <sheetName val="Variance"/>
      <sheetName val="Zinsenzins"/>
      <sheetName val="Interest Rate conversion Calc"/>
      <sheetName val="Simple Interest_Compound Inter"/>
      <sheetName val="Compounding Calculator"/>
      <sheetName val="ZinseszinsenKurven"/>
      <sheetName val="Yieldcurve"/>
      <sheetName val="Bond pricing"/>
      <sheetName val="CDS Pricing"/>
      <sheetName val="Yield and Bonds"/>
      <sheetName val="NPV-Zerobonds"/>
      <sheetName val="FRN Berechnungen"/>
      <sheetName val="Option"/>
      <sheetName val="Spot-Position"/>
      <sheetName val="Swap-Points Berechnung"/>
      <sheetName val="Swap-Positionen"/>
      <sheetName val="Investitions-Rechnung"/>
      <sheetName val="ABC-Rechenscheibe"/>
      <sheetName val="ABC X-Berechnungen"/>
      <sheetName val="Alpa_Beta_Zerfall"/>
      <sheetName val="AtomDetails"/>
      <sheetName val="Periodensystem"/>
      <sheetName val="Rechnen Primarschule (1)"/>
      <sheetName val="Rechnen Primarschule (2)"/>
      <sheetName val="Teiler+Primzahlen"/>
      <sheetName val="Teiler 2-400"/>
      <sheetName val="Teiler 400-700"/>
      <sheetName val="Teiler 700-1000"/>
      <sheetName val="Teiler 2-1000"/>
      <sheetName val="Primzahlen 2-10000"/>
      <sheetName val="Primzahlenzerlegung 2-10000"/>
      <sheetName val="Primzahlenzerlegung 2-1000 Prin"/>
      <sheetName val="kgv-ggt Theorie"/>
      <sheetName val="kgv-ggt"/>
      <sheetName val="SchriftlichMulti"/>
      <sheetName val="WeekdayByKiener"/>
      <sheetName val="Sudoku"/>
      <sheetName val="Labyrinth"/>
      <sheetName val="Bruch-Rechnen"/>
      <sheetName val="Komplexe Zahlen"/>
      <sheetName val="Vektoren (2-dim)"/>
      <sheetName val="Vektoren (3-dim)"/>
      <sheetName val="Koordinaten-System (Leer)"/>
      <sheetName val="Eigene Formulare"/>
      <sheetName val="Luftdruckkurve"/>
      <sheetName val="Web-Browser"/>
      <sheetName val="SwissMapInterface"/>
      <sheetName val="ABC-Trompete"/>
      <sheetName val="MengenOperationen"/>
      <sheetName val="AllesSex"/>
      <sheetName val="MultiStateBtn"/>
      <sheetName val="KlötzeDrehen"/>
      <sheetName val="Uhrzeigerwinkel"/>
      <sheetName val="Feuerwehrschlauch"/>
      <sheetName val="RCL-Serieglieder"/>
      <sheetName val="RCL-Parallelglieder"/>
      <sheetName val="RCL-Zusammenfassung"/>
      <sheetName val="Fourier-Analyse"/>
      <sheetName val="Drehstrom DC-Motor"/>
      <sheetName val="Drehstrom"/>
      <sheetName val="Scheinleistung"/>
      <sheetName val="SearchEntry"/>
      <sheetName val="RegelmVielecke"/>
      <sheetName val="SerienEmail"/>
      <sheetName val="AdressListeBeispiel"/>
      <sheetName val="Lichtbrechung"/>
      <sheetName val="MATRIX_TestCase_Source"/>
      <sheetName val="MATRIX_TestCase_Dest"/>
      <sheetName val="Gute Texte"/>
      <sheetName val="Chemie Links"/>
      <sheetName val="Fette-Oele"/>
      <sheetName val="Transistor"/>
      <sheetName val="Permutationen"/>
      <sheetName val="Statistik"/>
      <sheetName val="TempUmrechnung"/>
      <sheetName val="Polynome"/>
      <sheetName val="Interpolations-Polynome"/>
      <sheetName val="Pascal-Dreieck"/>
      <sheetName val="Reihen_Ganzzahlig"/>
      <sheetName val="Wertetabellen Lukas"/>
      <sheetName val="Schmelz- und Siede-Temperaturen"/>
      <sheetName val="Strahlensätze"/>
      <sheetName val="Dreieck-Trigonometrie"/>
      <sheetName val="Winddreieck"/>
      <sheetName val="Hausinstallationen"/>
      <sheetName val="Luftfeuchtigkei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>
        <row r="4">
          <cell r="B4">
            <v>6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>
        <row r="3">
          <cell r="N3">
            <v>3.1415920000000002</v>
          </cell>
        </row>
      </sheetData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>
        <row r="3">
          <cell r="B3">
            <v>100</v>
          </cell>
        </row>
        <row r="5">
          <cell r="B5">
            <v>7.0000000000000007E-2</v>
          </cell>
          <cell r="F5">
            <v>0.08</v>
          </cell>
        </row>
      </sheetData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OfContent"/>
      <sheetName val="Version"/>
      <sheetName val="Help"/>
      <sheetName val="Excel Shortcuts"/>
      <sheetName val="Bilderliste"/>
      <sheetName val="VBA Tipps"/>
      <sheetName val="Kalender"/>
      <sheetName val="Kalendergrid"/>
      <sheetName val="DatumsListen"/>
      <sheetName val="Picasso"/>
      <sheetName val="Formatierungen"/>
      <sheetName val="Bedingte Formatierung"/>
      <sheetName val="Eingabe-Kontrolle"/>
      <sheetName val="Look-Ups"/>
      <sheetName val="String-Lookups"/>
      <sheetName val="Iteration"/>
      <sheetName val="Formeln-Feldnamen"/>
      <sheetName val="ChangeEventHandler"/>
      <sheetName val="Eigene ExcelFct"/>
      <sheetName val="RegularExpression"/>
      <sheetName val="Geometrie"/>
      <sheetName val="Winkelfunktionen"/>
      <sheetName val="Winkel im am Kreis"/>
      <sheetName val="Dreieck"/>
      <sheetName val="Satzgruppe von Pythagoras"/>
      <sheetName val="Rechtwinklige Dreiecke"/>
      <sheetName val="Kreisbogen"/>
      <sheetName val="TobiasKübelProblem"/>
      <sheetName val="Schiefer Wurf"/>
      <sheetName val="Zahlensysteme"/>
      <sheetName val="Memory management"/>
      <sheetName val="IP-Adressen"/>
      <sheetName val="Semaphore"/>
      <sheetName val="Deadlock Gefahr"/>
      <sheetName val="Big-Little Endian"/>
      <sheetName val="RSA"/>
      <sheetName val="Kassenbuch"/>
      <sheetName val="Ohmsches Gesetz"/>
      <sheetName val="Spannungsteiler"/>
      <sheetName val="Funktionstypen"/>
      <sheetName val="Fall-Wurf"/>
      <sheetName val="Umlaufbahnen"/>
      <sheetName val="Funktionsgraphen"/>
      <sheetName val="Vektor"/>
      <sheetName val="Funktionsgraphen_OLD_2"/>
      <sheetName val="Geraden-Gleichung"/>
      <sheetName val="Lufttransport"/>
      <sheetName val="Quadratisch-Gleichung"/>
      <sheetName val="Parabolspiegel"/>
      <sheetName val="Determinaten"/>
      <sheetName val="Lineare Regression"/>
      <sheetName val="Lineare Regression (2)"/>
      <sheetName val="Lineare Regression (3)"/>
      <sheetName val="Umrechnungen"/>
      <sheetName val="Umrechnungs-Tabellen"/>
      <sheetName val="Currency"/>
      <sheetName val="Runden"/>
      <sheetName val="Currency Verteilung"/>
      <sheetName val="Benzinverbrauch"/>
      <sheetName val="Karten-Koordinaten"/>
      <sheetName val="WGS84-CH1903"/>
      <sheetName val="Variance"/>
      <sheetName val="Zinsenzins"/>
      <sheetName val="Interest Rate conversion Calc"/>
      <sheetName val="Simple Interest_Compound Inter"/>
      <sheetName val="Compounding Calculator"/>
      <sheetName val="ZinseszinsenKurven"/>
      <sheetName val="Yieldcurve"/>
      <sheetName val="Bond pricing"/>
      <sheetName val="CDS Pricing"/>
      <sheetName val="Yield and Bonds"/>
      <sheetName val="NPV-Zerobonds"/>
      <sheetName val="FRN Berechnungen"/>
      <sheetName val="Option"/>
      <sheetName val="Spot-Position"/>
      <sheetName val="Swap-Points Berechnung"/>
      <sheetName val="Swap-Positionen"/>
      <sheetName val="Investitions-Rechnung"/>
      <sheetName val="ABC-Rechenscheibe"/>
      <sheetName val="ABC X-Berechnungen"/>
      <sheetName val="Alpa_Beta_Zerfall"/>
      <sheetName val="AtomDetails"/>
      <sheetName val="Periodensystem"/>
      <sheetName val="Rechnen Primarschule (1)"/>
      <sheetName val="Rechnen Primarschule (2)"/>
      <sheetName val="JavaProgramPrimzahlen"/>
      <sheetName val="Teiler+Primzahlen"/>
      <sheetName val="Teiler 2-400"/>
      <sheetName val="Teiler 400-700"/>
      <sheetName val="Teiler 700-1000"/>
      <sheetName val="Teiler 2-1000"/>
      <sheetName val="Primzahlen 2-10000"/>
      <sheetName val="Primzahlenzerlegung 2-10000"/>
      <sheetName val="Primzahlenzerlegung 2-1000 Prin"/>
      <sheetName val="kgv-ggt Theorie"/>
      <sheetName val="kgv-ggt"/>
      <sheetName val="SchriftlichMulti"/>
      <sheetName val="WeekdayByKiener"/>
      <sheetName val="Sudoku"/>
      <sheetName val="Labyrinth"/>
      <sheetName val="Bruch-Rechnen"/>
      <sheetName val="Komplexe Zahlen"/>
      <sheetName val="Koordinaten-System (Leer)"/>
      <sheetName val="Eigene Formulare"/>
      <sheetName val="Luftdruckkurve"/>
      <sheetName val="Web-Browser"/>
      <sheetName val="SwissMapInterface"/>
      <sheetName val="ABC-Trompete"/>
      <sheetName val="MengenOperationen"/>
      <sheetName val="AllesSex"/>
      <sheetName val="MultiStateBtn"/>
      <sheetName val="KlötzeDrehen"/>
      <sheetName val="Uhrzeigerwinkel"/>
      <sheetName val="Feuerwehrschlauch"/>
      <sheetName val="RCL-Serieglieder"/>
      <sheetName val="RCL-Parallelglieder"/>
      <sheetName val="RCL-Zusammenfassung"/>
      <sheetName val="Fourier-Analyse"/>
      <sheetName val="Drehstrom"/>
      <sheetName val="Scheinleistung"/>
      <sheetName val="SearchEntry"/>
      <sheetName val="RegelmVielecke"/>
      <sheetName val="SerienEmail"/>
      <sheetName val="AdressListeBeispiel"/>
      <sheetName val="Lichtbrechu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4">
          <cell r="B4">
            <v>6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3">
          <cell r="J3">
            <v>3.1415920000000002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>
        <row r="3">
          <cell r="B3">
            <v>100</v>
          </cell>
        </row>
      </sheetData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I11"/>
  <sheetViews>
    <sheetView tabSelected="1" workbookViewId="0">
      <selection activeCell="E25" sqref="E25"/>
    </sheetView>
  </sheetViews>
  <sheetFormatPr baseColWidth="10" defaultRowHeight="15" x14ac:dyDescent="0.25"/>
  <cols>
    <col min="1" max="2" width="17.7109375" customWidth="1"/>
    <col min="3" max="3" width="4.5703125" customWidth="1"/>
    <col min="4" max="5" width="17.7109375" customWidth="1"/>
    <col min="6" max="6" width="15" customWidth="1"/>
    <col min="7" max="7" width="23" customWidth="1"/>
    <col min="8" max="8" width="192.140625" customWidth="1"/>
    <col min="9" max="9" width="153.140625" customWidth="1"/>
  </cols>
  <sheetData>
    <row r="1" spans="1:9" x14ac:dyDescent="0.25">
      <c r="A1" s="20" t="s">
        <v>4</v>
      </c>
      <c r="B1" s="20" t="s">
        <v>20</v>
      </c>
      <c r="C1" s="20" t="s">
        <v>21</v>
      </c>
      <c r="D1" s="20" t="s">
        <v>22</v>
      </c>
      <c r="E1" s="20" t="s">
        <v>3</v>
      </c>
      <c r="F1" s="20" t="s">
        <v>18</v>
      </c>
      <c r="G1" s="20" t="s">
        <v>16</v>
      </c>
      <c r="H1" s="20" t="s">
        <v>17</v>
      </c>
      <c r="I1" s="20" t="s">
        <v>19</v>
      </c>
    </row>
    <row r="2" spans="1:9" ht="15.75" customHeight="1" x14ac:dyDescent="0.25">
      <c r="A2" s="21" t="s">
        <v>2</v>
      </c>
      <c r="B2" s="30" t="s">
        <v>59</v>
      </c>
      <c r="C2" s="26" t="s">
        <v>23</v>
      </c>
      <c r="D2" s="30" t="s">
        <v>58</v>
      </c>
      <c r="E2" s="25" t="str">
        <f>CONCATENATE(B2," ",C2," ",D2)</f>
        <v>4/7 + 1/3</v>
      </c>
      <c r="F2" s="23" t="str">
        <f>Bruch_eval(E2)</f>
        <v>19/21</v>
      </c>
      <c r="G2" s="24" t="str">
        <f t="shared" ref="G2:G3" si="0">IF(C2="+","Bruch-Addition",IF(C2="-","Bruch-Subtraktion",IF(C2=":","Bruch-Division",IF(C2="*","Bruch-Multiplikation"))))</f>
        <v>Bruch-Addition</v>
      </c>
      <c r="H2" s="21" t="str">
        <f>CONCATENATE(I2,"&lt;/p&gt;&lt;p&gt;",E2,"= ?&lt;/p&gt;&lt;p&gt;&lt;br&gt;&lt;/p&gt;&lt;p&gt;&lt;br&gt;")</f>
        <v>"Bitte Antwort als ungekuerzten Bruch in der Form z.B. &lt;b&gt;-24/7&lt;/b&gt; eingeben. Keine Leerschlaege!&lt;br&gt;&lt;/p&gt;&lt;p&gt;4/7 + 1/3= ?&lt;/p&gt;&lt;p&gt;&lt;br&gt;&lt;/p&gt;&lt;p&gt;&lt;br&gt;</v>
      </c>
      <c r="I2" s="21" t="s">
        <v>72</v>
      </c>
    </row>
    <row r="3" spans="1:9" ht="15.75" customHeight="1" x14ac:dyDescent="0.25">
      <c r="A3" s="21" t="s">
        <v>2</v>
      </c>
      <c r="B3" s="30" t="s">
        <v>60</v>
      </c>
      <c r="C3" s="26" t="s">
        <v>25</v>
      </c>
      <c r="D3" s="30" t="s">
        <v>24</v>
      </c>
      <c r="E3" s="25" t="str">
        <f t="shared" ref="E3:E9" si="1">CONCATENATE(B3," ",C3," ",D3)</f>
        <v>1 2/3 - 1/6</v>
      </c>
      <c r="F3" s="23" t="str">
        <f t="shared" ref="F3:F9" si="2">Bruch_eval(E3)</f>
        <v>27/18</v>
      </c>
      <c r="G3" s="24" t="str">
        <f t="shared" si="0"/>
        <v>Bruch-Subtraktion</v>
      </c>
      <c r="H3" s="21" t="str">
        <f>CONCATENATE(I3,"&lt;/p&gt;&lt;p&gt;",E3,"= ?&lt;/p&gt;&lt;p&gt;&lt;br&gt;&lt;/p&gt;&lt;p&gt;&lt;br&gt;")</f>
        <v>"Bitte Antwort als ungekuerzten Bruch in der Form z.B. &lt;b&gt;-24/7&lt;/b&gt; eingeben. Keine Leerschlaege!&lt;br&gt;&lt;/p&gt;&lt;p&gt;1 2/3 - 1/6= ?&lt;/p&gt;&lt;p&gt;&lt;br&gt;&lt;/p&gt;&lt;p&gt;&lt;br&gt;</v>
      </c>
      <c r="I3" s="21" t="str">
        <f>I2</f>
        <v>"Bitte Antwort als ungekuerzten Bruch in der Form z.B. &lt;b&gt;-24/7&lt;/b&gt; eingeben. Keine Leerschlaege!&lt;br&gt;</v>
      </c>
    </row>
    <row r="4" spans="1:9" x14ac:dyDescent="0.25">
      <c r="A4" s="21" t="s">
        <v>2</v>
      </c>
      <c r="B4" s="30" t="s">
        <v>61</v>
      </c>
      <c r="C4" s="26" t="s">
        <v>57</v>
      </c>
      <c r="D4" s="30" t="s">
        <v>62</v>
      </c>
      <c r="E4" s="25" t="str">
        <f t="shared" si="1"/>
        <v>3/4 : 1/2</v>
      </c>
      <c r="F4" s="23" t="str">
        <f t="shared" si="2"/>
        <v>6/4</v>
      </c>
      <c r="G4" s="24" t="str">
        <f>IF(C4="+","Bruch-Addition",IF(C4="-","Bruch-Subtraktion",IF(C4=":","Bruch-Division",IF(C4="*","Bruch-Multiplikation"))))</f>
        <v>Bruch-Division</v>
      </c>
      <c r="H4" s="21" t="str">
        <f t="shared" ref="H4:H9" si="3">CONCATENATE(I4,"&lt;/p&gt;&lt;p&gt;",E4,"= ?&lt;/p&gt;&lt;p&gt;&lt;br&gt;&lt;/p&gt;&lt;p&gt;&lt;br&gt;")</f>
        <v>"Bitte Antwort als ungekuerzten Bruch in der Form z.B. &lt;b&gt;-24/7&lt;/b&gt; eingeben. Keine Leerschlaege!&lt;br&gt;&lt;/p&gt;&lt;p&gt;3/4 : 1/2= ?&lt;/p&gt;&lt;p&gt;&lt;br&gt;&lt;/p&gt;&lt;p&gt;&lt;br&gt;</v>
      </c>
      <c r="I4" s="21" t="str">
        <f t="shared" ref="I4:I9" si="4">I3</f>
        <v>"Bitte Antwort als ungekuerzten Bruch in der Form z.B. &lt;b&gt;-24/7&lt;/b&gt; eingeben. Keine Leerschlaege!&lt;br&gt;</v>
      </c>
    </row>
    <row r="5" spans="1:9" x14ac:dyDescent="0.25">
      <c r="A5" s="21" t="s">
        <v>2</v>
      </c>
      <c r="B5" s="30" t="s">
        <v>47</v>
      </c>
      <c r="C5" s="26" t="s">
        <v>26</v>
      </c>
      <c r="D5" s="30" t="s">
        <v>63</v>
      </c>
      <c r="E5" s="25" t="str">
        <f t="shared" si="1"/>
        <v>4/3 * 3/12</v>
      </c>
      <c r="F5" s="23" t="str">
        <f t="shared" si="2"/>
        <v>12/36</v>
      </c>
      <c r="G5" s="24" t="str">
        <f t="shared" ref="G5:G9" si="5">IF(C5="+","Bruch-Addition",IF(C5="-","Bruch-Subtraktion",IF(C5=":","Bruch-Division",IF(C5="*","Bruch-Multiplikation"))))</f>
        <v>Bruch-Multiplikation</v>
      </c>
      <c r="H5" s="21" t="str">
        <f t="shared" si="3"/>
        <v>"Bitte Antwort als ungekuerzten Bruch in der Form z.B. &lt;b&gt;-24/7&lt;/b&gt; eingeben. Keine Leerschlaege!&lt;br&gt;&lt;/p&gt;&lt;p&gt;4/3 * 3/12= ?&lt;/p&gt;&lt;p&gt;&lt;br&gt;&lt;/p&gt;&lt;p&gt;&lt;br&gt;</v>
      </c>
      <c r="I5" s="21" t="str">
        <f t="shared" si="4"/>
        <v>"Bitte Antwort als ungekuerzten Bruch in der Form z.B. &lt;b&gt;-24/7&lt;/b&gt; eingeben. Keine Leerschlaege!&lt;br&gt;</v>
      </c>
    </row>
    <row r="6" spans="1:9" x14ac:dyDescent="0.25">
      <c r="A6" s="21" t="s">
        <v>2</v>
      </c>
      <c r="B6" s="30" t="s">
        <v>64</v>
      </c>
      <c r="C6" s="26" t="s">
        <v>23</v>
      </c>
      <c r="D6" s="30" t="s">
        <v>65</v>
      </c>
      <c r="E6" s="25" t="str">
        <f t="shared" si="1"/>
        <v>2 1/2 + 3 1/4</v>
      </c>
      <c r="F6" s="23" t="str">
        <f t="shared" si="2"/>
        <v>46/8</v>
      </c>
      <c r="G6" s="24" t="str">
        <f t="shared" si="5"/>
        <v>Bruch-Addition</v>
      </c>
      <c r="H6" s="21" t="str">
        <f t="shared" si="3"/>
        <v>"Bitte Antwort als ungekuerzten Bruch in der Form z.B. &lt;b&gt;-24/7&lt;/b&gt; eingeben. Keine Leerschlaege!&lt;br&gt;&lt;/p&gt;&lt;p&gt;2 1/2 + 3 1/4= ?&lt;/p&gt;&lt;p&gt;&lt;br&gt;&lt;/p&gt;&lt;p&gt;&lt;br&gt;</v>
      </c>
      <c r="I6" s="21" t="str">
        <f t="shared" si="4"/>
        <v>"Bitte Antwort als ungekuerzten Bruch in der Form z.B. &lt;b&gt;-24/7&lt;/b&gt; eingeben. Keine Leerschlaege!&lt;br&gt;</v>
      </c>
    </row>
    <row r="7" spans="1:9" x14ac:dyDescent="0.25">
      <c r="A7" s="21" t="s">
        <v>2</v>
      </c>
      <c r="B7" s="30" t="s">
        <v>66</v>
      </c>
      <c r="C7" s="26" t="s">
        <v>25</v>
      </c>
      <c r="D7" s="30" t="s">
        <v>67</v>
      </c>
      <c r="E7" s="25" t="str">
        <f t="shared" si="1"/>
        <v>5 6/9 - 4 2/3</v>
      </c>
      <c r="F7" s="23" t="str">
        <f t="shared" si="2"/>
        <v>27/27</v>
      </c>
      <c r="G7" s="24" t="str">
        <f t="shared" si="5"/>
        <v>Bruch-Subtraktion</v>
      </c>
      <c r="H7" s="21" t="str">
        <f t="shared" si="3"/>
        <v>"Bitte Antwort als ungekuerzten Bruch in der Form z.B. &lt;b&gt;-24/7&lt;/b&gt; eingeben. Keine Leerschlaege!&lt;br&gt;&lt;/p&gt;&lt;p&gt;5 6/9 - 4 2/3= ?&lt;/p&gt;&lt;p&gt;&lt;br&gt;&lt;/p&gt;&lt;p&gt;&lt;br&gt;</v>
      </c>
      <c r="I7" s="21" t="str">
        <f t="shared" si="4"/>
        <v>"Bitte Antwort als ungekuerzten Bruch in der Form z.B. &lt;b&gt;-24/7&lt;/b&gt; eingeben. Keine Leerschlaege!&lt;br&gt;</v>
      </c>
    </row>
    <row r="8" spans="1:9" x14ac:dyDescent="0.25">
      <c r="A8" s="21" t="s">
        <v>2</v>
      </c>
      <c r="B8" s="30" t="s">
        <v>68</v>
      </c>
      <c r="C8" s="26" t="s">
        <v>57</v>
      </c>
      <c r="D8" s="30" t="s">
        <v>61</v>
      </c>
      <c r="E8" s="25" t="str">
        <f t="shared" si="1"/>
        <v>5 4/7 : 3/4</v>
      </c>
      <c r="F8" s="23" t="str">
        <f t="shared" si="2"/>
        <v>156/21</v>
      </c>
      <c r="G8" s="24" t="str">
        <f t="shared" si="5"/>
        <v>Bruch-Division</v>
      </c>
      <c r="H8" s="21" t="str">
        <f t="shared" si="3"/>
        <v>"Bitte Antwort als ungekuerzten Bruch in der Form z.B. &lt;b&gt;-24/7&lt;/b&gt; eingeben. Keine Leerschlaege!&lt;br&gt;&lt;/p&gt;&lt;p&gt;5 4/7 : 3/4= ?&lt;/p&gt;&lt;p&gt;&lt;br&gt;&lt;/p&gt;&lt;p&gt;&lt;br&gt;</v>
      </c>
      <c r="I8" s="21" t="str">
        <f t="shared" si="4"/>
        <v>"Bitte Antwort als ungekuerzten Bruch in der Form z.B. &lt;b&gt;-24/7&lt;/b&gt; eingeben. Keine Leerschlaege!&lt;br&gt;</v>
      </c>
    </row>
    <row r="9" spans="1:9" x14ac:dyDescent="0.25">
      <c r="A9" s="21" t="s">
        <v>2</v>
      </c>
      <c r="B9" s="30" t="s">
        <v>69</v>
      </c>
      <c r="C9" s="26" t="s">
        <v>26</v>
      </c>
      <c r="D9" s="30" t="s">
        <v>70</v>
      </c>
      <c r="E9" s="25" t="str">
        <f t="shared" si="1"/>
        <v>4 1/4 * 4/5</v>
      </c>
      <c r="F9" s="23" t="str">
        <f t="shared" si="2"/>
        <v>68/20</v>
      </c>
      <c r="G9" s="24" t="str">
        <f t="shared" si="5"/>
        <v>Bruch-Multiplikation</v>
      </c>
      <c r="H9" s="21" t="str">
        <f t="shared" si="3"/>
        <v>"Bitte Antwort als ungekuerzten Bruch in der Form z.B. &lt;b&gt;-24/7&lt;/b&gt; eingeben. Keine Leerschlaege!&lt;br&gt;&lt;/p&gt;&lt;p&gt;4 1/4 * 4/5= ?&lt;/p&gt;&lt;p&gt;&lt;br&gt;&lt;/p&gt;&lt;p&gt;&lt;br&gt;</v>
      </c>
      <c r="I9" s="21" t="str">
        <f t="shared" si="4"/>
        <v>"Bitte Antwort als ungekuerzten Bruch in der Form z.B. &lt;b&gt;-24/7&lt;/b&gt; eingeben. Keine Leerschlaege!&lt;br&gt;</v>
      </c>
    </row>
    <row r="10" spans="1:9" x14ac:dyDescent="0.25">
      <c r="A10" s="28"/>
      <c r="B10" s="28"/>
      <c r="C10" s="28"/>
      <c r="D10" s="28"/>
      <c r="E10" s="29"/>
      <c r="F10" s="29"/>
    </row>
    <row r="11" spans="1:9" x14ac:dyDescent="0.25">
      <c r="A11" s="28"/>
      <c r="B11" s="28"/>
      <c r="C11" s="28"/>
      <c r="D11" s="28"/>
      <c r="E11" s="29"/>
      <c r="F11" s="29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7"/>
  <dimension ref="A1:G21"/>
  <sheetViews>
    <sheetView zoomScale="85" zoomScaleNormal="85" workbookViewId="0">
      <selection activeCell="B32" sqref="B32"/>
    </sheetView>
  </sheetViews>
  <sheetFormatPr baseColWidth="10" defaultColWidth="11.42578125" defaultRowHeight="14.25" x14ac:dyDescent="0.2"/>
  <cols>
    <col min="1" max="1" width="19.42578125" style="2" customWidth="1"/>
    <col min="2" max="2" width="54.85546875" style="2" customWidth="1"/>
    <col min="3" max="3" width="86.28515625" style="2" customWidth="1"/>
    <col min="4" max="4" width="9.85546875" style="2" customWidth="1"/>
    <col min="5" max="6" width="65.85546875" style="2" customWidth="1"/>
    <col min="7" max="16384" width="11.42578125" style="2"/>
  </cols>
  <sheetData>
    <row r="1" spans="1:7" ht="15" x14ac:dyDescent="0.25">
      <c r="A1" s="1" t="s">
        <v>6</v>
      </c>
    </row>
    <row r="2" spans="1:7" ht="42.75" customHeight="1" x14ac:dyDescent="0.2">
      <c r="G2" s="9" t="str">
        <f>roundDoubleAsString(F2,2)</f>
        <v/>
      </c>
    </row>
    <row r="3" spans="1:7" x14ac:dyDescent="0.2">
      <c r="A3" s="2" t="s">
        <v>73</v>
      </c>
      <c r="G3" s="9"/>
    </row>
    <row r="4" spans="1:7" x14ac:dyDescent="0.2">
      <c r="G4" s="9"/>
    </row>
    <row r="5" spans="1:7" x14ac:dyDescent="0.2">
      <c r="C5" s="3"/>
      <c r="G5" s="9"/>
    </row>
    <row r="6" spans="1:7" x14ac:dyDescent="0.2">
      <c r="E6" s="4"/>
      <c r="F6" s="3"/>
      <c r="G6" s="9"/>
    </row>
    <row r="7" spans="1:7" x14ac:dyDescent="0.2">
      <c r="B7" s="5"/>
      <c r="C7" s="5"/>
      <c r="D7" s="6"/>
      <c r="E7" s="6"/>
      <c r="G7" s="9"/>
    </row>
    <row r="8" spans="1:7" x14ac:dyDescent="0.2">
      <c r="B8" s="12" t="s">
        <v>0</v>
      </c>
      <c r="C8" s="12" t="s">
        <v>1</v>
      </c>
      <c r="D8" s="12" t="s">
        <v>15</v>
      </c>
      <c r="E8" s="6"/>
      <c r="G8" s="9"/>
    </row>
    <row r="9" spans="1:7" x14ac:dyDescent="0.2">
      <c r="B9" s="13" t="s">
        <v>28</v>
      </c>
      <c r="C9" s="14" t="s">
        <v>71</v>
      </c>
      <c r="D9" s="15"/>
      <c r="E9" s="6"/>
      <c r="G9" s="9"/>
    </row>
    <row r="10" spans="1:7" x14ac:dyDescent="0.2">
      <c r="B10" s="13" t="s">
        <v>27</v>
      </c>
      <c r="C10" s="14" t="s">
        <v>12</v>
      </c>
      <c r="D10" s="14" t="s">
        <v>13</v>
      </c>
      <c r="E10" s="6"/>
      <c r="G10" s="9"/>
    </row>
    <row r="11" spans="1:7" x14ac:dyDescent="0.2">
      <c r="A11" s="5"/>
      <c r="B11" s="16"/>
      <c r="C11" s="27"/>
      <c r="D11" s="13"/>
      <c r="E11" s="6"/>
      <c r="G11" s="9"/>
    </row>
    <row r="12" spans="1:7" x14ac:dyDescent="0.2">
      <c r="B12" s="15"/>
      <c r="C12" s="13"/>
      <c r="D12" s="15"/>
      <c r="E12" s="6"/>
      <c r="G12" s="9"/>
    </row>
    <row r="13" spans="1:7" x14ac:dyDescent="0.2">
      <c r="A13" s="5"/>
      <c r="B13" s="15"/>
      <c r="C13" s="13"/>
      <c r="D13" s="15"/>
      <c r="E13" s="6"/>
      <c r="G13" s="9"/>
    </row>
    <row r="14" spans="1:7" x14ac:dyDescent="0.2">
      <c r="A14" s="5"/>
      <c r="B14" s="15"/>
      <c r="C14" s="13"/>
      <c r="D14" s="15"/>
      <c r="E14" s="6"/>
      <c r="G14" s="9"/>
    </row>
    <row r="15" spans="1:7" x14ac:dyDescent="0.2">
      <c r="A15" s="5"/>
      <c r="B15" s="15" t="s">
        <v>7</v>
      </c>
      <c r="C15" s="13"/>
      <c r="D15" s="15"/>
      <c r="E15" s="6"/>
      <c r="G15" s="9"/>
    </row>
    <row r="16" spans="1:7" ht="45" customHeight="1" x14ac:dyDescent="0.2">
      <c r="A16" s="5"/>
      <c r="B16" s="18" t="s">
        <v>8</v>
      </c>
      <c r="C16" s="19" t="s">
        <v>9</v>
      </c>
      <c r="D16" s="15"/>
      <c r="E16" s="6"/>
      <c r="G16" s="9"/>
    </row>
    <row r="17" spans="1:7" x14ac:dyDescent="0.2">
      <c r="A17" s="7"/>
      <c r="B17" s="15" t="s">
        <v>10</v>
      </c>
      <c r="C17" s="17" t="s">
        <v>11</v>
      </c>
      <c r="D17" s="15"/>
      <c r="E17" s="6"/>
      <c r="G17" s="9"/>
    </row>
    <row r="18" spans="1:7" x14ac:dyDescent="0.2">
      <c r="A18" s="5"/>
      <c r="B18" s="15"/>
      <c r="C18" s="27"/>
      <c r="D18" s="15"/>
      <c r="E18" s="6"/>
      <c r="G18" s="9"/>
    </row>
    <row r="19" spans="1:7" x14ac:dyDescent="0.2">
      <c r="A19" s="5"/>
      <c r="B19" s="13"/>
      <c r="C19" s="13"/>
      <c r="D19" s="15"/>
    </row>
    <row r="20" spans="1:7" x14ac:dyDescent="0.2">
      <c r="A20" s="5"/>
      <c r="B20" s="8"/>
    </row>
    <row r="21" spans="1:7" x14ac:dyDescent="0.2">
      <c r="A21" s="5"/>
      <c r="B21" s="5"/>
    </row>
  </sheetData>
  <dataValidations count="1">
    <dataValidation type="list" allowBlank="1" showInputMessage="1" showErrorMessage="1" sqref="C19">
      <formula1>"TRUE,FALSE"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>
    <pageSetUpPr fitToPage="1"/>
  </sheetPr>
  <dimension ref="A1:B4"/>
  <sheetViews>
    <sheetView zoomScaleNormal="100" workbookViewId="0">
      <selection activeCell="B12" sqref="B12"/>
    </sheetView>
  </sheetViews>
  <sheetFormatPr baseColWidth="10" defaultRowHeight="12.75" x14ac:dyDescent="0.2"/>
  <cols>
    <col min="1" max="1" width="11.42578125" style="10"/>
    <col min="2" max="2" width="65.7109375" style="10" customWidth="1"/>
    <col min="3" max="16384" width="11.42578125" style="10"/>
  </cols>
  <sheetData>
    <row r="1" spans="1:2" x14ac:dyDescent="0.2">
      <c r="A1" s="10" t="s">
        <v>14</v>
      </c>
    </row>
    <row r="3" spans="1:2" ht="13.5" thickBot="1" x14ac:dyDescent="0.25"/>
    <row r="4" spans="1:2" ht="330.75" thickBot="1" x14ac:dyDescent="0.25">
      <c r="B4" s="11" t="s">
        <v>5</v>
      </c>
    </row>
  </sheetData>
  <pageMargins left="0.7" right="0.7" top="0.78740157499999996" bottom="0.78740157499999996" header="0.3" footer="0.3"/>
  <pageSetup paperSize="9" scale="96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2:V18"/>
  <sheetViews>
    <sheetView topLeftCell="E1" workbookViewId="0">
      <selection activeCell="W20" sqref="W20"/>
    </sheetView>
  </sheetViews>
  <sheetFormatPr baseColWidth="10" defaultRowHeight="15" x14ac:dyDescent="0.25"/>
  <cols>
    <col min="1" max="1" width="14" customWidth="1"/>
    <col min="2" max="2" width="32.5703125" customWidth="1"/>
    <col min="6" max="6" width="15.85546875" customWidth="1"/>
    <col min="13" max="13" width="15.85546875" customWidth="1"/>
  </cols>
  <sheetData>
    <row r="2" spans="1:22" x14ac:dyDescent="0.25">
      <c r="A2" s="35" t="s">
        <v>32</v>
      </c>
      <c r="B2" s="35" t="s">
        <v>33</v>
      </c>
      <c r="C2" s="35" t="s">
        <v>34</v>
      </c>
      <c r="D2" s="35" t="s">
        <v>35</v>
      </c>
      <c r="E2" s="35" t="s">
        <v>36</v>
      </c>
      <c r="F2" s="35" t="s">
        <v>52</v>
      </c>
      <c r="G2" s="34"/>
      <c r="H2" s="35" t="s">
        <v>32</v>
      </c>
      <c r="I2" s="35" t="s">
        <v>33</v>
      </c>
      <c r="J2" s="35" t="s">
        <v>34</v>
      </c>
      <c r="K2" s="35" t="s">
        <v>35</v>
      </c>
      <c r="L2" s="35" t="s">
        <v>36</v>
      </c>
      <c r="M2" s="35" t="s">
        <v>52</v>
      </c>
      <c r="N2" s="34"/>
      <c r="O2" s="34" t="s">
        <v>51</v>
      </c>
      <c r="P2" s="39" t="s">
        <v>26</v>
      </c>
      <c r="Q2" s="34" t="s">
        <v>53</v>
      </c>
      <c r="R2" s="39" t="s">
        <v>57</v>
      </c>
      <c r="S2" s="34" t="s">
        <v>54</v>
      </c>
      <c r="T2" s="39" t="s">
        <v>23</v>
      </c>
      <c r="U2" s="34" t="s">
        <v>55</v>
      </c>
      <c r="V2" s="39" t="s">
        <v>25</v>
      </c>
    </row>
    <row r="3" spans="1:22" x14ac:dyDescent="0.25">
      <c r="A3" s="36" t="s">
        <v>29</v>
      </c>
      <c r="B3" s="21" t="str">
        <f>Bruch_getBruchType(A3)</f>
        <v>g z/n</v>
      </c>
      <c r="C3" s="21">
        <f>Bruch_getGanzahligerTeil(A3)</f>
        <v>1</v>
      </c>
      <c r="D3" s="21">
        <f>Bruch_getZaehler(A3)</f>
        <v>2</v>
      </c>
      <c r="E3" s="21">
        <f>Bruch_getNenner(A3)</f>
        <v>3</v>
      </c>
      <c r="F3" s="37" t="str">
        <f>Bruch_getUnechter(A3)</f>
        <v>5/3</v>
      </c>
      <c r="H3" s="36" t="s">
        <v>50</v>
      </c>
      <c r="I3" s="21" t="str">
        <f>Bruch_getBruchType(H3)</f>
        <v>g z/n</v>
      </c>
      <c r="J3" s="21">
        <f>Bruch_getGanzahligerTeil(H3)</f>
        <v>2</v>
      </c>
      <c r="K3" s="21">
        <f>Bruch_getZaehler(H3)</f>
        <v>6</v>
      </c>
      <c r="L3" s="21">
        <f>Bruch_getNenner(H3)</f>
        <v>4</v>
      </c>
      <c r="M3" s="37" t="str">
        <f>Bruch_getUnechter(H3)</f>
        <v>14/4</v>
      </c>
      <c r="O3" t="str">
        <f>Bruch_mul(A3,H3)</f>
        <v>70/12</v>
      </c>
      <c r="P3" t="str">
        <f>Bruch_eval(CONCATENATE(A3,$P$2,H3))</f>
        <v>70/12</v>
      </c>
      <c r="Q3" t="str">
        <f>Bruch_div(A3,H3)</f>
        <v>20/42</v>
      </c>
      <c r="R3" t="str">
        <f>Bruch_eval(CONCATENATE(A3,$R$2,H3))</f>
        <v>20/42</v>
      </c>
      <c r="S3" t="str">
        <f>Bruch_add(A3,H3)</f>
        <v>62/12</v>
      </c>
      <c r="T3" t="str">
        <f>Bruch_eval(CONCATENATE(A3,$T$2,H3))</f>
        <v>62/12</v>
      </c>
      <c r="U3" t="str">
        <f>Bruch_sub(A3,H3)</f>
        <v>-22/12</v>
      </c>
      <c r="V3" t="str">
        <f>Bruch_eval(CONCATENATE(A3,$V$2,H3))</f>
        <v>-22/12</v>
      </c>
    </row>
    <row r="4" spans="1:22" x14ac:dyDescent="0.25">
      <c r="A4" s="38" t="s">
        <v>47</v>
      </c>
      <c r="B4" s="21" t="str">
        <f>Bruch_getBruchType(A4)</f>
        <v>z/n</v>
      </c>
      <c r="C4" s="21">
        <f>Bruch_getGanzahligerTeil(A4)</f>
        <v>0</v>
      </c>
      <c r="D4" s="21">
        <f t="shared" ref="D4:D18" si="0">Bruch_getZaehler(A4)</f>
        <v>4</v>
      </c>
      <c r="E4" s="21">
        <f t="shared" ref="E4:E18" si="1">Bruch_getNenner(A4)</f>
        <v>3</v>
      </c>
      <c r="F4" s="37" t="str">
        <f t="shared" ref="F4:F13" si="2">Bruch_getUnechter(A4)</f>
        <v>4/3</v>
      </c>
      <c r="H4" s="38" t="s">
        <v>47</v>
      </c>
      <c r="I4" s="21" t="str">
        <f>Bruch_getBruchType(H4)</f>
        <v>z/n</v>
      </c>
      <c r="J4" s="21">
        <f>Bruch_getGanzahligerTeil(H4)</f>
        <v>0</v>
      </c>
      <c r="K4" s="21">
        <f t="shared" ref="K4:K13" si="3">Bruch_getZaehler(H4)</f>
        <v>4</v>
      </c>
      <c r="L4" s="21">
        <f t="shared" ref="L4:L13" si="4">Bruch_getNenner(H4)</f>
        <v>3</v>
      </c>
      <c r="M4" s="37" t="str">
        <f t="shared" ref="M4:M13" si="5">Bruch_getUnechter(H4)</f>
        <v>4/3</v>
      </c>
      <c r="O4" t="str">
        <f t="shared" ref="O4:O13" si="6">Bruch_mul(A4,H4)</f>
        <v>16/9</v>
      </c>
      <c r="P4" t="str">
        <f t="shared" ref="P4:P13" si="7">Bruch_eval(CONCATENATE(A4,$P$2,H4))</f>
        <v>16/9</v>
      </c>
      <c r="Q4" t="str">
        <f t="shared" ref="Q4:Q13" si="8">Bruch_div(A4,H4)</f>
        <v>12/12</v>
      </c>
      <c r="R4" t="str">
        <f t="shared" ref="R4:R13" si="9">Bruch_eval(CONCATENATE(A4,$R$2,H4))</f>
        <v>12/12</v>
      </c>
      <c r="S4" t="str">
        <f t="shared" ref="S4:S13" si="10">Bruch_add(A4,H4)</f>
        <v>24/9</v>
      </c>
      <c r="T4" t="str">
        <f t="shared" ref="T4:T13" si="11">Bruch_eval(CONCATENATE(A4,$T$2,H4))</f>
        <v>24/9</v>
      </c>
      <c r="U4" t="str">
        <f t="shared" ref="U4:U13" si="12">Bruch_sub(A4,H4)</f>
        <v>0/9</v>
      </c>
      <c r="V4" t="str">
        <f t="shared" ref="V4:V13" si="13">Bruch_eval(CONCATENATE(A4,$V$2,H4))</f>
        <v>0/9</v>
      </c>
    </row>
    <row r="5" spans="1:22" x14ac:dyDescent="0.25">
      <c r="A5" s="31" t="s">
        <v>30</v>
      </c>
      <c r="B5" s="21" t="str">
        <f>Bruch_getBruchType(A5)</f>
        <v>g</v>
      </c>
      <c r="C5" s="21">
        <f>Bruch_getGanzahligerTeil(A5)</f>
        <v>45</v>
      </c>
      <c r="D5" s="21">
        <f t="shared" si="0"/>
        <v>0</v>
      </c>
      <c r="E5" s="21">
        <f t="shared" si="1"/>
        <v>1</v>
      </c>
      <c r="F5" s="37" t="str">
        <f t="shared" si="2"/>
        <v>45/1</v>
      </c>
      <c r="H5" s="31" t="s">
        <v>30</v>
      </c>
      <c r="I5" s="21" t="str">
        <f>Bruch_getBruchType(H5)</f>
        <v>g</v>
      </c>
      <c r="J5" s="21">
        <f>Bruch_getGanzahligerTeil(H5)</f>
        <v>45</v>
      </c>
      <c r="K5" s="21">
        <f t="shared" si="3"/>
        <v>0</v>
      </c>
      <c r="L5" s="21">
        <f t="shared" si="4"/>
        <v>1</v>
      </c>
      <c r="M5" s="37" t="str">
        <f t="shared" si="5"/>
        <v>45/1</v>
      </c>
      <c r="O5" t="str">
        <f t="shared" si="6"/>
        <v>2025/1</v>
      </c>
      <c r="P5" t="str">
        <f t="shared" si="7"/>
        <v>2025/1</v>
      </c>
      <c r="Q5" t="str">
        <f t="shared" si="8"/>
        <v>45/45</v>
      </c>
      <c r="R5" t="str">
        <f t="shared" si="9"/>
        <v>45/45</v>
      </c>
      <c r="S5" t="str">
        <f t="shared" si="10"/>
        <v>90/1</v>
      </c>
      <c r="T5" t="str">
        <f t="shared" si="11"/>
        <v>90/1</v>
      </c>
      <c r="U5" t="str">
        <f t="shared" si="12"/>
        <v>0/1</v>
      </c>
      <c r="V5" t="str">
        <f t="shared" si="13"/>
        <v>0/1</v>
      </c>
    </row>
    <row r="6" spans="1:22" x14ac:dyDescent="0.25">
      <c r="A6" s="36" t="s">
        <v>48</v>
      </c>
      <c r="B6" s="21" t="str">
        <f>Bruch_getBruchType(A6)</f>
        <v>-g z/n</v>
      </c>
      <c r="C6" s="21">
        <f t="shared" ref="C6:C18" si="14">Bruch_getGanzahligerTeil(A6)</f>
        <v>-1</v>
      </c>
      <c r="D6" s="21">
        <f t="shared" si="0"/>
        <v>20</v>
      </c>
      <c r="E6" s="21">
        <f t="shared" si="1"/>
        <v>30</v>
      </c>
      <c r="F6" s="37" t="str">
        <f t="shared" si="2"/>
        <v>-10/30</v>
      </c>
      <c r="H6" s="36" t="s">
        <v>48</v>
      </c>
      <c r="I6" s="21" t="str">
        <f>Bruch_getBruchType(H6)</f>
        <v>-g z/n</v>
      </c>
      <c r="J6" s="21">
        <f t="shared" ref="J6:J13" si="15">Bruch_getGanzahligerTeil(H6)</f>
        <v>-1</v>
      </c>
      <c r="K6" s="21">
        <f t="shared" si="3"/>
        <v>20</v>
      </c>
      <c r="L6" s="21">
        <f t="shared" si="4"/>
        <v>30</v>
      </c>
      <c r="M6" s="37" t="str">
        <f t="shared" si="5"/>
        <v>-10/30</v>
      </c>
      <c r="O6" t="str">
        <f t="shared" si="6"/>
        <v>100/900</v>
      </c>
      <c r="P6" t="str">
        <f>Bruch_eval(CONCATENATE(A6,$P$2,H6))</f>
        <v>0/1</v>
      </c>
      <c r="Q6" t="str">
        <f t="shared" si="8"/>
        <v>-300/-300</v>
      </c>
      <c r="R6" t="str">
        <f t="shared" si="9"/>
        <v>0/1</v>
      </c>
      <c r="S6" t="str">
        <f t="shared" si="10"/>
        <v>-600/900</v>
      </c>
      <c r="T6" t="str">
        <f t="shared" si="11"/>
        <v>-600/900</v>
      </c>
      <c r="U6" t="str">
        <f t="shared" si="12"/>
        <v>0/900</v>
      </c>
      <c r="V6" t="str">
        <f t="shared" si="13"/>
        <v>-50/30</v>
      </c>
    </row>
    <row r="7" spans="1:22" x14ac:dyDescent="0.25">
      <c r="A7" s="38" t="s">
        <v>42</v>
      </c>
      <c r="B7" s="21" t="str">
        <f>Bruch_getBruchType(A7)</f>
        <v>-z/n</v>
      </c>
      <c r="C7" s="21">
        <f t="shared" si="14"/>
        <v>0</v>
      </c>
      <c r="D7" s="21">
        <f t="shared" si="0"/>
        <v>-2</v>
      </c>
      <c r="E7" s="21">
        <f t="shared" si="1"/>
        <v>3</v>
      </c>
      <c r="F7" s="37" t="str">
        <f t="shared" si="2"/>
        <v>-2/3</v>
      </c>
      <c r="H7" s="38" t="s">
        <v>42</v>
      </c>
      <c r="I7" s="21" t="str">
        <f>Bruch_getBruchType(H7)</f>
        <v>-z/n</v>
      </c>
      <c r="J7" s="21">
        <f t="shared" si="15"/>
        <v>0</v>
      </c>
      <c r="K7" s="21">
        <f t="shared" si="3"/>
        <v>-2</v>
      </c>
      <c r="L7" s="21">
        <f t="shared" si="4"/>
        <v>3</v>
      </c>
      <c r="M7" s="37" t="str">
        <f t="shared" si="5"/>
        <v>-2/3</v>
      </c>
      <c r="O7" t="str">
        <f t="shared" si="6"/>
        <v>4/9</v>
      </c>
      <c r="P7" t="str">
        <f t="shared" si="7"/>
        <v>0/1</v>
      </c>
      <c r="Q7" t="str">
        <f t="shared" si="8"/>
        <v>-6/-6</v>
      </c>
      <c r="R7" t="str">
        <f t="shared" si="9"/>
        <v>0/1</v>
      </c>
      <c r="S7" t="str">
        <f t="shared" si="10"/>
        <v>-12/9</v>
      </c>
      <c r="T7" t="str">
        <f t="shared" si="11"/>
        <v>-12/9</v>
      </c>
      <c r="U7" t="str">
        <f t="shared" si="12"/>
        <v>0/9</v>
      </c>
      <c r="V7" t="str">
        <f t="shared" si="13"/>
        <v>-2/3</v>
      </c>
    </row>
    <row r="8" spans="1:22" x14ac:dyDescent="0.25">
      <c r="A8" s="31" t="s">
        <v>43</v>
      </c>
      <c r="B8" s="21" t="str">
        <f>Bruch_getBruchType(A8)</f>
        <v>-g</v>
      </c>
      <c r="C8" s="21">
        <f t="shared" si="14"/>
        <v>-45</v>
      </c>
      <c r="D8" s="21">
        <f t="shared" si="0"/>
        <v>0</v>
      </c>
      <c r="E8" s="21">
        <f t="shared" si="1"/>
        <v>1</v>
      </c>
      <c r="F8" s="37" t="str">
        <f t="shared" si="2"/>
        <v>-45/1</v>
      </c>
      <c r="H8" s="31" t="s">
        <v>43</v>
      </c>
      <c r="I8" s="21" t="str">
        <f>Bruch_getBruchType(H8)</f>
        <v>-g</v>
      </c>
      <c r="J8" s="21">
        <f t="shared" si="15"/>
        <v>-45</v>
      </c>
      <c r="K8" s="21">
        <f t="shared" si="3"/>
        <v>0</v>
      </c>
      <c r="L8" s="21">
        <f t="shared" si="4"/>
        <v>1</v>
      </c>
      <c r="M8" s="37" t="str">
        <f t="shared" si="5"/>
        <v>-45/1</v>
      </c>
      <c r="O8" t="str">
        <f t="shared" si="6"/>
        <v>2025/1</v>
      </c>
      <c r="P8" t="str">
        <f t="shared" si="7"/>
        <v>0/1</v>
      </c>
      <c r="Q8" t="str">
        <f t="shared" si="8"/>
        <v>-45/-45</v>
      </c>
      <c r="R8" t="str">
        <f t="shared" si="9"/>
        <v>0/1</v>
      </c>
      <c r="S8" t="str">
        <f t="shared" si="10"/>
        <v>-90/1</v>
      </c>
      <c r="T8" t="str">
        <f t="shared" si="11"/>
        <v>-90/1</v>
      </c>
      <c r="U8" t="str">
        <f t="shared" si="12"/>
        <v>0/1</v>
      </c>
      <c r="V8" t="str">
        <f t="shared" si="13"/>
        <v>-45/1</v>
      </c>
    </row>
    <row r="9" spans="1:22" x14ac:dyDescent="0.25">
      <c r="A9" s="36" t="s">
        <v>56</v>
      </c>
      <c r="B9" s="21" t="str">
        <f>Bruch_getBruchType(A9)</f>
        <v>g z/n</v>
      </c>
      <c r="C9" s="21">
        <f t="shared" si="14"/>
        <v>1</v>
      </c>
      <c r="D9" s="21">
        <f t="shared" si="0"/>
        <v>21</v>
      </c>
      <c r="E9" s="21">
        <f t="shared" si="1"/>
        <v>11</v>
      </c>
      <c r="F9" s="37" t="str">
        <f t="shared" si="2"/>
        <v>32/11</v>
      </c>
      <c r="H9" s="36" t="s">
        <v>49</v>
      </c>
      <c r="I9" s="21" t="str">
        <f>Bruch_getBruchType(H9)</f>
        <v>g z/n</v>
      </c>
      <c r="J9" s="21">
        <f t="shared" si="15"/>
        <v>1</v>
      </c>
      <c r="K9" s="21">
        <f t="shared" si="3"/>
        <v>21</v>
      </c>
      <c r="L9" s="21">
        <f t="shared" si="4"/>
        <v>311</v>
      </c>
      <c r="M9" s="37" t="str">
        <f t="shared" si="5"/>
        <v>332/311</v>
      </c>
      <c r="O9" t="str">
        <f t="shared" si="6"/>
        <v>10624/3421</v>
      </c>
      <c r="P9" t="str">
        <f t="shared" si="7"/>
        <v>0/1</v>
      </c>
      <c r="Q9" t="str">
        <f t="shared" si="8"/>
        <v>9952/3652</v>
      </c>
      <c r="R9" t="str">
        <f t="shared" si="9"/>
        <v>0/1</v>
      </c>
      <c r="S9" t="str">
        <f t="shared" si="10"/>
        <v>13604/3421</v>
      </c>
      <c r="T9" t="str">
        <f t="shared" si="11"/>
        <v>32/11</v>
      </c>
      <c r="U9" t="str">
        <f t="shared" si="12"/>
        <v>6300/3421</v>
      </c>
      <c r="V9" t="str">
        <f t="shared" si="13"/>
        <v>0/1</v>
      </c>
    </row>
    <row r="10" spans="1:22" x14ac:dyDescent="0.25">
      <c r="A10" s="38" t="s">
        <v>44</v>
      </c>
      <c r="B10" s="21" t="str">
        <f t="shared" ref="B10:B18" si="16">Bruch_getBruchType(A10)</f>
        <v>z/n</v>
      </c>
      <c r="C10" s="21">
        <f t="shared" si="14"/>
        <v>0</v>
      </c>
      <c r="D10" s="21">
        <f t="shared" si="0"/>
        <v>2</v>
      </c>
      <c r="E10" s="21">
        <f t="shared" si="1"/>
        <v>3</v>
      </c>
      <c r="F10" s="37" t="str">
        <f t="shared" si="2"/>
        <v>2/3</v>
      </c>
      <c r="H10" s="38" t="s">
        <v>44</v>
      </c>
      <c r="I10" s="21" t="str">
        <f t="shared" ref="I10:I11" si="17">Bruch_getBruchType(H10)</f>
        <v>z/n</v>
      </c>
      <c r="J10" s="21">
        <f t="shared" si="15"/>
        <v>0</v>
      </c>
      <c r="K10" s="21">
        <f t="shared" si="3"/>
        <v>2</v>
      </c>
      <c r="L10" s="21">
        <f t="shared" si="4"/>
        <v>3</v>
      </c>
      <c r="M10" s="37" t="str">
        <f t="shared" si="5"/>
        <v>2/3</v>
      </c>
      <c r="O10" t="str">
        <f t="shared" si="6"/>
        <v>4/9</v>
      </c>
      <c r="P10" t="str">
        <f t="shared" si="7"/>
        <v>0/1</v>
      </c>
      <c r="Q10" t="str">
        <f t="shared" si="8"/>
        <v>6/6</v>
      </c>
      <c r="R10" t="str">
        <f t="shared" si="9"/>
        <v>0/1</v>
      </c>
      <c r="S10" t="str">
        <f t="shared" si="10"/>
        <v>12/9</v>
      </c>
      <c r="T10" t="str">
        <f t="shared" si="11"/>
        <v>2/3</v>
      </c>
      <c r="U10" t="str">
        <f t="shared" si="12"/>
        <v>0/9</v>
      </c>
      <c r="V10" t="str">
        <f t="shared" si="13"/>
        <v>0/1</v>
      </c>
    </row>
    <row r="11" spans="1:22" x14ac:dyDescent="0.25">
      <c r="A11" s="31" t="s">
        <v>45</v>
      </c>
      <c r="B11" s="21" t="str">
        <f t="shared" si="16"/>
        <v>g</v>
      </c>
      <c r="C11" s="21">
        <f t="shared" si="14"/>
        <v>45</v>
      </c>
      <c r="D11" s="21">
        <f t="shared" si="0"/>
        <v>0</v>
      </c>
      <c r="E11" s="21">
        <f t="shared" si="1"/>
        <v>1</v>
      </c>
      <c r="F11" s="37" t="str">
        <f t="shared" si="2"/>
        <v>45/1</v>
      </c>
      <c r="H11" s="31" t="s">
        <v>45</v>
      </c>
      <c r="I11" s="21" t="str">
        <f t="shared" si="17"/>
        <v>g</v>
      </c>
      <c r="J11" s="21">
        <f t="shared" si="15"/>
        <v>45</v>
      </c>
      <c r="K11" s="21">
        <f t="shared" si="3"/>
        <v>0</v>
      </c>
      <c r="L11" s="21">
        <f t="shared" si="4"/>
        <v>1</v>
      </c>
      <c r="M11" s="37" t="str">
        <f t="shared" si="5"/>
        <v>45/1</v>
      </c>
      <c r="O11" t="str">
        <f t="shared" si="6"/>
        <v>2025/1</v>
      </c>
      <c r="P11" t="str">
        <f t="shared" si="7"/>
        <v>0/1</v>
      </c>
      <c r="Q11" t="str">
        <f t="shared" si="8"/>
        <v>45/45</v>
      </c>
      <c r="R11" t="str">
        <f t="shared" si="9"/>
        <v>0/1</v>
      </c>
      <c r="S11" t="str">
        <f t="shared" si="10"/>
        <v>90/1</v>
      </c>
      <c r="T11" t="str">
        <f t="shared" si="11"/>
        <v>45/1</v>
      </c>
      <c r="U11" t="str">
        <f t="shared" si="12"/>
        <v>0/1</v>
      </c>
      <c r="V11" t="str">
        <f t="shared" si="13"/>
        <v>0/1</v>
      </c>
    </row>
    <row r="12" spans="1:22" x14ac:dyDescent="0.25">
      <c r="A12" s="22" t="s">
        <v>37</v>
      </c>
      <c r="B12" s="21" t="str">
        <f>Bruch_getBruchType(A12)</f>
        <v>g z/n</v>
      </c>
      <c r="C12" s="21">
        <f>Bruch_getGanzahligerTeil(A12)</f>
        <v>1</v>
      </c>
      <c r="D12" s="21">
        <f t="shared" si="0"/>
        <v>3</v>
      </c>
      <c r="E12" s="21">
        <f t="shared" si="1"/>
        <v>40</v>
      </c>
      <c r="F12" s="37" t="str">
        <f t="shared" si="2"/>
        <v>43/40</v>
      </c>
      <c r="H12" s="22" t="s">
        <v>37</v>
      </c>
      <c r="I12" s="21" t="str">
        <f>Bruch_getBruchType(H12)</f>
        <v>g z/n</v>
      </c>
      <c r="J12" s="21">
        <f>Bruch_getGanzahligerTeil(H12)</f>
        <v>1</v>
      </c>
      <c r="K12" s="21">
        <f t="shared" si="3"/>
        <v>3</v>
      </c>
      <c r="L12" s="21">
        <f t="shared" si="4"/>
        <v>40</v>
      </c>
      <c r="M12" s="37" t="str">
        <f t="shared" si="5"/>
        <v>43/40</v>
      </c>
      <c r="O12" t="str">
        <f t="shared" si="6"/>
        <v>1849/1600</v>
      </c>
      <c r="P12" t="str">
        <f t="shared" si="7"/>
        <v>0/1</v>
      </c>
      <c r="Q12" t="str">
        <f t="shared" si="8"/>
        <v>1720/1720</v>
      </c>
      <c r="R12" t="str">
        <f t="shared" si="9"/>
        <v>0/1</v>
      </c>
      <c r="S12" t="str">
        <f t="shared" si="10"/>
        <v>3440/1600</v>
      </c>
      <c r="T12" t="str">
        <f t="shared" si="11"/>
        <v>43/40</v>
      </c>
      <c r="U12" t="str">
        <f t="shared" si="12"/>
        <v>0/1600</v>
      </c>
      <c r="V12" t="str">
        <f t="shared" si="13"/>
        <v>0/1</v>
      </c>
    </row>
    <row r="13" spans="1:22" x14ac:dyDescent="0.25">
      <c r="A13" s="22" t="s">
        <v>41</v>
      </c>
      <c r="B13" s="21" t="str">
        <f>Bruch_getBruchType(A13)</f>
        <v>-z/n</v>
      </c>
      <c r="C13" s="21">
        <f>Bruch_getGanzahligerTeil(A13)</f>
        <v>0</v>
      </c>
      <c r="D13" s="21">
        <f t="shared" si="0"/>
        <v>-22</v>
      </c>
      <c r="E13" s="21">
        <f t="shared" si="1"/>
        <v>3</v>
      </c>
      <c r="F13" s="37" t="str">
        <f t="shared" si="2"/>
        <v>-22/3</v>
      </c>
      <c r="H13" s="22" t="s">
        <v>41</v>
      </c>
      <c r="I13" s="21" t="str">
        <f>Bruch_getBruchType(H13)</f>
        <v>-z/n</v>
      </c>
      <c r="J13" s="21">
        <f>Bruch_getGanzahligerTeil(H13)</f>
        <v>0</v>
      </c>
      <c r="K13" s="21">
        <f t="shared" si="3"/>
        <v>-22</v>
      </c>
      <c r="L13" s="21">
        <f t="shared" si="4"/>
        <v>3</v>
      </c>
      <c r="M13" s="37" t="str">
        <f t="shared" si="5"/>
        <v>-22/3</v>
      </c>
      <c r="O13" t="str">
        <f t="shared" si="6"/>
        <v>484/9</v>
      </c>
      <c r="P13" t="str">
        <f t="shared" si="7"/>
        <v>0/1</v>
      </c>
      <c r="Q13" t="str">
        <f t="shared" si="8"/>
        <v>-66/-66</v>
      </c>
      <c r="R13" t="str">
        <f t="shared" si="9"/>
        <v>0/1</v>
      </c>
      <c r="S13" t="str">
        <f t="shared" si="10"/>
        <v>-132/9</v>
      </c>
      <c r="T13" t="str">
        <f t="shared" si="11"/>
        <v>-132/9</v>
      </c>
      <c r="U13" t="str">
        <f t="shared" si="12"/>
        <v>0/9</v>
      </c>
      <c r="V13" t="str">
        <f t="shared" si="13"/>
        <v>-22/3</v>
      </c>
    </row>
    <row r="14" spans="1:22" x14ac:dyDescent="0.25">
      <c r="A14" s="32" t="s">
        <v>46</v>
      </c>
      <c r="B14" t="str">
        <f>Bruch_getBruchType(A14)</f>
        <v>-1 - 2/3   Not a valid fraction!</v>
      </c>
      <c r="C14">
        <f t="shared" si="14"/>
        <v>0</v>
      </c>
      <c r="D14">
        <f t="shared" si="0"/>
        <v>0</v>
      </c>
      <c r="E14">
        <f t="shared" si="1"/>
        <v>1</v>
      </c>
    </row>
    <row r="15" spans="1:22" x14ac:dyDescent="0.25">
      <c r="A15" s="33" t="s">
        <v>38</v>
      </c>
      <c r="B15" t="str">
        <f>Bruch_getBruchType(A15)</f>
        <v>1 3/40.3   Not a valid fraction!</v>
      </c>
      <c r="C15">
        <f t="shared" si="14"/>
        <v>0</v>
      </c>
      <c r="D15">
        <f t="shared" si="0"/>
        <v>0</v>
      </c>
      <c r="E15">
        <f t="shared" si="1"/>
        <v>1</v>
      </c>
    </row>
    <row r="16" spans="1:22" x14ac:dyDescent="0.25">
      <c r="A16" s="33" t="s">
        <v>39</v>
      </c>
      <c r="B16" t="str">
        <f t="shared" si="16"/>
        <v>12.34   Not a valid fraction!</v>
      </c>
      <c r="C16">
        <f t="shared" si="14"/>
        <v>0</v>
      </c>
      <c r="D16">
        <f t="shared" si="0"/>
        <v>0</v>
      </c>
      <c r="E16">
        <f t="shared" si="1"/>
        <v>1</v>
      </c>
    </row>
    <row r="17" spans="1:5" x14ac:dyDescent="0.25">
      <c r="A17" s="33" t="s">
        <v>40</v>
      </c>
      <c r="B17" t="str">
        <f t="shared" si="16"/>
        <v>-12/ -3   Not a valid fraction!</v>
      </c>
      <c r="C17">
        <f t="shared" si="14"/>
        <v>0</v>
      </c>
      <c r="D17">
        <f t="shared" si="0"/>
        <v>0</v>
      </c>
      <c r="E17">
        <f t="shared" si="1"/>
        <v>1</v>
      </c>
    </row>
    <row r="18" spans="1:5" x14ac:dyDescent="0.25">
      <c r="A18" t="s">
        <v>31</v>
      </c>
      <c r="B18" t="str">
        <f t="shared" si="16"/>
        <v>34434 555   Not a valid fraction!</v>
      </c>
      <c r="C18">
        <f t="shared" si="14"/>
        <v>0</v>
      </c>
      <c r="D18">
        <f t="shared" si="0"/>
        <v>0</v>
      </c>
      <c r="E18">
        <f t="shared" si="1"/>
        <v>1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Shortanswer_Questions</vt:lpstr>
      <vt:lpstr>GenerateQuestionsToImport</vt:lpstr>
      <vt:lpstr>Type_Shortanswer</vt:lpstr>
      <vt:lpstr>UnitTests_Bruch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Rothlin, Walter (WTIR 523)</dc:creator>
  <cp:lastModifiedBy>admin</cp:lastModifiedBy>
  <cp:lastPrinted>2020-07-02T10:07:19Z</cp:lastPrinted>
  <dcterms:created xsi:type="dcterms:W3CDTF">2017-05-09T10:22:02Z</dcterms:created>
  <dcterms:modified xsi:type="dcterms:W3CDTF">2021-02-07T20:13:14Z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-1174632144</vt:i4>
  </property>
  <property fmtid="{D5CDD505-2E9C-101B-9397-08002B2CF9AE}" pid="3" name="_NewReviewCycle">
    <vt:lpwstr/>
  </property>
  <property fmtid="{D5CDD505-2E9C-101B-9397-08002B2CF9AE}" pid="4" name="_EmailSubject">
    <vt:lpwstr>DB-Prüfung</vt:lpwstr>
  </property>
  <property fmtid="{D5CDD505-2E9C-101B-9397-08002B2CF9AE}" pid="5" name="_AuthorEmail">
    <vt:lpwstr>walter.rothlin@credit-suisse.com</vt:lpwstr>
  </property>
  <property fmtid="{D5CDD505-2E9C-101B-9397-08002B2CF9AE}" pid="6" name="_AuthorEmailDisplayName">
    <vt:lpwstr>Rothlin, Walter (WTIR 523)</vt:lpwstr>
  </property>
  <property fmtid="{D5CDD505-2E9C-101B-9397-08002B2CF9AE}" pid="7" name="_ReviewingToolsShownOnce">
    <vt:lpwstr/>
  </property>
  <property fmtid="{D5CDD505-2E9C-101B-9397-08002B2CF9AE}" pid="8" name="WorkbookGuid">
    <vt:lpwstr>abdcfa3f-5672-4ca1-844a-d98be0382bfc</vt:lpwstr>
  </property>
</Properties>
</file>