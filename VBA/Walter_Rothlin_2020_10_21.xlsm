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AA38" i="46" l="1"/>
  <c r="AA39" i="46"/>
  <c r="AA40" i="46"/>
  <c r="AA41" i="46"/>
  <c r="AA42" i="46"/>
  <c r="AA43" i="46"/>
  <c r="AA44" i="46"/>
  <c r="AA45" i="46"/>
  <c r="AA46" i="46"/>
  <c r="AA47" i="46"/>
  <c r="AA48" i="46"/>
  <c r="AA49" i="46"/>
  <c r="AA50" i="46"/>
  <c r="AA51" i="46"/>
  <c r="AA52" i="46"/>
  <c r="AA53" i="46"/>
  <c r="AA54" i="46"/>
  <c r="AA55" i="46"/>
  <c r="AA56" i="46"/>
  <c r="AA57" i="46"/>
  <c r="AA58" i="46"/>
  <c r="AA59" i="46"/>
  <c r="AA60" i="46"/>
  <c r="AA61" i="46"/>
  <c r="AA62" i="46"/>
  <c r="AA63" i="46"/>
  <c r="W38" i="46"/>
  <c r="W39" i="46"/>
  <c r="W40" i="46"/>
  <c r="W41" i="46"/>
  <c r="W42" i="46"/>
  <c r="W43" i="46"/>
  <c r="W44" i="46"/>
  <c r="W45" i="46"/>
  <c r="W46" i="46"/>
  <c r="W47" i="46"/>
  <c r="W48" i="46"/>
  <c r="W49" i="46"/>
  <c r="W50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U38" i="46"/>
  <c r="U39" i="46"/>
  <c r="U40" i="46"/>
  <c r="U41" i="46"/>
  <c r="U42" i="46"/>
  <c r="U43" i="46"/>
  <c r="U44" i="46"/>
  <c r="U45" i="46"/>
  <c r="U46" i="46"/>
  <c r="U47" i="46"/>
  <c r="U48" i="46"/>
  <c r="U49" i="46"/>
  <c r="U50" i="46"/>
  <c r="U51" i="46"/>
  <c r="U52" i="46"/>
  <c r="U53" i="46"/>
  <c r="U54" i="46"/>
  <c r="U55" i="46"/>
  <c r="U56" i="46"/>
  <c r="U57" i="46"/>
  <c r="U58" i="46"/>
  <c r="U59" i="46"/>
  <c r="U60" i="46"/>
  <c r="U61" i="46"/>
  <c r="U62" i="46"/>
  <c r="U63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L38" i="46"/>
  <c r="L39" i="46"/>
  <c r="L40" i="46"/>
  <c r="L41" i="46"/>
  <c r="L42" i="46"/>
  <c r="L43" i="46"/>
  <c r="L44" i="46"/>
  <c r="L45" i="46"/>
  <c r="L46" i="46"/>
  <c r="L47" i="46"/>
  <c r="L48" i="46"/>
  <c r="L49" i="46"/>
  <c r="L50" i="46"/>
  <c r="L51" i="46"/>
  <c r="L52" i="46"/>
  <c r="L53" i="46"/>
  <c r="L54" i="46"/>
  <c r="L55" i="46"/>
  <c r="L56" i="46"/>
  <c r="L57" i="46"/>
  <c r="L58" i="46"/>
  <c r="L59" i="46"/>
  <c r="L60" i="46"/>
  <c r="L61" i="46"/>
  <c r="L62" i="46"/>
  <c r="L63" i="46"/>
  <c r="F38" i="46"/>
  <c r="F39" i="46"/>
  <c r="F40" i="46"/>
  <c r="F41" i="46"/>
  <c r="F42" i="46"/>
  <c r="F43" i="46"/>
  <c r="F44" i="46"/>
  <c r="F45" i="46"/>
  <c r="F46" i="46"/>
  <c r="F47" i="46"/>
  <c r="F48" i="46"/>
  <c r="F49" i="46"/>
  <c r="F50" i="46"/>
  <c r="F51" i="46"/>
  <c r="F52" i="46"/>
  <c r="F53" i="46"/>
  <c r="F54" i="46"/>
  <c r="F55" i="46"/>
  <c r="F56" i="46"/>
  <c r="F57" i="46"/>
  <c r="F58" i="46"/>
  <c r="F59" i="46"/>
  <c r="F60" i="46"/>
  <c r="F61" i="46"/>
  <c r="F62" i="46"/>
  <c r="F63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D58" i="46"/>
  <c r="D59" i="46"/>
  <c r="D60" i="46"/>
  <c r="D61" i="46"/>
  <c r="D62" i="46"/>
  <c r="D63" i="46"/>
  <c r="AA37" i="46"/>
  <c r="W37" i="46"/>
  <c r="U37" i="46"/>
  <c r="S37" i="46"/>
  <c r="O37" i="46"/>
  <c r="L37" i="46"/>
  <c r="F37" i="46"/>
  <c r="D37" i="46"/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X64" i="46"/>
  <c r="AB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36" i="44"/>
  <c r="C35" i="44"/>
  <c r="C69" i="44"/>
  <c r="C47" i="44"/>
  <c r="C46" i="44"/>
  <c r="C63" i="44"/>
  <c r="C62" i="44"/>
  <c r="C45" i="44"/>
  <c r="C54" i="44"/>
  <c r="C48" i="44"/>
  <c r="I26" i="40"/>
  <c r="H54" i="44"/>
  <c r="C42" i="44"/>
  <c r="H48" i="44"/>
  <c r="C51" i="44"/>
  <c r="C67" i="44"/>
  <c r="I24" i="40"/>
  <c r="C57" i="44"/>
  <c r="C60" i="44"/>
  <c r="C68" i="44"/>
  <c r="C53" i="44"/>
  <c r="H53" i="44" s="1"/>
  <c r="I25" i="40"/>
  <c r="H46" i="44"/>
  <c r="I23" i="40"/>
  <c r="C61" i="44"/>
  <c r="C39" i="44"/>
  <c r="H42" i="44"/>
  <c r="C37" i="44"/>
  <c r="C52" i="44"/>
  <c r="C44" i="44"/>
  <c r="H44" i="44" s="1"/>
  <c r="C43" i="44"/>
  <c r="C56" i="44"/>
  <c r="C55" i="44"/>
  <c r="C38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6" i="44"/>
  <c r="H43" i="44"/>
  <c r="H47" i="44"/>
  <c r="H57" i="44"/>
  <c r="H52" i="44"/>
  <c r="H45" i="44"/>
  <c r="H55" i="44"/>
  <c r="H51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<sst xmlns="http://schemas.openxmlformats.org/spreadsheetml/2006/main" count="697" uniqueCount="356">
  <si>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</si>
  <si>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</si>
  <si>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</si>
  <si>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</si>
  <si>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</si>
  <si>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</si>
  <si>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</si>
  <si>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</si>
  <si>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</si>
  <si>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</si>
  <si>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</si>
  <si>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</si>
  <si>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</si>
  <si>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</si>
  <si>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</si>
  <si>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</si>
  <si>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</si>
  <si>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</si>
  <si>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</si>
  <si>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</si>
  <si>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</si>
  <si>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</si>
  <si>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</si>
  <si>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</si>
  <si>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</si>
  <si>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</si>
  <si>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</si>
  <si>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</si>
  <si>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</si>
  <si>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</si>
  <si>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</si>
  <si>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</si>
  <si>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</si>
  <si>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</si>
  <si>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</si>
  <si>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</si>
  <si>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</si>
  <si>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</si>
  <si>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</si>
  <si>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</si>
  <si>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</si>
  <si>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peter.marty@gmail.ch</t>
  </si>
  <si>
    <t>Altendorf</t>
  </si>
  <si>
    <t>Foehnloch 5</t>
  </si>
  <si>
    <t>Peter</t>
  </si>
  <si>
    <t>Marty</t>
  </si>
  <si>
    <t>Nein</t>
  </si>
  <si>
    <t>Lachen</t>
  </si>
  <si>
    <t>Fluelastrasse 31a</t>
  </si>
  <si>
    <t>Philippe</t>
  </si>
  <si>
    <t>Familie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</si>
  <si>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</si>
  <si>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</si>
  <si>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</si>
  <si>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</si>
  <si>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</si>
  <si>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</si>
  <si>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</si>
  <si>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</si>
  <si>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</si>
  <si>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pia.maeder@gmail.ch</t>
  </si>
  <si>
    <t>Freienbach</t>
  </si>
  <si>
    <t>Feldstrasse 17c</t>
  </si>
  <si>
    <t>pia</t>
  </si>
  <si>
    <t>Maeder</t>
  </si>
  <si>
    <t>Buttikon</t>
  </si>
  <si>
    <t>Feldstrasse 16</t>
  </si>
  <si>
    <t>Paula</t>
  </si>
  <si>
    <t>Diethelm</t>
  </si>
  <si>
    <t>Siebnen</t>
  </si>
  <si>
    <t>Luisa</t>
  </si>
  <si>
    <t>Maechler</t>
  </si>
  <si>
    <t>Feldstrasse 11</t>
  </si>
  <si>
    <t>Ramona</t>
  </si>
  <si>
    <t>ramona.lurati@gmail.ch</t>
  </si>
  <si>
    <t>Hombrechtikon</t>
  </si>
  <si>
    <t>Lurati</t>
  </si>
  <si>
    <t>raphael.laeubli@gmail.ch</t>
  </si>
  <si>
    <t>Pfäffikon</t>
  </si>
  <si>
    <t>Feldmoostrasse 5</t>
  </si>
  <si>
    <t>Raphaela</t>
  </si>
  <si>
    <t>Laeubli</t>
  </si>
  <si>
    <t>Eulenweg 24</t>
  </si>
  <si>
    <t>Reinhard</t>
  </si>
  <si>
    <t>Lang</t>
  </si>
  <si>
    <t>rene.landolt@hotmail.com</t>
  </si>
  <si>
    <t>Etzelstrasse 80</t>
  </si>
  <si>
    <t>Margrith</t>
  </si>
  <si>
    <t>rene.laib@gmail.ch</t>
  </si>
  <si>
    <t>Nuolen</t>
  </si>
  <si>
    <t>Rene</t>
  </si>
  <si>
    <t>Laib</t>
  </si>
  <si>
    <t>riccardo.kuettel@gmail.ch</t>
  </si>
  <si>
    <t>Wollerau</t>
  </si>
  <si>
    <t>Etzelstrasse 1</t>
  </si>
  <si>
    <t>Rita</t>
  </si>
  <si>
    <t>Kuettel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</si>
  <si>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</si>
  <si>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</si>
  <si>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</si>
  <si>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</si>
  <si>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</si>
  <si>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</si>
  <si>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</si>
  <si>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</si>
  <si>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</si>
  <si>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</si>
  <si>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</si>
  <si>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</si>
  <si>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</si>
  <si>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</si>
  <si>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</si>
  <si>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</si>
  <si>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Zuerich</t>
  </si>
  <si>
    <t>Dorfstrasse 40</t>
  </si>
  <si>
    <t>Melanie</t>
  </si>
  <si>
    <t>Koepfli</t>
  </si>
  <si>
    <t>rolf.koller@gmail.ch</t>
  </si>
  <si>
    <t>Dorfplatz 9</t>
  </si>
  <si>
    <t>Rasi</t>
  </si>
  <si>
    <t>Koller</t>
  </si>
  <si>
    <t>roman.koch@gmail.ch</t>
  </si>
  <si>
    <t>Pfaeffikon</t>
  </si>
  <si>
    <t>Churerstrasse 64</t>
  </si>
  <si>
    <t>Roman</t>
  </si>
  <si>
    <t>Koch</t>
  </si>
  <si>
    <t>Churerstrasse 37</t>
  </si>
  <si>
    <t>Walter</t>
  </si>
  <si>
    <t>King</t>
  </si>
  <si>
    <t>ruedi.juengling@hotmail.com</t>
  </si>
  <si>
    <t>Bonn</t>
  </si>
  <si>
    <t>Churerstrasse 21</t>
  </si>
  <si>
    <t>Claudia</t>
  </si>
  <si>
    <t>Meier</t>
  </si>
  <si>
    <t>Churerstrasse 101</t>
  </si>
  <si>
    <t>Maria</t>
  </si>
  <si>
    <t>janser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</si>
  <si>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</si>
  <si>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</si>
  <si>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</si>
  <si>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</si>
  <si>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</si>
  <si>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</si>
  <si>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</si>
  <si>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</si>
  <si>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</si>
  <si>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</si>
  <si>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</si>
  <si>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</si>
  <si>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</si>
  <si>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</si>
  <si>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</si>
  <si>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</si>
  <si>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</si>
  <si>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</si>
  <si>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</si>
  <si>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</si>
  <si>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</si>
  <si>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</si>
  <si>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</si>
  <si>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</si>
  <si>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</si>
  <si>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</si>
  <si>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</si>
  <si>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</si>
  <si>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</si>
  <si>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</si>
  <si>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</si>
  <si>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</si>
  <si>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</si>
  <si>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</si>
  <si>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</si>
  <si>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</si>
  <si>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</si>
  <si>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</si>
  <si>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</si>
  <si>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</si>
  <si>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</si>
  <si>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</si>
  <si>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</si>
  <si>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</si>
  <si>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</si>
  <si>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</si>
  <si>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</si>
  <si>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</si>
  <si>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</si>
  <si>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</si>
  <si>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</si>
  <si>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</si>
  <si>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</si>
  <si>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</si>
  <si>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</si>
  <si>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</si>
  <si>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</si>
  <si>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</si>
  <si>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</si>
  <si>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</si>
  <si>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</si>
  <si>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</si>
  <si>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</si>
  <si>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</si>
  <si>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</si>
  <si>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</si>
  <si>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</si>
  <si>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</si>
  <si>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</si>
  <si>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</si>
  <si>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</si>
  <si>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</si>
  <si>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</si>
  <si>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</si>
  <si>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</si>
  <si>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</si>
  <si>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</si>
  <si>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</si>
  <si>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</si>
  <si>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</si>
  <si>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</si>
  <si>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</si>
  <si>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</si>
  <si>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</si>
  <si>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</si>
  <si>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</si>
  <si>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</si>
  <si>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</si>
  <si>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</si>
  <si>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</si>
  <si>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</si>
  <si>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</si>
  <si>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</si>
  <si>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</si>
  <si>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</si>
  <si>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</si>
  <si>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</si>
  <si>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</si>
  <si>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</si>
  <si>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</si>
  <si>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</si>
  <si>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</si>
  <si>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</si>
  <si>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</si>
  <si>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</si>
  <si>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</si>
  <si>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</si>
  <si>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</si>
  <si>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</si>
  <si>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</si>
  <si>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</si>
  <si>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</si>
  <si>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</si>
  <si>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</si>
  <si>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</si>
  <si>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</si>
  <si>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</si>
  <si>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</si>
  <si>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</si>
  <si>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</si>
  <si>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</si>
  <si>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</si>
  <si>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</si>
  <si>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</si>
  <si>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</si>
  <si>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</si>
  <si>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</si>
  <si>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</si>
  <si>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</si>
  <si>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</si>
  <si>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</si>
  <si>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</si>
  <si>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</si>
  <si>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</si>
  <si>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</si>
  <si>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</si>
  <si>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</si>
  <si>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</si>
  <si>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</si>
  <si>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</si>
  <si>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</si>
  <si>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</si>
  <si>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</si>
  <si>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</si>
  <si>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</si>
  <si>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</si>
  <si>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</si>
  <si>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</si>
  <si>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</si>
  <si>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</si>
  <si>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</si>
  <si>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</si>
  <si>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</si>
  <si>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</si>
  <si>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</si>
  <si>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</si>
  <si>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</si>
  <si>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</si>
  <si>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</si>
  <si>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</si>
  <si>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</si>
  <si>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</si>
  <si>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</si>
  <si>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HelloPerDu()</t>
  </si>
  <si>
    <t>Muster</t>
  </si>
  <si>
    <t>Hallo Otto,</t>
  </si>
  <si>
    <t>Sehr geehrter Herr Muster,</t>
  </si>
  <si>
    <t>Hallo!</t>
  </si>
  <si>
    <t>CalcRechteck()</t>
  </si>
  <si>
    <t>Laenge</t>
  </si>
  <si>
    <t>Breite</t>
  </si>
  <si>
    <t>Anzahl --:</t>
  </si>
  <si>
    <t>M403: Funktionen in VBA programmieren</t>
  </si>
  <si>
    <t>AddFractions</t>
  </si>
  <si>
    <t>n</t>
  </si>
  <si>
    <t>V2.2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</si>
  <si>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</si>
  <si>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</si>
  <si>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</si>
  <si>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</si>
  <si>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</si>
  <si>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</si>
  <si>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</si>
  <si>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</si>
  <si>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</si>
  <si>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</si>
  <si>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</si>
  <si>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</si>
  <si>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</si>
  <si>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</si>
  <si>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</si>
  <si>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</si>
  <si>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56 442 87 42</t>
  </si>
  <si>
    <t>57 442 87 42</t>
  </si>
  <si>
    <t>58 442 87 42</t>
  </si>
  <si>
    <t>59 442 87 42</t>
  </si>
  <si>
    <t>60 442 87 42</t>
  </si>
  <si>
    <t>61 442 87 42</t>
  </si>
  <si>
    <t>62 442 87 42</t>
  </si>
  <si>
    <t>63 442 87 42</t>
  </si>
  <si>
    <t>64 442 87 42</t>
  </si>
  <si>
    <t>65 442 87 42</t>
  </si>
  <si>
    <t>66 442 87 42</t>
  </si>
  <si>
    <t>67 442 87 42</t>
  </si>
  <si>
    <t>68 442 87 42</t>
  </si>
  <si>
    <t>69 442 87 42</t>
  </si>
  <si>
    <t>70 442 87 42</t>
  </si>
  <si>
    <t>71 442 87 42</t>
  </si>
  <si>
    <t>72 442 87 42</t>
  </si>
  <si>
    <t>73 442 87 42</t>
  </si>
  <si>
    <t>74 442 87 42</t>
  </si>
  <si>
    <t>75 442 87 42</t>
  </si>
  <si>
    <t>76 442 87 42</t>
  </si>
  <si>
    <t>77 442 87 42</t>
  </si>
  <si>
    <t>78 442 87 42</t>
  </si>
  <si>
    <t>79 442 87 42</t>
  </si>
  <si>
    <t>80 442 87 42</t>
  </si>
  <si>
    <t>81 442 87 42</t>
  </si>
  <si>
    <t>wwwww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</si>
</sst>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1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Datenaufbereitung!$Z$64:$AA$64</c:f>
              <c:numCache>
                <c:formatCode>#,##0.00</c:formatCode>
                <c:ptCount val="2"/>
                <c:pt idx="0">
                  <c:v>1459</c:v>
                </c:pt>
                <c:pt idx="1">
                  <c:v>-1459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(Datenaufbereitung!$S$64,Datenaufbereitung!$U$64)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750794</xdr:colOff>
      <xdr:row>3</xdr:row>
      <xdr:rowOff>11206</xdr:rowOff>
    </xdr:from>
    <xdr:ext cx="11138645" cy="2017060"/>
    <xdr:sp macro="" textlink="">
      <xdr:nvSpPr>
        <xdr:cNvPr id="4" name="Textfeld 3"/>
        <xdr:cNvSpPr txBox="1"/>
      </xdr:nvSpPr>
      <xdr:spPr>
        <a:xfrm>
          <a:off x="750794" y="683559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23</xdr:col>
      <xdr:colOff>537881</xdr:colOff>
      <xdr:row>68</xdr:row>
      <xdr:rowOff>1121</xdr:rowOff>
    </xdr:from>
    <xdr:to>
      <xdr:col>27</xdr:col>
      <xdr:colOff>11206</xdr:colOff>
      <xdr:row>81</xdr:row>
      <xdr:rowOff>11207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526675</xdr:colOff>
      <xdr:row>68</xdr:row>
      <xdr:rowOff>1121</xdr:rowOff>
    </xdr:from>
    <xdr:to>
      <xdr:col>22</xdr:col>
      <xdr:colOff>862853</xdr:colOff>
      <xdr:row>81</xdr:row>
      <xdr:rowOff>11207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3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/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312</v>
      </c>
    </row>
    <row r="4" spans="2:6" ht="15.75" thickBot="1" x14ac:dyDescent="0.3"/>
    <row r="5" spans="2:6" ht="15.75" thickBot="1" x14ac:dyDescent="0.3">
      <c r="B5" s="34" t="s">
        <v>244</v>
      </c>
      <c r="C5" s="35"/>
    </row>
    <row r="6" spans="2:6" x14ac:dyDescent="0.25">
      <c r="B6" s="36" t="s">
        <v>355</v>
      </c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5" t="s">
        <v>313</v>
      </c>
    </row>
    <row r="26" spans="2:15" ht="15.75" thickBot="1" x14ac:dyDescent="0.3">
      <c r="H26" t="s">
        <v>319</v>
      </c>
      <c r="I26" t="s">
        <v>320</v>
      </c>
    </row>
    <row r="27" spans="2:15" x14ac:dyDescent="0.25">
      <c r="B27" s="43" t="str">
        <f>Datenaufbereitung!B2</f>
        <v>M100: Datenaufbereitung mit Formeln in Excel</v>
      </c>
      <c r="H27" s="128">
        <f>Datenaufbereitung!R17</f>
        <v>5.5378787878787872</v>
      </c>
      <c r="I27" s="129">
        <v>3</v>
      </c>
      <c r="J27" s="121">
        <f>H27*I27</f>
        <v>16.61363636363636</v>
      </c>
      <c r="M27" s="133" t="s">
        <v>325</v>
      </c>
      <c r="N27" s="134" t="s">
        <v>326</v>
      </c>
      <c r="O27" s="135" t="s">
        <v>16</v>
      </c>
    </row>
    <row r="28" spans="2:15" x14ac:dyDescent="0.25">
      <c r="B28" s="43" t="str">
        <f>StringFormeln!B2</f>
        <v>M100: String-Formeln</v>
      </c>
      <c r="H28" s="128">
        <f>StringFormeln!G7</f>
        <v>1</v>
      </c>
      <c r="I28" s="129">
        <v>2</v>
      </c>
      <c r="J28" s="121">
        <f t="shared" ref="J28:J31" si="0">H28*I28</f>
        <v>2</v>
      </c>
      <c r="M28" s="136" t="s">
        <v>327</v>
      </c>
      <c r="N28" s="4"/>
      <c r="O28" s="25"/>
    </row>
    <row r="29" spans="2:15" ht="15.75" thickBot="1" x14ac:dyDescent="0.3">
      <c r="B29" s="43" t="str">
        <f>Potenzen!B2</f>
        <v>M100: Grafische Datenauswertung (Potenzen)</v>
      </c>
      <c r="H29" s="128">
        <f>Potenzen!V27</f>
        <v>1</v>
      </c>
      <c r="I29" s="129">
        <v>1</v>
      </c>
      <c r="J29" s="121">
        <f t="shared" si="0"/>
        <v>1</v>
      </c>
      <c r="M29" s="137" t="s">
        <v>328</v>
      </c>
      <c r="N29" s="26"/>
      <c r="O29" s="27"/>
    </row>
    <row r="30" spans="2:15" x14ac:dyDescent="0.25">
      <c r="B30" s="43" t="str">
        <f>QuadratischeFunktion!B2</f>
        <v>M100: Grafische Datenauswertung (Quadratische Funktion)</v>
      </c>
      <c r="H30" s="128">
        <f>QuadratischeFunktion!$V$31</f>
        <v>1</v>
      </c>
      <c r="I30" s="129">
        <v>1</v>
      </c>
      <c r="J30" s="121">
        <f t="shared" si="0"/>
        <v>1</v>
      </c>
    </row>
    <row r="31" spans="2:15" ht="15.75" thickBot="1" x14ac:dyDescent="0.3">
      <c r="B31" s="43" t="str">
        <f>TXT_Daten!B2</f>
        <v>M100: Datenaufbereiten (laden und Text--&gt;Spalten)</v>
      </c>
      <c r="H31" s="128">
        <f>TXT_Daten!$R$16</f>
        <v>1</v>
      </c>
      <c r="I31" s="129">
        <v>2</v>
      </c>
      <c r="J31" s="121">
        <f t="shared" si="0"/>
        <v>2</v>
      </c>
    </row>
    <row r="32" spans="2:15" ht="19.5" thickBot="1" x14ac:dyDescent="0.35">
      <c r="H32" s="106"/>
      <c r="I32" s="119" t="s">
        <v>321</v>
      </c>
      <c r="J32" s="120">
        <f>SUM(J27:J31)/SUM(I27:I31)</f>
        <v>2.5126262626262621</v>
      </c>
    </row>
    <row r="33" spans="2:10" x14ac:dyDescent="0.25">
      <c r="H33" s="106"/>
    </row>
    <row r="34" spans="2:10" x14ac:dyDescent="0.25">
      <c r="H34" s="106"/>
    </row>
    <row r="35" spans="2:10" ht="15.75" thickBot="1" x14ac:dyDescent="0.3">
      <c r="B35" s="43" t="str">
        <f>VBA_Programmierung!$B$2</f>
        <v>M403: Funktionen in VBA programmieren</v>
      </c>
      <c r="H35" s="106">
        <f ca="1">VBA_Programmierung!$N$16</f>
        <v>1</v>
      </c>
    </row>
    <row r="36" spans="2:10" ht="19.5" thickBot="1" x14ac:dyDescent="0.35">
      <c r="I36" s="119" t="s">
        <v>322</v>
      </c>
      <c r="J36" s="120">
        <f ca="1">H35</f>
        <v>1</v>
      </c>
    </row>
    <row r="100" spans="3:10" ht="21" x14ac:dyDescent="0.35">
      <c r="C100" s="69" t="s">
        <v>168</v>
      </c>
    </row>
    <row r="101" spans="3:10" x14ac:dyDescent="0.25">
      <c r="C101" s="70" t="s">
        <v>169</v>
      </c>
      <c r="D101" s="70"/>
      <c r="E101" s="70"/>
      <c r="F101" s="70"/>
      <c r="J101" t="s">
        <v>40</v>
      </c>
    </row>
    <row r="102" spans="3:10" x14ac:dyDescent="0.25">
      <c r="C102" s="73" t="s">
        <v>170</v>
      </c>
      <c r="D102" s="71"/>
      <c r="E102" s="71"/>
      <c r="F102" s="72"/>
      <c r="J102" t="s">
        <v>46</v>
      </c>
    </row>
    <row r="103" spans="3:10" x14ac:dyDescent="0.25">
      <c r="C103" s="73" t="s">
        <v>171</v>
      </c>
      <c r="D103" s="71"/>
      <c r="E103" s="71"/>
      <c r="F103" s="72"/>
    </row>
    <row r="104" spans="3:10" x14ac:dyDescent="0.25">
      <c r="C104" s="73" t="s">
        <v>172</v>
      </c>
      <c r="D104" s="71"/>
      <c r="E104" s="71"/>
      <c r="F104" s="72"/>
    </row>
    <row r="105" spans="3:10" x14ac:dyDescent="0.25">
      <c r="C105" s="73" t="s">
        <v>173</v>
      </c>
      <c r="D105" s="71"/>
      <c r="E105" s="71"/>
      <c r="F105" s="72"/>
    </row>
    <row r="106" spans="3:10" x14ac:dyDescent="0.25">
      <c r="C106" s="73" t="s">
        <v>174</v>
      </c>
      <c r="D106" s="71"/>
      <c r="E106" s="71"/>
      <c r="F106" s="72"/>
    </row>
    <row r="107" spans="3:10" x14ac:dyDescent="0.25">
      <c r="C107" s="73" t="s">
        <v>175</v>
      </c>
      <c r="D107" s="71"/>
      <c r="E107" s="71"/>
      <c r="F107" s="72"/>
    </row>
    <row r="108" spans="3:10" x14ac:dyDescent="0.25">
      <c r="C108" s="73" t="s">
        <v>176</v>
      </c>
      <c r="D108" s="71"/>
      <c r="E108" s="71"/>
      <c r="F108" s="72"/>
    </row>
    <row r="109" spans="3:10" x14ac:dyDescent="0.25">
      <c r="C109" s="73" t="s">
        <v>177</v>
      </c>
      <c r="D109" s="71"/>
      <c r="E109" s="71"/>
      <c r="F109" s="72"/>
    </row>
    <row r="110" spans="3:10" x14ac:dyDescent="0.25">
      <c r="C110" s="73" t="s">
        <v>178</v>
      </c>
      <c r="D110" s="71"/>
      <c r="E110" s="71"/>
      <c r="F110" s="72"/>
    </row>
    <row r="111" spans="3:10" x14ac:dyDescent="0.25">
      <c r="C111" s="73" t="s">
        <v>179</v>
      </c>
      <c r="D111" s="71"/>
      <c r="E111" s="71"/>
      <c r="F111" s="72"/>
    </row>
    <row r="112" spans="3:10" x14ac:dyDescent="0.25">
      <c r="C112" s="73" t="s">
        <v>180</v>
      </c>
      <c r="D112" s="71"/>
      <c r="E112" s="71"/>
      <c r="F112" s="72"/>
    </row>
    <row r="113" spans="3:6" x14ac:dyDescent="0.25">
      <c r="C113" s="73" t="s">
        <v>181</v>
      </c>
      <c r="D113" s="71"/>
      <c r="E113" s="71"/>
      <c r="F113" s="72"/>
    </row>
    <row r="114" spans="3:6" x14ac:dyDescent="0.25">
      <c r="C114" s="73" t="s">
        <v>182</v>
      </c>
      <c r="D114" s="71"/>
      <c r="E114" s="71"/>
      <c r="F114" s="72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C5" sqref="C5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255</v>
      </c>
      <c r="J2" s="52" t="s">
        <v>164</v>
      </c>
      <c r="K2" s="53"/>
      <c r="L2" s="54"/>
    </row>
    <row r="3" spans="2:26" x14ac:dyDescent="0.25">
      <c r="J3" s="47" t="s">
        <v>166</v>
      </c>
      <c r="K3" s="44">
        <f>SUM(E65:AD65)</f>
        <v>218</v>
      </c>
      <c r="L3" s="51"/>
    </row>
    <row r="4" spans="2:26" x14ac:dyDescent="0.25">
      <c r="J4" s="47" t="s">
        <v>165</v>
      </c>
      <c r="K4" s="44">
        <f>SUM(E66:AD66)</f>
        <v>2</v>
      </c>
      <c r="L4" s="49"/>
    </row>
    <row r="5" spans="2:26" x14ac:dyDescent="0.25">
      <c r="J5" s="55" t="s">
        <v>167</v>
      </c>
      <c r="K5" s="44">
        <f>SUM(E67:AD67)</f>
        <v>0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5.9545454545454541</v>
      </c>
    </row>
    <row r="7" spans="2:26" ht="15.75" thickBot="1" x14ac:dyDescent="0.3"/>
    <row r="8" spans="2:26" x14ac:dyDescent="0.25"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8"/>
    </row>
    <row r="9" spans="2:26" ht="18.75" x14ac:dyDescent="0.3">
      <c r="O9" s="110" t="s">
        <v>263</v>
      </c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11"/>
    </row>
    <row r="10" spans="2:26" ht="15.75" thickBot="1" x14ac:dyDescent="0.3"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11"/>
    </row>
    <row r="11" spans="2:26" ht="15.75" x14ac:dyDescent="0.25">
      <c r="O11" s="132" t="s">
        <v>323</v>
      </c>
      <c r="P11" s="109"/>
      <c r="Q11" s="109"/>
      <c r="R11" s="109"/>
      <c r="S11" s="109"/>
      <c r="T11" s="109"/>
      <c r="U11" s="109"/>
      <c r="V11" s="109"/>
      <c r="W11" s="109"/>
      <c r="X11" s="109"/>
      <c r="Y11" s="123"/>
      <c r="Z11" s="124"/>
    </row>
    <row r="12" spans="2:26" x14ac:dyDescent="0.25">
      <c r="O12" s="109" t="s">
        <v>280</v>
      </c>
      <c r="P12" s="109"/>
      <c r="Q12" s="109"/>
      <c r="R12" s="109"/>
      <c r="S12" s="109"/>
      <c r="T12" s="109"/>
      <c r="U12" s="109"/>
      <c r="V12" s="109"/>
      <c r="W12" s="115" t="s">
        <v>46</v>
      </c>
      <c r="X12" s="109"/>
      <c r="Y12" s="125" t="s">
        <v>324</v>
      </c>
      <c r="Z12" s="122"/>
    </row>
    <row r="13" spans="2:26" x14ac:dyDescent="0.25">
      <c r="O13" s="109" t="s">
        <v>317</v>
      </c>
      <c r="P13" s="109"/>
      <c r="Q13" s="109"/>
      <c r="R13" s="109"/>
      <c r="S13" s="109"/>
      <c r="T13" s="109"/>
      <c r="U13" s="109"/>
      <c r="V13" s="109"/>
      <c r="W13" s="115" t="s">
        <v>46</v>
      </c>
      <c r="X13" s="109"/>
      <c r="Y13" s="125"/>
      <c r="Z13" s="122"/>
    </row>
    <row r="14" spans="2:26" x14ac:dyDescent="0.25">
      <c r="O14" s="109" t="s">
        <v>316</v>
      </c>
      <c r="P14" s="109"/>
      <c r="Q14" s="109"/>
      <c r="R14" s="109"/>
      <c r="S14" s="109"/>
      <c r="T14" s="109"/>
      <c r="U14" s="109"/>
      <c r="V14" s="109"/>
      <c r="W14" s="115" t="s">
        <v>46</v>
      </c>
      <c r="X14" s="109"/>
      <c r="Y14" s="125"/>
      <c r="Z14" s="122"/>
    </row>
    <row r="15" spans="2:26" ht="15.75" thickBot="1" x14ac:dyDescent="0.3">
      <c r="O15" s="109"/>
      <c r="P15" s="109"/>
      <c r="Q15" s="109"/>
      <c r="R15" s="109"/>
      <c r="S15" s="109"/>
      <c r="T15" s="109"/>
      <c r="U15" s="112" t="s">
        <v>275</v>
      </c>
      <c r="V15" s="109"/>
      <c r="W15" s="115">
        <f>COUNTIF(W12:W14,"&lt;&gt; ")</f>
        <v>3</v>
      </c>
      <c r="X15" s="109"/>
      <c r="Y15" s="125"/>
      <c r="Z15" s="122"/>
    </row>
    <row r="16" spans="2:26" ht="18.75" x14ac:dyDescent="0.3">
      <c r="O16" s="109"/>
      <c r="P16" s="109"/>
      <c r="Q16" s="109"/>
      <c r="R16" s="117" t="s">
        <v>299</v>
      </c>
      <c r="S16" s="109"/>
      <c r="T16" s="109"/>
      <c r="U16" s="112" t="s">
        <v>276</v>
      </c>
      <c r="V16" s="109"/>
      <c r="W16" s="115">
        <f>COUNTIF(W12:W14,"=Ja")</f>
        <v>0</v>
      </c>
      <c r="X16" s="109"/>
      <c r="Y16" s="125"/>
      <c r="Z16" s="122"/>
    </row>
    <row r="17" spans="15:26" ht="21.75" thickBot="1" x14ac:dyDescent="0.4">
      <c r="O17" s="109"/>
      <c r="P17" s="109"/>
      <c r="Q17" s="109"/>
      <c r="R17" s="118">
        <f>(L6-0.5) + (W17/12)</f>
        <v>5.5378787878787872</v>
      </c>
      <c r="S17" s="109"/>
      <c r="T17" s="109"/>
      <c r="U17" s="112" t="s">
        <v>292</v>
      </c>
      <c r="V17" s="109"/>
      <c r="W17" s="116">
        <f>(5/W15)*W16+1</f>
        <v>1</v>
      </c>
      <c r="X17" s="109"/>
      <c r="Y17" s="126"/>
      <c r="Z17" s="127"/>
    </row>
    <row r="18" spans="15:26" x14ac:dyDescent="0.25"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11"/>
    </row>
    <row r="19" spans="15:26" ht="15.75" thickBot="1" x14ac:dyDescent="0.3"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4"/>
    </row>
    <row r="36" spans="1:30" x14ac:dyDescent="0.25">
      <c r="A36" s="2" t="s">
        <v>163</v>
      </c>
      <c r="B36" s="2" t="s">
        <v>17</v>
      </c>
      <c r="C36" s="2" t="s">
        <v>16</v>
      </c>
      <c r="D36" s="2" t="s">
        <v>162</v>
      </c>
      <c r="E36" s="2" t="s">
        <v>146</v>
      </c>
      <c r="F36" s="2" t="s">
        <v>161</v>
      </c>
      <c r="G36" s="2" t="s">
        <v>146</v>
      </c>
      <c r="H36" s="2" t="s">
        <v>160</v>
      </c>
      <c r="I36" s="2" t="s">
        <v>19</v>
      </c>
      <c r="J36" s="2" t="s">
        <v>20</v>
      </c>
      <c r="K36" s="2" t="s">
        <v>18</v>
      </c>
      <c r="L36" s="2" t="s">
        <v>159</v>
      </c>
      <c r="M36" s="2" t="s">
        <v>146</v>
      </c>
      <c r="N36" s="2" t="s">
        <v>158</v>
      </c>
      <c r="O36" s="2" t="s">
        <v>157</v>
      </c>
      <c r="P36" s="2" t="s">
        <v>146</v>
      </c>
      <c r="Q36" s="2" t="s">
        <v>156</v>
      </c>
      <c r="R36" s="2" t="s">
        <v>155</v>
      </c>
      <c r="S36" s="2" t="s">
        <v>154</v>
      </c>
      <c r="T36" s="2" t="s">
        <v>146</v>
      </c>
      <c r="U36" s="2" t="s">
        <v>153</v>
      </c>
      <c r="V36" s="2" t="s">
        <v>146</v>
      </c>
      <c r="W36" s="2" t="s">
        <v>152</v>
      </c>
      <c r="X36" s="2" t="s">
        <v>146</v>
      </c>
      <c r="Y36" s="2" t="s">
        <v>151</v>
      </c>
      <c r="Z36" s="2" t="s">
        <v>150</v>
      </c>
      <c r="AA36" s="2" t="s">
        <v>149</v>
      </c>
      <c r="AB36" s="2" t="s">
        <v>146</v>
      </c>
      <c r="AC36" s="2" t="s">
        <v>148</v>
      </c>
      <c r="AD36" s="2" t="s">
        <v>147</v>
      </c>
    </row>
    <row r="37" spans="1:30" x14ac:dyDescent="0.25">
      <c r="A37" s="4">
        <v>1</v>
      </c>
      <c r="B37" s="4" t="s">
        <v>145</v>
      </c>
      <c r="C37" s="4" t="s">
        <v>144</v>
      </c>
      <c r="D37" s="58" t="str">
        <f>PROPER(CONCATENATE(LEFT(C37,1),"."))</f>
        <v>R.</v>
      </c>
      <c r="E37" s="39" t="str">
        <f t="shared" ref="E37:E63" si="0">IF(D37=PROPER(CONCATENATE(LEFT(C37,1),".")),"ok",IF(D37="","--","nok"))</f>
        <v>ok</v>
      </c>
      <c r="F37" s="58" t="str">
        <f>PROPER(CONCATENATE(D37,B37))</f>
        <v>R.Hollenstein</v>
      </c>
      <c r="G37" s="39" t="str">
        <f t="shared" ref="G37:G63" si="1">IF(F37=PROPER(CONCATENATE(D37,B37)),"ok",IF(F37="","--","nok"))</f>
        <v>ok</v>
      </c>
      <c r="H37" s="4" t="s">
        <v>143</v>
      </c>
      <c r="I37" s="4">
        <v>8853</v>
      </c>
      <c r="J37" s="4" t="s">
        <v>47</v>
      </c>
      <c r="K37" s="4" t="s">
        <v>22</v>
      </c>
      <c r="L37" s="58" t="str">
        <f>CONCATENATE(K37,"-",I37," ",J37)</f>
        <v>CH-8853 Lachen</v>
      </c>
      <c r="M37" s="39" t="str">
        <f t="shared" ref="M37:M63" si="2">IF(L37=CONCATENATE(K37,"-",I37," ",J37),"ok",IF(L37="","--","nok"))</f>
        <v>ok</v>
      </c>
      <c r="N37" s="4" t="s">
        <v>142</v>
      </c>
      <c r="O37" s="58" t="str">
        <f>CONCATENATE(LOWER(C37),".",LOWER(B37),"@","bzu.ch")</f>
        <v>ruth.hollenstein@bzu.ch</v>
      </c>
      <c r="P37" s="39" t="str">
        <f t="shared" ref="P37:P63" si="3">IF(O37=CONCATENATE(LOWER(C37),".",LOWER(B37),"@","bzu.ch"),"ok",IF(O37="","--","nok"))</f>
        <v>ok</v>
      </c>
      <c r="Q37" s="4" t="s">
        <v>141</v>
      </c>
      <c r="R37" s="4" t="s">
        <v>46</v>
      </c>
      <c r="S37" s="58">
        <f>IF(R37="Ja",1,0)</f>
        <v>0</v>
      </c>
      <c r="T37" s="39" t="str">
        <f t="shared" ref="T37:T63" si="4">IF(S37="","--",IF(S37=IF(R37="Ja",1,0),"ok","nok"))</f>
        <v>ok</v>
      </c>
      <c r="U37" s="58">
        <f>IF(R37="Nein",1,0)</f>
        <v>1</v>
      </c>
      <c r="V37" s="39" t="str">
        <f t="shared" ref="V37:V63" si="5">IF(U37="","--",IF(U37=IF(R37="Ja",0,1),"ok","nok"))</f>
        <v>ok</v>
      </c>
      <c r="W37" s="58" t="str">
        <f>IF(R37="Nein",IF(N37&lt;&gt;"",N37,O37),"")</f>
        <v>ruth.hollenstein@gmail.ch</v>
      </c>
      <c r="X37" s="39" t="str">
        <f t="shared" ref="X37:X63" si="6">IF(W37=IF(R37="Nein",IF(N37&lt;&gt;"",N37,O37),""),"ok",IF(W37="","--","nok"))</f>
        <v>ok</v>
      </c>
      <c r="Y37" s="40"/>
      <c r="Z37" s="40"/>
      <c r="AA37" s="59">
        <f>Y37-Z37</f>
        <v>0</v>
      </c>
      <c r="AB37" s="39" t="str">
        <f t="shared" ref="AB37:AB63" si="7">IF(AA37=Y37-Z37,"ok",IF(AA37="","--","nok"))</f>
        <v>ok</v>
      </c>
      <c r="AC37" s="4" t="s">
        <v>50</v>
      </c>
      <c r="AD37" s="4" t="s">
        <v>40</v>
      </c>
    </row>
    <row r="38" spans="1:30" x14ac:dyDescent="0.25">
      <c r="A38" s="4">
        <v>2</v>
      </c>
      <c r="B38" s="4" t="s">
        <v>140</v>
      </c>
      <c r="C38" s="4" t="s">
        <v>139</v>
      </c>
      <c r="D38" s="58" t="str">
        <f t="shared" ref="D38:D63" si="8">PROPER(CONCATENATE(LEFT(C38,1),"."))</f>
        <v>R.</v>
      </c>
      <c r="E38" s="39" t="str">
        <f t="shared" si="0"/>
        <v>ok</v>
      </c>
      <c r="F38" s="58" t="str">
        <f t="shared" ref="F38:F63" si="9">PROPER(CONCATENATE(D38,B38))</f>
        <v>R.Mueller</v>
      </c>
      <c r="G38" s="39" t="str">
        <f t="shared" si="1"/>
        <v>ok</v>
      </c>
      <c r="H38" s="4" t="s">
        <v>138</v>
      </c>
      <c r="I38" s="4">
        <v>8853</v>
      </c>
      <c r="J38" s="4" t="s">
        <v>47</v>
      </c>
      <c r="K38" s="4" t="s">
        <v>22</v>
      </c>
      <c r="L38" s="58" t="str">
        <f t="shared" ref="L38:L63" si="10">CONCATENATE(K38,"-",I38," ",J38)</f>
        <v>CH-8853 Lachen</v>
      </c>
      <c r="M38" s="39" t="str">
        <f t="shared" si="2"/>
        <v>ok</v>
      </c>
      <c r="N38" s="4" t="s">
        <v>137</v>
      </c>
      <c r="O38" s="58" t="str">
        <f t="shared" ref="O38:O63" si="11">CONCATENATE(LOWER(C38),".",LOWER(B38),"@","bzu.ch")</f>
        <v>ruedi.mueller@bzu.ch</v>
      </c>
      <c r="P38" s="39" t="str">
        <f t="shared" si="3"/>
        <v>ok</v>
      </c>
      <c r="Q38" s="4" t="s">
        <v>329</v>
      </c>
      <c r="R38" s="4" t="s">
        <v>40</v>
      </c>
      <c r="S38" s="58">
        <v>1</v>
      </c>
      <c r="T38" s="39" t="str">
        <f t="shared" si="4"/>
        <v>ok</v>
      </c>
      <c r="U38" s="58">
        <f t="shared" ref="U38:U63" si="12">IF(R38="Nein",1,0)</f>
        <v>0</v>
      </c>
      <c r="V38" s="39" t="str">
        <f t="shared" si="5"/>
        <v>ok</v>
      </c>
      <c r="W38" s="58" t="str">
        <f t="shared" ref="W38:W63" si="13">IF(R38="Nein",IF(N38&lt;&gt;"",N38,O38),"")</f>
        <v/>
      </c>
      <c r="X38" s="39" t="str">
        <f t="shared" si="6"/>
        <v>ok</v>
      </c>
      <c r="Y38" s="40"/>
      <c r="Z38" s="40">
        <v>30</v>
      </c>
      <c r="AA38" s="59">
        <f t="shared" ref="AA38:AA63" si="14">Y38-Z38</f>
        <v>-30</v>
      </c>
      <c r="AB38" s="39" t="str">
        <f t="shared" si="7"/>
        <v>ok</v>
      </c>
      <c r="AC38" s="4" t="s">
        <v>50</v>
      </c>
      <c r="AD38" s="4" t="s">
        <v>46</v>
      </c>
    </row>
    <row r="39" spans="1:30" x14ac:dyDescent="0.25">
      <c r="A39" s="4">
        <v>3</v>
      </c>
      <c r="B39" s="4" t="s">
        <v>136</v>
      </c>
      <c r="C39" s="4" t="s">
        <v>135</v>
      </c>
      <c r="D39" s="58" t="str">
        <f t="shared" si="8"/>
        <v>M.</v>
      </c>
      <c r="E39" s="39" t="str">
        <f t="shared" si="0"/>
        <v>ok</v>
      </c>
      <c r="F39" s="58" t="str">
        <f t="shared" si="9"/>
        <v>M.Janser</v>
      </c>
      <c r="G39" s="39" t="str">
        <f t="shared" si="1"/>
        <v>ok</v>
      </c>
      <c r="H39" s="4" t="s">
        <v>134</v>
      </c>
      <c r="I39" s="4">
        <v>8853</v>
      </c>
      <c r="J39" s="4" t="s">
        <v>47</v>
      </c>
      <c r="K39" s="4" t="s">
        <v>22</v>
      </c>
      <c r="L39" s="58" t="str">
        <f t="shared" si="10"/>
        <v>CH-8853 Lachen</v>
      </c>
      <c r="M39" s="39" t="str">
        <f t="shared" si="2"/>
        <v>ok</v>
      </c>
      <c r="N39" s="4"/>
      <c r="O39" s="58" t="str">
        <f t="shared" si="11"/>
        <v>maria.janser@bzu.ch</v>
      </c>
      <c r="P39" s="39" t="str">
        <f t="shared" si="3"/>
        <v>ok</v>
      </c>
      <c r="Q39" s="4" t="s">
        <v>330</v>
      </c>
      <c r="R39" s="4" t="s">
        <v>46</v>
      </c>
      <c r="S39" s="58">
        <v>0</v>
      </c>
      <c r="T39" s="39" t="str">
        <f t="shared" si="4"/>
        <v>ok</v>
      </c>
      <c r="U39" s="58">
        <f t="shared" si="12"/>
        <v>1</v>
      </c>
      <c r="V39" s="39" t="str">
        <f t="shared" si="5"/>
        <v>ok</v>
      </c>
      <c r="W39" s="58" t="str">
        <f t="shared" si="13"/>
        <v>maria.janser@bzu.ch</v>
      </c>
      <c r="X39" s="39" t="str">
        <f t="shared" si="6"/>
        <v>ok</v>
      </c>
      <c r="Y39" s="40"/>
      <c r="Z39" s="40">
        <v>100</v>
      </c>
      <c r="AA39" s="59">
        <f t="shared" si="14"/>
        <v>-100</v>
      </c>
      <c r="AB39" s="39" t="str">
        <f t="shared" si="7"/>
        <v>ok</v>
      </c>
      <c r="AC39" s="4" t="s">
        <v>50</v>
      </c>
      <c r="AD39" s="4" t="s">
        <v>40</v>
      </c>
    </row>
    <row r="40" spans="1:30" x14ac:dyDescent="0.25">
      <c r="A40" s="4">
        <v>4</v>
      </c>
      <c r="B40" s="4" t="s">
        <v>133</v>
      </c>
      <c r="C40" s="4" t="s">
        <v>132</v>
      </c>
      <c r="D40" s="58" t="str">
        <f t="shared" si="8"/>
        <v>C.</v>
      </c>
      <c r="E40" s="39" t="str">
        <f t="shared" si="0"/>
        <v>ok</v>
      </c>
      <c r="F40" s="58" t="str">
        <f t="shared" si="9"/>
        <v>C.Meier</v>
      </c>
      <c r="G40" s="39" t="str">
        <f t="shared" si="1"/>
        <v>ok</v>
      </c>
      <c r="H40" s="4" t="s">
        <v>131</v>
      </c>
      <c r="I40" s="4">
        <v>53175</v>
      </c>
      <c r="J40" s="4" t="s">
        <v>130</v>
      </c>
      <c r="K40" s="4" t="s">
        <v>24</v>
      </c>
      <c r="L40" s="58" t="str">
        <f t="shared" si="10"/>
        <v>DE-53175 Bonn</v>
      </c>
      <c r="M40" s="39" t="str">
        <f t="shared" si="2"/>
        <v>ok</v>
      </c>
      <c r="N40" s="4" t="s">
        <v>129</v>
      </c>
      <c r="O40" s="58" t="str">
        <f t="shared" si="11"/>
        <v>claudia.meier@bzu.ch</v>
      </c>
      <c r="P40" s="39" t="str">
        <f t="shared" si="3"/>
        <v>ok</v>
      </c>
      <c r="Q40" s="4" t="s">
        <v>331</v>
      </c>
      <c r="R40" s="4" t="s">
        <v>40</v>
      </c>
      <c r="S40" s="58">
        <v>1</v>
      </c>
      <c r="T40" s="39" t="str">
        <f t="shared" si="4"/>
        <v>ok</v>
      </c>
      <c r="U40" s="58">
        <f t="shared" si="12"/>
        <v>0</v>
      </c>
      <c r="V40" s="39" t="str">
        <f t="shared" si="5"/>
        <v>ok</v>
      </c>
      <c r="W40" s="58" t="str">
        <f t="shared" si="13"/>
        <v/>
      </c>
      <c r="X40" s="39" t="str">
        <f t="shared" si="6"/>
        <v>ok</v>
      </c>
      <c r="Y40" s="40"/>
      <c r="Z40" s="40">
        <v>30</v>
      </c>
      <c r="AA40" s="59">
        <f t="shared" si="14"/>
        <v>-30</v>
      </c>
      <c r="AB40" s="39" t="str">
        <f t="shared" si="7"/>
        <v>ok</v>
      </c>
      <c r="AC40" s="4" t="s">
        <v>50</v>
      </c>
      <c r="AD40" s="4" t="s">
        <v>46</v>
      </c>
    </row>
    <row r="41" spans="1:30" x14ac:dyDescent="0.25">
      <c r="A41" s="4">
        <v>5</v>
      </c>
      <c r="B41" s="4" t="s">
        <v>128</v>
      </c>
      <c r="C41" s="4" t="s">
        <v>127</v>
      </c>
      <c r="D41" s="58" t="str">
        <f t="shared" si="8"/>
        <v>W.</v>
      </c>
      <c r="E41" s="39" t="str">
        <f t="shared" si="0"/>
        <v>ok</v>
      </c>
      <c r="F41" s="58" t="str">
        <f t="shared" si="9"/>
        <v>W.King</v>
      </c>
      <c r="G41" s="39" t="str">
        <f t="shared" si="1"/>
        <v>ok</v>
      </c>
      <c r="H41" s="4" t="s">
        <v>126</v>
      </c>
      <c r="I41" s="4">
        <v>78713</v>
      </c>
      <c r="J41" s="4" t="s">
        <v>97</v>
      </c>
      <c r="K41" s="4" t="s">
        <v>24</v>
      </c>
      <c r="L41" s="58" t="str">
        <f t="shared" si="10"/>
        <v xml:space="preserve">DE-78713 Schramberg </v>
      </c>
      <c r="M41" s="39" t="str">
        <f t="shared" si="2"/>
        <v>ok</v>
      </c>
      <c r="N41" s="4"/>
      <c r="O41" s="58" t="str">
        <f t="shared" si="11"/>
        <v>walter.king@bzu.ch</v>
      </c>
      <c r="P41" s="39" t="str">
        <f t="shared" si="3"/>
        <v>ok</v>
      </c>
      <c r="Q41" s="4" t="s">
        <v>332</v>
      </c>
      <c r="R41" s="4" t="s">
        <v>46</v>
      </c>
      <c r="S41" s="58">
        <v>0</v>
      </c>
      <c r="T41" s="39" t="str">
        <f t="shared" si="4"/>
        <v>ok</v>
      </c>
      <c r="U41" s="58">
        <f t="shared" si="12"/>
        <v>1</v>
      </c>
      <c r="V41" s="39" t="str">
        <f t="shared" si="5"/>
        <v>ok</v>
      </c>
      <c r="W41" s="58" t="str">
        <f t="shared" si="13"/>
        <v>walter.king@bzu.ch</v>
      </c>
      <c r="X41" s="39" t="str">
        <f t="shared" si="6"/>
        <v>ok</v>
      </c>
      <c r="Y41" s="40"/>
      <c r="Z41" s="40">
        <v>50</v>
      </c>
      <c r="AA41" s="59">
        <f t="shared" si="14"/>
        <v>-50</v>
      </c>
      <c r="AB41" s="39" t="str">
        <f t="shared" si="7"/>
        <v>ok</v>
      </c>
      <c r="AC41" s="4" t="s">
        <v>50</v>
      </c>
      <c r="AD41" s="4" t="s">
        <v>40</v>
      </c>
    </row>
    <row r="42" spans="1:30" x14ac:dyDescent="0.25">
      <c r="A42" s="4">
        <v>6</v>
      </c>
      <c r="B42" s="4" t="s">
        <v>125</v>
      </c>
      <c r="C42" s="4" t="s">
        <v>124</v>
      </c>
      <c r="D42" s="58" t="str">
        <f t="shared" si="8"/>
        <v>R.</v>
      </c>
      <c r="E42" s="39" t="str">
        <f t="shared" si="0"/>
        <v>ok</v>
      </c>
      <c r="F42" s="58" t="str">
        <f t="shared" si="9"/>
        <v>R.Koch</v>
      </c>
      <c r="G42" s="39" t="str">
        <f t="shared" si="1"/>
        <v>ok</v>
      </c>
      <c r="H42" s="4" t="s">
        <v>123</v>
      </c>
      <c r="I42" s="4">
        <v>8808</v>
      </c>
      <c r="J42" s="4" t="s">
        <v>122</v>
      </c>
      <c r="K42" s="4" t="s">
        <v>22</v>
      </c>
      <c r="L42" s="58" t="str">
        <f t="shared" si="10"/>
        <v>CH-8808 Pfaeffikon</v>
      </c>
      <c r="M42" s="39" t="str">
        <f t="shared" si="2"/>
        <v>ok</v>
      </c>
      <c r="N42" s="4" t="s">
        <v>121</v>
      </c>
      <c r="O42" s="58" t="str">
        <f t="shared" si="11"/>
        <v>roman.koch@bzu.ch</v>
      </c>
      <c r="P42" s="39" t="str">
        <f t="shared" si="3"/>
        <v>ok</v>
      </c>
      <c r="Q42" s="4" t="s">
        <v>333</v>
      </c>
      <c r="R42" s="4" t="s">
        <v>40</v>
      </c>
      <c r="S42" s="58">
        <v>1</v>
      </c>
      <c r="T42" s="39" t="str">
        <f t="shared" si="4"/>
        <v>ok</v>
      </c>
      <c r="U42" s="58">
        <f t="shared" si="12"/>
        <v>0</v>
      </c>
      <c r="V42" s="39" t="str">
        <f t="shared" si="5"/>
        <v>ok</v>
      </c>
      <c r="W42" s="58" t="str">
        <f t="shared" si="13"/>
        <v/>
      </c>
      <c r="X42" s="39" t="str">
        <f t="shared" si="6"/>
        <v>ok</v>
      </c>
      <c r="Y42" s="40"/>
      <c r="Z42" s="40">
        <v>10</v>
      </c>
      <c r="AA42" s="59">
        <f t="shared" si="14"/>
        <v>-10</v>
      </c>
      <c r="AB42" s="39" t="str">
        <f t="shared" si="7"/>
        <v>ok</v>
      </c>
      <c r="AC42" s="4" t="s">
        <v>50</v>
      </c>
      <c r="AD42" s="4" t="s">
        <v>46</v>
      </c>
    </row>
    <row r="43" spans="1:30" x14ac:dyDescent="0.25">
      <c r="A43" s="4">
        <v>7</v>
      </c>
      <c r="B43" s="4" t="s">
        <v>120</v>
      </c>
      <c r="C43" s="4" t="s">
        <v>119</v>
      </c>
      <c r="D43" s="58" t="str">
        <f t="shared" si="8"/>
        <v>R.</v>
      </c>
      <c r="E43" s="39" t="str">
        <f t="shared" si="0"/>
        <v>ok</v>
      </c>
      <c r="F43" s="58" t="str">
        <f t="shared" si="9"/>
        <v>R.Koller</v>
      </c>
      <c r="G43" s="39" t="str">
        <f t="shared" si="1"/>
        <v>ok</v>
      </c>
      <c r="H43" s="4" t="s">
        <v>118</v>
      </c>
      <c r="I43" s="4">
        <v>8854</v>
      </c>
      <c r="J43" s="4" t="s">
        <v>69</v>
      </c>
      <c r="K43" s="4" t="s">
        <v>22</v>
      </c>
      <c r="L43" s="58" t="str">
        <f t="shared" si="10"/>
        <v>CH-8854 Siebnen</v>
      </c>
      <c r="M43" s="39" t="str">
        <f t="shared" si="2"/>
        <v>ok</v>
      </c>
      <c r="N43" s="4" t="s">
        <v>117</v>
      </c>
      <c r="O43" s="58" t="str">
        <f t="shared" si="11"/>
        <v>rasi.koller@bzu.ch</v>
      </c>
      <c r="P43" s="39" t="str">
        <f t="shared" si="3"/>
        <v>ok</v>
      </c>
      <c r="Q43" s="4" t="s">
        <v>334</v>
      </c>
      <c r="R43" s="4" t="s">
        <v>40</v>
      </c>
      <c r="S43" s="58">
        <v>1</v>
      </c>
      <c r="T43" s="39" t="str">
        <f t="shared" si="4"/>
        <v>ok</v>
      </c>
      <c r="U43" s="58">
        <f t="shared" si="12"/>
        <v>0</v>
      </c>
      <c r="V43" s="39" t="str">
        <f t="shared" si="5"/>
        <v>ok</v>
      </c>
      <c r="W43" s="58" t="str">
        <f t="shared" si="13"/>
        <v/>
      </c>
      <c r="X43" s="39" t="str">
        <f t="shared" si="6"/>
        <v>ok</v>
      </c>
      <c r="Y43" s="40"/>
      <c r="Z43" s="40">
        <v>0</v>
      </c>
      <c r="AA43" s="59">
        <f t="shared" si="14"/>
        <v>0</v>
      </c>
      <c r="AB43" s="39" t="str">
        <f t="shared" si="7"/>
        <v>ok</v>
      </c>
      <c r="AC43" s="4" t="s">
        <v>50</v>
      </c>
      <c r="AD43" s="4" t="s">
        <v>40</v>
      </c>
    </row>
    <row r="44" spans="1:30" x14ac:dyDescent="0.25">
      <c r="A44" s="4">
        <v>8</v>
      </c>
      <c r="B44" s="4" t="s">
        <v>116</v>
      </c>
      <c r="C44" s="4" t="s">
        <v>115</v>
      </c>
      <c r="D44" s="58" t="str">
        <f t="shared" si="8"/>
        <v>M.</v>
      </c>
      <c r="E44" s="39" t="str">
        <f t="shared" si="0"/>
        <v>ok</v>
      </c>
      <c r="F44" s="58" t="str">
        <f t="shared" si="9"/>
        <v>M.Koepfli</v>
      </c>
      <c r="G44" s="39" t="str">
        <f t="shared" si="1"/>
        <v>ok</v>
      </c>
      <c r="H44" s="4" t="s">
        <v>114</v>
      </c>
      <c r="I44" s="4">
        <v>8045</v>
      </c>
      <c r="J44" s="4" t="s">
        <v>113</v>
      </c>
      <c r="K44" s="4" t="s">
        <v>22</v>
      </c>
      <c r="L44" s="58" t="str">
        <f t="shared" si="10"/>
        <v>CH-8045 Zuerich</v>
      </c>
      <c r="M44" s="39" t="str">
        <f t="shared" si="2"/>
        <v>ok</v>
      </c>
      <c r="N44" s="4"/>
      <c r="O44" s="58" t="str">
        <f t="shared" si="11"/>
        <v>melanie.koepfli@bzu.ch</v>
      </c>
      <c r="P44" s="39" t="str">
        <f t="shared" si="3"/>
        <v>ok</v>
      </c>
      <c r="Q44" s="4" t="s">
        <v>335</v>
      </c>
      <c r="R44" s="4" t="s">
        <v>46</v>
      </c>
      <c r="S44" s="58">
        <v>0</v>
      </c>
      <c r="T44" s="39" t="str">
        <f t="shared" si="4"/>
        <v>ok</v>
      </c>
      <c r="U44" s="58">
        <f t="shared" si="12"/>
        <v>1</v>
      </c>
      <c r="V44" s="39" t="str">
        <f t="shared" si="5"/>
        <v>ok</v>
      </c>
      <c r="W44" s="58" t="str">
        <f t="shared" si="13"/>
        <v>melanie.koepfli@bzu.ch</v>
      </c>
      <c r="X44" s="39" t="str">
        <f t="shared" si="6"/>
        <v>ok</v>
      </c>
      <c r="Y44" s="40"/>
      <c r="Z44" s="40">
        <v>250</v>
      </c>
      <c r="AA44" s="59">
        <f t="shared" si="14"/>
        <v>-250</v>
      </c>
      <c r="AB44" s="39" t="str">
        <f t="shared" si="7"/>
        <v>ok</v>
      </c>
      <c r="AC44" s="4" t="s">
        <v>50</v>
      </c>
      <c r="AD44" s="4" t="s">
        <v>46</v>
      </c>
    </row>
    <row r="45" spans="1:30" x14ac:dyDescent="0.25">
      <c r="A45" s="4">
        <v>9</v>
      </c>
      <c r="B45" s="4" t="s">
        <v>107</v>
      </c>
      <c r="C45" s="4" t="s">
        <v>112</v>
      </c>
      <c r="D45" s="58" t="str">
        <f t="shared" si="8"/>
        <v>H.</v>
      </c>
      <c r="E45" s="39" t="str">
        <f t="shared" si="0"/>
        <v>ok</v>
      </c>
      <c r="F45" s="58" t="str">
        <f t="shared" si="9"/>
        <v>H.Krieg</v>
      </c>
      <c r="G45" s="39" t="str">
        <f t="shared" si="1"/>
        <v>ok</v>
      </c>
      <c r="H45" s="4" t="s">
        <v>111</v>
      </c>
      <c r="I45" s="4">
        <v>8853</v>
      </c>
      <c r="J45" s="4" t="s">
        <v>47</v>
      </c>
      <c r="K45" s="4" t="s">
        <v>22</v>
      </c>
      <c r="L45" s="58" t="str">
        <f t="shared" si="10"/>
        <v>CH-8853 Lachen</v>
      </c>
      <c r="M45" s="39" t="str">
        <f t="shared" si="2"/>
        <v>ok</v>
      </c>
      <c r="N45" s="4" t="s">
        <v>110</v>
      </c>
      <c r="O45" s="58" t="str">
        <f t="shared" si="11"/>
        <v>hans.krieg@bzu.ch</v>
      </c>
      <c r="P45" s="39" t="str">
        <f t="shared" si="3"/>
        <v>ok</v>
      </c>
      <c r="Q45" s="4" t="s">
        <v>336</v>
      </c>
      <c r="R45" s="4" t="s">
        <v>46</v>
      </c>
      <c r="S45" s="58">
        <v>0</v>
      </c>
      <c r="T45" s="39" t="str">
        <f t="shared" si="4"/>
        <v>ok</v>
      </c>
      <c r="U45" s="58">
        <f t="shared" si="12"/>
        <v>1</v>
      </c>
      <c r="V45" s="39" t="str">
        <f t="shared" si="5"/>
        <v>ok</v>
      </c>
      <c r="W45" s="58" t="str">
        <f t="shared" si="13"/>
        <v>roes.krieg@gmail.ch</v>
      </c>
      <c r="X45" s="39" t="str">
        <f t="shared" si="6"/>
        <v>ok</v>
      </c>
      <c r="Y45" s="40"/>
      <c r="Z45" s="40">
        <v>0</v>
      </c>
      <c r="AA45" s="59">
        <f t="shared" si="14"/>
        <v>0</v>
      </c>
      <c r="AB45" s="39" t="str">
        <f t="shared" si="7"/>
        <v>ok</v>
      </c>
      <c r="AC45" s="4" t="s">
        <v>50</v>
      </c>
      <c r="AD45" s="4" t="s">
        <v>40</v>
      </c>
    </row>
    <row r="46" spans="1:30" x14ac:dyDescent="0.25">
      <c r="A46" s="4">
        <v>10</v>
      </c>
      <c r="B46" s="4" t="s">
        <v>107</v>
      </c>
      <c r="C46" s="4" t="s">
        <v>95</v>
      </c>
      <c r="D46" s="58" t="str">
        <f t="shared" si="8"/>
        <v>R.</v>
      </c>
      <c r="E46" s="39" t="str">
        <f t="shared" si="0"/>
        <v>ok</v>
      </c>
      <c r="F46" s="58" t="str">
        <f t="shared" si="9"/>
        <v>R.Krieg</v>
      </c>
      <c r="G46" s="39" t="str">
        <f t="shared" si="1"/>
        <v>ok</v>
      </c>
      <c r="H46" s="4" t="s">
        <v>109</v>
      </c>
      <c r="I46" s="4">
        <v>8853</v>
      </c>
      <c r="J46" s="4" t="s">
        <v>47</v>
      </c>
      <c r="K46" s="4" t="s">
        <v>22</v>
      </c>
      <c r="L46" s="58" t="str">
        <f t="shared" si="10"/>
        <v>CH-8853 Lachen</v>
      </c>
      <c r="M46" s="39" t="str">
        <f t="shared" si="2"/>
        <v>ok</v>
      </c>
      <c r="N46" s="4" t="s">
        <v>108</v>
      </c>
      <c r="O46" s="58" t="str">
        <f t="shared" si="11"/>
        <v>rita.krieg@bzu.ch</v>
      </c>
      <c r="P46" s="39" t="str">
        <f t="shared" si="3"/>
        <v>ok</v>
      </c>
      <c r="Q46" s="4" t="s">
        <v>337</v>
      </c>
      <c r="R46" s="4" t="s">
        <v>46</v>
      </c>
      <c r="S46" s="58">
        <v>0</v>
      </c>
      <c r="T46" s="39" t="str">
        <f t="shared" si="4"/>
        <v>ok</v>
      </c>
      <c r="U46" s="58">
        <f t="shared" si="12"/>
        <v>1</v>
      </c>
      <c r="V46" s="39" t="str">
        <f t="shared" si="5"/>
        <v>ok</v>
      </c>
      <c r="W46" s="58" t="str">
        <f t="shared" si="13"/>
        <v>rita.krieg@gmail.ch</v>
      </c>
      <c r="X46" s="39" t="str">
        <f t="shared" si="6"/>
        <v>ok</v>
      </c>
      <c r="Y46" s="40"/>
      <c r="Z46" s="40">
        <v>0</v>
      </c>
      <c r="AA46" s="59">
        <f t="shared" si="14"/>
        <v>0</v>
      </c>
      <c r="AB46" s="39" t="str">
        <f t="shared" si="7"/>
        <v>ok</v>
      </c>
      <c r="AC46" s="4" t="s">
        <v>50</v>
      </c>
      <c r="AD46" s="4" t="s">
        <v>46</v>
      </c>
    </row>
    <row r="47" spans="1:30" x14ac:dyDescent="0.25">
      <c r="A47" s="4">
        <v>11</v>
      </c>
      <c r="B47" s="4" t="s">
        <v>107</v>
      </c>
      <c r="C47" s="4" t="s">
        <v>106</v>
      </c>
      <c r="D47" s="58" t="str">
        <f t="shared" si="8"/>
        <v>R.</v>
      </c>
      <c r="E47" s="39" t="str">
        <f t="shared" si="0"/>
        <v>ok</v>
      </c>
      <c r="F47" s="58" t="str">
        <f t="shared" si="9"/>
        <v>R.Krieg</v>
      </c>
      <c r="G47" s="39" t="str">
        <f t="shared" si="1"/>
        <v>ok</v>
      </c>
      <c r="H47" s="4" t="s">
        <v>105</v>
      </c>
      <c r="I47" s="4">
        <v>8853</v>
      </c>
      <c r="J47" s="4" t="s">
        <v>47</v>
      </c>
      <c r="K47" s="4" t="s">
        <v>22</v>
      </c>
      <c r="L47" s="58" t="str">
        <f t="shared" si="10"/>
        <v>CH-8853 Lachen</v>
      </c>
      <c r="M47" s="39" t="str">
        <f t="shared" si="2"/>
        <v>ok</v>
      </c>
      <c r="N47" s="4"/>
      <c r="O47" s="58" t="str">
        <f t="shared" si="11"/>
        <v>roberta.krieg@bzu.ch</v>
      </c>
      <c r="P47" s="39" t="str">
        <f t="shared" si="3"/>
        <v>ok</v>
      </c>
      <c r="Q47" s="4" t="s">
        <v>338</v>
      </c>
      <c r="R47" s="4" t="s">
        <v>40</v>
      </c>
      <c r="S47" s="58">
        <v>1</v>
      </c>
      <c r="T47" s="39" t="str">
        <f t="shared" si="4"/>
        <v>ok</v>
      </c>
      <c r="U47" s="58">
        <f t="shared" si="12"/>
        <v>0</v>
      </c>
      <c r="V47" s="39" t="str">
        <f t="shared" si="5"/>
        <v>ok</v>
      </c>
      <c r="W47" s="58" t="str">
        <f t="shared" si="13"/>
        <v/>
      </c>
      <c r="X47" s="39" t="str">
        <f t="shared" si="6"/>
        <v>ok</v>
      </c>
      <c r="Y47" s="40"/>
      <c r="Z47" s="40">
        <v>0</v>
      </c>
      <c r="AA47" s="59">
        <f t="shared" si="14"/>
        <v>0</v>
      </c>
      <c r="AB47" s="39" t="str">
        <f t="shared" si="7"/>
        <v>ok</v>
      </c>
      <c r="AC47" s="4" t="s">
        <v>50</v>
      </c>
      <c r="AD47" s="4" t="s">
        <v>40</v>
      </c>
    </row>
    <row r="48" spans="1:30" x14ac:dyDescent="0.25">
      <c r="A48" s="4">
        <v>12</v>
      </c>
      <c r="B48" s="4" t="s">
        <v>104</v>
      </c>
      <c r="C48" s="4" t="s">
        <v>103</v>
      </c>
      <c r="D48" s="58" t="str">
        <f t="shared" si="8"/>
        <v>R.</v>
      </c>
      <c r="E48" s="39" t="str">
        <f t="shared" si="0"/>
        <v>ok</v>
      </c>
      <c r="F48" s="58" t="str">
        <f t="shared" si="9"/>
        <v>R.Krieger</v>
      </c>
      <c r="G48" s="39" t="str">
        <f t="shared" si="1"/>
        <v>ok</v>
      </c>
      <c r="H48" s="4" t="s">
        <v>102</v>
      </c>
      <c r="I48" s="4">
        <v>8853</v>
      </c>
      <c r="J48" s="4" t="s">
        <v>47</v>
      </c>
      <c r="K48" s="4" t="s">
        <v>22</v>
      </c>
      <c r="L48" s="58" t="str">
        <f t="shared" si="10"/>
        <v>CH-8853 Lachen</v>
      </c>
      <c r="M48" s="39" t="str">
        <f t="shared" si="2"/>
        <v>ok</v>
      </c>
      <c r="N48" s="4" t="s">
        <v>101</v>
      </c>
      <c r="O48" s="58" t="str">
        <f t="shared" si="11"/>
        <v>ricarda.krieger@bzu.ch</v>
      </c>
      <c r="P48" s="39" t="str">
        <f t="shared" si="3"/>
        <v>ok</v>
      </c>
      <c r="Q48" s="4" t="s">
        <v>339</v>
      </c>
      <c r="R48" s="4" t="s">
        <v>46</v>
      </c>
      <c r="S48" s="58">
        <v>0</v>
      </c>
      <c r="T48" s="39" t="str">
        <f t="shared" si="4"/>
        <v>ok</v>
      </c>
      <c r="U48" s="58">
        <f t="shared" si="12"/>
        <v>1</v>
      </c>
      <c r="V48" s="39" t="str">
        <f t="shared" si="5"/>
        <v>ok</v>
      </c>
      <c r="W48" s="58" t="str">
        <f t="shared" si="13"/>
        <v>richi.krieger@gmail.ch</v>
      </c>
      <c r="X48" s="39" t="str">
        <f t="shared" si="6"/>
        <v>ok</v>
      </c>
      <c r="Y48" s="40"/>
      <c r="Z48" s="40">
        <v>20</v>
      </c>
      <c r="AA48" s="59">
        <f t="shared" si="14"/>
        <v>-20</v>
      </c>
      <c r="AB48" s="39" t="str">
        <f t="shared" si="7"/>
        <v>ok</v>
      </c>
      <c r="AC48" s="4" t="s">
        <v>50</v>
      </c>
      <c r="AD48" s="4" t="s">
        <v>46</v>
      </c>
    </row>
    <row r="49" spans="1:30" x14ac:dyDescent="0.25">
      <c r="A49" s="4">
        <v>13</v>
      </c>
      <c r="B49" s="4" t="s">
        <v>100</v>
      </c>
      <c r="C49" s="4" t="s">
        <v>99</v>
      </c>
      <c r="D49" s="58" t="str">
        <f t="shared" si="8"/>
        <v>R.</v>
      </c>
      <c r="E49" s="39" t="str">
        <f t="shared" si="0"/>
        <v>ok</v>
      </c>
      <c r="F49" s="58" t="str">
        <f t="shared" si="9"/>
        <v>R.Kussberger</v>
      </c>
      <c r="G49" s="39" t="str">
        <f t="shared" si="1"/>
        <v>ok</v>
      </c>
      <c r="H49" s="4" t="s">
        <v>98</v>
      </c>
      <c r="I49" s="4">
        <v>78713</v>
      </c>
      <c r="J49" s="4" t="s">
        <v>97</v>
      </c>
      <c r="K49" s="4" t="s">
        <v>24</v>
      </c>
      <c r="L49" s="58" t="str">
        <f t="shared" si="10"/>
        <v xml:space="preserve">DE-78713 Schramberg </v>
      </c>
      <c r="M49" s="39" t="str">
        <f t="shared" si="2"/>
        <v>ok</v>
      </c>
      <c r="N49" s="4"/>
      <c r="O49" s="58" t="str">
        <f t="shared" si="11"/>
        <v>richard.kussberger@bzu.ch</v>
      </c>
      <c r="P49" s="39" t="str">
        <f t="shared" si="3"/>
        <v>ok</v>
      </c>
      <c r="Q49" s="4" t="s">
        <v>340</v>
      </c>
      <c r="R49" s="4" t="s">
        <v>40</v>
      </c>
      <c r="S49" s="58">
        <v>1</v>
      </c>
      <c r="T49" s="39" t="str">
        <f t="shared" si="4"/>
        <v>ok</v>
      </c>
      <c r="U49" s="58">
        <f t="shared" si="12"/>
        <v>0</v>
      </c>
      <c r="V49" s="39" t="str">
        <f t="shared" si="5"/>
        <v>ok</v>
      </c>
      <c r="W49" s="58" t="str">
        <f t="shared" si="13"/>
        <v/>
      </c>
      <c r="X49" s="39" t="str">
        <f t="shared" si="6"/>
        <v>ok</v>
      </c>
      <c r="Y49" s="40"/>
      <c r="Z49" s="40">
        <v>0</v>
      </c>
      <c r="AA49" s="59">
        <f t="shared" si="14"/>
        <v>0</v>
      </c>
      <c r="AB49" s="39" t="str">
        <f t="shared" si="7"/>
        <v>ok</v>
      </c>
      <c r="AC49" s="4" t="s">
        <v>50</v>
      </c>
      <c r="AD49" s="4" t="s">
        <v>40</v>
      </c>
    </row>
    <row r="50" spans="1:30" x14ac:dyDescent="0.25">
      <c r="A50" s="4">
        <v>14</v>
      </c>
      <c r="B50" s="4" t="s">
        <v>96</v>
      </c>
      <c r="C50" s="4" t="s">
        <v>95</v>
      </c>
      <c r="D50" s="58" t="str">
        <f t="shared" si="8"/>
        <v>R.</v>
      </c>
      <c r="E50" s="39" t="str">
        <f t="shared" si="0"/>
        <v>ok</v>
      </c>
      <c r="F50" s="58" t="str">
        <f t="shared" si="9"/>
        <v>R.Kuettel</v>
      </c>
      <c r="G50" s="39" t="str">
        <f t="shared" si="1"/>
        <v>ok</v>
      </c>
      <c r="H50" s="4" t="s">
        <v>94</v>
      </c>
      <c r="I50" s="4">
        <v>8832</v>
      </c>
      <c r="J50" s="4" t="s">
        <v>93</v>
      </c>
      <c r="K50" s="4" t="s">
        <v>22</v>
      </c>
      <c r="L50" s="58" t="str">
        <f t="shared" si="10"/>
        <v>CH-8832 Wollerau</v>
      </c>
      <c r="M50" s="39" t="str">
        <f t="shared" si="2"/>
        <v>ok</v>
      </c>
      <c r="N50" s="4" t="s">
        <v>92</v>
      </c>
      <c r="O50" s="58" t="str">
        <f t="shared" si="11"/>
        <v>rita.kuettel@bzu.ch</v>
      </c>
      <c r="P50" s="39" t="str">
        <f t="shared" si="3"/>
        <v>ok</v>
      </c>
      <c r="Q50" s="4" t="s">
        <v>341</v>
      </c>
      <c r="R50" s="4" t="s">
        <v>40</v>
      </c>
      <c r="S50" s="58">
        <v>1</v>
      </c>
      <c r="T50" s="39" t="str">
        <f t="shared" si="4"/>
        <v>ok</v>
      </c>
      <c r="U50" s="58">
        <f t="shared" si="12"/>
        <v>0</v>
      </c>
      <c r="V50" s="39" t="str">
        <f t="shared" si="5"/>
        <v>ok</v>
      </c>
      <c r="W50" s="58" t="str">
        <f t="shared" si="13"/>
        <v/>
      </c>
      <c r="X50" s="39" t="str">
        <f t="shared" si="6"/>
        <v>ok</v>
      </c>
      <c r="Y50" s="40"/>
      <c r="Z50" s="40">
        <v>50</v>
      </c>
      <c r="AA50" s="59">
        <f t="shared" si="14"/>
        <v>-50</v>
      </c>
      <c r="AB50" s="39" t="str">
        <f t="shared" si="7"/>
        <v>ok</v>
      </c>
      <c r="AC50" s="4" t="s">
        <v>50</v>
      </c>
      <c r="AD50" s="4" t="s">
        <v>46</v>
      </c>
    </row>
    <row r="51" spans="1:30" x14ac:dyDescent="0.25">
      <c r="A51" s="4">
        <v>15</v>
      </c>
      <c r="B51" s="4" t="s">
        <v>91</v>
      </c>
      <c r="C51" s="4" t="s">
        <v>90</v>
      </c>
      <c r="D51" s="58" t="str">
        <f t="shared" si="8"/>
        <v>R.</v>
      </c>
      <c r="E51" s="39" t="str">
        <f t="shared" si="0"/>
        <v>ok</v>
      </c>
      <c r="F51" s="58" t="str">
        <f t="shared" si="9"/>
        <v>R.Laib</v>
      </c>
      <c r="G51" s="39" t="str">
        <f t="shared" si="1"/>
        <v>ok</v>
      </c>
      <c r="H51" s="4" t="s">
        <v>86</v>
      </c>
      <c r="I51" s="4">
        <v>8855</v>
      </c>
      <c r="J51" s="4" t="s">
        <v>89</v>
      </c>
      <c r="K51" s="4" t="s">
        <v>22</v>
      </c>
      <c r="L51" s="58" t="str">
        <f t="shared" si="10"/>
        <v>CH-8855 Nuolen</v>
      </c>
      <c r="M51" s="39" t="str">
        <f t="shared" si="2"/>
        <v>ok</v>
      </c>
      <c r="N51" s="4" t="s">
        <v>88</v>
      </c>
      <c r="O51" s="58" t="str">
        <f t="shared" si="11"/>
        <v>rene.laib@bzu.ch</v>
      </c>
      <c r="P51" s="39" t="str">
        <f t="shared" si="3"/>
        <v>ok</v>
      </c>
      <c r="Q51" s="4" t="s">
        <v>342</v>
      </c>
      <c r="R51" s="4" t="s">
        <v>40</v>
      </c>
      <c r="S51" s="58">
        <v>1</v>
      </c>
      <c r="T51" s="39" t="str">
        <f t="shared" si="4"/>
        <v>ok</v>
      </c>
      <c r="U51" s="58">
        <f t="shared" si="12"/>
        <v>0</v>
      </c>
      <c r="V51" s="39" t="str">
        <f t="shared" si="5"/>
        <v>ok</v>
      </c>
      <c r="W51" s="58" t="str">
        <f t="shared" si="13"/>
        <v/>
      </c>
      <c r="X51" s="39" t="str">
        <f t="shared" si="6"/>
        <v>ok</v>
      </c>
      <c r="Y51" s="40"/>
      <c r="Z51" s="40">
        <v>0</v>
      </c>
      <c r="AA51" s="59">
        <f t="shared" si="14"/>
        <v>0</v>
      </c>
      <c r="AB51" s="39" t="str">
        <f t="shared" si="7"/>
        <v>ok</v>
      </c>
      <c r="AC51" s="4" t="s">
        <v>50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87</v>
      </c>
      <c r="D52" s="58" t="str">
        <f t="shared" si="8"/>
        <v>M.</v>
      </c>
      <c r="E52" s="39" t="str">
        <f t="shared" si="0"/>
        <v>ok</v>
      </c>
      <c r="F52" s="58" t="str">
        <f t="shared" si="9"/>
        <v>M.Landolt</v>
      </c>
      <c r="G52" s="39" t="str">
        <f t="shared" si="1"/>
        <v>ok</v>
      </c>
      <c r="H52" s="4" t="s">
        <v>86</v>
      </c>
      <c r="I52" s="4">
        <v>8807</v>
      </c>
      <c r="J52" s="4" t="s">
        <v>61</v>
      </c>
      <c r="K52" s="4" t="s">
        <v>22</v>
      </c>
      <c r="L52" s="58" t="str">
        <f t="shared" si="10"/>
        <v>CH-8807 Freienbach</v>
      </c>
      <c r="M52" s="39" t="str">
        <f t="shared" si="2"/>
        <v>ok</v>
      </c>
      <c r="N52" s="4" t="s">
        <v>85</v>
      </c>
      <c r="O52" s="58" t="str">
        <f t="shared" si="11"/>
        <v>margrith.landolt@bzu.ch</v>
      </c>
      <c r="P52" s="39" t="str">
        <f t="shared" si="3"/>
        <v>ok</v>
      </c>
      <c r="Q52" s="4" t="s">
        <v>343</v>
      </c>
      <c r="R52" s="4" t="s">
        <v>40</v>
      </c>
      <c r="S52" s="58">
        <v>1</v>
      </c>
      <c r="T52" s="39" t="str">
        <f t="shared" si="4"/>
        <v>ok</v>
      </c>
      <c r="U52" s="58">
        <f t="shared" si="12"/>
        <v>0</v>
      </c>
      <c r="V52" s="39" t="str">
        <f t="shared" si="5"/>
        <v>ok</v>
      </c>
      <c r="W52" s="58" t="str">
        <f t="shared" si="13"/>
        <v/>
      </c>
      <c r="X52" s="39" t="str">
        <f t="shared" si="6"/>
        <v>ok</v>
      </c>
      <c r="Y52" s="40"/>
      <c r="Z52" s="40">
        <v>0</v>
      </c>
      <c r="AA52" s="59">
        <f t="shared" si="14"/>
        <v>0</v>
      </c>
      <c r="AB52" s="39" t="str">
        <f t="shared" si="7"/>
        <v>ok</v>
      </c>
      <c r="AC52" s="4" t="s">
        <v>50</v>
      </c>
      <c r="AD52" s="4" t="s">
        <v>46</v>
      </c>
    </row>
    <row r="53" spans="1:30" x14ac:dyDescent="0.25">
      <c r="A53" s="4">
        <v>17</v>
      </c>
      <c r="B53" s="4" t="s">
        <v>84</v>
      </c>
      <c r="C53" s="4" t="s">
        <v>83</v>
      </c>
      <c r="D53" s="58" t="str">
        <f t="shared" si="8"/>
        <v>R.</v>
      </c>
      <c r="E53" s="39" t="str">
        <f t="shared" si="0"/>
        <v>ok</v>
      </c>
      <c r="F53" s="58" t="str">
        <f t="shared" si="9"/>
        <v>R.Lang</v>
      </c>
      <c r="G53" s="39" t="str">
        <f t="shared" si="1"/>
        <v>ok</v>
      </c>
      <c r="H53" s="4" t="s">
        <v>82</v>
      </c>
      <c r="I53" s="4">
        <v>8853</v>
      </c>
      <c r="J53" s="4" t="s">
        <v>47</v>
      </c>
      <c r="K53" s="4" t="s">
        <v>22</v>
      </c>
      <c r="L53" s="58" t="str">
        <f t="shared" si="10"/>
        <v>CH-8853 Lachen</v>
      </c>
      <c r="M53" s="39" t="str">
        <f t="shared" si="2"/>
        <v>ok</v>
      </c>
      <c r="N53" s="4"/>
      <c r="O53" s="58" t="str">
        <f t="shared" si="11"/>
        <v>reinhard.lang@bzu.ch</v>
      </c>
      <c r="P53" s="39" t="str">
        <f t="shared" si="3"/>
        <v>ok</v>
      </c>
      <c r="Q53" s="4" t="s">
        <v>344</v>
      </c>
      <c r="R53" s="4" t="s">
        <v>40</v>
      </c>
      <c r="S53" s="58">
        <v>1</v>
      </c>
      <c r="T53" s="39" t="str">
        <f t="shared" si="4"/>
        <v>ok</v>
      </c>
      <c r="U53" s="58">
        <f t="shared" si="12"/>
        <v>0</v>
      </c>
      <c r="V53" s="39" t="str">
        <f t="shared" si="5"/>
        <v>ok</v>
      </c>
      <c r="W53" s="58" t="str">
        <f t="shared" si="13"/>
        <v/>
      </c>
      <c r="X53" s="39" t="str">
        <f t="shared" si="6"/>
        <v>ok</v>
      </c>
      <c r="Y53" s="40"/>
      <c r="Z53" s="40">
        <v>24</v>
      </c>
      <c r="AA53" s="59">
        <f t="shared" si="14"/>
        <v>-24</v>
      </c>
      <c r="AB53" s="39" t="str">
        <f t="shared" si="7"/>
        <v>ok</v>
      </c>
      <c r="AC53" s="4" t="s">
        <v>50</v>
      </c>
      <c r="AD53" s="4" t="s">
        <v>40</v>
      </c>
    </row>
    <row r="54" spans="1:30" x14ac:dyDescent="0.25">
      <c r="A54" s="4">
        <v>18</v>
      </c>
      <c r="B54" s="4" t="s">
        <v>81</v>
      </c>
      <c r="C54" s="4" t="s">
        <v>80</v>
      </c>
      <c r="D54" s="58" t="str">
        <f t="shared" si="8"/>
        <v>R.</v>
      </c>
      <c r="E54" s="39" t="str">
        <f t="shared" si="0"/>
        <v>ok</v>
      </c>
      <c r="F54" s="58" t="str">
        <f t="shared" si="9"/>
        <v>R.Laeubli</v>
      </c>
      <c r="G54" s="39" t="str">
        <f t="shared" si="1"/>
        <v>ok</v>
      </c>
      <c r="H54" s="4" t="s">
        <v>79</v>
      </c>
      <c r="I54" s="4">
        <v>8808</v>
      </c>
      <c r="J54" s="4" t="s">
        <v>78</v>
      </c>
      <c r="K54" s="4" t="s">
        <v>22</v>
      </c>
      <c r="L54" s="58" t="str">
        <f t="shared" si="10"/>
        <v>CH-8808 Pfäffikon</v>
      </c>
      <c r="M54" s="39" t="str">
        <f t="shared" si="2"/>
        <v>ok</v>
      </c>
      <c r="N54" s="4" t="s">
        <v>77</v>
      </c>
      <c r="O54" s="58" t="str">
        <f t="shared" si="11"/>
        <v>raphaela.laeubli@bzu.ch</v>
      </c>
      <c r="P54" s="39" t="str">
        <f t="shared" si="3"/>
        <v>ok</v>
      </c>
      <c r="Q54" s="4" t="s">
        <v>345</v>
      </c>
      <c r="R54" s="4" t="s">
        <v>46</v>
      </c>
      <c r="S54" s="58">
        <v>0</v>
      </c>
      <c r="T54" s="39" t="str">
        <f t="shared" si="4"/>
        <v>ok</v>
      </c>
      <c r="U54" s="58">
        <f t="shared" si="12"/>
        <v>1</v>
      </c>
      <c r="V54" s="39" t="str">
        <f t="shared" si="5"/>
        <v>ok</v>
      </c>
      <c r="W54" s="58" t="str">
        <f t="shared" si="13"/>
        <v>raphael.laeubli@gmail.ch</v>
      </c>
      <c r="X54" s="39" t="str">
        <f t="shared" si="6"/>
        <v>ok</v>
      </c>
      <c r="Y54" s="40"/>
      <c r="Z54" s="40">
        <v>25</v>
      </c>
      <c r="AA54" s="59">
        <f t="shared" si="14"/>
        <v>-25</v>
      </c>
      <c r="AB54" s="39" t="str">
        <f t="shared" si="7"/>
        <v>ok</v>
      </c>
      <c r="AC54" s="4" t="s">
        <v>50</v>
      </c>
      <c r="AD54" s="4" t="s">
        <v>46</v>
      </c>
    </row>
    <row r="55" spans="1:30" x14ac:dyDescent="0.25">
      <c r="A55" s="4">
        <v>19</v>
      </c>
      <c r="B55" s="4" t="s">
        <v>76</v>
      </c>
      <c r="C55" s="4" t="s">
        <v>73</v>
      </c>
      <c r="D55" s="58" t="str">
        <f t="shared" si="8"/>
        <v>R.</v>
      </c>
      <c r="E55" s="39" t="str">
        <f t="shared" si="0"/>
        <v>ok</v>
      </c>
      <c r="F55" s="58" t="str">
        <f t="shared" si="9"/>
        <v>R.Lurati</v>
      </c>
      <c r="G55" s="39" t="str">
        <f t="shared" si="1"/>
        <v>ok</v>
      </c>
      <c r="H55" s="4" t="s">
        <v>72</v>
      </c>
      <c r="I55" s="4">
        <v>8634</v>
      </c>
      <c r="J55" s="4" t="s">
        <v>75</v>
      </c>
      <c r="K55" s="4" t="s">
        <v>22</v>
      </c>
      <c r="L55" s="58" t="str">
        <f t="shared" si="10"/>
        <v>CH-8634 Hombrechtikon</v>
      </c>
      <c r="M55" s="39" t="str">
        <f t="shared" si="2"/>
        <v>ok</v>
      </c>
      <c r="N55" s="4" t="s">
        <v>74</v>
      </c>
      <c r="O55" s="58" t="str">
        <f t="shared" si="11"/>
        <v>ramona.lurati@bzu.ch</v>
      </c>
      <c r="P55" s="39" t="str">
        <f t="shared" si="3"/>
        <v>ok</v>
      </c>
      <c r="Q55" s="4" t="s">
        <v>346</v>
      </c>
      <c r="R55" s="4" t="s">
        <v>40</v>
      </c>
      <c r="S55" s="58">
        <v>1</v>
      </c>
      <c r="T55" s="39" t="str">
        <f t="shared" si="4"/>
        <v>ok</v>
      </c>
      <c r="U55" s="58">
        <f t="shared" si="12"/>
        <v>0</v>
      </c>
      <c r="V55" s="39" t="str">
        <f t="shared" si="5"/>
        <v>ok</v>
      </c>
      <c r="W55" s="58" t="str">
        <f t="shared" si="13"/>
        <v/>
      </c>
      <c r="X55" s="39" t="str">
        <f t="shared" si="6"/>
        <v>ok</v>
      </c>
      <c r="Y55" s="40"/>
      <c r="Z55" s="40"/>
      <c r="AA55" s="59">
        <f t="shared" si="14"/>
        <v>0</v>
      </c>
      <c r="AB55" s="39" t="str">
        <f t="shared" si="7"/>
        <v>ok</v>
      </c>
      <c r="AC55" s="4" t="s">
        <v>50</v>
      </c>
      <c r="AD55" s="4" t="s">
        <v>40</v>
      </c>
    </row>
    <row r="56" spans="1:30" x14ac:dyDescent="0.25">
      <c r="A56" s="4">
        <v>20</v>
      </c>
      <c r="B56" s="4" t="s">
        <v>71</v>
      </c>
      <c r="C56" s="4" t="s">
        <v>73</v>
      </c>
      <c r="D56" s="58" t="str">
        <f t="shared" si="8"/>
        <v>R.</v>
      </c>
      <c r="E56" s="39" t="str">
        <f t="shared" si="0"/>
        <v>ok</v>
      </c>
      <c r="F56" s="58" t="str">
        <f t="shared" si="9"/>
        <v>R.Maechler</v>
      </c>
      <c r="G56" s="39" t="str">
        <f t="shared" si="1"/>
        <v>ok</v>
      </c>
      <c r="H56" s="4" t="s">
        <v>72</v>
      </c>
      <c r="I56" s="4">
        <v>8853</v>
      </c>
      <c r="J56" s="4" t="s">
        <v>47</v>
      </c>
      <c r="K56" s="4" t="s">
        <v>22</v>
      </c>
      <c r="L56" s="58" t="str">
        <f t="shared" si="10"/>
        <v>CH-8853 Lachen</v>
      </c>
      <c r="M56" s="39" t="str">
        <f t="shared" si="2"/>
        <v>ok</v>
      </c>
      <c r="N56" s="4"/>
      <c r="O56" s="58" t="str">
        <f t="shared" si="11"/>
        <v>ramona.maechler@bzu.ch</v>
      </c>
      <c r="P56" s="39" t="str">
        <f t="shared" si="3"/>
        <v>ok</v>
      </c>
      <c r="Q56" s="4" t="s">
        <v>347</v>
      </c>
      <c r="R56" s="4" t="s">
        <v>40</v>
      </c>
      <c r="S56" s="58">
        <v>1</v>
      </c>
      <c r="T56" s="39" t="str">
        <f t="shared" si="4"/>
        <v>ok</v>
      </c>
      <c r="U56" s="58">
        <f t="shared" si="12"/>
        <v>0</v>
      </c>
      <c r="V56" s="39" t="str">
        <f t="shared" si="5"/>
        <v>ok</v>
      </c>
      <c r="W56" s="58" t="str">
        <f t="shared" si="13"/>
        <v/>
      </c>
      <c r="X56" s="39" t="str">
        <f t="shared" si="6"/>
        <v>ok</v>
      </c>
      <c r="Y56" s="40"/>
      <c r="Z56" s="40">
        <v>400</v>
      </c>
      <c r="AA56" s="59">
        <f t="shared" si="14"/>
        <v>-400</v>
      </c>
      <c r="AB56" s="39" t="str">
        <f t="shared" si="7"/>
        <v>ok</v>
      </c>
      <c r="AC56" s="4" t="s">
        <v>50</v>
      </c>
      <c r="AD56" s="4" t="s">
        <v>46</v>
      </c>
    </row>
    <row r="57" spans="1:30" x14ac:dyDescent="0.25">
      <c r="A57" s="4">
        <v>21</v>
      </c>
      <c r="B57" s="4" t="s">
        <v>71</v>
      </c>
      <c r="C57" s="4" t="s">
        <v>70</v>
      </c>
      <c r="D57" s="58" t="str">
        <f t="shared" si="8"/>
        <v>L.</v>
      </c>
      <c r="E57" s="39" t="str">
        <f t="shared" si="0"/>
        <v>ok</v>
      </c>
      <c r="F57" s="58" t="str">
        <f t="shared" si="9"/>
        <v>L.Maechler</v>
      </c>
      <c r="G57" s="39" t="str">
        <f t="shared" si="1"/>
        <v>ok</v>
      </c>
      <c r="H57" s="4" t="s">
        <v>66</v>
      </c>
      <c r="I57" s="4">
        <v>8854</v>
      </c>
      <c r="J57" s="4" t="s">
        <v>69</v>
      </c>
      <c r="K57" s="4" t="s">
        <v>22</v>
      </c>
      <c r="L57" s="58" t="str">
        <f t="shared" si="10"/>
        <v>CH-8854 Siebnen</v>
      </c>
      <c r="M57" s="39" t="str">
        <f t="shared" si="2"/>
        <v>ok</v>
      </c>
      <c r="N57" s="4"/>
      <c r="O57" s="58" t="str">
        <f t="shared" si="11"/>
        <v>luisa.maechler@bzu.ch</v>
      </c>
      <c r="P57" s="39" t="str">
        <f t="shared" si="3"/>
        <v>ok</v>
      </c>
      <c r="Q57" s="4" t="s">
        <v>348</v>
      </c>
      <c r="R57" s="4" t="s">
        <v>40</v>
      </c>
      <c r="S57" s="58">
        <v>1</v>
      </c>
      <c r="T57" s="39" t="str">
        <f t="shared" si="4"/>
        <v>ok</v>
      </c>
      <c r="U57" s="58">
        <f t="shared" si="12"/>
        <v>0</v>
      </c>
      <c r="V57" s="39" t="str">
        <f t="shared" si="5"/>
        <v>ok</v>
      </c>
      <c r="W57" s="58" t="str">
        <f t="shared" si="13"/>
        <v/>
      </c>
      <c r="X57" s="39" t="str">
        <f t="shared" si="6"/>
        <v>ok</v>
      </c>
      <c r="Y57" s="40"/>
      <c r="Z57" s="40">
        <v>0</v>
      </c>
      <c r="AA57" s="59">
        <f t="shared" si="14"/>
        <v>0</v>
      </c>
      <c r="AB57" s="39" t="str">
        <f t="shared" si="7"/>
        <v>ok</v>
      </c>
      <c r="AC57" s="4" t="s">
        <v>50</v>
      </c>
      <c r="AD57" s="4" t="s">
        <v>40</v>
      </c>
    </row>
    <row r="58" spans="1:30" x14ac:dyDescent="0.25">
      <c r="A58" s="4">
        <v>22</v>
      </c>
      <c r="B58" s="4" t="s">
        <v>68</v>
      </c>
      <c r="C58" s="4" t="s">
        <v>67</v>
      </c>
      <c r="D58" s="58" t="str">
        <f t="shared" si="8"/>
        <v>P.</v>
      </c>
      <c r="E58" s="39" t="str">
        <f t="shared" si="0"/>
        <v>ok</v>
      </c>
      <c r="F58" s="58" t="str">
        <f t="shared" si="9"/>
        <v>P.Diethelm</v>
      </c>
      <c r="G58" s="39" t="str">
        <f t="shared" si="1"/>
        <v>ok</v>
      </c>
      <c r="H58" s="4" t="s">
        <v>66</v>
      </c>
      <c r="I58" s="4">
        <v>8863</v>
      </c>
      <c r="J58" s="4" t="s">
        <v>65</v>
      </c>
      <c r="K58" s="4" t="s">
        <v>22</v>
      </c>
      <c r="L58" s="58" t="str">
        <f t="shared" si="10"/>
        <v>CH-8863 Buttikon</v>
      </c>
      <c r="M58" s="39" t="str">
        <f t="shared" si="2"/>
        <v>ok</v>
      </c>
      <c r="N58" s="4"/>
      <c r="O58" s="58" t="str">
        <f t="shared" si="11"/>
        <v>paula.diethelm@bzu.ch</v>
      </c>
      <c r="P58" s="39" t="str">
        <f t="shared" si="3"/>
        <v>ok</v>
      </c>
      <c r="Q58" s="4" t="s">
        <v>349</v>
      </c>
      <c r="R58" s="4" t="s">
        <v>46</v>
      </c>
      <c r="S58" s="58">
        <v>0</v>
      </c>
      <c r="T58" s="39" t="str">
        <f t="shared" si="4"/>
        <v>ok</v>
      </c>
      <c r="U58" s="58">
        <f t="shared" si="12"/>
        <v>1</v>
      </c>
      <c r="V58" s="39" t="str">
        <f t="shared" si="5"/>
        <v>ok</v>
      </c>
      <c r="W58" s="58" t="str">
        <f t="shared" si="13"/>
        <v>paula.diethelm@bzu.ch</v>
      </c>
      <c r="X58" s="39" t="str">
        <f t="shared" si="6"/>
        <v>ok</v>
      </c>
      <c r="Y58" s="40"/>
      <c r="Z58" s="40">
        <v>0</v>
      </c>
      <c r="AA58" s="59">
        <f t="shared" si="14"/>
        <v>0</v>
      </c>
      <c r="AB58" s="39" t="str">
        <f t="shared" si="7"/>
        <v>ok</v>
      </c>
      <c r="AC58" s="4" t="s">
        <v>50</v>
      </c>
      <c r="AD58" s="4" t="s">
        <v>46</v>
      </c>
    </row>
    <row r="59" spans="1:30" x14ac:dyDescent="0.25">
      <c r="A59" s="4">
        <v>23</v>
      </c>
      <c r="B59" s="4" t="s">
        <v>64</v>
      </c>
      <c r="C59" s="4" t="s">
        <v>63</v>
      </c>
      <c r="D59" s="58" t="str">
        <f t="shared" si="8"/>
        <v>P.</v>
      </c>
      <c r="E59" s="39" t="str">
        <f t="shared" si="0"/>
        <v>ok</v>
      </c>
      <c r="F59" s="58" t="str">
        <f t="shared" si="9"/>
        <v>P.Maeder</v>
      </c>
      <c r="G59" s="39" t="str">
        <f t="shared" si="1"/>
        <v>ok</v>
      </c>
      <c r="H59" s="4" t="s">
        <v>62</v>
      </c>
      <c r="I59" s="4">
        <v>8807</v>
      </c>
      <c r="J59" s="4" t="s">
        <v>61</v>
      </c>
      <c r="K59" s="4" t="s">
        <v>22</v>
      </c>
      <c r="L59" s="58" t="str">
        <f t="shared" si="10"/>
        <v>CH-8807 Freienbach</v>
      </c>
      <c r="M59" s="39" t="str">
        <f t="shared" si="2"/>
        <v>ok</v>
      </c>
      <c r="N59" s="4" t="s">
        <v>60</v>
      </c>
      <c r="O59" s="58" t="str">
        <f t="shared" si="11"/>
        <v>pia.maeder@bzu.ch</v>
      </c>
      <c r="P59" s="39" t="str">
        <f t="shared" si="3"/>
        <v>ok</v>
      </c>
      <c r="Q59" s="4" t="s">
        <v>350</v>
      </c>
      <c r="R59" s="4" t="s">
        <v>46</v>
      </c>
      <c r="S59" s="58">
        <v>0</v>
      </c>
      <c r="T59" s="39" t="str">
        <f t="shared" si="4"/>
        <v>ok</v>
      </c>
      <c r="U59" s="58">
        <f t="shared" si="12"/>
        <v>1</v>
      </c>
      <c r="V59" s="39" t="str">
        <f t="shared" si="5"/>
        <v>ok</v>
      </c>
      <c r="W59" s="58" t="str">
        <f t="shared" si="13"/>
        <v>pia.maeder@gmail.ch</v>
      </c>
      <c r="X59" s="39" t="str">
        <f t="shared" si="6"/>
        <v>ok</v>
      </c>
      <c r="Y59" s="40"/>
      <c r="Z59" s="40">
        <v>0</v>
      </c>
      <c r="AA59" s="59">
        <f t="shared" si="14"/>
        <v>0</v>
      </c>
      <c r="AB59" s="39" t="str">
        <f t="shared" si="7"/>
        <v>ok</v>
      </c>
      <c r="AC59" s="4" t="s">
        <v>50</v>
      </c>
      <c r="AD59" s="4" t="s">
        <v>40</v>
      </c>
    </row>
    <row r="60" spans="1:30" x14ac:dyDescent="0.25">
      <c r="A60" s="4">
        <v>24</v>
      </c>
      <c r="B60" s="4" t="s">
        <v>55</v>
      </c>
      <c r="C60" s="4" t="s">
        <v>59</v>
      </c>
      <c r="D60" s="58" t="str">
        <f t="shared" si="8"/>
        <v>P.</v>
      </c>
      <c r="E60" s="39" t="str">
        <f t="shared" si="0"/>
        <v>ok</v>
      </c>
      <c r="F60" s="58" t="str">
        <f t="shared" si="9"/>
        <v>P.Mannhart</v>
      </c>
      <c r="G60" s="39" t="str">
        <f t="shared" si="1"/>
        <v>ok</v>
      </c>
      <c r="H60" s="4" t="s">
        <v>58</v>
      </c>
      <c r="I60" s="4">
        <v>8708</v>
      </c>
      <c r="J60" s="4" t="s">
        <v>57</v>
      </c>
      <c r="K60" s="4" t="s">
        <v>22</v>
      </c>
      <c r="L60" s="58" t="str">
        <f t="shared" si="10"/>
        <v>CH-8708 Männedorf</v>
      </c>
      <c r="M60" s="39" t="str">
        <f t="shared" si="2"/>
        <v>ok</v>
      </c>
      <c r="N60" s="4" t="s">
        <v>56</v>
      </c>
      <c r="O60" s="58" t="str">
        <f t="shared" si="11"/>
        <v>pius.mannhart@bzu.ch</v>
      </c>
      <c r="P60" s="39" t="str">
        <f t="shared" si="3"/>
        <v>ok</v>
      </c>
      <c r="Q60" s="4" t="s">
        <v>351</v>
      </c>
      <c r="R60" s="4" t="s">
        <v>40</v>
      </c>
      <c r="S60" s="58">
        <v>1</v>
      </c>
      <c r="T60" s="39" t="str">
        <f t="shared" si="4"/>
        <v>ok</v>
      </c>
      <c r="U60" s="58">
        <f t="shared" si="12"/>
        <v>0</v>
      </c>
      <c r="V60" s="39" t="str">
        <f t="shared" si="5"/>
        <v>ok</v>
      </c>
      <c r="W60" s="58" t="str">
        <f t="shared" si="13"/>
        <v/>
      </c>
      <c r="X60" s="39" t="str">
        <f t="shared" si="6"/>
        <v>ok</v>
      </c>
      <c r="Y60" s="40"/>
      <c r="Z60" s="40">
        <v>0</v>
      </c>
      <c r="AA60" s="59">
        <f t="shared" si="14"/>
        <v>0</v>
      </c>
      <c r="AB60" s="39" t="str">
        <f t="shared" si="7"/>
        <v>ok</v>
      </c>
      <c r="AC60" s="4" t="s">
        <v>50</v>
      </c>
      <c r="AD60" s="4" t="s">
        <v>46</v>
      </c>
    </row>
    <row r="61" spans="1:30" x14ac:dyDescent="0.25">
      <c r="A61" s="4">
        <v>25</v>
      </c>
      <c r="B61" s="4" t="s">
        <v>55</v>
      </c>
      <c r="C61" s="4" t="s">
        <v>54</v>
      </c>
      <c r="D61" s="58" t="str">
        <f t="shared" si="8"/>
        <v>M.</v>
      </c>
      <c r="E61" s="39" t="str">
        <f t="shared" si="0"/>
        <v>ok</v>
      </c>
      <c r="F61" s="58" t="str">
        <f t="shared" si="9"/>
        <v>M.Mannhart</v>
      </c>
      <c r="G61" s="39" t="str">
        <f t="shared" si="1"/>
        <v>ok</v>
      </c>
      <c r="H61" s="4" t="s">
        <v>53</v>
      </c>
      <c r="I61" s="4">
        <v>8708</v>
      </c>
      <c r="J61" s="4" t="s">
        <v>52</v>
      </c>
      <c r="K61" s="4" t="s">
        <v>22</v>
      </c>
      <c r="L61" s="58" t="str">
        <f t="shared" si="10"/>
        <v>CH-8708 Maennedorf</v>
      </c>
      <c r="M61" s="39" t="str">
        <f t="shared" si="2"/>
        <v>ok</v>
      </c>
      <c r="N61" s="4" t="s">
        <v>51</v>
      </c>
      <c r="O61" s="58" t="str">
        <f t="shared" si="11"/>
        <v>mia.mannhart@bzu.ch</v>
      </c>
      <c r="P61" s="39" t="str">
        <f t="shared" si="3"/>
        <v>ok</v>
      </c>
      <c r="Q61" s="4" t="s">
        <v>352</v>
      </c>
      <c r="R61" s="4" t="s">
        <v>40</v>
      </c>
      <c r="S61" s="58">
        <v>1</v>
      </c>
      <c r="T61" s="39" t="str">
        <f t="shared" si="4"/>
        <v>ok</v>
      </c>
      <c r="U61" s="58">
        <f t="shared" si="12"/>
        <v>0</v>
      </c>
      <c r="V61" s="39" t="str">
        <f t="shared" si="5"/>
        <v>ok</v>
      </c>
      <c r="W61" s="58" t="str">
        <f t="shared" si="13"/>
        <v/>
      </c>
      <c r="X61" s="39" t="str">
        <f t="shared" si="6"/>
        <v>ok</v>
      </c>
      <c r="Y61" s="40"/>
      <c r="Z61" s="40">
        <v>470</v>
      </c>
      <c r="AA61" s="59">
        <f t="shared" si="14"/>
        <v>-470</v>
      </c>
      <c r="AB61" s="39" t="str">
        <f t="shared" si="7"/>
        <v>ok</v>
      </c>
      <c r="AC61" s="4" t="s">
        <v>50</v>
      </c>
      <c r="AD61" s="4" t="s">
        <v>40</v>
      </c>
    </row>
    <row r="62" spans="1:30" x14ac:dyDescent="0.25">
      <c r="A62" s="4">
        <v>26</v>
      </c>
      <c r="B62" s="4" t="s">
        <v>45</v>
      </c>
      <c r="C62" s="4" t="s">
        <v>49</v>
      </c>
      <c r="D62" s="58" t="str">
        <f t="shared" si="8"/>
        <v>P.</v>
      </c>
      <c r="E62" s="39" t="str">
        <f t="shared" si="0"/>
        <v>ok</v>
      </c>
      <c r="F62" s="58" t="str">
        <f t="shared" si="9"/>
        <v>P.Marty</v>
      </c>
      <c r="G62" s="39" t="str">
        <f t="shared" si="1"/>
        <v>ok</v>
      </c>
      <c r="H62" s="4" t="s">
        <v>48</v>
      </c>
      <c r="I62" s="4">
        <v>8853</v>
      </c>
      <c r="J62" s="4" t="s">
        <v>47</v>
      </c>
      <c r="K62" s="4" t="s">
        <v>22</v>
      </c>
      <c r="L62" s="58" t="str">
        <f t="shared" si="10"/>
        <v>CH-8853 Lachen</v>
      </c>
      <c r="M62" s="39" t="str">
        <f t="shared" si="2"/>
        <v>ok</v>
      </c>
      <c r="N62" s="4"/>
      <c r="O62" s="58" t="str">
        <f t="shared" si="11"/>
        <v>philippe.marty@bzu.ch</v>
      </c>
      <c r="P62" s="39" t="str">
        <f t="shared" si="3"/>
        <v>ok</v>
      </c>
      <c r="Q62" s="4" t="s">
        <v>353</v>
      </c>
      <c r="R62" s="4" t="s">
        <v>40</v>
      </c>
      <c r="S62" s="58">
        <v>1</v>
      </c>
      <c r="T62" s="39" t="str">
        <f t="shared" si="4"/>
        <v>ok</v>
      </c>
      <c r="U62" s="58">
        <f t="shared" si="12"/>
        <v>0</v>
      </c>
      <c r="V62" s="39" t="str">
        <f t="shared" si="5"/>
        <v>ok</v>
      </c>
      <c r="W62" s="58" t="str">
        <f t="shared" si="13"/>
        <v/>
      </c>
      <c r="X62" s="39" t="str">
        <f t="shared" si="6"/>
        <v>ok</v>
      </c>
      <c r="Y62" s="40"/>
      <c r="Z62" s="40">
        <v>0</v>
      </c>
      <c r="AA62" s="59">
        <f t="shared" si="14"/>
        <v>0</v>
      </c>
      <c r="AB62" s="39" t="str">
        <f t="shared" si="7"/>
        <v>ok</v>
      </c>
      <c r="AC62" s="4" t="s">
        <v>50</v>
      </c>
      <c r="AD62" s="4" t="s">
        <v>46</v>
      </c>
    </row>
    <row r="63" spans="1:30" ht="15.75" thickBot="1" x14ac:dyDescent="0.3">
      <c r="A63" s="4">
        <v>27</v>
      </c>
      <c r="B63" s="4" t="s">
        <v>45</v>
      </c>
      <c r="C63" s="4" t="s">
        <v>44</v>
      </c>
      <c r="D63" s="58" t="str">
        <f t="shared" si="8"/>
        <v>P.</v>
      </c>
      <c r="E63" s="39" t="str">
        <f t="shared" si="0"/>
        <v>ok</v>
      </c>
      <c r="F63" s="58" t="str">
        <f t="shared" si="9"/>
        <v>P.Marty</v>
      </c>
      <c r="G63" s="39" t="str">
        <f t="shared" si="1"/>
        <v>ok</v>
      </c>
      <c r="H63" s="4" t="s">
        <v>43</v>
      </c>
      <c r="I63" s="4">
        <v>8852</v>
      </c>
      <c r="J63" s="4" t="s">
        <v>42</v>
      </c>
      <c r="K63" s="4" t="s">
        <v>22</v>
      </c>
      <c r="L63" s="58" t="str">
        <f t="shared" si="10"/>
        <v>CH-8852 Altendorf</v>
      </c>
      <c r="M63" s="39" t="str">
        <f t="shared" si="2"/>
        <v>ok</v>
      </c>
      <c r="N63" s="4" t="s">
        <v>41</v>
      </c>
      <c r="O63" s="58" t="str">
        <f t="shared" si="11"/>
        <v>peter.marty@bzu.ch</v>
      </c>
      <c r="P63" s="39" t="str">
        <f t="shared" si="3"/>
        <v>ok</v>
      </c>
      <c r="Q63" s="4" t="s">
        <v>354</v>
      </c>
      <c r="R63" s="4" t="s">
        <v>40</v>
      </c>
      <c r="S63" s="60">
        <v>1</v>
      </c>
      <c r="T63" s="39" t="str">
        <f t="shared" si="4"/>
        <v>ok</v>
      </c>
      <c r="U63" s="58">
        <f t="shared" si="12"/>
        <v>0</v>
      </c>
      <c r="V63" s="64" t="str">
        <f t="shared" si="5"/>
        <v>ok</v>
      </c>
      <c r="W63" s="58" t="str">
        <f t="shared" si="13"/>
        <v/>
      </c>
      <c r="X63" s="62" t="str">
        <f t="shared" si="6"/>
        <v>ok</v>
      </c>
      <c r="Y63" s="40"/>
      <c r="Z63" s="65">
        <v>0</v>
      </c>
      <c r="AA63" s="59">
        <f t="shared" si="14"/>
        <v>0</v>
      </c>
      <c r="AB63" s="39" t="str">
        <f t="shared" si="7"/>
        <v>ok</v>
      </c>
      <c r="AC63" s="4" t="s">
        <v>50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3" t="str">
        <f>IF(S64="","--",IF(S64=17,"ok","nok"))</f>
        <v>ok</v>
      </c>
      <c r="U64" s="67">
        <f>SUM(U37:U63)</f>
        <v>10</v>
      </c>
      <c r="V64" s="39" t="str">
        <f>IF(U64="","--",IF(U64=10,"ok","nok"))</f>
        <v>ok</v>
      </c>
      <c r="W64" s="31"/>
      <c r="X64" s="39" t="str">
        <f>IF(Y64="","--",IF(EqualsWithinTolerance(Y64,4598.82,1),"ok","nok"))</f>
        <v>nok</v>
      </c>
      <c r="Y64" s="68">
        <f>SUM(Y37:Y63)</f>
        <v>0</v>
      </c>
      <c r="Z64" s="66">
        <f>SUM(Z37:Z63)</f>
        <v>1459</v>
      </c>
      <c r="AA64" s="66">
        <f>SUM(AA37:AA63)</f>
        <v>-1459</v>
      </c>
      <c r="AB64" s="62" t="str">
        <f>IF(AA64="","--",IF(EqualsWithinTolerance(AA64,3074.52,1),"ok","nok"))</f>
        <v>nok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27</v>
      </c>
      <c r="F65" s="31"/>
      <c r="G65" s="61">
        <f>COUNTIFS(G37:G63,"ok")</f>
        <v>27</v>
      </c>
      <c r="H65" s="31"/>
      <c r="I65" s="31"/>
      <c r="J65" s="31"/>
      <c r="K65" s="31"/>
      <c r="L65" s="31"/>
      <c r="M65" s="61">
        <f>COUNTIFS(M37:M63,"ok")</f>
        <v>27</v>
      </c>
      <c r="N65" s="31"/>
      <c r="O65" s="31"/>
      <c r="P65" s="61">
        <f>COUNTIFS(P37:P63,"ok")</f>
        <v>27</v>
      </c>
      <c r="Q65" s="31"/>
      <c r="R65" s="31"/>
      <c r="S65" s="38"/>
      <c r="T65" s="61">
        <f>COUNTIFS(T37:T64,"ok")</f>
        <v>28</v>
      </c>
      <c r="U65" s="31"/>
      <c r="V65" s="61">
        <f>COUNTIFS(V37:V64,"ok")</f>
        <v>28</v>
      </c>
      <c r="W65" s="31"/>
      <c r="X65" s="61">
        <f>COUNTIFS(X37:X64,"ok")</f>
        <v>27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0</v>
      </c>
      <c r="W66" s="31"/>
      <c r="X66" s="61">
        <f>COUNTIFS(X37:X64,"nok")</f>
        <v>1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0</v>
      </c>
      <c r="F67" s="31"/>
      <c r="G67" s="61">
        <f>COUNTIFS(G37:G63,"--")</f>
        <v>0</v>
      </c>
      <c r="H67" s="31"/>
      <c r="I67" s="31"/>
      <c r="J67" s="31"/>
      <c r="K67" s="31"/>
      <c r="L67" s="31"/>
      <c r="M67" s="61">
        <f>COUNTIFS(M37:M63,"--")</f>
        <v>0</v>
      </c>
      <c r="N67" s="31"/>
      <c r="O67" s="31"/>
      <c r="P67" s="61">
        <f>COUNTIFS(P37:P63,"--")</f>
        <v>0</v>
      </c>
      <c r="Q67" s="31"/>
      <c r="R67" s="31"/>
      <c r="S67" s="31"/>
      <c r="T67" s="61">
        <f>COUNTIFS(T37:T64,"--")</f>
        <v>0</v>
      </c>
      <c r="U67" s="31"/>
      <c r="V67" s="61">
        <f>COUNTIFS(V37:V64,"--")</f>
        <v>0</v>
      </c>
      <c r="W67" s="31"/>
      <c r="X67" s="61">
        <f>COUNTIFS(X37:X64,"--")</f>
        <v>0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99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0"/>
      <c r="J80" s="38"/>
      <c r="K80" s="38"/>
    </row>
    <row r="81" spans="4:11" x14ac:dyDescent="0.25">
      <c r="D81" s="38"/>
      <c r="E81" s="38"/>
      <c r="F81" s="38"/>
      <c r="G81" s="38"/>
      <c r="H81" s="38"/>
      <c r="I81" s="100"/>
      <c r="J81" s="101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K40" sqref="K40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256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186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5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184</v>
      </c>
      <c r="C22" s="2" t="s">
        <v>183</v>
      </c>
      <c r="D22" s="21" t="s">
        <v>219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38" t="s">
        <v>185</v>
      </c>
      <c r="C23" s="5"/>
      <c r="D23" s="22" t="s">
        <v>187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39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39"/>
      <c r="C25" s="5"/>
      <c r="D25" s="22" t="s">
        <v>189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40"/>
      <c r="C26" s="5"/>
      <c r="D26" s="22" t="s">
        <v>188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184</v>
      </c>
      <c r="C29" s="2" t="s">
        <v>183</v>
      </c>
      <c r="D29" s="21" t="s">
        <v>219</v>
      </c>
      <c r="E29" s="21"/>
      <c r="F29" s="21"/>
      <c r="G29" s="19" t="s">
        <v>7</v>
      </c>
      <c r="H29" s="3" t="s">
        <v>3</v>
      </c>
    </row>
    <row r="30" spans="2:9" x14ac:dyDescent="0.25">
      <c r="B30" s="138" t="s">
        <v>190</v>
      </c>
      <c r="C30" s="5"/>
      <c r="D30" s="22" t="s">
        <v>187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39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39"/>
      <c r="C32" s="5"/>
      <c r="D32" s="22" t="s">
        <v>189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40"/>
      <c r="C33" s="5"/>
      <c r="D33" s="22" t="s">
        <v>188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184</v>
      </c>
      <c r="C36" s="2" t="s">
        <v>183</v>
      </c>
      <c r="D36" s="21" t="s">
        <v>219</v>
      </c>
      <c r="E36" s="21"/>
      <c r="F36" s="21"/>
      <c r="G36" s="19" t="s">
        <v>7</v>
      </c>
      <c r="H36" s="3" t="s">
        <v>3</v>
      </c>
    </row>
    <row r="37" spans="2:8" x14ac:dyDescent="0.25">
      <c r="B37" s="138" t="s">
        <v>197</v>
      </c>
      <c r="C37" s="5"/>
      <c r="D37" s="22" t="s">
        <v>187</v>
      </c>
      <c r="E37" s="22"/>
      <c r="F37" s="22"/>
      <c r="G37" s="18" t="s">
        <v>193</v>
      </c>
      <c r="H37" s="6" t="str">
        <f>IF(G37=C37,"ok",IF(C37="","--","Not ok"))</f>
        <v>--</v>
      </c>
    </row>
    <row r="38" spans="2:8" x14ac:dyDescent="0.25">
      <c r="B38" s="139"/>
      <c r="C38" s="5"/>
      <c r="D38" s="22" t="s">
        <v>4</v>
      </c>
      <c r="E38" s="22"/>
      <c r="F38" s="22"/>
      <c r="G38" s="18" t="s">
        <v>194</v>
      </c>
      <c r="H38" s="6" t="str">
        <f t="shared" ref="H38:H40" si="2">IF(G38=C38,"ok",IF(C38="","--","Not ok"))</f>
        <v>--</v>
      </c>
    </row>
    <row r="39" spans="2:8" x14ac:dyDescent="0.25">
      <c r="B39" s="139"/>
      <c r="C39" s="5"/>
      <c r="D39" s="22" t="s">
        <v>189</v>
      </c>
      <c r="E39" s="22"/>
      <c r="F39" s="22"/>
      <c r="G39" s="18" t="s">
        <v>195</v>
      </c>
      <c r="H39" s="6" t="str">
        <f t="shared" si="2"/>
        <v>--</v>
      </c>
    </row>
    <row r="40" spans="2:8" x14ac:dyDescent="0.25">
      <c r="B40" s="140"/>
      <c r="C40" s="5"/>
      <c r="D40" s="22" t="s">
        <v>188</v>
      </c>
      <c r="E40" s="22"/>
      <c r="F40" s="22"/>
      <c r="G40" s="18" t="s">
        <v>196</v>
      </c>
      <c r="H40" s="6" t="str">
        <f t="shared" si="2"/>
        <v>--</v>
      </c>
    </row>
    <row r="43" spans="2:8" x14ac:dyDescent="0.25">
      <c r="B43" s="2" t="s">
        <v>184</v>
      </c>
      <c r="C43" s="2" t="s">
        <v>183</v>
      </c>
      <c r="D43" s="21" t="s">
        <v>219</v>
      </c>
      <c r="E43" s="21"/>
      <c r="F43" s="21"/>
      <c r="G43" s="19" t="s">
        <v>7</v>
      </c>
      <c r="H43" s="3" t="s">
        <v>3</v>
      </c>
    </row>
    <row r="44" spans="2:8" x14ac:dyDescent="0.25">
      <c r="B44" s="138" t="s">
        <v>198</v>
      </c>
      <c r="C44" s="5"/>
      <c r="D44" s="22" t="s">
        <v>187</v>
      </c>
      <c r="E44" s="22"/>
      <c r="F44" s="22"/>
      <c r="G44" s="18" t="s">
        <v>199</v>
      </c>
      <c r="H44" s="6" t="str">
        <f>IF(G44=C44,"ok",IF(C44="","--","Not ok"))</f>
        <v>--</v>
      </c>
    </row>
    <row r="45" spans="2:8" x14ac:dyDescent="0.25">
      <c r="B45" s="139"/>
      <c r="C45" s="5"/>
      <c r="D45" s="22" t="s">
        <v>4</v>
      </c>
      <c r="E45" s="22"/>
      <c r="F45" s="22"/>
      <c r="G45" s="18" t="s">
        <v>194</v>
      </c>
      <c r="H45" s="6" t="str">
        <f t="shared" ref="H45:H47" si="3">IF(G45=C45,"ok",IF(C45="","--","Not ok"))</f>
        <v>--</v>
      </c>
    </row>
    <row r="46" spans="2:8" x14ac:dyDescent="0.25">
      <c r="B46" s="139"/>
      <c r="C46" s="5"/>
      <c r="D46" s="22" t="s">
        <v>189</v>
      </c>
      <c r="E46" s="22"/>
      <c r="F46" s="22"/>
      <c r="G46" s="18" t="s">
        <v>195</v>
      </c>
      <c r="H46" s="6" t="str">
        <f t="shared" si="3"/>
        <v>--</v>
      </c>
    </row>
    <row r="47" spans="2:8" x14ac:dyDescent="0.25">
      <c r="B47" s="140"/>
      <c r="C47" s="5"/>
      <c r="D47" s="22" t="s">
        <v>188</v>
      </c>
      <c r="E47" s="22"/>
      <c r="F47" s="22"/>
      <c r="G47" s="18" t="s">
        <v>196</v>
      </c>
      <c r="H47" s="6" t="str">
        <f t="shared" si="3"/>
        <v>--</v>
      </c>
    </row>
    <row r="50" spans="2:8" x14ac:dyDescent="0.25">
      <c r="B50" s="2" t="s">
        <v>184</v>
      </c>
      <c r="C50" s="2" t="s">
        <v>183</v>
      </c>
      <c r="D50" s="21" t="s">
        <v>219</v>
      </c>
      <c r="E50" s="21"/>
      <c r="F50" s="21"/>
      <c r="G50" s="19" t="s">
        <v>7</v>
      </c>
      <c r="H50" s="3" t="s">
        <v>3</v>
      </c>
    </row>
    <row r="51" spans="2:8" x14ac:dyDescent="0.25">
      <c r="B51" s="138" t="s">
        <v>200</v>
      </c>
      <c r="C51" s="5"/>
      <c r="D51" s="22" t="s">
        <v>187</v>
      </c>
      <c r="E51" s="22"/>
      <c r="F51" s="22"/>
      <c r="G51" s="18" t="s">
        <v>201</v>
      </c>
      <c r="H51" s="6" t="str">
        <f>IF(G51=C51,"ok",IF(C51="","--","Not ok"))</f>
        <v>--</v>
      </c>
    </row>
    <row r="52" spans="2:8" x14ac:dyDescent="0.25">
      <c r="B52" s="139"/>
      <c r="C52" s="5"/>
      <c r="D52" s="22" t="s">
        <v>4</v>
      </c>
      <c r="E52" s="22"/>
      <c r="F52" s="22"/>
      <c r="G52" s="18" t="s">
        <v>202</v>
      </c>
      <c r="H52" s="6" t="str">
        <f t="shared" ref="H52:H54" si="4">IF(G52=C52,"ok",IF(C52="","--","Not ok"))</f>
        <v>--</v>
      </c>
    </row>
    <row r="53" spans="2:8" x14ac:dyDescent="0.25">
      <c r="B53" s="139"/>
      <c r="C53" s="5"/>
      <c r="D53" s="22" t="s">
        <v>189</v>
      </c>
      <c r="E53" s="22"/>
      <c r="F53" s="22"/>
      <c r="G53" s="18" t="s">
        <v>203</v>
      </c>
      <c r="H53" s="6" t="str">
        <f t="shared" si="4"/>
        <v>--</v>
      </c>
    </row>
    <row r="54" spans="2:8" x14ac:dyDescent="0.25">
      <c r="B54" s="140"/>
      <c r="C54" s="5"/>
      <c r="D54" s="22" t="s">
        <v>188</v>
      </c>
      <c r="E54" s="22"/>
      <c r="F54" s="22"/>
      <c r="G54" s="18" t="s">
        <v>204</v>
      </c>
      <c r="H54" s="6" t="str">
        <f t="shared" si="4"/>
        <v>--</v>
      </c>
    </row>
    <row r="57" spans="2:8" x14ac:dyDescent="0.25">
      <c r="B57" s="2" t="s">
        <v>184</v>
      </c>
      <c r="C57" s="2" t="s">
        <v>183</v>
      </c>
      <c r="D57" s="21" t="s">
        <v>219</v>
      </c>
      <c r="E57" s="21"/>
      <c r="F57" s="21"/>
      <c r="G57" s="19" t="s">
        <v>7</v>
      </c>
      <c r="H57" s="3" t="s">
        <v>3</v>
      </c>
    </row>
    <row r="58" spans="2:8" x14ac:dyDescent="0.25">
      <c r="B58" s="138" t="s">
        <v>205</v>
      </c>
      <c r="C58" s="5"/>
      <c r="D58" s="22" t="s">
        <v>187</v>
      </c>
      <c r="E58" s="22"/>
      <c r="F58" s="22"/>
      <c r="G58" s="18" t="s">
        <v>206</v>
      </c>
      <c r="H58" s="6" t="str">
        <f>IF(G58=C58,"ok",IF(C58="","--","Not ok"))</f>
        <v>--</v>
      </c>
    </row>
    <row r="59" spans="2:8" x14ac:dyDescent="0.25">
      <c r="B59" s="139"/>
      <c r="C59" s="5"/>
      <c r="D59" s="22" t="s">
        <v>4</v>
      </c>
      <c r="E59" s="22"/>
      <c r="F59" s="22"/>
      <c r="G59" s="18" t="s">
        <v>207</v>
      </c>
      <c r="H59" s="6" t="str">
        <f t="shared" ref="H59:H61" si="5">IF(G59=C59,"ok",IF(C59="","--","Not ok"))</f>
        <v>--</v>
      </c>
    </row>
    <row r="60" spans="2:8" x14ac:dyDescent="0.25">
      <c r="B60" s="139"/>
      <c r="C60" s="5"/>
      <c r="D60" s="22" t="s">
        <v>189</v>
      </c>
      <c r="E60" s="22"/>
      <c r="F60" s="22"/>
      <c r="G60" s="18" t="s">
        <v>208</v>
      </c>
      <c r="H60" s="6" t="str">
        <f t="shared" si="5"/>
        <v>--</v>
      </c>
    </row>
    <row r="61" spans="2:8" x14ac:dyDescent="0.25">
      <c r="B61" s="140"/>
      <c r="C61" s="5"/>
      <c r="D61" s="22" t="s">
        <v>188</v>
      </c>
      <c r="E61" s="22"/>
      <c r="F61" s="22"/>
      <c r="G61" s="18" t="s">
        <v>209</v>
      </c>
      <c r="H61" s="6" t="str">
        <f t="shared" si="5"/>
        <v>--</v>
      </c>
    </row>
    <row r="64" spans="2:8" x14ac:dyDescent="0.25">
      <c r="B64" s="2" t="s">
        <v>184</v>
      </c>
      <c r="C64" s="2" t="s">
        <v>183</v>
      </c>
      <c r="D64" s="21" t="s">
        <v>219</v>
      </c>
      <c r="E64" s="21"/>
      <c r="F64" s="21"/>
      <c r="G64" s="19" t="s">
        <v>7</v>
      </c>
      <c r="H64" s="3" t="s">
        <v>3</v>
      </c>
    </row>
    <row r="65" spans="2:8" x14ac:dyDescent="0.25">
      <c r="B65" s="138" t="s">
        <v>210</v>
      </c>
      <c r="C65" s="5"/>
      <c r="D65" s="22" t="s">
        <v>187</v>
      </c>
      <c r="E65" s="22"/>
      <c r="F65" s="22"/>
      <c r="G65" s="18" t="s">
        <v>211</v>
      </c>
      <c r="H65" s="6" t="str">
        <f>IF(G65=C65,"ok",IF(C65="","--","Not ok"))</f>
        <v>--</v>
      </c>
    </row>
    <row r="66" spans="2:8" x14ac:dyDescent="0.25">
      <c r="B66" s="139"/>
      <c r="C66" s="5"/>
      <c r="D66" s="22" t="s">
        <v>4</v>
      </c>
      <c r="E66" s="22"/>
      <c r="F66" s="22"/>
      <c r="G66" s="18" t="s">
        <v>212</v>
      </c>
      <c r="H66" s="6" t="str">
        <f t="shared" ref="H66:H68" si="6">IF(G66=C66,"ok",IF(C66="","--","Not ok"))</f>
        <v>--</v>
      </c>
    </row>
    <row r="67" spans="2:8" x14ac:dyDescent="0.25">
      <c r="B67" s="139"/>
      <c r="C67" s="5"/>
      <c r="D67" s="22" t="s">
        <v>189</v>
      </c>
      <c r="E67" s="22"/>
      <c r="F67" s="22"/>
      <c r="G67" s="18" t="s">
        <v>213</v>
      </c>
      <c r="H67" s="6" t="str">
        <f t="shared" si="6"/>
        <v>--</v>
      </c>
    </row>
    <row r="68" spans="2:8" x14ac:dyDescent="0.25">
      <c r="B68" s="140"/>
      <c r="C68" s="5"/>
      <c r="D68" s="22" t="s">
        <v>188</v>
      </c>
      <c r="E68" s="22"/>
      <c r="F68" s="22"/>
      <c r="G68" s="18" t="s">
        <v>214</v>
      </c>
      <c r="H68" s="6" t="str">
        <f t="shared" si="6"/>
        <v>--</v>
      </c>
    </row>
    <row r="71" spans="2:8" x14ac:dyDescent="0.25">
      <c r="B71" s="2" t="s">
        <v>184</v>
      </c>
      <c r="C71" s="2" t="s">
        <v>183</v>
      </c>
      <c r="D71" s="21" t="s">
        <v>219</v>
      </c>
      <c r="E71" s="21"/>
      <c r="F71" s="21"/>
      <c r="G71" s="19" t="s">
        <v>7</v>
      </c>
      <c r="H71" s="3" t="s">
        <v>3</v>
      </c>
    </row>
    <row r="72" spans="2:8" x14ac:dyDescent="0.25">
      <c r="B72" s="138" t="s">
        <v>215</v>
      </c>
      <c r="C72" s="5"/>
      <c r="D72" s="22" t="s">
        <v>187</v>
      </c>
      <c r="E72" s="22"/>
      <c r="F72" s="22"/>
      <c r="G72" s="18" t="s">
        <v>216</v>
      </c>
      <c r="H72" s="6" t="str">
        <f>IF(G72=C72,"ok",IF(C72="","--","Not ok"))</f>
        <v>--</v>
      </c>
    </row>
    <row r="73" spans="2:8" x14ac:dyDescent="0.25">
      <c r="B73" s="139"/>
      <c r="C73" s="5"/>
      <c r="D73" s="22" t="s">
        <v>4</v>
      </c>
      <c r="E73" s="22"/>
      <c r="F73" s="22"/>
      <c r="G73" s="18" t="s">
        <v>192</v>
      </c>
      <c r="H73" s="6" t="str">
        <f t="shared" ref="H73:H75" si="7">IF(G73=C73,"ok",IF(C73="","--","Not ok"))</f>
        <v>--</v>
      </c>
    </row>
    <row r="74" spans="2:8" x14ac:dyDescent="0.25">
      <c r="B74" s="139"/>
      <c r="C74" s="5"/>
      <c r="D74" s="22" t="s">
        <v>189</v>
      </c>
      <c r="E74" s="22"/>
      <c r="F74" s="22"/>
      <c r="G74" s="18" t="s">
        <v>217</v>
      </c>
      <c r="H74" s="6" t="str">
        <f t="shared" si="7"/>
        <v>--</v>
      </c>
    </row>
    <row r="75" spans="2:8" x14ac:dyDescent="0.25">
      <c r="B75" s="140"/>
      <c r="C75" s="5"/>
      <c r="D75" s="22" t="s">
        <v>188</v>
      </c>
      <c r="E75" s="22"/>
      <c r="F75" s="22"/>
      <c r="G75" s="18" t="s">
        <v>218</v>
      </c>
      <c r="H75" s="6" t="str">
        <f t="shared" si="7"/>
        <v>--</v>
      </c>
    </row>
    <row r="78" spans="2:8" x14ac:dyDescent="0.25">
      <c r="B78" s="2" t="s">
        <v>184</v>
      </c>
      <c r="C78" s="2" t="s">
        <v>183</v>
      </c>
      <c r="D78" s="21" t="s">
        <v>219</v>
      </c>
      <c r="E78" s="21"/>
      <c r="F78" s="21"/>
      <c r="G78" s="19" t="s">
        <v>7</v>
      </c>
      <c r="H78" s="3" t="s">
        <v>3</v>
      </c>
    </row>
    <row r="79" spans="2:8" x14ac:dyDescent="0.25">
      <c r="B79" s="138" t="s">
        <v>220</v>
      </c>
      <c r="C79" s="5"/>
      <c r="D79" s="22" t="s">
        <v>187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39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39"/>
      <c r="C81" s="5"/>
      <c r="D81" s="22" t="s">
        <v>189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40"/>
      <c r="C82" s="5"/>
      <c r="D82" s="22" t="s">
        <v>188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184</v>
      </c>
      <c r="C85" s="2" t="s">
        <v>183</v>
      </c>
      <c r="D85" s="21" t="s">
        <v>221</v>
      </c>
      <c r="E85" s="21" t="s">
        <v>222</v>
      </c>
      <c r="F85" s="21" t="s">
        <v>224</v>
      </c>
      <c r="G85" s="19" t="s">
        <v>7</v>
      </c>
      <c r="H85" s="3" t="s">
        <v>3</v>
      </c>
    </row>
    <row r="86" spans="2:8" x14ac:dyDescent="0.25">
      <c r="B86" s="138" t="s">
        <v>223</v>
      </c>
      <c r="C86" s="5"/>
      <c r="D86" s="22">
        <v>8855</v>
      </c>
      <c r="E86" s="22" t="s">
        <v>23</v>
      </c>
      <c r="F86" s="22" t="s">
        <v>225</v>
      </c>
      <c r="G86" s="18" t="s">
        <v>233</v>
      </c>
      <c r="H86" s="6" t="str">
        <f>IF(G86=C86,"ok",IF(C86="","--","Not ok"))</f>
        <v>--</v>
      </c>
    </row>
    <row r="87" spans="2:8" x14ac:dyDescent="0.25">
      <c r="B87" s="139"/>
      <c r="C87" s="5"/>
      <c r="D87" s="22" t="s">
        <v>127</v>
      </c>
      <c r="E87" s="22" t="s">
        <v>226</v>
      </c>
      <c r="F87" s="22" t="s">
        <v>227</v>
      </c>
      <c r="G87" s="18" t="s">
        <v>234</v>
      </c>
      <c r="H87" s="6" t="str">
        <f t="shared" ref="H87:H89" si="9">IF(G87=C87,"ok",IF(C87="","--","Not ok"))</f>
        <v>--</v>
      </c>
    </row>
    <row r="88" spans="2:8" x14ac:dyDescent="0.25">
      <c r="B88" s="139"/>
      <c r="C88" s="5"/>
      <c r="D88" s="22" t="s">
        <v>228</v>
      </c>
      <c r="E88" s="22" t="s">
        <v>229</v>
      </c>
      <c r="F88" s="22" t="s">
        <v>230</v>
      </c>
      <c r="G88" s="18" t="s">
        <v>235</v>
      </c>
      <c r="H88" s="6" t="str">
        <f t="shared" si="9"/>
        <v>--</v>
      </c>
    </row>
    <row r="89" spans="2:8" x14ac:dyDescent="0.25">
      <c r="B89" s="140"/>
      <c r="C89" s="5"/>
      <c r="D89" s="22" t="s">
        <v>231</v>
      </c>
      <c r="E89" s="22">
        <v>12345</v>
      </c>
      <c r="F89" s="22" t="s">
        <v>232</v>
      </c>
      <c r="G89" s="18" t="s">
        <v>236</v>
      </c>
      <c r="H89" s="6" t="str">
        <f t="shared" si="9"/>
        <v>--</v>
      </c>
    </row>
    <row r="92" spans="2:8" x14ac:dyDescent="0.25">
      <c r="B92" s="2" t="s">
        <v>184</v>
      </c>
      <c r="C92" s="2" t="s">
        <v>183</v>
      </c>
      <c r="D92" s="21" t="s">
        <v>221</v>
      </c>
      <c r="E92" s="21"/>
      <c r="F92" s="21"/>
      <c r="G92" s="19" t="s">
        <v>7</v>
      </c>
      <c r="H92" s="3" t="s">
        <v>3</v>
      </c>
    </row>
    <row r="93" spans="2:8" x14ac:dyDescent="0.25">
      <c r="B93" s="138" t="s">
        <v>238</v>
      </c>
      <c r="C93" s="5"/>
      <c r="D93" s="74" t="s">
        <v>240</v>
      </c>
      <c r="E93" s="22"/>
      <c r="F93" s="22"/>
      <c r="G93" s="18" t="s">
        <v>243</v>
      </c>
      <c r="H93" s="6" t="str">
        <f>IF(G93=C93,"ok",IF(C93="","--","Not ok"))</f>
        <v>--</v>
      </c>
    </row>
    <row r="94" spans="2:8" x14ac:dyDescent="0.25">
      <c r="B94" s="139"/>
      <c r="C94" s="5"/>
      <c r="D94" s="22" t="s">
        <v>237</v>
      </c>
      <c r="E94" s="22"/>
      <c r="F94" s="22"/>
      <c r="G94" s="18" t="s">
        <v>244</v>
      </c>
      <c r="H94" s="6" t="str">
        <f t="shared" ref="H94:H96" si="10">IF(G94=C94,"ok",IF(C94="","--","Not ok"))</f>
        <v>--</v>
      </c>
    </row>
    <row r="95" spans="2:8" x14ac:dyDescent="0.25">
      <c r="B95" s="139"/>
      <c r="C95" s="5"/>
      <c r="D95" s="22" t="s">
        <v>241</v>
      </c>
      <c r="E95" s="22"/>
      <c r="F95" s="22"/>
      <c r="G95" s="18" t="s">
        <v>245</v>
      </c>
      <c r="H95" s="6" t="str">
        <f t="shared" si="10"/>
        <v>--</v>
      </c>
    </row>
    <row r="96" spans="2:8" x14ac:dyDescent="0.25">
      <c r="B96" s="140"/>
      <c r="C96" s="5"/>
      <c r="D96" s="22" t="s">
        <v>242</v>
      </c>
      <c r="E96" s="22"/>
      <c r="F96" s="22"/>
      <c r="G96" s="18" t="s">
        <v>246</v>
      </c>
      <c r="H96" s="6" t="str">
        <f t="shared" si="10"/>
        <v>--</v>
      </c>
    </row>
    <row r="99" spans="2:8" x14ac:dyDescent="0.25">
      <c r="B99" s="2" t="s">
        <v>184</v>
      </c>
      <c r="C99" s="2" t="s">
        <v>183</v>
      </c>
      <c r="D99" s="21" t="s">
        <v>221</v>
      </c>
      <c r="E99" s="21"/>
      <c r="F99" s="21"/>
      <c r="G99" s="19" t="s">
        <v>7</v>
      </c>
      <c r="H99" s="3" t="s">
        <v>3</v>
      </c>
    </row>
    <row r="100" spans="2:8" x14ac:dyDescent="0.25">
      <c r="B100" s="138" t="s">
        <v>252</v>
      </c>
      <c r="C100" s="5"/>
      <c r="D100" s="74" t="s">
        <v>239</v>
      </c>
      <c r="E100" s="22"/>
      <c r="F100" s="22"/>
      <c r="G100" s="18" t="s">
        <v>253</v>
      </c>
      <c r="H100" s="6" t="str">
        <f>IF(G100=C100,"ok",IF(C100="","--","Not ok"))</f>
        <v>--</v>
      </c>
    </row>
    <row r="101" spans="2:8" x14ac:dyDescent="0.25">
      <c r="B101" s="139"/>
      <c r="C101" s="5"/>
      <c r="D101" s="22" t="s">
        <v>237</v>
      </c>
      <c r="E101" s="22"/>
      <c r="F101" s="22"/>
      <c r="G101" s="18" t="s">
        <v>254</v>
      </c>
      <c r="H101" s="6" t="str">
        <f t="shared" ref="H101:H103" si="11">IF(G101=C101,"ok",IF(C101="","--","Not ok"))</f>
        <v>--</v>
      </c>
    </row>
    <row r="102" spans="2:8" x14ac:dyDescent="0.25">
      <c r="B102" s="139"/>
      <c r="C102" s="5"/>
      <c r="D102" s="22" t="s">
        <v>241</v>
      </c>
      <c r="E102" s="22"/>
      <c r="F102" s="22"/>
      <c r="G102" s="18" t="s">
        <v>254</v>
      </c>
      <c r="H102" s="6" t="str">
        <f t="shared" si="11"/>
        <v>--</v>
      </c>
    </row>
    <row r="103" spans="2:8" x14ac:dyDescent="0.25">
      <c r="B103" s="140"/>
      <c r="C103" s="5"/>
      <c r="D103" s="22" t="s">
        <v>242</v>
      </c>
      <c r="E103" s="22"/>
      <c r="F103" s="22"/>
      <c r="G103" s="18" t="s">
        <v>253</v>
      </c>
      <c r="H103" s="6" t="str">
        <f t="shared" si="11"/>
        <v>--</v>
      </c>
    </row>
    <row r="106" spans="2:8" x14ac:dyDescent="0.25">
      <c r="B106" s="2" t="s">
        <v>247</v>
      </c>
      <c r="C106" s="2" t="s">
        <v>183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38" t="s">
        <v>191</v>
      </c>
      <c r="C107" s="5"/>
      <c r="D107" s="22" t="s">
        <v>187</v>
      </c>
      <c r="E107" s="22"/>
      <c r="F107" s="22"/>
      <c r="G107" s="18" t="s">
        <v>248</v>
      </c>
      <c r="H107" s="6" t="str">
        <f>IF(G107=C107,"ok",IF(C107="","--","Not ok"))</f>
        <v>--</v>
      </c>
    </row>
    <row r="108" spans="2:8" x14ac:dyDescent="0.25">
      <c r="B108" s="139"/>
      <c r="C108" s="5"/>
      <c r="D108" s="22" t="s">
        <v>4</v>
      </c>
      <c r="E108" s="22"/>
      <c r="F108" s="22"/>
      <c r="G108" s="18" t="s">
        <v>249</v>
      </c>
      <c r="H108" s="6" t="str">
        <f t="shared" ref="H108:H110" si="12">IF(G108=C108,"ok",IF(C108="","--","Not ok"))</f>
        <v>--</v>
      </c>
    </row>
    <row r="109" spans="2:8" x14ac:dyDescent="0.25">
      <c r="B109" s="139"/>
      <c r="C109" s="5"/>
      <c r="D109" s="22" t="s">
        <v>189</v>
      </c>
      <c r="E109" s="22"/>
      <c r="F109" s="22"/>
      <c r="G109" s="18" t="s">
        <v>250</v>
      </c>
      <c r="H109" s="6" t="str">
        <f t="shared" si="12"/>
        <v>--</v>
      </c>
    </row>
    <row r="110" spans="2:8" x14ac:dyDescent="0.25">
      <c r="B110" s="140"/>
      <c r="C110" s="5"/>
      <c r="D110" s="22" t="s">
        <v>188</v>
      </c>
      <c r="E110" s="22"/>
      <c r="F110" s="22"/>
      <c r="G110" s="18" t="s">
        <v>251</v>
      </c>
      <c r="H110" s="6" t="str">
        <f t="shared" si="12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K26" sqref="K26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5" t="s">
        <v>314</v>
      </c>
    </row>
    <row r="9" spans="2:23" ht="15.75" thickBot="1" x14ac:dyDescent="0.3"/>
    <row r="10" spans="2:23" x14ac:dyDescent="0.25">
      <c r="B10" s="94" t="s">
        <v>257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5" t="s">
        <v>258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3"/>
      <c r="Q15" s="84"/>
      <c r="R15" s="84"/>
      <c r="S15" s="84"/>
      <c r="T15" s="84"/>
      <c r="U15" s="84"/>
      <c r="V15" s="84"/>
      <c r="W15" s="85"/>
    </row>
    <row r="16" spans="2:23" ht="18.75" x14ac:dyDescent="0.3">
      <c r="P16" s="86"/>
      <c r="Q16" s="87" t="s">
        <v>263</v>
      </c>
      <c r="R16" s="88"/>
      <c r="S16" s="88"/>
      <c r="T16" s="88"/>
      <c r="U16" s="88"/>
      <c r="V16" s="88"/>
      <c r="W16" s="89"/>
    </row>
    <row r="17" spans="16:23" x14ac:dyDescent="0.25">
      <c r="P17" s="86"/>
      <c r="Q17" s="88"/>
      <c r="R17" s="88"/>
      <c r="S17" s="88"/>
      <c r="T17" s="88"/>
      <c r="U17" s="88"/>
      <c r="V17" s="88"/>
      <c r="W17" s="89"/>
    </row>
    <row r="18" spans="16:23" x14ac:dyDescent="0.25">
      <c r="P18" s="86"/>
      <c r="Q18" s="88" t="s">
        <v>274</v>
      </c>
      <c r="R18" s="88"/>
      <c r="S18" s="88"/>
      <c r="T18" s="88"/>
      <c r="U18" s="88"/>
      <c r="V18" s="88" t="s">
        <v>46</v>
      </c>
      <c r="W18" s="89"/>
    </row>
    <row r="19" spans="16:23" x14ac:dyDescent="0.25">
      <c r="P19" s="86"/>
      <c r="Q19" s="88" t="s">
        <v>264</v>
      </c>
      <c r="R19" s="88"/>
      <c r="S19" s="88"/>
      <c r="T19" s="88"/>
      <c r="U19" s="88"/>
      <c r="V19" s="88" t="s">
        <v>46</v>
      </c>
      <c r="W19" s="89"/>
    </row>
    <row r="20" spans="16:23" x14ac:dyDescent="0.25">
      <c r="P20" s="86"/>
      <c r="Q20" s="88" t="s">
        <v>265</v>
      </c>
      <c r="R20" s="88"/>
      <c r="S20" s="88"/>
      <c r="T20" s="88"/>
      <c r="U20" s="88"/>
      <c r="V20" s="88" t="s">
        <v>46</v>
      </c>
      <c r="W20" s="89"/>
    </row>
    <row r="21" spans="16:23" x14ac:dyDescent="0.25">
      <c r="P21" s="86"/>
      <c r="Q21" s="88" t="s">
        <v>277</v>
      </c>
      <c r="R21" s="88"/>
      <c r="S21" s="88"/>
      <c r="T21" s="88"/>
      <c r="U21" s="88"/>
      <c r="V21" s="88" t="s">
        <v>46</v>
      </c>
      <c r="W21" s="89"/>
    </row>
    <row r="22" spans="16:23" x14ac:dyDescent="0.25">
      <c r="P22" s="86"/>
      <c r="Q22" s="88" t="s">
        <v>278</v>
      </c>
      <c r="R22" s="88"/>
      <c r="S22" s="88"/>
      <c r="T22" s="88"/>
      <c r="U22" s="88"/>
      <c r="V22" s="88" t="s">
        <v>46</v>
      </c>
      <c r="W22" s="89"/>
    </row>
    <row r="23" spans="16:23" x14ac:dyDescent="0.25">
      <c r="P23" s="86"/>
      <c r="Q23" s="88" t="s">
        <v>269</v>
      </c>
      <c r="R23" s="88"/>
      <c r="S23" s="88"/>
      <c r="T23" s="88"/>
      <c r="U23" s="88"/>
      <c r="V23" s="88" t="s">
        <v>46</v>
      </c>
      <c r="W23" s="89"/>
    </row>
    <row r="24" spans="16:23" x14ac:dyDescent="0.25">
      <c r="P24" s="86"/>
      <c r="Q24" s="88" t="s">
        <v>279</v>
      </c>
      <c r="R24" s="88"/>
      <c r="S24" s="88"/>
      <c r="T24" s="88"/>
      <c r="U24" s="88"/>
      <c r="V24" s="88" t="s">
        <v>46</v>
      </c>
      <c r="W24" s="89"/>
    </row>
    <row r="25" spans="16:23" x14ac:dyDescent="0.25">
      <c r="P25" s="86"/>
      <c r="Q25" s="88"/>
      <c r="R25" s="88"/>
      <c r="S25" s="88"/>
      <c r="T25" s="88"/>
      <c r="U25" s="88" t="s">
        <v>275</v>
      </c>
      <c r="V25" s="88">
        <f>COUNTIF(V18:V24,"&lt;&gt; ")</f>
        <v>7</v>
      </c>
      <c r="W25" s="89"/>
    </row>
    <row r="26" spans="16:23" ht="15.75" thickBot="1" x14ac:dyDescent="0.3">
      <c r="P26" s="86"/>
      <c r="Q26" s="88"/>
      <c r="R26" s="88"/>
      <c r="S26" s="88"/>
      <c r="T26" s="88"/>
      <c r="U26" s="90" t="s">
        <v>276</v>
      </c>
      <c r="V26" s="88">
        <f>COUNTIF(V18:V24,"=Ja")</f>
        <v>0</v>
      </c>
      <c r="W26" s="89"/>
    </row>
    <row r="27" spans="16:23" ht="15.75" thickBot="1" x14ac:dyDescent="0.3">
      <c r="P27" s="86"/>
      <c r="Q27" s="88"/>
      <c r="R27" s="88"/>
      <c r="S27" s="88"/>
      <c r="T27" s="88"/>
      <c r="U27" s="96" t="s">
        <v>13</v>
      </c>
      <c r="V27" s="97">
        <f>(5/V25)*V26+1</f>
        <v>1</v>
      </c>
      <c r="W27" s="89"/>
    </row>
    <row r="28" spans="16:23" x14ac:dyDescent="0.25">
      <c r="P28" s="86"/>
      <c r="Q28" s="88"/>
      <c r="R28" s="88"/>
      <c r="S28" s="88"/>
      <c r="T28" s="88"/>
      <c r="U28" s="88"/>
      <c r="V28" s="88"/>
      <c r="W28" s="89"/>
    </row>
    <row r="29" spans="16:23" ht="15.75" thickBot="1" x14ac:dyDescent="0.3">
      <c r="P29" s="91"/>
      <c r="Q29" s="92"/>
      <c r="R29" s="92"/>
      <c r="S29" s="92"/>
      <c r="T29" s="92"/>
      <c r="U29" s="92"/>
      <c r="V29" s="92"/>
      <c r="W29" s="93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2" sqref="H22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5" t="s">
        <v>315</v>
      </c>
    </row>
    <row r="8" spans="2:23" ht="15.75" thickBot="1" x14ac:dyDescent="0.3"/>
    <row r="9" spans="2:23" ht="15.75" thickBot="1" x14ac:dyDescent="0.3">
      <c r="C9" s="81" t="s">
        <v>261</v>
      </c>
      <c r="D9" s="82">
        <v>2</v>
      </c>
    </row>
    <row r="10" spans="2:23" ht="15.75" thickBot="1" x14ac:dyDescent="0.3">
      <c r="B10" s="76" t="s">
        <v>257</v>
      </c>
      <c r="C10" s="79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7" t="s">
        <v>259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0"/>
    </row>
    <row r="12" spans="2:23" ht="15.75" thickBot="1" x14ac:dyDescent="0.3">
      <c r="B12" s="78" t="s">
        <v>260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3"/>
      <c r="Q15" s="84"/>
      <c r="R15" s="84"/>
      <c r="S15" s="84"/>
      <c r="T15" s="84"/>
      <c r="U15" s="84"/>
      <c r="V15" s="84"/>
      <c r="W15" s="85"/>
    </row>
    <row r="16" spans="2:23" ht="18.75" x14ac:dyDescent="0.3">
      <c r="P16" s="86"/>
      <c r="Q16" s="87" t="s">
        <v>263</v>
      </c>
      <c r="R16" s="88"/>
      <c r="S16" s="88"/>
      <c r="T16" s="88"/>
      <c r="U16" s="88"/>
      <c r="V16" s="88"/>
      <c r="W16" s="89"/>
    </row>
    <row r="17" spans="16:23" x14ac:dyDescent="0.25">
      <c r="P17" s="86"/>
      <c r="Q17" s="88"/>
      <c r="R17" s="88"/>
      <c r="S17" s="88"/>
      <c r="T17" s="88"/>
      <c r="U17" s="88"/>
      <c r="V17" s="88"/>
      <c r="W17" s="89"/>
    </row>
    <row r="18" spans="16:23" x14ac:dyDescent="0.25">
      <c r="P18" s="86"/>
      <c r="Q18" s="88" t="s">
        <v>274</v>
      </c>
      <c r="R18" s="88"/>
      <c r="S18" s="88"/>
      <c r="T18" s="88"/>
      <c r="U18" s="88"/>
      <c r="V18" s="88" t="s">
        <v>46</v>
      </c>
      <c r="W18" s="89"/>
    </row>
    <row r="19" spans="16:23" x14ac:dyDescent="0.25">
      <c r="P19" s="86"/>
      <c r="Q19" s="88" t="s">
        <v>264</v>
      </c>
      <c r="R19" s="88"/>
      <c r="S19" s="88"/>
      <c r="T19" s="88"/>
      <c r="U19" s="88"/>
      <c r="V19" s="88" t="s">
        <v>46</v>
      </c>
      <c r="W19" s="89"/>
    </row>
    <row r="20" spans="16:23" x14ac:dyDescent="0.25">
      <c r="P20" s="86"/>
      <c r="Q20" s="88" t="s">
        <v>265</v>
      </c>
      <c r="R20" s="88"/>
      <c r="S20" s="88"/>
      <c r="T20" s="88"/>
      <c r="U20" s="88"/>
      <c r="V20" s="88" t="s">
        <v>46</v>
      </c>
      <c r="W20" s="89"/>
    </row>
    <row r="21" spans="16:23" x14ac:dyDescent="0.25">
      <c r="P21" s="86"/>
      <c r="Q21" s="88" t="s">
        <v>266</v>
      </c>
      <c r="R21" s="88"/>
      <c r="S21" s="88"/>
      <c r="T21" s="88"/>
      <c r="U21" s="88"/>
      <c r="V21" s="88" t="s">
        <v>46</v>
      </c>
      <c r="W21" s="89"/>
    </row>
    <row r="22" spans="16:23" x14ac:dyDescent="0.25">
      <c r="P22" s="86"/>
      <c r="Q22" s="88" t="s">
        <v>267</v>
      </c>
      <c r="R22" s="88"/>
      <c r="S22" s="88"/>
      <c r="T22" s="88"/>
      <c r="U22" s="88"/>
      <c r="V22" s="88" t="s">
        <v>46</v>
      </c>
      <c r="W22" s="89"/>
    </row>
    <row r="23" spans="16:23" x14ac:dyDescent="0.25">
      <c r="P23" s="86"/>
      <c r="Q23" s="88" t="s">
        <v>268</v>
      </c>
      <c r="R23" s="88"/>
      <c r="S23" s="88"/>
      <c r="T23" s="88"/>
      <c r="U23" s="88"/>
      <c r="V23" s="88" t="s">
        <v>46</v>
      </c>
      <c r="W23" s="89"/>
    </row>
    <row r="24" spans="16:23" x14ac:dyDescent="0.25">
      <c r="P24" s="86"/>
      <c r="Q24" s="88" t="s">
        <v>269</v>
      </c>
      <c r="R24" s="88"/>
      <c r="S24" s="88"/>
      <c r="T24" s="88"/>
      <c r="U24" s="88"/>
      <c r="V24" s="88" t="s">
        <v>46</v>
      </c>
      <c r="W24" s="89"/>
    </row>
    <row r="25" spans="16:23" x14ac:dyDescent="0.25">
      <c r="P25" s="86"/>
      <c r="Q25" s="88" t="s">
        <v>270</v>
      </c>
      <c r="R25" s="88"/>
      <c r="S25" s="88"/>
      <c r="T25" s="88"/>
      <c r="U25" s="88"/>
      <c r="V25" s="88" t="s">
        <v>46</v>
      </c>
      <c r="W25" s="89"/>
    </row>
    <row r="26" spans="16:23" x14ac:dyDescent="0.25">
      <c r="P26" s="86"/>
      <c r="Q26" s="88" t="s">
        <v>271</v>
      </c>
      <c r="R26" s="88"/>
      <c r="S26" s="88"/>
      <c r="T26" s="88"/>
      <c r="U26" s="88"/>
      <c r="V26" s="88" t="s">
        <v>46</v>
      </c>
      <c r="W26" s="89"/>
    </row>
    <row r="27" spans="16:23" x14ac:dyDescent="0.25">
      <c r="P27" s="86"/>
      <c r="Q27" s="88" t="s">
        <v>272</v>
      </c>
      <c r="R27" s="88"/>
      <c r="S27" s="88"/>
      <c r="T27" s="88"/>
      <c r="U27" s="88"/>
      <c r="V27" s="88" t="s">
        <v>46</v>
      </c>
      <c r="W27" s="89"/>
    </row>
    <row r="28" spans="16:23" x14ac:dyDescent="0.25">
      <c r="P28" s="86"/>
      <c r="Q28" s="88" t="s">
        <v>273</v>
      </c>
      <c r="R28" s="88"/>
      <c r="S28" s="88"/>
      <c r="T28" s="88"/>
      <c r="U28" s="88"/>
      <c r="V28" s="88" t="s">
        <v>46</v>
      </c>
      <c r="W28" s="89"/>
    </row>
    <row r="29" spans="16:23" x14ac:dyDescent="0.25">
      <c r="P29" s="86"/>
      <c r="Q29" s="88"/>
      <c r="R29" s="88"/>
      <c r="S29" s="88"/>
      <c r="T29" s="88"/>
      <c r="U29" s="88" t="s">
        <v>275</v>
      </c>
      <c r="V29" s="88">
        <f>COUNTIF(V18:V28,"&lt;&gt; ")</f>
        <v>11</v>
      </c>
      <c r="W29" s="89"/>
    </row>
    <row r="30" spans="16:23" ht="15.75" thickBot="1" x14ac:dyDescent="0.3">
      <c r="P30" s="86"/>
      <c r="Q30" s="88"/>
      <c r="R30" s="88"/>
      <c r="S30" s="88"/>
      <c r="T30" s="88"/>
      <c r="U30" s="90" t="s">
        <v>276</v>
      </c>
      <c r="V30" s="88">
        <f>COUNTIF(V18:V28,"=Ja")</f>
        <v>0</v>
      </c>
      <c r="W30" s="89"/>
    </row>
    <row r="31" spans="16:23" ht="15.75" thickBot="1" x14ac:dyDescent="0.3">
      <c r="P31" s="86"/>
      <c r="Q31" s="88"/>
      <c r="R31" s="88"/>
      <c r="S31" s="88"/>
      <c r="T31" s="88"/>
      <c r="U31" s="96" t="s">
        <v>13</v>
      </c>
      <c r="V31" s="97">
        <f>(5/V29)*V30+1</f>
        <v>1</v>
      </c>
      <c r="W31" s="89"/>
    </row>
    <row r="32" spans="16:23" x14ac:dyDescent="0.25">
      <c r="P32" s="86"/>
      <c r="Q32" s="88"/>
      <c r="R32" s="88"/>
      <c r="S32" s="88"/>
      <c r="T32" s="88"/>
      <c r="U32" s="88"/>
      <c r="V32" s="88"/>
      <c r="W32" s="89"/>
    </row>
    <row r="33" spans="16:23" ht="15.75" thickBot="1" x14ac:dyDescent="0.3">
      <c r="P33" s="91"/>
      <c r="Q33" s="92"/>
      <c r="R33" s="92"/>
      <c r="S33" s="92"/>
      <c r="T33" s="92"/>
      <c r="U33" s="92"/>
      <c r="V33" s="92"/>
      <c r="W33" s="93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E31" sqref="E3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5" t="s">
        <v>318</v>
      </c>
      <c r="L2" s="83"/>
      <c r="M2" s="84"/>
      <c r="N2" s="84"/>
      <c r="O2" s="84"/>
      <c r="P2" s="84"/>
      <c r="Q2" s="84"/>
      <c r="R2" s="84"/>
      <c r="S2" s="85"/>
    </row>
    <row r="3" spans="1:19" ht="18.75" x14ac:dyDescent="0.3">
      <c r="L3" s="86"/>
      <c r="M3" s="87" t="s">
        <v>263</v>
      </c>
      <c r="N3" s="88"/>
      <c r="O3" s="88"/>
      <c r="P3" s="88"/>
      <c r="Q3" s="88"/>
      <c r="R3" s="88"/>
      <c r="S3" s="89"/>
    </row>
    <row r="4" spans="1:19" x14ac:dyDescent="0.25">
      <c r="L4" s="86"/>
      <c r="M4" s="88"/>
      <c r="N4" s="88"/>
      <c r="O4" s="88"/>
      <c r="P4" s="88"/>
      <c r="Q4" s="88"/>
      <c r="R4" s="88"/>
      <c r="S4" s="89"/>
    </row>
    <row r="5" spans="1:19" x14ac:dyDescent="0.25">
      <c r="L5" s="86"/>
      <c r="M5" s="88" t="s">
        <v>274</v>
      </c>
      <c r="N5" s="88"/>
      <c r="O5" s="88"/>
      <c r="P5" s="88"/>
      <c r="Q5" s="88"/>
      <c r="R5" s="88" t="s">
        <v>46</v>
      </c>
      <c r="S5" s="89"/>
    </row>
    <row r="6" spans="1:19" x14ac:dyDescent="0.25">
      <c r="L6" s="86"/>
      <c r="M6" s="88" t="s">
        <v>281</v>
      </c>
      <c r="N6" s="88"/>
      <c r="O6" s="88"/>
      <c r="P6" s="88"/>
      <c r="Q6" s="88"/>
      <c r="R6" s="88" t="s">
        <v>46</v>
      </c>
      <c r="S6" s="89"/>
    </row>
    <row r="7" spans="1:19" x14ac:dyDescent="0.25">
      <c r="L7" s="86"/>
      <c r="M7" s="88" t="s">
        <v>282</v>
      </c>
      <c r="N7" s="88"/>
      <c r="O7" s="88"/>
      <c r="P7" s="88"/>
      <c r="Q7" s="88"/>
      <c r="R7" s="88" t="s">
        <v>46</v>
      </c>
      <c r="S7" s="89"/>
    </row>
    <row r="8" spans="1:19" x14ac:dyDescent="0.25">
      <c r="L8" s="86"/>
      <c r="M8" s="88" t="s">
        <v>283</v>
      </c>
      <c r="N8" s="88"/>
      <c r="O8" s="88"/>
      <c r="P8" s="88"/>
      <c r="Q8" s="88"/>
      <c r="R8" s="88" t="s">
        <v>46</v>
      </c>
      <c r="S8" s="89"/>
    </row>
    <row r="9" spans="1:19" x14ac:dyDescent="0.25">
      <c r="L9" s="86"/>
      <c r="M9" s="88" t="s">
        <v>284</v>
      </c>
      <c r="N9" s="88"/>
      <c r="O9" s="88"/>
      <c r="P9" s="88"/>
      <c r="Q9" s="88"/>
      <c r="R9" s="88" t="s">
        <v>46</v>
      </c>
      <c r="S9" s="89"/>
    </row>
    <row r="10" spans="1:19" x14ac:dyDescent="0.25">
      <c r="L10" s="86"/>
      <c r="M10" s="88" t="s">
        <v>285</v>
      </c>
      <c r="N10" s="88"/>
      <c r="O10" s="88"/>
      <c r="P10" s="88"/>
      <c r="Q10" s="88"/>
      <c r="R10" s="88" t="s">
        <v>46</v>
      </c>
      <c r="S10" s="89"/>
    </row>
    <row r="11" spans="1:19" x14ac:dyDescent="0.25">
      <c r="L11" s="86"/>
      <c r="M11" s="88" t="s">
        <v>286</v>
      </c>
      <c r="N11" s="88"/>
      <c r="O11" s="88"/>
      <c r="P11" s="88"/>
      <c r="Q11" s="88"/>
      <c r="R11" s="88" t="s">
        <v>46</v>
      </c>
      <c r="S11" s="89"/>
    </row>
    <row r="12" spans="1:19" x14ac:dyDescent="0.25">
      <c r="L12" s="86"/>
      <c r="M12" s="88" t="s">
        <v>287</v>
      </c>
      <c r="N12" s="88"/>
      <c r="O12" s="88"/>
      <c r="P12" s="88"/>
      <c r="Q12" s="88"/>
      <c r="R12" s="88" t="s">
        <v>46</v>
      </c>
      <c r="S12" s="89"/>
    </row>
    <row r="13" spans="1:19" x14ac:dyDescent="0.25">
      <c r="L13" s="86"/>
      <c r="M13" s="88" t="s">
        <v>288</v>
      </c>
      <c r="N13" s="88"/>
      <c r="O13" s="88"/>
      <c r="P13" s="88"/>
      <c r="Q13" s="88"/>
      <c r="R13" s="88" t="s">
        <v>46</v>
      </c>
      <c r="S13" s="89"/>
    </row>
    <row r="14" spans="1:19" x14ac:dyDescent="0.25">
      <c r="L14" s="86"/>
      <c r="M14" s="88"/>
      <c r="N14" s="88"/>
      <c r="O14" s="88"/>
      <c r="P14" s="88"/>
      <c r="Q14" s="88" t="s">
        <v>275</v>
      </c>
      <c r="R14" s="88">
        <f>COUNTIF(R5:R13,"&lt;&gt; ")</f>
        <v>9</v>
      </c>
      <c r="S14" s="89"/>
    </row>
    <row r="15" spans="1:19" ht="15.75" thickBot="1" x14ac:dyDescent="0.3">
      <c r="L15" s="86"/>
      <c r="M15" s="88"/>
      <c r="N15" s="88"/>
      <c r="O15" s="88"/>
      <c r="P15" s="88"/>
      <c r="Q15" s="90" t="s">
        <v>276</v>
      </c>
      <c r="R15" s="88">
        <f>COUNTIF(R5:R13,"=Ja")</f>
        <v>0</v>
      </c>
      <c r="S15" s="89"/>
    </row>
    <row r="16" spans="1:19" ht="15.75" thickBot="1" x14ac:dyDescent="0.3">
      <c r="L16" s="86"/>
      <c r="M16" s="88"/>
      <c r="N16" s="88"/>
      <c r="O16" s="88"/>
      <c r="P16" s="88"/>
      <c r="Q16" s="96" t="s">
        <v>13</v>
      </c>
      <c r="R16" s="97">
        <f>(5/R14)*R15+1</f>
        <v>1</v>
      </c>
      <c r="S16" s="89"/>
    </row>
    <row r="17" spans="1:19" x14ac:dyDescent="0.25">
      <c r="L17" s="86"/>
      <c r="M17" s="88"/>
      <c r="N17" s="88"/>
      <c r="O17" s="88"/>
      <c r="P17" s="88"/>
      <c r="Q17" s="88"/>
      <c r="R17" s="88"/>
      <c r="S17" s="89"/>
    </row>
    <row r="18" spans="1:19" ht="15.75" thickBot="1" x14ac:dyDescent="0.3">
      <c r="L18" s="91"/>
      <c r="M18" s="92"/>
      <c r="N18" s="92"/>
      <c r="O18" s="92"/>
      <c r="P18" s="92"/>
      <c r="Q18" s="92"/>
      <c r="R18" s="92"/>
      <c r="S18" s="93"/>
    </row>
    <row r="22" spans="1:19" x14ac:dyDescent="0.25">
      <c r="A22" s="131"/>
      <c r="B22" s="38"/>
      <c r="C22" s="38"/>
      <c r="D22" s="38"/>
      <c r="E22" s="38"/>
      <c r="F22" s="38"/>
      <c r="G22" s="38"/>
      <c r="H22" s="38"/>
      <c r="I22" s="38"/>
      <c r="J22" s="38"/>
      <c r="L22" s="98" t="s">
        <v>289</v>
      </c>
    </row>
    <row r="23" spans="1:19" x14ac:dyDescent="0.25">
      <c r="A23" s="130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0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0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0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0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0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0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0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0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0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0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0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0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0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0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0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0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99"/>
      <c r="N39" s="38"/>
      <c r="O39" s="38"/>
      <c r="P39" s="38"/>
      <c r="Q39" s="38"/>
      <c r="R39" s="38"/>
      <c r="S39" s="38"/>
    </row>
    <row r="40" spans="1:19" x14ac:dyDescent="0.25">
      <c r="A40" s="130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0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0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0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0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0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0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0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0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0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0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0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0"/>
      <c r="R51" s="38"/>
      <c r="S51" s="38"/>
    </row>
    <row r="52" spans="1:19" x14ac:dyDescent="0.25">
      <c r="A52" s="130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0"/>
      <c r="R52" s="101"/>
      <c r="S52" s="38"/>
    </row>
    <row r="53" spans="1:19" x14ac:dyDescent="0.25">
      <c r="A53" s="130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0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0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0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0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0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0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0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0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0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0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0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0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0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0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0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0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0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0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0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0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0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0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0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0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0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0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0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0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0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0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0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0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0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0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0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0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0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0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0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0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0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0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0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0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0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0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0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0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0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0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0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0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0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0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0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0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0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0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0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0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0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0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0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0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0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0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0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0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0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0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0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0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0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0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0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0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0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0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0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0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0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0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0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0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0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0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0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0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0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0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0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0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0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0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0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0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0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0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0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0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0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0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0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0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0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0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0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0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0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0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0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0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0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0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0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0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0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0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0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0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0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0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0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0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0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0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0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0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0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0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0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0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0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0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0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0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0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0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0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0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0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0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0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0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0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0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0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0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0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0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0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0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0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0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0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0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0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0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0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0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0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0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0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0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0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0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0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0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0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0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0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0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0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0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0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0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0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0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0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0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0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0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0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0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0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0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0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0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0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0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0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0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0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0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0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0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0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0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0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0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0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0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0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0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0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0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0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0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0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0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0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0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0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0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0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0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0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0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0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0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0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0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0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0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0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0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K22" sqref="K22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309</v>
      </c>
      <c r="E2" s="7"/>
      <c r="F2" s="8"/>
      <c r="G2" s="8"/>
      <c r="H2" s="9"/>
      <c r="K2" s="83"/>
      <c r="L2" s="84"/>
      <c r="M2" s="84"/>
      <c r="N2" s="84"/>
      <c r="O2" s="84"/>
      <c r="P2" s="84"/>
      <c r="Q2" s="84"/>
      <c r="R2" s="85"/>
    </row>
    <row r="3" spans="2:18" ht="19.5" thickBot="1" x14ac:dyDescent="0.35">
      <c r="E3" s="13" t="s">
        <v>12</v>
      </c>
      <c r="F3" s="11"/>
      <c r="G3" s="11"/>
      <c r="H3" s="12"/>
      <c r="I3" s="17"/>
      <c r="K3" s="86"/>
      <c r="L3" s="87" t="s">
        <v>263</v>
      </c>
      <c r="M3" s="88"/>
      <c r="N3" s="88"/>
      <c r="O3" s="88"/>
      <c r="P3" s="88"/>
      <c r="Q3" s="88"/>
      <c r="R3" s="89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6"/>
      <c r="L4" s="88"/>
      <c r="M4" s="88"/>
      <c r="N4" s="88"/>
      <c r="O4" s="88"/>
      <c r="P4" s="88"/>
      <c r="Q4" s="88"/>
      <c r="R4" s="89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6"/>
      <c r="L5" s="88" t="s">
        <v>274</v>
      </c>
      <c r="M5" s="88"/>
      <c r="N5" s="88"/>
      <c r="O5" s="88"/>
      <c r="P5" s="88"/>
      <c r="Q5" s="88" t="s">
        <v>46</v>
      </c>
      <c r="R5" s="89"/>
    </row>
    <row r="6" spans="2:18" x14ac:dyDescent="0.25">
      <c r="E6" s="10"/>
      <c r="F6" s="47" t="s">
        <v>308</v>
      </c>
      <c r="G6" s="48">
        <f ca="1">COUNTIF(I34:I69,"=--")</f>
        <v>26</v>
      </c>
      <c r="H6" s="12"/>
      <c r="K6" s="86"/>
      <c r="L6" s="88" t="s">
        <v>290</v>
      </c>
      <c r="M6" s="88"/>
      <c r="N6" s="88"/>
      <c r="O6" s="88"/>
      <c r="P6" s="88"/>
      <c r="Q6" s="88" t="s">
        <v>46</v>
      </c>
      <c r="R6" s="89"/>
    </row>
    <row r="7" spans="2:18" ht="15.75" thickBot="1" x14ac:dyDescent="0.3">
      <c r="E7" s="10"/>
      <c r="F7" s="50" t="s">
        <v>292</v>
      </c>
      <c r="G7" s="105">
        <f ca="1">IF(G4+G5+G6&gt;0,ROUNDDOWN(((5*G4)/(G4+G5+G6))+1,1),"Not defined")</f>
        <v>1</v>
      </c>
      <c r="H7" s="12"/>
      <c r="K7" s="86"/>
      <c r="L7" s="88" t="s">
        <v>291</v>
      </c>
      <c r="M7" s="88"/>
      <c r="N7" s="88"/>
      <c r="O7" s="88"/>
      <c r="P7" s="88"/>
      <c r="Q7" s="88" t="s">
        <v>46</v>
      </c>
      <c r="R7" s="89"/>
    </row>
    <row r="8" spans="2:18" x14ac:dyDescent="0.25">
      <c r="E8" s="10"/>
      <c r="F8" s="11"/>
      <c r="G8" s="11"/>
      <c r="H8" s="12"/>
      <c r="K8" s="86"/>
      <c r="L8" s="88" t="s">
        <v>293</v>
      </c>
      <c r="M8" s="88"/>
      <c r="N8" s="88"/>
      <c r="O8" s="88"/>
      <c r="P8" s="88"/>
      <c r="Q8" s="88" t="s">
        <v>46</v>
      </c>
      <c r="R8" s="89"/>
    </row>
    <row r="9" spans="2:18" x14ac:dyDescent="0.25">
      <c r="E9" s="10"/>
      <c r="F9" s="11"/>
      <c r="G9" s="11"/>
      <c r="H9" s="12"/>
      <c r="K9" s="86"/>
      <c r="L9" s="88" t="s">
        <v>294</v>
      </c>
      <c r="M9" s="88"/>
      <c r="N9" s="88"/>
      <c r="O9" s="88"/>
      <c r="P9" s="88"/>
      <c r="Q9" s="88" t="s">
        <v>46</v>
      </c>
      <c r="R9" s="89"/>
    </row>
    <row r="10" spans="2:18" x14ac:dyDescent="0.25">
      <c r="E10" s="10"/>
      <c r="F10" s="11"/>
      <c r="G10" s="11"/>
      <c r="H10" s="12"/>
      <c r="K10" s="86"/>
      <c r="L10" s="88" t="s">
        <v>295</v>
      </c>
      <c r="M10" s="88"/>
      <c r="N10" s="88"/>
      <c r="O10" s="88"/>
      <c r="P10" s="88"/>
      <c r="Q10" s="88" t="s">
        <v>46</v>
      </c>
      <c r="R10" s="89"/>
    </row>
    <row r="11" spans="2:18" ht="15.75" thickBot="1" x14ac:dyDescent="0.3">
      <c r="E11" s="14"/>
      <c r="F11" s="15"/>
      <c r="G11" s="15"/>
      <c r="H11" s="16"/>
      <c r="K11" s="86"/>
      <c r="L11" s="88" t="s">
        <v>297</v>
      </c>
      <c r="M11" s="88"/>
      <c r="N11" s="88"/>
      <c r="O11" s="88"/>
      <c r="P11" s="88"/>
      <c r="Q11" s="88" t="s">
        <v>46</v>
      </c>
      <c r="R11" s="89"/>
    </row>
    <row r="12" spans="2:18" x14ac:dyDescent="0.25">
      <c r="E12" s="38"/>
      <c r="F12" s="38"/>
      <c r="G12" s="38"/>
      <c r="H12" s="38"/>
      <c r="K12" s="86"/>
      <c r="L12" s="88" t="s">
        <v>296</v>
      </c>
      <c r="M12" s="88"/>
      <c r="N12" s="88"/>
      <c r="O12" s="88"/>
      <c r="P12" s="88"/>
      <c r="Q12" s="88" t="s">
        <v>46</v>
      </c>
      <c r="R12" s="89"/>
    </row>
    <row r="13" spans="2:18" x14ac:dyDescent="0.25">
      <c r="E13" s="38"/>
      <c r="F13" s="38"/>
      <c r="G13" s="38"/>
      <c r="H13" s="38"/>
      <c r="K13" s="86"/>
      <c r="L13" s="88" t="s">
        <v>298</v>
      </c>
      <c r="M13" s="88"/>
      <c r="N13" s="88"/>
      <c r="O13" s="88"/>
      <c r="P13" s="88"/>
      <c r="Q13" s="88" t="s">
        <v>46</v>
      </c>
      <c r="R13" s="89"/>
    </row>
    <row r="14" spans="2:18" ht="15.75" thickBot="1" x14ac:dyDescent="0.3">
      <c r="E14" s="38"/>
      <c r="F14" s="38"/>
      <c r="G14" s="38"/>
      <c r="H14" s="38"/>
      <c r="K14" s="86"/>
      <c r="L14" s="88"/>
      <c r="M14" s="88"/>
      <c r="N14" s="88"/>
      <c r="O14" s="88"/>
      <c r="P14" s="88" t="s">
        <v>275</v>
      </c>
      <c r="Q14" s="88">
        <f>COUNTIF(Q5:Q13,"&lt;&gt; ")</f>
        <v>9</v>
      </c>
      <c r="R14" s="89"/>
    </row>
    <row r="15" spans="2:18" ht="21.75" thickBot="1" x14ac:dyDescent="0.4">
      <c r="E15" s="38"/>
      <c r="F15" s="38"/>
      <c r="G15" s="38"/>
      <c r="H15" s="38"/>
      <c r="K15" s="86"/>
      <c r="L15" s="102"/>
      <c r="M15" s="88"/>
      <c r="N15" s="103" t="s">
        <v>299</v>
      </c>
      <c r="O15" s="88"/>
      <c r="P15" s="90" t="s">
        <v>276</v>
      </c>
      <c r="Q15" s="88">
        <f>COUNTIF(Q5:Q13,"=Ja")</f>
        <v>0</v>
      </c>
      <c r="R15" s="89"/>
    </row>
    <row r="16" spans="2:18" ht="21.75" thickBot="1" x14ac:dyDescent="0.4">
      <c r="E16" s="38"/>
      <c r="F16" s="38"/>
      <c r="G16" s="38"/>
      <c r="H16" s="38"/>
      <c r="K16" s="86"/>
      <c r="L16" s="88"/>
      <c r="M16" s="88">
        <f ca="1">(G7-1.5) + (Q16/4)</f>
        <v>-0.25</v>
      </c>
      <c r="N16" s="104">
        <f ca="1">IF(M16&lt;1,1,M16)</f>
        <v>1</v>
      </c>
      <c r="O16" s="88"/>
      <c r="P16" s="96" t="s">
        <v>292</v>
      </c>
      <c r="Q16" s="97">
        <f>(5/Q14)*Q15+1</f>
        <v>1</v>
      </c>
      <c r="R16" s="89"/>
    </row>
    <row r="17" spans="5:18" x14ac:dyDescent="0.25">
      <c r="E17" s="38"/>
      <c r="F17" s="38"/>
      <c r="G17" s="38"/>
      <c r="H17" s="38"/>
      <c r="K17" s="86"/>
      <c r="L17" s="88"/>
      <c r="M17" s="88"/>
      <c r="N17" s="88"/>
      <c r="O17" s="88"/>
      <c r="P17" s="88"/>
      <c r="Q17" s="88"/>
      <c r="R17" s="89"/>
    </row>
    <row r="18" spans="5:18" ht="15.75" thickBot="1" x14ac:dyDescent="0.3">
      <c r="E18" s="38"/>
      <c r="F18" s="38"/>
      <c r="G18" s="38"/>
      <c r="H18" s="38"/>
      <c r="K18" s="91"/>
      <c r="L18" s="92"/>
      <c r="M18" s="92"/>
      <c r="N18" s="92"/>
      <c r="O18" s="92"/>
      <c r="P18" s="92"/>
      <c r="Q18" s="92"/>
      <c r="R18" s="93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147</v>
      </c>
      <c r="G34" s="19" t="s">
        <v>7</v>
      </c>
      <c r="H34" s="3" t="s">
        <v>3</v>
      </c>
    </row>
    <row r="35" spans="2:9" x14ac:dyDescent="0.25">
      <c r="B35" s="4" t="s">
        <v>300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302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301</v>
      </c>
      <c r="E36" s="22" t="s">
        <v>262</v>
      </c>
      <c r="F36" s="22" t="b">
        <v>0</v>
      </c>
      <c r="G36" s="18" t="s">
        <v>303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133</v>
      </c>
      <c r="E37" s="22"/>
      <c r="F37" s="22" t="b">
        <v>1</v>
      </c>
      <c r="G37" s="18" t="s">
        <v>304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304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226</v>
      </c>
      <c r="F39" s="22" t="b">
        <v>0</v>
      </c>
      <c r="G39" s="18" t="s">
        <v>304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306</v>
      </c>
      <c r="E41" s="21" t="s">
        <v>307</v>
      </c>
      <c r="F41" s="21"/>
      <c r="G41" s="19" t="s">
        <v>7</v>
      </c>
      <c r="H41" s="3" t="s">
        <v>3</v>
      </c>
    </row>
    <row r="42" spans="2:9" x14ac:dyDescent="0.25">
      <c r="B42" s="4" t="s">
        <v>305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311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310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1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1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2020-10-21T11:15:05Z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