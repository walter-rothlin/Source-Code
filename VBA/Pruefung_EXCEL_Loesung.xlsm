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Datenaufbereitung_L" sheetId="15" r:id="rId3"/>
    <sheet name="StringFormeln" sheetId="40" r:id="rId4"/>
    <sheet name="StringFormeln_L" sheetId="33" r:id="rId5"/>
    <sheet name="Potenzen" sheetId="41" r:id="rId6"/>
    <sheet name="Potenzen_L" sheetId="8" r:id="rId7"/>
    <sheet name="QuadratischeFunktion" sheetId="42" r:id="rId8"/>
    <sheet name="QuadratischeFunktion_L" sheetId="9" r:id="rId9"/>
    <sheet name="TXT_Daten" sheetId="43" r:id="rId10"/>
    <sheet name="TXT_Daten_L" sheetId="10" r:id="rId11"/>
    <sheet name="VBA_Programmierung" sheetId="44" r:id="rId12"/>
    <sheet name="VBA_Programmierung_L" sheetId="3" r:id="rId13"/>
    <sheet name="StringOpsFormeln" sheetId="6" r:id="rId14"/>
  </sheets>
  <functionGroups builtInGroupCount="18"/>
  <definedNames>
    <definedName name="_xlnm._FilterDatabase" localSheetId="9" hidden="1">TXT_Daten!$A$22:$J$279</definedName>
    <definedName name="_xlnm._FilterDatabase" localSheetId="10" hidden="1">TXT_Daten_L!$A$22:$J$279</definedName>
  </definedNames>
  <calcPr calcId="152511"/>
</workbook>
</file>

<file path=xl/calcChain.xml><?xml version="1.0" encoding="utf-8"?>
<calcChain xmlns="http://schemas.openxmlformats.org/spreadsheetml/2006/main">
  <c r="C24" i="40" l="1"/>
  <c r="C25" i="40"/>
  <c r="C26" i="40"/>
  <c r="F37" i="15" l="1"/>
  <c r="C45" i="33" l="1"/>
  <c r="C46" i="33"/>
  <c r="C47" i="33"/>
  <c r="C12" i="9" l="1"/>
  <c r="C11" i="9"/>
  <c r="Y37" i="15" l="1"/>
  <c r="U37" i="15"/>
  <c r="Q37" i="15"/>
  <c r="L37" i="15"/>
  <c r="D37" i="15"/>
  <c r="W37" i="15" l="1"/>
  <c r="B27" i="2" l="1"/>
  <c r="AB64" i="46" l="1"/>
  <c r="AA64" i="46"/>
  <c r="AO63" i="46"/>
  <c r="AH63" i="46"/>
  <c r="AD63" i="46"/>
  <c r="Z63" i="46"/>
  <c r="X63" i="46"/>
  <c r="V63" i="46"/>
  <c r="R63" i="46"/>
  <c r="P63" i="46"/>
  <c r="M63" i="46"/>
  <c r="G63" i="46"/>
  <c r="E63" i="46"/>
  <c r="AO62" i="46"/>
  <c r="AJ62" i="46"/>
  <c r="AD62" i="46"/>
  <c r="Z62" i="46"/>
  <c r="X62" i="46"/>
  <c r="V62" i="46"/>
  <c r="R62" i="46"/>
  <c r="P62" i="46"/>
  <c r="M62" i="46"/>
  <c r="G62" i="46"/>
  <c r="E62" i="46"/>
  <c r="AO61" i="46"/>
  <c r="AL61" i="46"/>
  <c r="AJ61" i="46"/>
  <c r="AH61" i="46"/>
  <c r="AD61" i="46"/>
  <c r="Z61" i="46"/>
  <c r="X61" i="46"/>
  <c r="V61" i="46"/>
  <c r="R61" i="46"/>
  <c r="P61" i="46"/>
  <c r="M61" i="46"/>
  <c r="G61" i="46"/>
  <c r="E61" i="46"/>
  <c r="AO60" i="46"/>
  <c r="AL60" i="46"/>
  <c r="AJ60" i="46"/>
  <c r="AH60" i="46"/>
  <c r="AD60" i="46"/>
  <c r="Z60" i="46"/>
  <c r="X60" i="46"/>
  <c r="V60" i="46"/>
  <c r="R60" i="46"/>
  <c r="P60" i="46"/>
  <c r="M60" i="46"/>
  <c r="E60" i="46"/>
  <c r="G60" i="46"/>
  <c r="AO59" i="46"/>
  <c r="AL59" i="46"/>
  <c r="AJ59" i="46"/>
  <c r="AH59" i="46"/>
  <c r="AD59" i="46"/>
  <c r="Z59" i="46"/>
  <c r="X59" i="46"/>
  <c r="V59" i="46"/>
  <c r="R59" i="46"/>
  <c r="P59" i="46"/>
  <c r="M59" i="46"/>
  <c r="AO58" i="46"/>
  <c r="AJ58" i="46"/>
  <c r="AH58" i="46"/>
  <c r="AD58" i="46"/>
  <c r="X58" i="46"/>
  <c r="V58" i="46"/>
  <c r="Z58" i="46"/>
  <c r="P58" i="46"/>
  <c r="M58" i="46"/>
  <c r="AO57" i="46"/>
  <c r="AH57" i="46"/>
  <c r="AD57" i="46"/>
  <c r="Z57" i="46"/>
  <c r="X57" i="46"/>
  <c r="V57" i="46"/>
  <c r="R57" i="46"/>
  <c r="P57" i="46"/>
  <c r="M57" i="46"/>
  <c r="G57" i="46"/>
  <c r="E57" i="46"/>
  <c r="AO56" i="46"/>
  <c r="AJ56" i="46"/>
  <c r="AH56" i="46"/>
  <c r="AD56" i="46"/>
  <c r="Z56" i="46"/>
  <c r="X56" i="46"/>
  <c r="V56" i="46"/>
  <c r="R56" i="46"/>
  <c r="P56" i="46"/>
  <c r="M56" i="46"/>
  <c r="G56" i="46"/>
  <c r="E56" i="46"/>
  <c r="AO55" i="46"/>
  <c r="AL55" i="46"/>
  <c r="AJ55" i="46"/>
  <c r="AH55" i="46"/>
  <c r="AD55" i="46"/>
  <c r="Z55" i="46"/>
  <c r="X55" i="46"/>
  <c r="V55" i="46"/>
  <c r="R55" i="46"/>
  <c r="P55" i="46"/>
  <c r="M55" i="46"/>
  <c r="G55" i="46"/>
  <c r="E55" i="46"/>
  <c r="AO54" i="46"/>
  <c r="AJ54" i="46"/>
  <c r="AD54" i="46"/>
  <c r="Z54" i="46"/>
  <c r="X54" i="46"/>
  <c r="V54" i="46"/>
  <c r="R54" i="46"/>
  <c r="P54" i="46"/>
  <c r="M54" i="46"/>
  <c r="G54" i="46"/>
  <c r="E54" i="46"/>
  <c r="AO53" i="46"/>
  <c r="AL53" i="46"/>
  <c r="AJ53" i="46"/>
  <c r="AH53" i="46"/>
  <c r="AD53" i="46"/>
  <c r="Z53" i="46"/>
  <c r="X53" i="46"/>
  <c r="V53" i="46"/>
  <c r="R53" i="46"/>
  <c r="P53" i="46"/>
  <c r="M53" i="46"/>
  <c r="E53" i="46"/>
  <c r="AO52" i="46"/>
  <c r="AL52" i="46"/>
  <c r="AJ52" i="46"/>
  <c r="AH52" i="46"/>
  <c r="AD52" i="46"/>
  <c r="Z52" i="46"/>
  <c r="X52" i="46"/>
  <c r="V52" i="46"/>
  <c r="R52" i="46"/>
  <c r="P52" i="46"/>
  <c r="M52" i="46"/>
  <c r="G52" i="46"/>
  <c r="E52" i="46"/>
  <c r="AO51" i="46"/>
  <c r="AH51" i="46"/>
  <c r="AD51" i="46"/>
  <c r="Z51" i="46"/>
  <c r="X51" i="46"/>
  <c r="V51" i="46"/>
  <c r="R51" i="46"/>
  <c r="P51" i="46"/>
  <c r="M51" i="46"/>
  <c r="AO50" i="46"/>
  <c r="AJ50" i="46"/>
  <c r="AD50" i="46"/>
  <c r="Z50" i="46"/>
  <c r="X50" i="46"/>
  <c r="V50" i="46"/>
  <c r="R50" i="46"/>
  <c r="P50" i="46"/>
  <c r="M50" i="46"/>
  <c r="G50" i="46"/>
  <c r="E50" i="46"/>
  <c r="AO49" i="46"/>
  <c r="AH49" i="46"/>
  <c r="AD49" i="46"/>
  <c r="Z49" i="46"/>
  <c r="X49" i="46"/>
  <c r="V49" i="46"/>
  <c r="R49" i="46"/>
  <c r="P49" i="46"/>
  <c r="M49" i="46"/>
  <c r="AO48" i="46"/>
  <c r="AL48" i="46"/>
  <c r="AJ48" i="46"/>
  <c r="AH48" i="46"/>
  <c r="AD48" i="46"/>
  <c r="Z48" i="46"/>
  <c r="X48" i="46"/>
  <c r="V48" i="46"/>
  <c r="R48" i="46"/>
  <c r="P48" i="46"/>
  <c r="M48" i="46"/>
  <c r="AO47" i="46"/>
  <c r="AH47" i="46"/>
  <c r="AD47" i="46"/>
  <c r="Z47" i="46"/>
  <c r="X47" i="46"/>
  <c r="V47" i="46"/>
  <c r="R47" i="46"/>
  <c r="P47" i="46"/>
  <c r="M47" i="46"/>
  <c r="E47" i="46"/>
  <c r="AO46" i="46"/>
  <c r="AL46" i="46"/>
  <c r="AJ46" i="46"/>
  <c r="AH46" i="46"/>
  <c r="AD46" i="46"/>
  <c r="Z46" i="46"/>
  <c r="X46" i="46"/>
  <c r="V46" i="46"/>
  <c r="R46" i="46"/>
  <c r="P46" i="46"/>
  <c r="M46" i="46"/>
  <c r="G46" i="46"/>
  <c r="AO45" i="46"/>
  <c r="AJ45" i="46"/>
  <c r="AH45" i="46"/>
  <c r="AD45" i="46"/>
  <c r="Z45" i="46"/>
  <c r="X45" i="46"/>
  <c r="V45" i="46"/>
  <c r="R45" i="46"/>
  <c r="P45" i="46"/>
  <c r="M45" i="46"/>
  <c r="E45" i="46"/>
  <c r="AO44" i="46"/>
  <c r="AJ44" i="46"/>
  <c r="AD44" i="46"/>
  <c r="X44" i="46"/>
  <c r="V44" i="46"/>
  <c r="Z44" i="46"/>
  <c r="P44" i="46"/>
  <c r="M44" i="46"/>
  <c r="G44" i="46"/>
  <c r="E44" i="46"/>
  <c r="AO43" i="46"/>
  <c r="AL43" i="46"/>
  <c r="AH43" i="46"/>
  <c r="AD43" i="46"/>
  <c r="Z43" i="46"/>
  <c r="X43" i="46"/>
  <c r="V43" i="46"/>
  <c r="R43" i="46"/>
  <c r="P43" i="46"/>
  <c r="M43" i="46"/>
  <c r="G43" i="46"/>
  <c r="AO42" i="46"/>
  <c r="AJ42" i="46"/>
  <c r="AL42" i="46"/>
  <c r="AD42" i="46"/>
  <c r="Z42" i="46"/>
  <c r="X42" i="46"/>
  <c r="V42" i="46"/>
  <c r="R42" i="46"/>
  <c r="P42" i="46"/>
  <c r="M42" i="46"/>
  <c r="G42" i="46"/>
  <c r="E42" i="46"/>
  <c r="AO41" i="46"/>
  <c r="AJ41" i="46"/>
  <c r="AL41" i="46"/>
  <c r="AH41" i="46"/>
  <c r="AD41" i="46"/>
  <c r="X41" i="46"/>
  <c r="V41" i="46"/>
  <c r="R41" i="46"/>
  <c r="Z41" i="46"/>
  <c r="P41" i="46"/>
  <c r="M41" i="46"/>
  <c r="G41" i="46"/>
  <c r="AO40" i="46"/>
  <c r="AJ40" i="46"/>
  <c r="AL40" i="46"/>
  <c r="AD40" i="46"/>
  <c r="Z40" i="46"/>
  <c r="X40" i="46"/>
  <c r="V40" i="46"/>
  <c r="R40" i="46"/>
  <c r="P40" i="46"/>
  <c r="M40" i="46"/>
  <c r="G40" i="46"/>
  <c r="E40" i="46"/>
  <c r="AO39" i="46"/>
  <c r="AJ39" i="46"/>
  <c r="AL39" i="46"/>
  <c r="AH39" i="46"/>
  <c r="AD39" i="46"/>
  <c r="X39" i="46"/>
  <c r="V39" i="46"/>
  <c r="R39" i="46"/>
  <c r="Z39" i="46"/>
  <c r="P39" i="46"/>
  <c r="M39" i="46"/>
  <c r="G39" i="46"/>
  <c r="AO38" i="46"/>
  <c r="AJ38" i="46"/>
  <c r="AL38" i="46"/>
  <c r="AD38" i="46"/>
  <c r="Z38" i="46"/>
  <c r="X38" i="46"/>
  <c r="V38" i="46"/>
  <c r="R38" i="46"/>
  <c r="P38" i="46"/>
  <c r="M38" i="46"/>
  <c r="G38" i="46"/>
  <c r="E38" i="46"/>
  <c r="AO37" i="46"/>
  <c r="AJ37" i="46"/>
  <c r="AL37" i="46"/>
  <c r="AH37" i="46"/>
  <c r="AC64" i="46"/>
  <c r="Z37" i="46"/>
  <c r="W64" i="46"/>
  <c r="X64" i="46" s="1"/>
  <c r="R37" i="46"/>
  <c r="P37" i="46"/>
  <c r="M37" i="46"/>
  <c r="G37" i="46"/>
  <c r="Y16" i="46"/>
  <c r="Y15" i="46"/>
  <c r="AD64" i="46"/>
  <c r="AH64" i="46"/>
  <c r="Z64" i="46"/>
  <c r="AO67" i="46" l="1"/>
  <c r="AO66" i="46"/>
  <c r="AO65" i="46"/>
  <c r="P67" i="46"/>
  <c r="P65" i="46"/>
  <c r="P66" i="46"/>
  <c r="AD37" i="46"/>
  <c r="AH42" i="46"/>
  <c r="AJ43" i="46"/>
  <c r="R44" i="46"/>
  <c r="AH50" i="46"/>
  <c r="AL50" i="46"/>
  <c r="AH40" i="46"/>
  <c r="AH44" i="46"/>
  <c r="AL44" i="46"/>
  <c r="AJ47" i="46"/>
  <c r="AL47" i="46"/>
  <c r="E49" i="46"/>
  <c r="G49" i="46"/>
  <c r="M65" i="46"/>
  <c r="M67" i="46"/>
  <c r="M66" i="46"/>
  <c r="E48" i="46"/>
  <c r="G48" i="46"/>
  <c r="AH38" i="46"/>
  <c r="E37" i="46"/>
  <c r="X37" i="46"/>
  <c r="Y17" i="46"/>
  <c r="Z67" i="46"/>
  <c r="Z66" i="46"/>
  <c r="Z65" i="46"/>
  <c r="E39" i="46"/>
  <c r="E41" i="46"/>
  <c r="E43" i="46"/>
  <c r="AL51" i="46"/>
  <c r="AJ51" i="46"/>
  <c r="AJ57" i="46"/>
  <c r="AL57" i="46"/>
  <c r="U64" i="46"/>
  <c r="V64" i="46" s="1"/>
  <c r="G51" i="46"/>
  <c r="E51" i="46"/>
  <c r="G58" i="46"/>
  <c r="E58" i="46"/>
  <c r="AH62" i="46"/>
  <c r="AL62" i="46"/>
  <c r="AL45" i="46"/>
  <c r="E46" i="46"/>
  <c r="G47" i="46"/>
  <c r="V37" i="46"/>
  <c r="G45" i="46"/>
  <c r="AL49" i="46"/>
  <c r="AJ49" i="46"/>
  <c r="G53" i="46"/>
  <c r="AH54" i="46"/>
  <c r="AL54" i="46"/>
  <c r="E59" i="46"/>
  <c r="G59" i="46"/>
  <c r="AL58" i="46"/>
  <c r="AL63" i="46"/>
  <c r="AJ63" i="46"/>
  <c r="AL56" i="46"/>
  <c r="R58" i="46"/>
  <c r="J29" i="2"/>
  <c r="J30" i="2"/>
  <c r="J31" i="2"/>
  <c r="C33" i="40"/>
  <c r="C32" i="40"/>
  <c r="C31" i="40"/>
  <c r="C30" i="40"/>
  <c r="H30" i="40" s="1"/>
  <c r="C23" i="40"/>
  <c r="B35" i="2"/>
  <c r="B31" i="2"/>
  <c r="AN38" i="15"/>
  <c r="B2" i="33"/>
  <c r="B2" i="8"/>
  <c r="B2" i="9"/>
  <c r="B2" i="10"/>
  <c r="B30" i="2"/>
  <c r="B29" i="2"/>
  <c r="B28" i="2"/>
  <c r="G38" i="44"/>
  <c r="G37" i="44"/>
  <c r="G36" i="44"/>
  <c r="G35" i="44"/>
  <c r="R15" i="44"/>
  <c r="R16" i="44" s="1"/>
  <c r="R14" i="44"/>
  <c r="R15" i="43"/>
  <c r="R14" i="43"/>
  <c r="V30" i="42"/>
  <c r="V29" i="42"/>
  <c r="V31" i="42" s="1"/>
  <c r="H30" i="2" s="1"/>
  <c r="D12" i="42"/>
  <c r="C12" i="42"/>
  <c r="D11" i="42"/>
  <c r="C11" i="42"/>
  <c r="E10" i="42"/>
  <c r="E12" i="42" s="1"/>
  <c r="D10" i="42"/>
  <c r="V26" i="41"/>
  <c r="V25" i="41"/>
  <c r="V27" i="41" s="1"/>
  <c r="H29" i="2" s="1"/>
  <c r="C11" i="41"/>
  <c r="D10" i="41"/>
  <c r="D11" i="41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Y16" i="15"/>
  <c r="Y15" i="15"/>
  <c r="C110" i="44"/>
  <c r="C107" i="44"/>
  <c r="C72" i="44"/>
  <c r="C92" i="44"/>
  <c r="C117" i="44"/>
  <c r="C36" i="44"/>
  <c r="C103" i="44"/>
  <c r="C54" i="44"/>
  <c r="C83" i="44"/>
  <c r="C44" i="44"/>
  <c r="C62" i="44"/>
  <c r="C60" i="44"/>
  <c r="H54" i="44"/>
  <c r="C118" i="44"/>
  <c r="C78" i="44"/>
  <c r="C115" i="44"/>
  <c r="C73" i="44"/>
  <c r="C37" i="44"/>
  <c r="C41" i="44"/>
  <c r="C63" i="44"/>
  <c r="C88" i="44"/>
  <c r="C68" i="44"/>
  <c r="H68" i="44" s="1"/>
  <c r="C45" i="44"/>
  <c r="C98" i="44"/>
  <c r="C95" i="44"/>
  <c r="C57" i="44"/>
  <c r="C113" i="44"/>
  <c r="C96" i="44"/>
  <c r="C106" i="44"/>
  <c r="C38" i="44"/>
  <c r="C77" i="44"/>
  <c r="C108" i="44"/>
  <c r="C42" i="44"/>
  <c r="C102" i="44"/>
  <c r="C91" i="44"/>
  <c r="C51" i="44"/>
  <c r="C114" i="44"/>
  <c r="C70" i="44"/>
  <c r="C76" i="44"/>
  <c r="H72" i="44"/>
  <c r="C43" i="44"/>
  <c r="C84" i="44"/>
  <c r="C50" i="44"/>
  <c r="H50" i="44" s="1"/>
  <c r="C93" i="44"/>
  <c r="C53" i="44"/>
  <c r="H53" i="44" s="1"/>
  <c r="C82" i="44"/>
  <c r="C35" i="44"/>
  <c r="C85" i="44"/>
  <c r="C109" i="44"/>
  <c r="C59" i="44"/>
  <c r="C101" i="44"/>
  <c r="C71" i="44"/>
  <c r="C61" i="44"/>
  <c r="I23" i="40"/>
  <c r="C86" i="44"/>
  <c r="C58" i="44"/>
  <c r="C94" i="44"/>
  <c r="C79" i="44"/>
  <c r="C52" i="44"/>
  <c r="C97" i="44"/>
  <c r="C48" i="44"/>
  <c r="H48" i="44" s="1"/>
  <c r="C116" i="44"/>
  <c r="C87" i="44"/>
  <c r="C67" i="44"/>
  <c r="H70" i="44"/>
  <c r="C49" i="44"/>
  <c r="C69" i="44"/>
  <c r="H57" i="44"/>
  <c r="H63" i="44"/>
  <c r="H59" i="44"/>
  <c r="H62" i="44"/>
  <c r="I26" i="40"/>
  <c r="I24" i="40"/>
  <c r="I25" i="40"/>
  <c r="AJ67" i="46" l="1"/>
  <c r="AL66" i="46"/>
  <c r="AJ66" i="46"/>
  <c r="AL65" i="46"/>
  <c r="AH67" i="46"/>
  <c r="AH65" i="46"/>
  <c r="AL67" i="46"/>
  <c r="R67" i="46"/>
  <c r="G66" i="46"/>
  <c r="G67" i="46"/>
  <c r="AD67" i="46"/>
  <c r="AD66" i="46"/>
  <c r="AD65" i="46"/>
  <c r="X65" i="46"/>
  <c r="X66" i="46"/>
  <c r="X67" i="46"/>
  <c r="AH66" i="46"/>
  <c r="G65" i="46"/>
  <c r="AJ65" i="46"/>
  <c r="R65" i="46"/>
  <c r="R66" i="46"/>
  <c r="V66" i="46"/>
  <c r="V65" i="46"/>
  <c r="V67" i="46"/>
  <c r="E67" i="46"/>
  <c r="E66" i="46"/>
  <c r="E65" i="46"/>
  <c r="R16" i="43"/>
  <c r="H31" i="2" s="1"/>
  <c r="J42" i="44"/>
  <c r="H42" i="44"/>
  <c r="J48" i="44"/>
  <c r="J52" i="44"/>
  <c r="J58" i="44"/>
  <c r="J62" i="44"/>
  <c r="J93" i="44"/>
  <c r="H93" i="44"/>
  <c r="J109" i="44"/>
  <c r="H109" i="44"/>
  <c r="H35" i="44"/>
  <c r="J35" i="44"/>
  <c r="J41" i="44"/>
  <c r="H41" i="44"/>
  <c r="J45" i="44"/>
  <c r="H45" i="44"/>
  <c r="J51" i="44"/>
  <c r="J57" i="44"/>
  <c r="J61" i="44"/>
  <c r="J92" i="44"/>
  <c r="H92" i="44"/>
  <c r="J96" i="44"/>
  <c r="H96" i="44"/>
  <c r="J102" i="44"/>
  <c r="H102" i="44"/>
  <c r="J108" i="44"/>
  <c r="H108" i="44"/>
  <c r="J114" i="44"/>
  <c r="H114" i="44"/>
  <c r="J118" i="44"/>
  <c r="H118" i="44"/>
  <c r="H36" i="44"/>
  <c r="J36" i="44"/>
  <c r="H44" i="44"/>
  <c r="J44" i="44"/>
  <c r="J50" i="44"/>
  <c r="J54" i="44"/>
  <c r="J60" i="44"/>
  <c r="J67" i="44"/>
  <c r="J68" i="44"/>
  <c r="J69" i="44"/>
  <c r="J70" i="44"/>
  <c r="J71" i="44"/>
  <c r="J72" i="44"/>
  <c r="J73" i="44"/>
  <c r="H76" i="44"/>
  <c r="J76" i="44"/>
  <c r="H77" i="44"/>
  <c r="J77" i="44"/>
  <c r="H78" i="44"/>
  <c r="J78" i="44"/>
  <c r="H79" i="44"/>
  <c r="J79" i="44"/>
  <c r="H82" i="44"/>
  <c r="J82" i="44"/>
  <c r="H83" i="44"/>
  <c r="J83" i="44"/>
  <c r="H84" i="44"/>
  <c r="J84" i="44"/>
  <c r="H85" i="44"/>
  <c r="J85" i="44"/>
  <c r="H86" i="44"/>
  <c r="J86" i="44"/>
  <c r="H87" i="44"/>
  <c r="J87" i="44"/>
  <c r="H88" i="44"/>
  <c r="J88" i="44"/>
  <c r="H91" i="44"/>
  <c r="J91" i="44"/>
  <c r="H95" i="44"/>
  <c r="J95" i="44"/>
  <c r="H101" i="44"/>
  <c r="J101" i="44"/>
  <c r="H107" i="44"/>
  <c r="J107" i="44"/>
  <c r="H113" i="44"/>
  <c r="J113" i="44"/>
  <c r="H117" i="44"/>
  <c r="J117" i="44"/>
  <c r="J38" i="44"/>
  <c r="J97" i="44"/>
  <c r="H97" i="44"/>
  <c r="J103" i="44"/>
  <c r="H103" i="44"/>
  <c r="J115" i="44"/>
  <c r="H115" i="44"/>
  <c r="J37" i="44"/>
  <c r="H43" i="44"/>
  <c r="J43" i="44"/>
  <c r="J49" i="44"/>
  <c r="J53" i="44"/>
  <c r="J59" i="44"/>
  <c r="J63" i="44"/>
  <c r="H94" i="44"/>
  <c r="J94" i="44"/>
  <c r="H98" i="44"/>
  <c r="J98" i="44"/>
  <c r="H106" i="44"/>
  <c r="J106" i="44"/>
  <c r="H110" i="44"/>
  <c r="J110" i="44"/>
  <c r="J116" i="44"/>
  <c r="H116" i="44"/>
  <c r="H37" i="44"/>
  <c r="H38" i="44"/>
  <c r="F10" i="42"/>
  <c r="E11" i="42"/>
  <c r="E10" i="41"/>
  <c r="H23" i="40"/>
  <c r="Y17" i="15"/>
  <c r="R14" i="3"/>
  <c r="R15" i="3"/>
  <c r="H69" i="44"/>
  <c r="H73" i="44"/>
  <c r="I68" i="44"/>
  <c r="C35" i="3"/>
  <c r="I70" i="44"/>
  <c r="I73" i="44"/>
  <c r="I85" i="44"/>
  <c r="I71" i="44"/>
  <c r="I82" i="44"/>
  <c r="C58" i="3"/>
  <c r="I36" i="44"/>
  <c r="I35" i="44"/>
  <c r="I77" i="44"/>
  <c r="I88" i="44"/>
  <c r="I87" i="44"/>
  <c r="I78" i="44"/>
  <c r="H52" i="44"/>
  <c r="I67" i="44"/>
  <c r="H49" i="44"/>
  <c r="C63" i="3"/>
  <c r="C61" i="3"/>
  <c r="C60" i="3"/>
  <c r="I79" i="44"/>
  <c r="I37" i="44"/>
  <c r="I38" i="44"/>
  <c r="I83" i="44"/>
  <c r="C59" i="3"/>
  <c r="I69" i="44"/>
  <c r="I72" i="44"/>
  <c r="H67" i="44"/>
  <c r="H71" i="44"/>
  <c r="C62" i="3"/>
  <c r="C48" i="3"/>
  <c r="H51" i="44"/>
  <c r="I84" i="44"/>
  <c r="I76" i="44"/>
  <c r="C57" i="3"/>
  <c r="I86" i="44"/>
  <c r="H60" i="44"/>
  <c r="H58" i="44"/>
  <c r="H61" i="44"/>
  <c r="K4" i="46" l="1"/>
  <c r="K5" i="46"/>
  <c r="K3" i="46"/>
  <c r="G5" i="44"/>
  <c r="G4" i="44"/>
  <c r="G6" i="44"/>
  <c r="F12" i="42"/>
  <c r="F11" i="42"/>
  <c r="G10" i="42"/>
  <c r="F10" i="41"/>
  <c r="E11" i="41"/>
  <c r="G6" i="40"/>
  <c r="G4" i="40"/>
  <c r="G5" i="40"/>
  <c r="J57" i="3"/>
  <c r="J61" i="3"/>
  <c r="J60" i="3"/>
  <c r="J59" i="3"/>
  <c r="J63" i="3"/>
  <c r="J62" i="3"/>
  <c r="J58" i="3"/>
  <c r="R16" i="3"/>
  <c r="C42" i="3"/>
  <c r="C45" i="3"/>
  <c r="C54" i="3"/>
  <c r="C44" i="3"/>
  <c r="C43" i="3"/>
  <c r="H48" i="3"/>
  <c r="C53" i="3"/>
  <c r="H53" i="3" s="1"/>
  <c r="C52" i="3"/>
  <c r="C50" i="3"/>
  <c r="C41" i="3"/>
  <c r="C51" i="3"/>
  <c r="C49" i="3"/>
  <c r="H52" i="3"/>
  <c r="H61" i="3"/>
  <c r="H57" i="3"/>
  <c r="H58" i="3"/>
  <c r="H62" i="3"/>
  <c r="H60" i="3"/>
  <c r="H63" i="3"/>
  <c r="H59" i="3"/>
  <c r="K6" i="46" l="1"/>
  <c r="L6" i="46" s="1"/>
  <c r="S17" i="46" s="1"/>
  <c r="T17" i="46" s="1"/>
  <c r="H27" i="2" s="1"/>
  <c r="G7" i="44"/>
  <c r="O16" i="44" s="1"/>
  <c r="H35" i="2" s="1"/>
  <c r="J36" i="2" s="1"/>
  <c r="G11" i="42"/>
  <c r="H10" i="42"/>
  <c r="G12" i="42"/>
  <c r="G10" i="41"/>
  <c r="F11" i="41"/>
  <c r="G7" i="40"/>
  <c r="H28" i="2" s="1"/>
  <c r="J28" i="2" s="1"/>
  <c r="J41" i="3"/>
  <c r="J45" i="3"/>
  <c r="H45" i="3"/>
  <c r="J43" i="3"/>
  <c r="H43" i="3"/>
  <c r="J42" i="3"/>
  <c r="J35" i="3"/>
  <c r="J44" i="3"/>
  <c r="J52" i="3"/>
  <c r="J51" i="3"/>
  <c r="J54" i="3"/>
  <c r="J53" i="3"/>
  <c r="J50" i="3"/>
  <c r="J49" i="3"/>
  <c r="J48" i="3"/>
  <c r="H44" i="3"/>
  <c r="H41" i="3"/>
  <c r="H42" i="3"/>
  <c r="R15" i="10"/>
  <c r="R14" i="10"/>
  <c r="R16" i="10" s="1"/>
  <c r="H51" i="3"/>
  <c r="H54" i="3"/>
  <c r="H49" i="3"/>
  <c r="H50" i="3"/>
  <c r="I10" i="42" l="1"/>
  <c r="H12" i="42"/>
  <c r="H11" i="42"/>
  <c r="G11" i="41"/>
  <c r="H10" i="41"/>
  <c r="I12" i="42" l="1"/>
  <c r="I11" i="42"/>
  <c r="J10" i="42"/>
  <c r="H11" i="41"/>
  <c r="I10" i="41"/>
  <c r="J27" i="2"/>
  <c r="J32" i="2" s="1"/>
  <c r="V25" i="8"/>
  <c r="V27" i="8" s="1"/>
  <c r="V26" i="8"/>
  <c r="V29" i="9"/>
  <c r="V30" i="9"/>
  <c r="D10" i="9"/>
  <c r="E10" i="9" s="1"/>
  <c r="F10" i="9" s="1"/>
  <c r="G10" i="9" s="1"/>
  <c r="H10" i="9" s="1"/>
  <c r="I10" i="9" s="1"/>
  <c r="J10" i="9" s="1"/>
  <c r="K10" i="9" s="1"/>
  <c r="L10" i="9" s="1"/>
  <c r="M10" i="9" s="1"/>
  <c r="N10" i="9" s="1"/>
  <c r="O10" i="9" s="1"/>
  <c r="P10" i="9" s="1"/>
  <c r="Q10" i="9" s="1"/>
  <c r="R10" i="9" s="1"/>
  <c r="S10" i="9" s="1"/>
  <c r="T10" i="9" s="1"/>
  <c r="U10" i="9" s="1"/>
  <c r="V10" i="9" s="1"/>
  <c r="W10" i="9" s="1"/>
  <c r="D10" i="8"/>
  <c r="E10" i="8" s="1"/>
  <c r="F10" i="8" s="1"/>
  <c r="G10" i="8" s="1"/>
  <c r="H10" i="8" s="1"/>
  <c r="I10" i="8" s="1"/>
  <c r="J10" i="8" s="1"/>
  <c r="K10" i="8" s="1"/>
  <c r="L10" i="8" s="1"/>
  <c r="M10" i="8" s="1"/>
  <c r="G4" i="33"/>
  <c r="C101" i="33"/>
  <c r="C102" i="33"/>
  <c r="C103" i="33"/>
  <c r="C100" i="33"/>
  <c r="H100" i="33"/>
  <c r="H103" i="33"/>
  <c r="H102" i="33"/>
  <c r="H101" i="33"/>
  <c r="C108" i="33"/>
  <c r="H108" i="33" s="1"/>
  <c r="C109" i="33"/>
  <c r="C110" i="33"/>
  <c r="C107" i="33"/>
  <c r="C30" i="33"/>
  <c r="C94" i="33"/>
  <c r="C95" i="33"/>
  <c r="H95" i="33" s="1"/>
  <c r="C96" i="33"/>
  <c r="H96" i="33" s="1"/>
  <c r="C93" i="33"/>
  <c r="H93" i="33" s="1"/>
  <c r="H94" i="33"/>
  <c r="C87" i="33"/>
  <c r="H87" i="33" s="1"/>
  <c r="C88" i="33"/>
  <c r="H88" i="33" s="1"/>
  <c r="C89" i="33"/>
  <c r="H89" i="33" s="1"/>
  <c r="C86" i="33"/>
  <c r="H86" i="33"/>
  <c r="C80" i="33"/>
  <c r="C81" i="33"/>
  <c r="H81" i="33" s="1"/>
  <c r="C82" i="33"/>
  <c r="H82" i="33" s="1"/>
  <c r="C79" i="33"/>
  <c r="H79" i="33" s="1"/>
  <c r="H80" i="33"/>
  <c r="C73" i="33"/>
  <c r="H73" i="33" s="1"/>
  <c r="C74" i="33"/>
  <c r="H74" i="33" s="1"/>
  <c r="C75" i="33"/>
  <c r="H75" i="33" s="1"/>
  <c r="C72" i="33"/>
  <c r="H72" i="33" s="1"/>
  <c r="C66" i="33"/>
  <c r="C67" i="33"/>
  <c r="C68" i="33"/>
  <c r="C65" i="33"/>
  <c r="C59" i="33"/>
  <c r="H59" i="33" s="1"/>
  <c r="C60" i="33"/>
  <c r="H60" i="33" s="1"/>
  <c r="C61" i="33"/>
  <c r="H61" i="33" s="1"/>
  <c r="C58" i="33"/>
  <c r="H58" i="33" s="1"/>
  <c r="C52" i="33"/>
  <c r="H52" i="33" s="1"/>
  <c r="C53" i="33"/>
  <c r="H53" i="33" s="1"/>
  <c r="C54" i="33"/>
  <c r="H54" i="33" s="1"/>
  <c r="C51" i="33"/>
  <c r="H51" i="33" s="1"/>
  <c r="C44" i="33"/>
  <c r="H47" i="33"/>
  <c r="H46" i="33"/>
  <c r="H45" i="33"/>
  <c r="H44" i="33"/>
  <c r="C38" i="33"/>
  <c r="H38" i="33" s="1"/>
  <c r="C39" i="33"/>
  <c r="H39" i="33" s="1"/>
  <c r="C40" i="33"/>
  <c r="H40" i="33" s="1"/>
  <c r="C37" i="33"/>
  <c r="H37" i="33" s="1"/>
  <c r="H110" i="33"/>
  <c r="H109" i="33"/>
  <c r="C31" i="33"/>
  <c r="H31" i="33" s="1"/>
  <c r="C32" i="33"/>
  <c r="H32" i="33" s="1"/>
  <c r="C33" i="33"/>
  <c r="H33" i="33" s="1"/>
  <c r="C25" i="33"/>
  <c r="H25" i="33" s="1"/>
  <c r="C26" i="33"/>
  <c r="H26" i="33" s="1"/>
  <c r="C24" i="33"/>
  <c r="H24" i="33" s="1"/>
  <c r="C23" i="33"/>
  <c r="H23" i="33" s="1"/>
  <c r="J12" i="42" l="1"/>
  <c r="J11" i="42"/>
  <c r="K10" i="42"/>
  <c r="J10" i="41"/>
  <c r="I11" i="41"/>
  <c r="V31" i="9"/>
  <c r="H107" i="33"/>
  <c r="H30" i="33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I26" i="33"/>
  <c r="I23" i="33"/>
  <c r="I24" i="33"/>
  <c r="I25" i="33"/>
  <c r="K11" i="42" l="1"/>
  <c r="L10" i="42"/>
  <c r="K12" i="42"/>
  <c r="K10" i="41"/>
  <c r="J11" i="41"/>
  <c r="AB64" i="15"/>
  <c r="AA64" i="15"/>
  <c r="AN63" i="15"/>
  <c r="AO63" i="15" s="1"/>
  <c r="AI63" i="15"/>
  <c r="AG63" i="15"/>
  <c r="AH63" i="15" s="1"/>
  <c r="AC63" i="15"/>
  <c r="AD63" i="15" s="1"/>
  <c r="Y63" i="15"/>
  <c r="Z63" i="15" s="1"/>
  <c r="W63" i="15"/>
  <c r="X63" i="15" s="1"/>
  <c r="V63" i="15"/>
  <c r="U63" i="15"/>
  <c r="Q63" i="15"/>
  <c r="R63" i="15" s="1"/>
  <c r="O63" i="15"/>
  <c r="P63" i="15" s="1"/>
  <c r="L63" i="15"/>
  <c r="M63" i="15" s="1"/>
  <c r="F63" i="15"/>
  <c r="G63" i="15" s="1"/>
  <c r="E63" i="15"/>
  <c r="AN62" i="15"/>
  <c r="AO62" i="15" s="1"/>
  <c r="AI62" i="15"/>
  <c r="AJ62" i="15" s="1"/>
  <c r="AG62" i="15"/>
  <c r="AH62" i="15" s="1"/>
  <c r="AC62" i="15"/>
  <c r="AD62" i="15" s="1"/>
  <c r="Y62" i="15"/>
  <c r="Z62" i="15" s="1"/>
  <c r="W62" i="15"/>
  <c r="X62" i="15" s="1"/>
  <c r="U62" i="15"/>
  <c r="V62" i="15" s="1"/>
  <c r="Q62" i="15"/>
  <c r="R62" i="15" s="1"/>
  <c r="O62" i="15"/>
  <c r="P62" i="15" s="1"/>
  <c r="L62" i="15"/>
  <c r="M62" i="15" s="1"/>
  <c r="F62" i="15"/>
  <c r="G62" i="15" s="1"/>
  <c r="E62" i="15"/>
  <c r="AN61" i="15"/>
  <c r="AO61" i="15" s="1"/>
  <c r="AK61" i="15"/>
  <c r="AL61" i="15" s="1"/>
  <c r="AI61" i="15"/>
  <c r="AJ61" i="15" s="1"/>
  <c r="AG61" i="15"/>
  <c r="AH61" i="15" s="1"/>
  <c r="AC61" i="15"/>
  <c r="AD61" i="15" s="1"/>
  <c r="Y61" i="15"/>
  <c r="Z61" i="15" s="1"/>
  <c r="W61" i="15"/>
  <c r="X61" i="15" s="1"/>
  <c r="U61" i="15"/>
  <c r="V61" i="15" s="1"/>
  <c r="Q61" i="15"/>
  <c r="R61" i="15" s="1"/>
  <c r="O61" i="15"/>
  <c r="P61" i="15" s="1"/>
  <c r="L61" i="15"/>
  <c r="M61" i="15" s="1"/>
  <c r="E61" i="15"/>
  <c r="AN60" i="15"/>
  <c r="AO60" i="15" s="1"/>
  <c r="AI60" i="15"/>
  <c r="AJ60" i="15" s="1"/>
  <c r="AG60" i="15"/>
  <c r="AH60" i="15" s="1"/>
  <c r="AC60" i="15"/>
  <c r="AD60" i="15" s="1"/>
  <c r="Y60" i="15"/>
  <c r="Z60" i="15" s="1"/>
  <c r="W60" i="15"/>
  <c r="X60" i="15" s="1"/>
  <c r="U60" i="15"/>
  <c r="V60" i="15" s="1"/>
  <c r="Q60" i="15"/>
  <c r="R60" i="15" s="1"/>
  <c r="O60" i="15"/>
  <c r="P60" i="15" s="1"/>
  <c r="L60" i="15"/>
  <c r="M60" i="15" s="1"/>
  <c r="F60" i="15"/>
  <c r="G60" i="15" s="1"/>
  <c r="E60" i="15"/>
  <c r="AN59" i="15"/>
  <c r="AO59" i="15" s="1"/>
  <c r="AI59" i="15"/>
  <c r="AJ59" i="15" s="1"/>
  <c r="AG59" i="15"/>
  <c r="AH59" i="15" s="1"/>
  <c r="AC59" i="15"/>
  <c r="AD59" i="15" s="1"/>
  <c r="Y59" i="15"/>
  <c r="Z59" i="15" s="1"/>
  <c r="W59" i="15"/>
  <c r="X59" i="15" s="1"/>
  <c r="U59" i="15"/>
  <c r="V59" i="15" s="1"/>
  <c r="Q59" i="15"/>
  <c r="R59" i="15" s="1"/>
  <c r="O59" i="15"/>
  <c r="P59" i="15" s="1"/>
  <c r="L59" i="15"/>
  <c r="M59" i="15" s="1"/>
  <c r="F59" i="15"/>
  <c r="G59" i="15" s="1"/>
  <c r="E59" i="15"/>
  <c r="AN58" i="15"/>
  <c r="AO58" i="15" s="1"/>
  <c r="AI58" i="15"/>
  <c r="AJ58" i="15" s="1"/>
  <c r="AG58" i="15"/>
  <c r="AH58" i="15" s="1"/>
  <c r="AC58" i="15"/>
  <c r="AD58" i="15" s="1"/>
  <c r="W58" i="15"/>
  <c r="X58" i="15" s="1"/>
  <c r="U58" i="15"/>
  <c r="V58" i="15" s="1"/>
  <c r="Q58" i="15"/>
  <c r="Y58" i="15" s="1"/>
  <c r="Z58" i="15" s="1"/>
  <c r="O58" i="15"/>
  <c r="P58" i="15" s="1"/>
  <c r="L58" i="15"/>
  <c r="M58" i="15" s="1"/>
  <c r="F58" i="15"/>
  <c r="G58" i="15" s="1"/>
  <c r="E58" i="15"/>
  <c r="AN57" i="15"/>
  <c r="AO57" i="15" s="1"/>
  <c r="AI57" i="15"/>
  <c r="AJ57" i="15" s="1"/>
  <c r="AG57" i="15"/>
  <c r="AH57" i="15" s="1"/>
  <c r="AC57" i="15"/>
  <c r="AD57" i="15" s="1"/>
  <c r="Y57" i="15"/>
  <c r="Z57" i="15" s="1"/>
  <c r="W57" i="15"/>
  <c r="X57" i="15" s="1"/>
  <c r="U57" i="15"/>
  <c r="V57" i="15" s="1"/>
  <c r="Q57" i="15"/>
  <c r="R57" i="15" s="1"/>
  <c r="O57" i="15"/>
  <c r="P57" i="15" s="1"/>
  <c r="L57" i="15"/>
  <c r="M57" i="15" s="1"/>
  <c r="E57" i="15"/>
  <c r="AN56" i="15"/>
  <c r="AO56" i="15" s="1"/>
  <c r="AI56" i="15"/>
  <c r="AJ56" i="15" s="1"/>
  <c r="AG56" i="15"/>
  <c r="AH56" i="15" s="1"/>
  <c r="AC56" i="15"/>
  <c r="AD56" i="15" s="1"/>
  <c r="Y56" i="15"/>
  <c r="Z56" i="15" s="1"/>
  <c r="W56" i="15"/>
  <c r="X56" i="15" s="1"/>
  <c r="U56" i="15"/>
  <c r="V56" i="15" s="1"/>
  <c r="Q56" i="15"/>
  <c r="R56" i="15" s="1"/>
  <c r="O56" i="15"/>
  <c r="P56" i="15" s="1"/>
  <c r="L56" i="15"/>
  <c r="M56" i="15" s="1"/>
  <c r="F56" i="15"/>
  <c r="G56" i="15" s="1"/>
  <c r="AN55" i="15"/>
  <c r="AO55" i="15" s="1"/>
  <c r="AI55" i="15"/>
  <c r="AJ55" i="15" s="1"/>
  <c r="AG55" i="15"/>
  <c r="AH55" i="15" s="1"/>
  <c r="AC55" i="15"/>
  <c r="AD55" i="15" s="1"/>
  <c r="Y55" i="15"/>
  <c r="Z55" i="15" s="1"/>
  <c r="W55" i="15"/>
  <c r="X55" i="15" s="1"/>
  <c r="U55" i="15"/>
  <c r="V55" i="15" s="1"/>
  <c r="Q55" i="15"/>
  <c r="R55" i="15" s="1"/>
  <c r="O55" i="15"/>
  <c r="P55" i="15" s="1"/>
  <c r="L55" i="15"/>
  <c r="M55" i="15" s="1"/>
  <c r="F55" i="15"/>
  <c r="G55" i="15" s="1"/>
  <c r="E55" i="15"/>
  <c r="AN54" i="15"/>
  <c r="AO54" i="15" s="1"/>
  <c r="AI54" i="15"/>
  <c r="AJ54" i="15" s="1"/>
  <c r="AG54" i="15"/>
  <c r="AH54" i="15" s="1"/>
  <c r="AD54" i="15"/>
  <c r="AC54" i="15"/>
  <c r="Y54" i="15"/>
  <c r="Z54" i="15" s="1"/>
  <c r="W54" i="15"/>
  <c r="X54" i="15" s="1"/>
  <c r="U54" i="15"/>
  <c r="V54" i="15" s="1"/>
  <c r="Q54" i="15"/>
  <c r="R54" i="15" s="1"/>
  <c r="O54" i="15"/>
  <c r="P54" i="15" s="1"/>
  <c r="L54" i="15"/>
  <c r="M54" i="15" s="1"/>
  <c r="F54" i="15"/>
  <c r="G54" i="15" s="1"/>
  <c r="E54" i="15"/>
  <c r="AN53" i="15"/>
  <c r="AO53" i="15" s="1"/>
  <c r="AI53" i="15"/>
  <c r="AJ53" i="15" s="1"/>
  <c r="AG53" i="15"/>
  <c r="AH53" i="15" s="1"/>
  <c r="AC53" i="15"/>
  <c r="AD53" i="15" s="1"/>
  <c r="Y53" i="15"/>
  <c r="Z53" i="15" s="1"/>
  <c r="W53" i="15"/>
  <c r="X53" i="15" s="1"/>
  <c r="U53" i="15"/>
  <c r="V53" i="15" s="1"/>
  <c r="Q53" i="15"/>
  <c r="R53" i="15" s="1"/>
  <c r="O53" i="15"/>
  <c r="P53" i="15" s="1"/>
  <c r="L53" i="15"/>
  <c r="M53" i="15" s="1"/>
  <c r="E53" i="15"/>
  <c r="AN52" i="15"/>
  <c r="AO52" i="15" s="1"/>
  <c r="AI52" i="15"/>
  <c r="AJ52" i="15" s="1"/>
  <c r="AG52" i="15"/>
  <c r="AK52" i="15" s="1"/>
  <c r="AL52" i="15" s="1"/>
  <c r="AC52" i="15"/>
  <c r="AD52" i="15" s="1"/>
  <c r="Y52" i="15"/>
  <c r="Z52" i="15" s="1"/>
  <c r="W52" i="15"/>
  <c r="X52" i="15" s="1"/>
  <c r="U52" i="15"/>
  <c r="V52" i="15" s="1"/>
  <c r="Q52" i="15"/>
  <c r="R52" i="15" s="1"/>
  <c r="O52" i="15"/>
  <c r="P52" i="15" s="1"/>
  <c r="L52" i="15"/>
  <c r="M52" i="15" s="1"/>
  <c r="F52" i="15"/>
  <c r="G52" i="15" s="1"/>
  <c r="E52" i="15"/>
  <c r="AN51" i="15"/>
  <c r="AO51" i="15" s="1"/>
  <c r="AI51" i="15"/>
  <c r="AK51" i="15" s="1"/>
  <c r="AL51" i="15" s="1"/>
  <c r="AG51" i="15"/>
  <c r="AH51" i="15" s="1"/>
  <c r="AC51" i="15"/>
  <c r="AD51" i="15" s="1"/>
  <c r="Y51" i="15"/>
  <c r="Z51" i="15" s="1"/>
  <c r="W51" i="15"/>
  <c r="X51" i="15" s="1"/>
  <c r="U51" i="15"/>
  <c r="V51" i="15" s="1"/>
  <c r="Q51" i="15"/>
  <c r="R51" i="15" s="1"/>
  <c r="O51" i="15"/>
  <c r="P51" i="15" s="1"/>
  <c r="L51" i="15"/>
  <c r="M51" i="15" s="1"/>
  <c r="E51" i="15"/>
  <c r="F51" i="15"/>
  <c r="G51" i="15" s="1"/>
  <c r="AN50" i="15"/>
  <c r="AO50" i="15" s="1"/>
  <c r="AI50" i="15"/>
  <c r="AJ50" i="15" s="1"/>
  <c r="AG50" i="15"/>
  <c r="AK50" i="15" s="1"/>
  <c r="AL50" i="15" s="1"/>
  <c r="AC50" i="15"/>
  <c r="AD50" i="15" s="1"/>
  <c r="Y50" i="15"/>
  <c r="Z50" i="15" s="1"/>
  <c r="W50" i="15"/>
  <c r="X50" i="15" s="1"/>
  <c r="U50" i="15"/>
  <c r="V50" i="15" s="1"/>
  <c r="Q50" i="15"/>
  <c r="R50" i="15" s="1"/>
  <c r="O50" i="15"/>
  <c r="P50" i="15" s="1"/>
  <c r="L50" i="15"/>
  <c r="M50" i="15" s="1"/>
  <c r="F50" i="15"/>
  <c r="G50" i="15" s="1"/>
  <c r="E50" i="15"/>
  <c r="AN49" i="15"/>
  <c r="AO49" i="15" s="1"/>
  <c r="AI49" i="15"/>
  <c r="AK49" i="15" s="1"/>
  <c r="AL49" i="15" s="1"/>
  <c r="AG49" i="15"/>
  <c r="AH49" i="15" s="1"/>
  <c r="AC49" i="15"/>
  <c r="AD49" i="15" s="1"/>
  <c r="Y49" i="15"/>
  <c r="Z49" i="15" s="1"/>
  <c r="W49" i="15"/>
  <c r="X49" i="15" s="1"/>
  <c r="U49" i="15"/>
  <c r="V49" i="15" s="1"/>
  <c r="Q49" i="15"/>
  <c r="R49" i="15" s="1"/>
  <c r="O49" i="15"/>
  <c r="P49" i="15" s="1"/>
  <c r="L49" i="15"/>
  <c r="M49" i="15" s="1"/>
  <c r="E49" i="15"/>
  <c r="F49" i="15"/>
  <c r="G49" i="15" s="1"/>
  <c r="AN48" i="15"/>
  <c r="AO48" i="15" s="1"/>
  <c r="AI48" i="15"/>
  <c r="AJ48" i="15" s="1"/>
  <c r="AG48" i="15"/>
  <c r="AK48" i="15" s="1"/>
  <c r="AL48" i="15" s="1"/>
  <c r="AC48" i="15"/>
  <c r="AD48" i="15" s="1"/>
  <c r="Y48" i="15"/>
  <c r="Z48" i="15" s="1"/>
  <c r="W48" i="15"/>
  <c r="X48" i="15" s="1"/>
  <c r="U48" i="15"/>
  <c r="V48" i="15" s="1"/>
  <c r="Q48" i="15"/>
  <c r="R48" i="15" s="1"/>
  <c r="O48" i="15"/>
  <c r="P48" i="15" s="1"/>
  <c r="L48" i="15"/>
  <c r="M48" i="15" s="1"/>
  <c r="F48" i="15"/>
  <c r="G48" i="15" s="1"/>
  <c r="E48" i="15"/>
  <c r="AO47" i="15"/>
  <c r="AN47" i="15"/>
  <c r="AI47" i="15"/>
  <c r="AK47" i="15" s="1"/>
  <c r="AL47" i="15" s="1"/>
  <c r="AG47" i="15"/>
  <c r="AH47" i="15" s="1"/>
  <c r="AC47" i="15"/>
  <c r="AD47" i="15" s="1"/>
  <c r="Z47" i="15"/>
  <c r="Y47" i="15"/>
  <c r="W47" i="15"/>
  <c r="X47" i="15" s="1"/>
  <c r="U47" i="15"/>
  <c r="V47" i="15" s="1"/>
  <c r="Q47" i="15"/>
  <c r="R47" i="15" s="1"/>
  <c r="P47" i="15"/>
  <c r="O47" i="15"/>
  <c r="L47" i="15"/>
  <c r="M47" i="15" s="1"/>
  <c r="E47" i="15"/>
  <c r="F47" i="15"/>
  <c r="G47" i="15" s="1"/>
  <c r="AN46" i="15"/>
  <c r="AO46" i="15" s="1"/>
  <c r="AJ46" i="15"/>
  <c r="AI46" i="15"/>
  <c r="AG46" i="15"/>
  <c r="AK46" i="15" s="1"/>
  <c r="AL46" i="15" s="1"/>
  <c r="AC46" i="15"/>
  <c r="AD46" i="15" s="1"/>
  <c r="Y46" i="15"/>
  <c r="Z46" i="15" s="1"/>
  <c r="X46" i="15"/>
  <c r="W46" i="15"/>
  <c r="U46" i="15"/>
  <c r="V46" i="15" s="1"/>
  <c r="Q46" i="15"/>
  <c r="R46" i="15" s="1"/>
  <c r="O46" i="15"/>
  <c r="P46" i="15" s="1"/>
  <c r="M46" i="15"/>
  <c r="L46" i="15"/>
  <c r="F46" i="15"/>
  <c r="G46" i="15" s="1"/>
  <c r="E46" i="15"/>
  <c r="AN45" i="15"/>
  <c r="AO45" i="15" s="1"/>
  <c r="AI45" i="15"/>
  <c r="AK45" i="15" s="1"/>
  <c r="AL45" i="15" s="1"/>
  <c r="AG45" i="15"/>
  <c r="AH45" i="15" s="1"/>
  <c r="AC45" i="15"/>
  <c r="AD45" i="15" s="1"/>
  <c r="Z45" i="15"/>
  <c r="Y45" i="15"/>
  <c r="W45" i="15"/>
  <c r="X45" i="15" s="1"/>
  <c r="U45" i="15"/>
  <c r="V45" i="15" s="1"/>
  <c r="Q45" i="15"/>
  <c r="R45" i="15" s="1"/>
  <c r="O45" i="15"/>
  <c r="P45" i="15" s="1"/>
  <c r="L45" i="15"/>
  <c r="M45" i="15" s="1"/>
  <c r="E45" i="15"/>
  <c r="F45" i="15"/>
  <c r="G45" i="15" s="1"/>
  <c r="AN44" i="15"/>
  <c r="AO44" i="15" s="1"/>
  <c r="AJ44" i="15"/>
  <c r="AI44" i="15"/>
  <c r="AG44" i="15"/>
  <c r="AK44" i="15" s="1"/>
  <c r="AL44" i="15" s="1"/>
  <c r="AC44" i="15"/>
  <c r="AD44" i="15" s="1"/>
  <c r="W44" i="15"/>
  <c r="X44" i="15" s="1"/>
  <c r="U44" i="15"/>
  <c r="V44" i="15" s="1"/>
  <c r="R44" i="15"/>
  <c r="Q44" i="15"/>
  <c r="Y44" i="15" s="1"/>
  <c r="Z44" i="15" s="1"/>
  <c r="O44" i="15"/>
  <c r="P44" i="15" s="1"/>
  <c r="L44" i="15"/>
  <c r="M44" i="15" s="1"/>
  <c r="F44" i="15"/>
  <c r="G44" i="15" s="1"/>
  <c r="E44" i="15"/>
  <c r="AN43" i="15"/>
  <c r="AO43" i="15" s="1"/>
  <c r="AI43" i="15"/>
  <c r="AK43" i="15" s="1"/>
  <c r="AL43" i="15" s="1"/>
  <c r="AG43" i="15"/>
  <c r="AH43" i="15" s="1"/>
  <c r="AC43" i="15"/>
  <c r="AD43" i="15" s="1"/>
  <c r="Y43" i="15"/>
  <c r="Z43" i="15" s="1"/>
  <c r="W43" i="15"/>
  <c r="X43" i="15" s="1"/>
  <c r="U43" i="15"/>
  <c r="V43" i="15" s="1"/>
  <c r="Q43" i="15"/>
  <c r="R43" i="15" s="1"/>
  <c r="O43" i="15"/>
  <c r="P43" i="15" s="1"/>
  <c r="L43" i="15"/>
  <c r="M43" i="15" s="1"/>
  <c r="E43" i="15"/>
  <c r="F43" i="15"/>
  <c r="G43" i="15" s="1"/>
  <c r="AN42" i="15"/>
  <c r="AO42" i="15" s="1"/>
  <c r="AI42" i="15"/>
  <c r="AJ42" i="15" s="1"/>
  <c r="AG42" i="15"/>
  <c r="AK42" i="15" s="1"/>
  <c r="AL42" i="15" s="1"/>
  <c r="AC42" i="15"/>
  <c r="AD42" i="15" s="1"/>
  <c r="Y42" i="15"/>
  <c r="Z42" i="15" s="1"/>
  <c r="W42" i="15"/>
  <c r="X42" i="15" s="1"/>
  <c r="U42" i="15"/>
  <c r="V42" i="15" s="1"/>
  <c r="Q42" i="15"/>
  <c r="R42" i="15" s="1"/>
  <c r="O42" i="15"/>
  <c r="P42" i="15" s="1"/>
  <c r="L42" i="15"/>
  <c r="M42" i="15" s="1"/>
  <c r="F42" i="15"/>
  <c r="G42" i="15" s="1"/>
  <c r="E42" i="15"/>
  <c r="AN41" i="15"/>
  <c r="AO41" i="15" s="1"/>
  <c r="AI41" i="15"/>
  <c r="AK41" i="15" s="1"/>
  <c r="AL41" i="15" s="1"/>
  <c r="AG41" i="15"/>
  <c r="AH41" i="15" s="1"/>
  <c r="AC41" i="15"/>
  <c r="AD41" i="15" s="1"/>
  <c r="W41" i="15"/>
  <c r="X41" i="15" s="1"/>
  <c r="U41" i="15"/>
  <c r="V41" i="15" s="1"/>
  <c r="Q41" i="15"/>
  <c r="Y41" i="15" s="1"/>
  <c r="Z41" i="15" s="1"/>
  <c r="O41" i="15"/>
  <c r="P41" i="15" s="1"/>
  <c r="L41" i="15"/>
  <c r="M41" i="15" s="1"/>
  <c r="E41" i="15"/>
  <c r="F41" i="15"/>
  <c r="G41" i="15" s="1"/>
  <c r="AN40" i="15"/>
  <c r="AO40" i="15" s="1"/>
  <c r="AI40" i="15"/>
  <c r="AJ40" i="15" s="1"/>
  <c r="AG40" i="15"/>
  <c r="AK40" i="15" s="1"/>
  <c r="AL40" i="15" s="1"/>
  <c r="AC40" i="15"/>
  <c r="AD40" i="15" s="1"/>
  <c r="Y40" i="15"/>
  <c r="Z40" i="15" s="1"/>
  <c r="W40" i="15"/>
  <c r="X40" i="15" s="1"/>
  <c r="U40" i="15"/>
  <c r="V40" i="15" s="1"/>
  <c r="Q40" i="15"/>
  <c r="R40" i="15" s="1"/>
  <c r="O40" i="15"/>
  <c r="P40" i="15" s="1"/>
  <c r="L40" i="15"/>
  <c r="M40" i="15" s="1"/>
  <c r="F40" i="15"/>
  <c r="G40" i="15" s="1"/>
  <c r="E40" i="15"/>
  <c r="AN39" i="15"/>
  <c r="AO39" i="15" s="1"/>
  <c r="AI39" i="15"/>
  <c r="AK39" i="15" s="1"/>
  <c r="AL39" i="15" s="1"/>
  <c r="AG39" i="15"/>
  <c r="AH39" i="15" s="1"/>
  <c r="AC39" i="15"/>
  <c r="AD39" i="15" s="1"/>
  <c r="W39" i="15"/>
  <c r="X39" i="15" s="1"/>
  <c r="U39" i="15"/>
  <c r="V39" i="15" s="1"/>
  <c r="Q39" i="15"/>
  <c r="Y39" i="15" s="1"/>
  <c r="Z39" i="15" s="1"/>
  <c r="O39" i="15"/>
  <c r="P39" i="15" s="1"/>
  <c r="L39" i="15"/>
  <c r="M39" i="15" s="1"/>
  <c r="E39" i="15"/>
  <c r="F39" i="15"/>
  <c r="G39" i="15" s="1"/>
  <c r="AO38" i="15"/>
  <c r="AI38" i="15"/>
  <c r="AJ38" i="15" s="1"/>
  <c r="AG38" i="15"/>
  <c r="AK38" i="15" s="1"/>
  <c r="AL38" i="15" s="1"/>
  <c r="AC38" i="15"/>
  <c r="AD38" i="15" s="1"/>
  <c r="Y38" i="15"/>
  <c r="Z38" i="15" s="1"/>
  <c r="W38" i="15"/>
  <c r="X38" i="15" s="1"/>
  <c r="U38" i="15"/>
  <c r="V38" i="15" s="1"/>
  <c r="Q38" i="15"/>
  <c r="R38" i="15" s="1"/>
  <c r="O38" i="15"/>
  <c r="P38" i="15" s="1"/>
  <c r="L38" i="15"/>
  <c r="M38" i="15" s="1"/>
  <c r="F38" i="15"/>
  <c r="G38" i="15" s="1"/>
  <c r="E38" i="15"/>
  <c r="AN37" i="15"/>
  <c r="AO37" i="15" s="1"/>
  <c r="AI37" i="15"/>
  <c r="AK37" i="15" s="1"/>
  <c r="AL37" i="15" s="1"/>
  <c r="AG37" i="15"/>
  <c r="AH37" i="15" s="1"/>
  <c r="AC37" i="15"/>
  <c r="AD37" i="15" s="1"/>
  <c r="Z37" i="15"/>
  <c r="X37" i="15"/>
  <c r="V37" i="15"/>
  <c r="R37" i="15"/>
  <c r="O37" i="15"/>
  <c r="P37" i="15" s="1"/>
  <c r="M37" i="15"/>
  <c r="E37" i="15"/>
  <c r="G37" i="15"/>
  <c r="AH64" i="15"/>
  <c r="Z64" i="15"/>
  <c r="M10" i="42" l="1"/>
  <c r="L12" i="42"/>
  <c r="L11" i="42"/>
  <c r="K11" i="41"/>
  <c r="L10" i="41"/>
  <c r="AJ39" i="15"/>
  <c r="AH40" i="15"/>
  <c r="R41" i="15"/>
  <c r="AH38" i="15"/>
  <c r="R39" i="15"/>
  <c r="AJ41" i="15"/>
  <c r="AH42" i="15"/>
  <c r="AJ43" i="15"/>
  <c r="AK53" i="15"/>
  <c r="AL53" i="15" s="1"/>
  <c r="M66" i="15"/>
  <c r="AJ37" i="15"/>
  <c r="AH44" i="15"/>
  <c r="AJ45" i="15"/>
  <c r="AH46" i="15"/>
  <c r="AJ47" i="15"/>
  <c r="AK57" i="15"/>
  <c r="AL57" i="15" s="1"/>
  <c r="AH48" i="15"/>
  <c r="AJ49" i="15"/>
  <c r="AH50" i="15"/>
  <c r="AJ51" i="15"/>
  <c r="AH52" i="15"/>
  <c r="AK62" i="15"/>
  <c r="AL62" i="15" s="1"/>
  <c r="AK54" i="15"/>
  <c r="AL54" i="15" s="1"/>
  <c r="AK58" i="15"/>
  <c r="AL58" i="15" s="1"/>
  <c r="Z65" i="15"/>
  <c r="AO67" i="15"/>
  <c r="AO66" i="15"/>
  <c r="AO65" i="15"/>
  <c r="AK63" i="15"/>
  <c r="AL63" i="15" s="1"/>
  <c r="AJ63" i="15"/>
  <c r="AJ66" i="15" s="1"/>
  <c r="U64" i="15"/>
  <c r="V64" i="15" s="1"/>
  <c r="V67" i="15" s="1"/>
  <c r="AK55" i="15"/>
  <c r="AL55" i="15" s="1"/>
  <c r="E56" i="15"/>
  <c r="AK56" i="15"/>
  <c r="AL56" i="15" s="1"/>
  <c r="F57" i="15"/>
  <c r="G57" i="15" s="1"/>
  <c r="E67" i="15"/>
  <c r="E66" i="15"/>
  <c r="E65" i="15"/>
  <c r="R58" i="15"/>
  <c r="R67" i="15" s="1"/>
  <c r="M65" i="15"/>
  <c r="M67" i="15"/>
  <c r="P67" i="15"/>
  <c r="P66" i="15"/>
  <c r="Z67" i="15"/>
  <c r="Z66" i="15"/>
  <c r="AH66" i="15"/>
  <c r="W64" i="15"/>
  <c r="X64" i="15" s="1"/>
  <c r="X65" i="15" s="1"/>
  <c r="AC64" i="15"/>
  <c r="F53" i="15"/>
  <c r="G53" i="15" s="1"/>
  <c r="AK59" i="15"/>
  <c r="AL59" i="15" s="1"/>
  <c r="AK60" i="15"/>
  <c r="AL60" i="15" s="1"/>
  <c r="F61" i="15"/>
  <c r="G61" i="15" s="1"/>
  <c r="P65" i="15"/>
  <c r="AH67" i="15"/>
  <c r="C11" i="8"/>
  <c r="AD64" i="15"/>
  <c r="V65" i="15" l="1"/>
  <c r="V66" i="15"/>
  <c r="M12" i="42"/>
  <c r="M11" i="42"/>
  <c r="N10" i="42"/>
  <c r="L11" i="41"/>
  <c r="M10" i="41"/>
  <c r="M11" i="41" s="1"/>
  <c r="AH65" i="15"/>
  <c r="AJ65" i="15"/>
  <c r="AJ67" i="15"/>
  <c r="AL65" i="15"/>
  <c r="R65" i="15"/>
  <c r="E11" i="9"/>
  <c r="E12" i="9"/>
  <c r="D12" i="9"/>
  <c r="D11" i="9"/>
  <c r="D11" i="8"/>
  <c r="X66" i="15"/>
  <c r="G66" i="15"/>
  <c r="AD67" i="15"/>
  <c r="AD66" i="15"/>
  <c r="AD65" i="15"/>
  <c r="X67" i="15"/>
  <c r="R66" i="15"/>
  <c r="AL66" i="15"/>
  <c r="G67" i="15"/>
  <c r="AL67" i="15"/>
  <c r="G65" i="15"/>
  <c r="E11" i="8"/>
  <c r="H23" i="6"/>
  <c r="H24" i="6"/>
  <c r="H26" i="6"/>
  <c r="I25" i="6"/>
  <c r="D25" i="6"/>
  <c r="G24" i="6"/>
  <c r="G23" i="6"/>
  <c r="G22" i="6"/>
  <c r="H20" i="6"/>
  <c r="H21" i="6"/>
  <c r="G21" i="6"/>
  <c r="H19" i="6"/>
  <c r="G19" i="6"/>
  <c r="G20" i="6"/>
  <c r="H18" i="6"/>
  <c r="G17" i="6"/>
  <c r="G16" i="6"/>
  <c r="G18" i="6" s="1"/>
  <c r="H14" i="6"/>
  <c r="G14" i="6"/>
  <c r="H13" i="6"/>
  <c r="G13" i="6"/>
  <c r="G12" i="6"/>
  <c r="C116" i="3"/>
  <c r="C114" i="3"/>
  <c r="C110" i="3"/>
  <c r="C106" i="3"/>
  <c r="C118" i="3"/>
  <c r="C113" i="3"/>
  <c r="C108" i="3"/>
  <c r="C115" i="3"/>
  <c r="C107" i="3"/>
  <c r="C109" i="3"/>
  <c r="C117" i="3"/>
  <c r="N12" i="42" l="1"/>
  <c r="N11" i="42"/>
  <c r="O10" i="42"/>
  <c r="J117" i="3"/>
  <c r="J115" i="3"/>
  <c r="J110" i="3"/>
  <c r="J106" i="3"/>
  <c r="J114" i="3"/>
  <c r="J109" i="3"/>
  <c r="J118" i="3"/>
  <c r="J113" i="3"/>
  <c r="J116" i="3"/>
  <c r="J107" i="3"/>
  <c r="J108" i="3"/>
  <c r="F12" i="9"/>
  <c r="F11" i="9"/>
  <c r="K4" i="15"/>
  <c r="K5" i="15"/>
  <c r="K3" i="15"/>
  <c r="F11" i="8"/>
  <c r="H117" i="3"/>
  <c r="H113" i="3"/>
  <c r="H114" i="3"/>
  <c r="H116" i="3"/>
  <c r="H115" i="3"/>
  <c r="H118" i="3"/>
  <c r="H109" i="3"/>
  <c r="H110" i="3"/>
  <c r="H106" i="3"/>
  <c r="H108" i="3"/>
  <c r="H107" i="3"/>
  <c r="H15" i="6"/>
  <c r="G15" i="6"/>
  <c r="G36" i="3"/>
  <c r="G37" i="3"/>
  <c r="G38" i="3"/>
  <c r="G35" i="3"/>
  <c r="C69" i="3"/>
  <c r="C93" i="3"/>
  <c r="C82" i="3"/>
  <c r="C72" i="3"/>
  <c r="C68" i="3"/>
  <c r="C73" i="3"/>
  <c r="C96" i="3"/>
  <c r="C101" i="3"/>
  <c r="C91" i="3"/>
  <c r="C95" i="3"/>
  <c r="C37" i="3"/>
  <c r="C94" i="3"/>
  <c r="C76" i="3"/>
  <c r="C103" i="3"/>
  <c r="C36" i="3"/>
  <c r="C102" i="3"/>
  <c r="C71" i="3"/>
  <c r="C98" i="3"/>
  <c r="C67" i="3"/>
  <c r="C92" i="3"/>
  <c r="C70" i="3"/>
  <c r="C97" i="3"/>
  <c r="O11" i="42" l="1"/>
  <c r="P10" i="42"/>
  <c r="O12" i="42"/>
  <c r="J71" i="3"/>
  <c r="J72" i="3"/>
  <c r="J70" i="3"/>
  <c r="J36" i="3"/>
  <c r="J76" i="3"/>
  <c r="J73" i="3"/>
  <c r="J92" i="3"/>
  <c r="J101" i="3"/>
  <c r="J96" i="3"/>
  <c r="J82" i="3"/>
  <c r="J67" i="3"/>
  <c r="J37" i="3"/>
  <c r="J103" i="3"/>
  <c r="J93" i="3"/>
  <c r="J98" i="3"/>
  <c r="J95" i="3"/>
  <c r="J91" i="3"/>
  <c r="J69" i="3"/>
  <c r="J68" i="3"/>
  <c r="J94" i="3"/>
  <c r="J102" i="3"/>
  <c r="J97" i="3"/>
  <c r="G12" i="9"/>
  <c r="G11" i="9"/>
  <c r="K6" i="15"/>
  <c r="L6" i="15" s="1"/>
  <c r="T17" i="15" s="1"/>
  <c r="G11" i="8"/>
  <c r="H76" i="3"/>
  <c r="H103" i="3"/>
  <c r="H98" i="3"/>
  <c r="H101" i="3"/>
  <c r="H102" i="3"/>
  <c r="H94" i="3"/>
  <c r="H91" i="3"/>
  <c r="H97" i="3"/>
  <c r="H92" i="3"/>
  <c r="H96" i="3"/>
  <c r="H93" i="3"/>
  <c r="H95" i="3"/>
  <c r="H37" i="3"/>
  <c r="H36" i="3"/>
  <c r="H35" i="3"/>
  <c r="I68" i="3"/>
  <c r="C85" i="3"/>
  <c r="C86" i="3"/>
  <c r="H72" i="3"/>
  <c r="H71" i="3"/>
  <c r="H69" i="3"/>
  <c r="I73" i="3"/>
  <c r="H73" i="3"/>
  <c r="H67" i="3"/>
  <c r="C84" i="3"/>
  <c r="I67" i="3"/>
  <c r="C79" i="3"/>
  <c r="C83" i="3"/>
  <c r="C77" i="3"/>
  <c r="I72" i="3"/>
  <c r="I69" i="3"/>
  <c r="I35" i="3"/>
  <c r="I71" i="3"/>
  <c r="C78" i="3"/>
  <c r="C87" i="3"/>
  <c r="C88" i="3"/>
  <c r="C38" i="3"/>
  <c r="I70" i="3"/>
  <c r="H70" i="3"/>
  <c r="H68" i="3"/>
  <c r="Q10" i="42" l="1"/>
  <c r="P12" i="42"/>
  <c r="P11" i="42"/>
  <c r="J86" i="3"/>
  <c r="J88" i="3"/>
  <c r="J79" i="3"/>
  <c r="J78" i="3"/>
  <c r="J85" i="3"/>
  <c r="J77" i="3"/>
  <c r="J87" i="3"/>
  <c r="J84" i="3"/>
  <c r="J38" i="3"/>
  <c r="J83" i="3"/>
  <c r="H12" i="9"/>
  <c r="H11" i="9"/>
  <c r="H11" i="8"/>
  <c r="H78" i="3"/>
  <c r="H79" i="3"/>
  <c r="H77" i="3"/>
  <c r="H38" i="3"/>
  <c r="H87" i="3"/>
  <c r="H88" i="3"/>
  <c r="H85" i="3"/>
  <c r="H82" i="3"/>
  <c r="H86" i="3"/>
  <c r="H84" i="3"/>
  <c r="H83" i="3"/>
  <c r="I85" i="3"/>
  <c r="I84" i="3"/>
  <c r="I83" i="3"/>
  <c r="I82" i="3"/>
  <c r="I76" i="3"/>
  <c r="I88" i="3"/>
  <c r="I38" i="3"/>
  <c r="I78" i="3"/>
  <c r="I79" i="3"/>
  <c r="I36" i="3"/>
  <c r="I77" i="3"/>
  <c r="I37" i="3"/>
  <c r="I87" i="3"/>
  <c r="I86" i="3"/>
  <c r="G6" i="3" l="1"/>
  <c r="Q12" i="42"/>
  <c r="Q11" i="42"/>
  <c r="R10" i="42"/>
  <c r="G5" i="3"/>
  <c r="G4" i="3"/>
  <c r="I12" i="9"/>
  <c r="I11" i="9"/>
  <c r="I11" i="8"/>
  <c r="R12" i="42" l="1"/>
  <c r="R11" i="42"/>
  <c r="S10" i="42"/>
  <c r="G7" i="3"/>
  <c r="O16" i="3" s="1"/>
  <c r="J12" i="9"/>
  <c r="J11" i="9"/>
  <c r="J11" i="8"/>
  <c r="S11" i="42" l="1"/>
  <c r="T10" i="42"/>
  <c r="S12" i="42"/>
  <c r="K11" i="9"/>
  <c r="K12" i="9"/>
  <c r="K11" i="8"/>
  <c r="U10" i="42" l="1"/>
  <c r="T12" i="42"/>
  <c r="T11" i="42"/>
  <c r="L12" i="9"/>
  <c r="L11" i="9"/>
  <c r="L11" i="8"/>
  <c r="U12" i="42" l="1"/>
  <c r="U11" i="42"/>
  <c r="V10" i="42"/>
  <c r="M12" i="9"/>
  <c r="M11" i="9"/>
  <c r="M11" i="8"/>
  <c r="V12" i="42" l="1"/>
  <c r="V11" i="42"/>
  <c r="W10" i="42"/>
  <c r="N11" i="9"/>
  <c r="N12" i="9"/>
  <c r="W11" i="42" l="1"/>
  <c r="W12" i="42"/>
  <c r="O11" i="9"/>
  <c r="O12" i="9"/>
  <c r="P11" i="9" l="1"/>
  <c r="P12" i="9"/>
  <c r="Q11" i="9" l="1"/>
  <c r="Q12" i="9"/>
  <c r="R12" i="9" l="1"/>
  <c r="R11" i="9"/>
  <c r="S11" i="9" l="1"/>
  <c r="S12" i="9"/>
  <c r="T12" i="9" l="1"/>
  <c r="T11" i="9"/>
  <c r="H68" i="33"/>
  <c r="H65" i="33"/>
  <c r="H67" i="33"/>
  <c r="H66" i="33"/>
  <c r="U11" i="9" l="1"/>
  <c r="U12" i="9"/>
  <c r="G6" i="33"/>
  <c r="G5" i="33"/>
  <c r="V11" i="9" l="1"/>
  <c r="V12" i="9"/>
  <c r="G7" i="33"/>
  <c r="W12" i="9" l="1"/>
  <c r="W11" i="9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>EmailG nach dem Muster v</t>
        </r>
        <r>
          <rPr>
            <b/>
            <sz val="9"/>
            <color indexed="81"/>
            <rFont val="Segoe UI"/>
            <family val="2"/>
          </rPr>
          <t xml:space="preserve">orname.nachname@bzu.ch
</t>
        </r>
        <r>
          <rPr>
            <sz val="9"/>
            <color indexed="81"/>
            <rFont val="Segoe UI"/>
            <family val="2"/>
          </rPr>
          <t>(Alles Kleinbuchstaben)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 xml:space="preserve">
Alles Kleinbuchstaben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5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comments6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sharedStrings.xml><?xml version="1.0" encoding="utf-8"?>
<sst xmlns="http://schemas.openxmlformats.org/spreadsheetml/2006/main" count="5923" uniqueCount="1469">
  <si>
    <t>Aufgabenstellung</t>
  </si>
  <si>
    <t>Walti</t>
  </si>
  <si>
    <t>Function-Test</t>
  </si>
  <si>
    <t>Param 3</t>
  </si>
  <si>
    <t>Function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</si>
  <si>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</si>
  <si>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</si>
  <si>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</si>
  <si>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</si>
  <si>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</si>
  <si>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</si>
  <si>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</si>
  <si>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</si>
  <si>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</si>
  <si>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</si>
  <si>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</si>
  <si>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</si>
  <si>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</si>
  <si>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</si>
  <si>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</si>
  <si>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</si>
  <si>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</si>
  <si>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</si>
  <si>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</si>
  <si>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</si>
  <si>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</si>
  <si>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</si>
  <si>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</si>
  <si>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</si>
  <si>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</si>
  <si>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</si>
  <si>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</si>
  <si>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</si>
  <si>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</si>
  <si>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</si>
  <si>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</si>
  <si>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</si>
  <si>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Berufsschule CH-8610 Uster</t>
  </si>
  <si>
    <t>Case-Sensitive</t>
  </si>
  <si>
    <t>Bemerkung</t>
  </si>
  <si>
    <t>Remove unsichtbare Zeichen</t>
  </si>
  <si>
    <t>CH-8855 &lt;U&gt;Wangen&lt;/U&gt;</t>
  </si>
  <si>
    <t>DE-69115 &lt;U&gt;Heidelberg&lt;/U&gt;</t>
  </si>
  <si>
    <t>FR-75000 &lt;U&gt;Paris&lt;/U&gt;</t>
  </si>
  <si>
    <t>len</t>
  </si>
  <si>
    <t>left</t>
  </si>
  <si>
    <t>links</t>
  </si>
  <si>
    <t>rechts</t>
  </si>
  <si>
    <t>right</t>
  </si>
  <si>
    <t>klein</t>
  </si>
  <si>
    <t>lower</t>
  </si>
  <si>
    <t>gross</t>
  </si>
  <si>
    <t>upper</t>
  </si>
  <si>
    <t>gross2</t>
  </si>
  <si>
    <t>proper</t>
  </si>
  <si>
    <t>teil</t>
  </si>
  <si>
    <t>mid</t>
  </si>
  <si>
    <t>finden</t>
  </si>
  <si>
    <t>find</t>
  </si>
  <si>
    <t>ersetzen</t>
  </si>
  <si>
    <t>replace</t>
  </si>
  <si>
    <t>wechseln</t>
  </si>
  <si>
    <t>substitute</t>
  </si>
  <si>
    <t>trim</t>
  </si>
  <si>
    <t>glätten</t>
  </si>
  <si>
    <t>wiederholen</t>
  </si>
  <si>
    <t>rept</t>
  </si>
  <si>
    <t>länge</t>
  </si>
  <si>
    <t>verketten</t>
  </si>
  <si>
    <t>concatenate</t>
  </si>
  <si>
    <t>suchen</t>
  </si>
  <si>
    <t>search</t>
  </si>
  <si>
    <t>säubern</t>
  </si>
  <si>
    <t>Excel Formel-Name (DE)</t>
  </si>
  <si>
    <t>Excel Formel-Name (EN)</t>
  </si>
  <si>
    <t>Resultat</t>
  </si>
  <si>
    <t>Resultat_1</t>
  </si>
  <si>
    <t>Positionen</t>
  </si>
  <si>
    <t>Schule ch-8610 :Wangen</t>
  </si>
  <si>
    <t xml:space="preserve">      Schule ch-8610  Nuolen     </t>
  </si>
  <si>
    <t>Original in formeln_2020_09_18.xlsm and later!</t>
  </si>
  <si>
    <t>Satz</t>
  </si>
  <si>
    <t>otto schlosser</t>
  </si>
  <si>
    <t>Otto Schlosser</t>
  </si>
  <si>
    <t>MyProper</t>
  </si>
  <si>
    <t>otto Schlosser</t>
  </si>
  <si>
    <t>Otto schlosser</t>
  </si>
  <si>
    <t>Otto schlosser uster</t>
  </si>
  <si>
    <t>Otto Schlosser Uster</t>
  </si>
  <si>
    <t>Toleranz (default=3%)</t>
  </si>
  <si>
    <t>IstVal</t>
  </si>
  <si>
    <t>SollVal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</si>
  <si>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</si>
  <si>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</si>
  <si>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</si>
  <si>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</si>
  <si>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</si>
  <si>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</si>
  <si>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</si>
  <si>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</si>
  <si>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</si>
  <si>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Case-Insensitive</t>
  </si>
  <si>
    <t>VBA</t>
  </si>
  <si>
    <t>aName = WorksheetFunction.Proper(aName)
lName = StrConv(lName, vbProperCase)</t>
  </si>
  <si>
    <t>EqualsWithinTolerance</t>
  </si>
  <si>
    <r>
      <t>Die Lieferung wird nach {</t>
    </r>
    <r>
      <rPr>
        <b/>
        <sz val="11"/>
        <color theme="1"/>
        <rFont val="Calibri"/>
        <family val="2"/>
        <scheme val="minor"/>
      </rPr>
      <t>Ort</t>
    </r>
    <r>
      <rPr>
        <sz val="11"/>
        <color theme="1"/>
        <rFont val="Calibri"/>
        <family val="2"/>
        <scheme val="minor"/>
      </rPr>
      <t>} gesendet.</t>
    </r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</si>
  <si>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</si>
  <si>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</si>
  <si>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</si>
  <si>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</si>
  <si>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</si>
  <si>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</si>
  <si>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</si>
  <si>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</si>
  <si>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r>
      <t>Der Rechnungsbetrag von {</t>
    </r>
    <r>
      <rPr>
        <b/>
        <sz val="11"/>
        <color theme="1"/>
        <rFont val="Calibri"/>
        <family val="2"/>
        <scheme val="minor"/>
      </rPr>
      <t>Rechnungsbetrag</t>
    </r>
    <r>
      <rPr>
        <sz val="11"/>
        <color theme="1"/>
        <rFont val="Calibri"/>
        <family val="2"/>
        <scheme val="minor"/>
      </rPr>
      <t>} ist noch offen</t>
    </r>
  </si>
  <si>
    <t>Nein</t>
  </si>
  <si>
    <t>055 442 16 29</t>
  </si>
  <si>
    <t>Lachen</t>
  </si>
  <si>
    <t>Fluelastrasse 31a</t>
  </si>
  <si>
    <t>Philippe</t>
  </si>
  <si>
    <r>
      <t>Bitte bezahlen Sie {</t>
    </r>
    <r>
      <rPr>
        <b/>
        <sz val="11"/>
        <color theme="1"/>
        <rFont val="Calibri"/>
        <family val="2"/>
        <scheme val="minor"/>
      </rPr>
      <t>Offener Betrag</t>
    </r>
    <r>
      <rPr>
        <sz val="11"/>
        <color theme="1"/>
        <rFont val="Calibri"/>
        <family val="2"/>
        <scheme val="minor"/>
      </rPr>
      <t>} noch heute</t>
    </r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</si>
  <si>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</si>
  <si>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</si>
  <si>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</si>
  <si>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</si>
  <si>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</si>
  <si>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</si>
  <si>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</si>
  <si>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</si>
  <si>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</si>
  <si>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</si>
  <si>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</si>
  <si>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</si>
  <si>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</si>
  <si>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</si>
  <si>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</si>
  <si>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</si>
  <si>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</si>
  <si>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</si>
  <si>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</si>
  <si>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</si>
  <si>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</si>
  <si>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</si>
  <si>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</si>
  <si>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</si>
  <si>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</si>
  <si>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</si>
  <si>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</si>
  <si>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</si>
  <si>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</si>
  <si>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</si>
  <si>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</si>
  <si>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</si>
  <si>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</si>
  <si>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</si>
  <si>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</si>
  <si>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</si>
  <si>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</si>
  <si>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</si>
  <si>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</si>
  <si>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</si>
  <si>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</si>
  <si>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</si>
  <si>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</si>
  <si>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</si>
  <si>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</si>
  <si>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</si>
  <si>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</si>
  <si>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</si>
  <si>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</si>
  <si>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</si>
  <si>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</si>
  <si>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</si>
  <si>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</si>
  <si>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</si>
  <si>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</si>
  <si>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</si>
  <si>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</si>
  <si>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</si>
  <si>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</si>
  <si>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</si>
  <si>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</si>
  <si>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</si>
  <si>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</si>
  <si>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</si>
  <si>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</si>
  <si>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</si>
  <si>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</si>
  <si>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</si>
  <si>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</si>
  <si>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</si>
  <si>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</si>
  <si>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</si>
  <si>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</si>
  <si>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</si>
  <si>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</si>
  <si>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</si>
  <si>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</si>
  <si>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</si>
  <si>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</si>
  <si>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</si>
  <si>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</si>
  <si>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</si>
  <si>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</si>
  <si>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</si>
  <si>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</si>
  <si>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</si>
  <si>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</si>
  <si>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</si>
  <si>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</si>
  <si>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</si>
  <si>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</si>
  <si>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</si>
  <si>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</si>
  <si>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</si>
  <si>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</si>
  <si>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</si>
  <si>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</si>
  <si>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</si>
  <si>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</si>
  <si>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</si>
  <si>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</si>
  <si>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</si>
  <si>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</si>
  <si>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</si>
  <si>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</si>
  <si>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</si>
  <si>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</si>
  <si>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</si>
  <si>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</si>
  <si>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</si>
  <si>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</si>
  <si>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</si>
  <si>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</si>
  <si>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</si>
  <si>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</si>
  <si>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</si>
  <si>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</si>
  <si>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</si>
  <si>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Platzhalter</t>
  </si>
  <si>
    <t>TextVorlage</t>
  </si>
  <si>
    <t>Anrede</t>
  </si>
  <si>
    <t>AnredePerDu</t>
  </si>
  <si>
    <t>AnredePerSie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</si>
  <si>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</si>
  <si>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</si>
  <si>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</si>
  <si>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</si>
  <si>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</si>
  <si>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</si>
  <si>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</si>
  <si>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</si>
  <si>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</si>
  <si>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</si>
  <si>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</si>
  <si>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Domain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</si>
  <si>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</si>
  <si>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</si>
  <si>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</si>
  <si>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</si>
  <si>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</si>
  <si>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</si>
  <si>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</si>
  <si>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</si>
  <si>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</si>
  <si>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</si>
  <si>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</si>
  <si>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</si>
  <si>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</si>
  <si>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</si>
  <si>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</si>
  <si>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</si>
  <si>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</si>
  <si>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</si>
  <si>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</si>
  <si>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</si>
  <si>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</si>
  <si>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</si>
  <si>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</si>
  <si>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</si>
  <si>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</si>
  <si>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</si>
  <si>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</si>
  <si>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</si>
  <si>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</si>
  <si>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</si>
  <si>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</si>
  <si>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</si>
  <si>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</si>
  <si>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</si>
  <si>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</si>
  <si>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</si>
  <si>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</si>
  <si>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</si>
  <si>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</si>
  <si>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</si>
  <si>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</si>
  <si>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</si>
  <si>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</si>
  <si>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</si>
  <si>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</si>
  <si>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</si>
  <si>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</si>
  <si>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</si>
  <si>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</si>
  <si>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</si>
  <si>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</si>
  <si>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</si>
  <si>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</si>
  <si>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</si>
  <si>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</si>
  <si>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</si>
  <si>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</si>
  <si>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</si>
  <si>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</si>
  <si>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</si>
  <si>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</si>
  <si>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</si>
  <si>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</si>
  <si>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</si>
  <si>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</si>
  <si>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</si>
  <si>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</si>
  <si>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</si>
  <si>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</si>
  <si>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</si>
  <si>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</si>
  <si>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</si>
  <si>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</si>
  <si>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</si>
  <si>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</si>
  <si>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</si>
  <si>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</si>
  <si>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</si>
  <si>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</si>
  <si>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</si>
  <si>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</si>
  <si>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</si>
  <si>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</si>
  <si>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</si>
  <si>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</si>
  <si>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</si>
  <si>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</si>
  <si>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</si>
  <si>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</si>
  <si>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</si>
  <si>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</si>
  <si>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</si>
  <si>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</si>
  <si>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</si>
  <si>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</si>
  <si>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</si>
  <si>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</si>
  <si>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</si>
  <si>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</si>
  <si>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</si>
  <si>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</si>
  <si>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</si>
  <si>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</si>
  <si>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</si>
  <si>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Email</t>
  </si>
  <si>
    <t>Annen</t>
  </si>
  <si>
    <t>Zita</t>
  </si>
  <si>
    <t>Aapark 20a</t>
  </si>
  <si>
    <t>zita.annen@gmail.ch</t>
  </si>
  <si>
    <t>Zentralsekretariat</t>
  </si>
  <si>
    <t>Aapark 22 B</t>
  </si>
  <si>
    <t>zentralsekretariat.annen@gmail.ch</t>
  </si>
  <si>
    <t>Arndgen</t>
  </si>
  <si>
    <t>Yvonne</t>
  </si>
  <si>
    <t>Aapark 22a</t>
  </si>
  <si>
    <t>yvonne.arndgen@gmail.ch</t>
  </si>
  <si>
    <t>055 442 20 96</t>
  </si>
  <si>
    <t>Willi</t>
  </si>
  <si>
    <t>willi.arndgen@gmail.ch</t>
  </si>
  <si>
    <t>Werner</t>
  </si>
  <si>
    <t>werner.arndgen@gmail.ch</t>
  </si>
  <si>
    <t>Autenrieth</t>
  </si>
  <si>
    <t>Aastrasse 13</t>
  </si>
  <si>
    <t>walter.autenrieth@gmail.ch</t>
  </si>
  <si>
    <t>055 442 16 56</t>
  </si>
  <si>
    <t>Barnert</t>
  </si>
  <si>
    <t>Aastrasse 8</t>
  </si>
  <si>
    <t>walter.barnert@gmail.ch</t>
  </si>
  <si>
    <t>055 440 50 33</t>
  </si>
  <si>
    <t>Betschart</t>
  </si>
  <si>
    <t>Adlerstrasse 10</t>
  </si>
  <si>
    <t>Goldau</t>
  </si>
  <si>
    <t>walter.betschart@gmail.ch</t>
  </si>
  <si>
    <t>041 855 53 24</t>
  </si>
  <si>
    <t>Bieri</t>
  </si>
  <si>
    <t>Adlerwiese 8</t>
  </si>
  <si>
    <t>walter.bieri@gmail.ch</t>
  </si>
  <si>
    <t>055 440 46 62</t>
  </si>
  <si>
    <t>Bockmuehl</t>
  </si>
  <si>
    <t>Aeussere Bahnhofstrasse 30e</t>
  </si>
  <si>
    <t>walter.bockmuehl@gmail.ch</t>
  </si>
  <si>
    <t>055 442 44 72</t>
  </si>
  <si>
    <t>Breitegger</t>
  </si>
  <si>
    <t>Allmeindstrasse 51</t>
  </si>
  <si>
    <t>walter.breitegger@gmail.ch</t>
  </si>
  <si>
    <t>055 442 48 33</t>
  </si>
  <si>
    <t>Bruhin</t>
  </si>
  <si>
    <t>Alpenblick 3</t>
  </si>
  <si>
    <t>walter.bruhin@gmail.ch</t>
  </si>
  <si>
    <t>055 440 26 15</t>
  </si>
  <si>
    <t>055 442 44 77</t>
  </si>
  <si>
    <t>Bruehlmann</t>
  </si>
  <si>
    <t>Alpenblickstrasse 1</t>
  </si>
  <si>
    <t>Thayngen / SH</t>
  </si>
  <si>
    <t>walter.bruehlmann@gmail.ch</t>
  </si>
  <si>
    <t>052 640 01 43</t>
  </si>
  <si>
    <t>Bueeler</t>
  </si>
  <si>
    <t>Alpenstrasse 4</t>
  </si>
  <si>
    <t>walter.bueeler@gmail.ch</t>
  </si>
  <si>
    <t>055 442 12 34</t>
  </si>
  <si>
    <t>Buehrer</t>
  </si>
  <si>
    <t>Alte Wollerauerstr. 10</t>
  </si>
  <si>
    <t>walter.buehrer@gmail.ch</t>
  </si>
  <si>
    <t>Vreni</t>
  </si>
  <si>
    <t>vreni.buehrer@gmail.ch</t>
  </si>
  <si>
    <t>Cavegn</t>
  </si>
  <si>
    <t>Volker</t>
  </si>
  <si>
    <t>Alte Wollerauerstrasse 30</t>
  </si>
  <si>
    <t>volker.cavegn@gmail.ch</t>
  </si>
  <si>
    <t>055 442 13 65</t>
  </si>
  <si>
    <t>Corsi</t>
  </si>
  <si>
    <t>Vital</t>
  </si>
  <si>
    <t>Alte Wollerauerstrasse 44</t>
  </si>
  <si>
    <t>vital.corsi@gmail.ch</t>
  </si>
  <si>
    <t>055 440 25 03</t>
  </si>
  <si>
    <t>Vincenzo</t>
  </si>
  <si>
    <t>Alte Wolleraustrasse 44</t>
  </si>
  <si>
    <t>vincenzo.corsi@gmail.ch</t>
  </si>
  <si>
    <t>Vica</t>
  </si>
  <si>
    <t>Am Platz 8</t>
  </si>
  <si>
    <t>vica.diethelm@gmail.ch</t>
  </si>
  <si>
    <t>055 442 37 71</t>
  </si>
  <si>
    <t>Verena</t>
  </si>
  <si>
    <t>verena.diethelm@gmail.ch</t>
  </si>
  <si>
    <t>055 410 43 01</t>
  </si>
  <si>
    <t>Am Stutz 5</t>
  </si>
  <si>
    <t>Dobler</t>
  </si>
  <si>
    <t>Vera</t>
  </si>
  <si>
    <t>Appisberstrasse 2</t>
  </si>
  <si>
    <t>Schuebelbach</t>
  </si>
  <si>
    <t>vera.dobler@gmail.ch</t>
  </si>
  <si>
    <t>055 440 53 72</t>
  </si>
  <si>
    <t>Doenni</t>
  </si>
  <si>
    <t>Ursula</t>
  </si>
  <si>
    <t>Ausserdorfweg 4</t>
  </si>
  <si>
    <t>ursula.doenni@gmail.ch</t>
  </si>
  <si>
    <t>055 283 26 65</t>
  </si>
  <si>
    <t>Bahnhofstrasse 11</t>
  </si>
  <si>
    <t xml:space="preserve">055 283 26 65 </t>
  </si>
  <si>
    <t>Dubach</t>
  </si>
  <si>
    <t>Bahnhofstrasse 59</t>
  </si>
  <si>
    <t>Gross</t>
  </si>
  <si>
    <t>ursula.dubach@gmail.ch</t>
  </si>
  <si>
    <t>Urs</t>
  </si>
  <si>
    <t>Bahnhofstrasse 7</t>
  </si>
  <si>
    <t>urs.dubach@gmail.ch</t>
  </si>
  <si>
    <t>055 442 16 45</t>
  </si>
  <si>
    <t>Dueggelin</t>
  </si>
  <si>
    <t>Bauernhofstrasse 12</t>
  </si>
  <si>
    <t>urs.dueggelin@gmail.ch</t>
  </si>
  <si>
    <t>055 442 76 58</t>
  </si>
  <si>
    <t>Erni</t>
  </si>
  <si>
    <t>Urban</t>
  </si>
  <si>
    <t>Bernkastelerstrasse 41</t>
  </si>
  <si>
    <t>urban.erni@gmail.ch</t>
  </si>
  <si>
    <t>055 442 50 43</t>
  </si>
  <si>
    <t>Faeh</t>
  </si>
  <si>
    <t>Ulrich</t>
  </si>
  <si>
    <t>Bettnaustrasse 8</t>
  </si>
  <si>
    <t>ulrich.faeh@gmail.ch</t>
  </si>
  <si>
    <t>055 462 15 01</t>
  </si>
  <si>
    <t>Theresa</t>
  </si>
  <si>
    <t>Biberzeltenstrasse 15</t>
  </si>
  <si>
    <t>theresa.faeh@gmail.ch</t>
  </si>
  <si>
    <t>Blumenstrasse 17</t>
  </si>
  <si>
    <t>055 462 26 52</t>
  </si>
  <si>
    <t>Glaus</t>
  </si>
  <si>
    <t>Theres</t>
  </si>
  <si>
    <t>Bolenberg 71</t>
  </si>
  <si>
    <t>Galgenen</t>
  </si>
  <si>
    <t>theres.glaus@gmail.ch</t>
  </si>
  <si>
    <t>055 440 48 41</t>
  </si>
  <si>
    <t>Glutz</t>
  </si>
  <si>
    <t>Brandweid 36</t>
  </si>
  <si>
    <t>theres.glutz@gmail.ch</t>
  </si>
  <si>
    <t>044 784 38 02</t>
  </si>
  <si>
    <t>Theo</t>
  </si>
  <si>
    <t>theo.glutz@gmail.ch</t>
  </si>
  <si>
    <t>Gruber</t>
  </si>
  <si>
    <t>Sybille</t>
  </si>
  <si>
    <t>Breitenstrasse  6</t>
  </si>
  <si>
    <t>sybille.gruber@gmail.ch</t>
  </si>
  <si>
    <t>055 442 53 25</t>
  </si>
  <si>
    <t>Gschwend</t>
  </si>
  <si>
    <t>Susanne</t>
  </si>
  <si>
    <t>susanne.gschwend@gmail.ch</t>
  </si>
  <si>
    <t>055 442 25 68</t>
  </si>
  <si>
    <t>Hegner</t>
  </si>
  <si>
    <t>Stefanie</t>
  </si>
  <si>
    <t>stefanie.hegner@gmail.ch</t>
  </si>
  <si>
    <t>055 440 74 08</t>
  </si>
  <si>
    <t>Stefan</t>
  </si>
  <si>
    <t>stefan.hegner@gmail.ch</t>
  </si>
  <si>
    <t>055 442 27 47</t>
  </si>
  <si>
    <t>Hertenstein</t>
  </si>
  <si>
    <t>Spreitenbach</t>
  </si>
  <si>
    <t>Buchenweg 14</t>
  </si>
  <si>
    <t>spreitenbach.hertenstein@gmail.ch</t>
  </si>
  <si>
    <t>055 442 50 57</t>
  </si>
  <si>
    <t>Simon</t>
  </si>
  <si>
    <t>Buchenweg 6</t>
  </si>
  <si>
    <t>simon.hertenstein@gmail.ch</t>
  </si>
  <si>
    <t>Holdener</t>
  </si>
  <si>
    <t>Silvia</t>
  </si>
  <si>
    <t>Bueelhof 3</t>
  </si>
  <si>
    <t>silvia.holdener@gmail.ch</t>
  </si>
  <si>
    <t>055 440 27 62</t>
  </si>
  <si>
    <t>Holdener-Hollenstein</t>
  </si>
  <si>
    <t>Sibylle</t>
  </si>
  <si>
    <t>Bueelstrasse 1a</t>
  </si>
  <si>
    <t>sibylle.holdener-hollenstein@gmail.ch</t>
  </si>
  <si>
    <t>055 442 82 54</t>
  </si>
  <si>
    <t>Severin</t>
  </si>
  <si>
    <t>Gommiswald</t>
  </si>
  <si>
    <t>severin.hollenstein@gmail.ch</t>
  </si>
  <si>
    <t>055 280 33 76</t>
  </si>
  <si>
    <t>Sebastian</t>
  </si>
  <si>
    <t>Buergerheimstrasse 5</t>
  </si>
  <si>
    <t>sebastian.hollenstein@gmail.ch</t>
  </si>
  <si>
    <t>Saskia</t>
  </si>
  <si>
    <t>Buergerheimstrasse 9</t>
  </si>
  <si>
    <t>saskia.hollenstein@gmail.ch</t>
  </si>
  <si>
    <t>Sarah</t>
  </si>
  <si>
    <t>Buergital</t>
  </si>
  <si>
    <t>sarah.hollenstein@gmail.ch</t>
  </si>
  <si>
    <t>Ruedi</t>
  </si>
  <si>
    <t>Janser</t>
  </si>
  <si>
    <t>ruedi.janser@gmail.ch</t>
  </si>
  <si>
    <t>Juengling</t>
  </si>
  <si>
    <t>ruedi.juengling@gmail.ch</t>
  </si>
  <si>
    <t>Rosmarie</t>
  </si>
  <si>
    <t>rosmarie.king@gmail.ch</t>
  </si>
  <si>
    <t>Rolf</t>
  </si>
  <si>
    <t>Roland</t>
  </si>
  <si>
    <t>roland.koepfli@gmail.ch</t>
  </si>
  <si>
    <t>Roes</t>
  </si>
  <si>
    <t>Richi</t>
  </si>
  <si>
    <t>richard.kussberger@gmail.ch</t>
  </si>
  <si>
    <t>Riccardo</t>
  </si>
  <si>
    <t>René</t>
  </si>
  <si>
    <t>rené.laib@gmail.ch</t>
  </si>
  <si>
    <t>rené.landolt@gmail.ch</t>
  </si>
  <si>
    <t>reinhard.lang@gmail.ch</t>
  </si>
  <si>
    <t>Raphael</t>
  </si>
  <si>
    <t>Ramon</t>
  </si>
  <si>
    <t>ramon.maechler@gmail.ch</t>
  </si>
  <si>
    <t>pius.maechler@gmail.ch</t>
  </si>
  <si>
    <t>Maechler-Diethelm</t>
  </si>
  <si>
    <t>Pirmin</t>
  </si>
  <si>
    <t>pirmin.maechler-diethelm@gmail.ch</t>
  </si>
  <si>
    <t>Pia</t>
  </si>
  <si>
    <t>Gestorben Marty</t>
  </si>
  <si>
    <t>philippe.gestorben marty@gmail.ch</t>
  </si>
  <si>
    <t>Paul</t>
  </si>
  <si>
    <t>Gartenstrasse 15</t>
  </si>
  <si>
    <t>paul.marty@gmail.ch</t>
  </si>
  <si>
    <t>Mc Namee</t>
  </si>
  <si>
    <t>Patrick</t>
  </si>
  <si>
    <t>Gartenstrasse 16</t>
  </si>
  <si>
    <t>patrick.mc namee@gmail.ch</t>
  </si>
  <si>
    <t>055 442 46 26</t>
  </si>
  <si>
    <t>Patricia</t>
  </si>
  <si>
    <t>Gartenstrasse 19</t>
  </si>
  <si>
    <t>patricia.meier@gmail.ch</t>
  </si>
  <si>
    <t>055 440 22 15</t>
  </si>
  <si>
    <t>Winkelmann</t>
  </si>
  <si>
    <t>Gartenstrasse 4</t>
  </si>
  <si>
    <t>Schwarzenberg</t>
  </si>
  <si>
    <t>otto.winkelmann@gmail.ch</t>
  </si>
  <si>
    <t>041 / 320 47 15</t>
  </si>
  <si>
    <t>Meister</t>
  </si>
  <si>
    <t>Oliver</t>
  </si>
  <si>
    <t>oliver.meister@gmail.ch</t>
  </si>
  <si>
    <t>055 440 31 17</t>
  </si>
  <si>
    <t>Mohn</t>
  </si>
  <si>
    <t>Nelly</t>
  </si>
  <si>
    <t>nelly.mohn@gmail.ch</t>
  </si>
  <si>
    <t>Nadine</t>
  </si>
  <si>
    <t>Schaenis</t>
  </si>
  <si>
    <t>nadine.mueller@gmail.ch</t>
  </si>
  <si>
    <t>055 615 17 28</t>
  </si>
  <si>
    <t>Myrta</t>
  </si>
  <si>
    <t>Gerbiweg 1</t>
  </si>
  <si>
    <t>Baech</t>
  </si>
  <si>
    <t>myrta.mueller@gmail.ch</t>
  </si>
  <si>
    <t>Myriam</t>
  </si>
  <si>
    <t>myriam.mueller@gmail.ch</t>
  </si>
  <si>
    <t>Moritz</t>
  </si>
  <si>
    <t>moritz.mueller@gmail.ch</t>
  </si>
  <si>
    <t>055 410 27 56</t>
  </si>
  <si>
    <t>Verein</t>
  </si>
  <si>
    <t>Naturfreunde Schweiz</t>
  </si>
  <si>
    <t>Monika</t>
  </si>
  <si>
    <t>Bern</t>
  </si>
  <si>
    <t>monika.naturfreunde schweiz@gmail.ch</t>
  </si>
  <si>
    <t>Palfner</t>
  </si>
  <si>
    <t>Glaernischstrasse 191</t>
  </si>
  <si>
    <t>monika.palfner@gmail.ch</t>
  </si>
  <si>
    <t>055 442 53 39</t>
  </si>
  <si>
    <t>Ramensberger</t>
  </si>
  <si>
    <t>Monica</t>
  </si>
  <si>
    <t>Bollingen</t>
  </si>
  <si>
    <t>monica.ramensberger@gmail.ch</t>
  </si>
  <si>
    <t>055 212 63 39</t>
  </si>
  <si>
    <t>Rauchenstein</t>
  </si>
  <si>
    <t>Glaernischstrasse 8</t>
  </si>
  <si>
    <t>monica.rauchenstein@gmail.ch</t>
  </si>
  <si>
    <t>055 442 11 17</t>
  </si>
  <si>
    <t>Marvin</t>
  </si>
  <si>
    <t>marvin.rauchenstein@gmail.ch</t>
  </si>
  <si>
    <t>055 442 63 04</t>
  </si>
  <si>
    <t>Rebstein</t>
  </si>
  <si>
    <t>Martin</t>
  </si>
  <si>
    <t>Glarnerstrasse 47</t>
  </si>
  <si>
    <t>martin.rebstein@gmail.ch</t>
  </si>
  <si>
    <t>055 410 25 59</t>
  </si>
  <si>
    <t>Rechsteiner</t>
  </si>
  <si>
    <t>Gnossenweg 8</t>
  </si>
  <si>
    <t>Pfaeffikon SZ</t>
  </si>
  <si>
    <t>martin.rechsteiner@gmail.ch</t>
  </si>
  <si>
    <t>044 784 86 50</t>
  </si>
  <si>
    <t>martin.rothlin@gmail.ch</t>
  </si>
  <si>
    <t>055 440 32 38</t>
  </si>
  <si>
    <t>Rueegg</t>
  </si>
  <si>
    <t xml:space="preserve">Martha </t>
  </si>
  <si>
    <t>Grossgadenstrass 16</t>
  </si>
  <si>
    <t>Jona</t>
  </si>
  <si>
    <t>martha .rueegg@gmail.ch</t>
  </si>
  <si>
    <t>055 212 56 08</t>
  </si>
  <si>
    <t>Martha</t>
  </si>
  <si>
    <t>Gruetstrasse 21</t>
  </si>
  <si>
    <t>martha.rueegg@gmail.ch</t>
  </si>
  <si>
    <t>055 410 13 94</t>
  </si>
  <si>
    <t>Ruoss</t>
  </si>
  <si>
    <t>Markus</t>
  </si>
  <si>
    <t>Gruetstrasse 25</t>
  </si>
  <si>
    <t>markus.ruoss@gmail.ch</t>
  </si>
  <si>
    <t>055 440 30 56</t>
  </si>
  <si>
    <t>Saglam</t>
  </si>
  <si>
    <t>Marion</t>
  </si>
  <si>
    <t>Schindellegi</t>
  </si>
  <si>
    <t>marion.saglam@gmail.ch</t>
  </si>
  <si>
    <t>044 784 80 69</t>
  </si>
  <si>
    <t>Schaerer</t>
  </si>
  <si>
    <t>Mario</t>
  </si>
  <si>
    <t>Gugelbergstrasse 8</t>
  </si>
  <si>
    <t>mario.schaerer@gmail.ch</t>
  </si>
  <si>
    <t>055 410 38 65</t>
  </si>
  <si>
    <t>Schatt</t>
  </si>
  <si>
    <t>Marie-Theres</t>
  </si>
  <si>
    <t>Gweerhofstr. 10</t>
  </si>
  <si>
    <t>marie-theres.schatt@gmail.ch</t>
  </si>
  <si>
    <t>076 433 46 10</t>
  </si>
  <si>
    <t>Schaetti</t>
  </si>
  <si>
    <t>Marianne</t>
  </si>
  <si>
    <t>Gweerhofstrasse 10</t>
  </si>
  <si>
    <t>marianne.schaetti@gmail.ch</t>
  </si>
  <si>
    <t>055 440 44 02</t>
  </si>
  <si>
    <t>Schmalz</t>
  </si>
  <si>
    <t>Maria de Lourdes</t>
  </si>
  <si>
    <t>Gweerhofstrasse 17</t>
  </si>
  <si>
    <t>maria de lourdes.schmalz@gmail.ch</t>
  </si>
  <si>
    <t>Schmid</t>
  </si>
  <si>
    <t>Haglen 1</t>
  </si>
  <si>
    <t>maria.schmid@gmail.ch</t>
  </si>
  <si>
    <t>055 440 24 61</t>
  </si>
  <si>
    <t>Kern</t>
  </si>
  <si>
    <t>Hermannsweidstrasse 6</t>
  </si>
  <si>
    <t>Biberach</t>
  </si>
  <si>
    <t>maria.kern@gmail.ch</t>
  </si>
  <si>
    <t>Schmuki</t>
  </si>
  <si>
    <t>Margrit</t>
  </si>
  <si>
    <t>Herrengasse 14</t>
  </si>
  <si>
    <t>margrit.schmuki@gmail.ch</t>
  </si>
  <si>
    <t>055 442 17 82</t>
  </si>
  <si>
    <t>Schnellmann</t>
  </si>
  <si>
    <t>margrit.schnellmann@gmail.ch</t>
  </si>
  <si>
    <t>055 440 31 53</t>
  </si>
  <si>
    <t>Hofstrasse 22</t>
  </si>
  <si>
    <t>Schorer</t>
  </si>
  <si>
    <t>Margret</t>
  </si>
  <si>
    <t>Hotel Palazzo Salis</t>
  </si>
  <si>
    <t>Innerthal</t>
  </si>
  <si>
    <t>margret.schorer@gmail.ch</t>
  </si>
  <si>
    <t>055 446 17 10</t>
  </si>
  <si>
    <t>Schuler</t>
  </si>
  <si>
    <t>Wilen b. Wollerau</t>
  </si>
  <si>
    <t>margret.schuler@gmail.ch</t>
  </si>
  <si>
    <t>055 420 23 06</t>
  </si>
  <si>
    <t>Marcel</t>
  </si>
  <si>
    <t>marcel.schuler@gmail.ch</t>
  </si>
  <si>
    <t>055 442 36 88</t>
  </si>
  <si>
    <t>Schuetz</t>
  </si>
  <si>
    <t>Maja</t>
  </si>
  <si>
    <t>Hurdnerwaeldlistrasse 25</t>
  </si>
  <si>
    <t>maja.schuetz@gmail.ch</t>
  </si>
  <si>
    <t>055 442 76 59</t>
  </si>
  <si>
    <t>Schweizer</t>
  </si>
  <si>
    <t>Lotte</t>
  </si>
  <si>
    <t>lotte.schweizer@gmail.ch</t>
  </si>
  <si>
    <t>044 784 49 40</t>
  </si>
  <si>
    <t>Schwendeler</t>
  </si>
  <si>
    <t>Lorena</t>
  </si>
  <si>
    <t>Im Hangetli 10</t>
  </si>
  <si>
    <t>lorena.schwendeler@gmail.ch</t>
  </si>
  <si>
    <t>055 442 33 87</t>
  </si>
  <si>
    <t>Schwiter</t>
  </si>
  <si>
    <t>Lina</t>
  </si>
  <si>
    <t>im Hangetli 7</t>
  </si>
  <si>
    <t>lina.schwiter@gmail.ch</t>
  </si>
  <si>
    <t>055 442 33 09</t>
  </si>
  <si>
    <t>Seitz</t>
  </si>
  <si>
    <t>Leopold</t>
  </si>
  <si>
    <t>leopold.seitz@gmail.ch</t>
  </si>
  <si>
    <t>055 410 24 92</t>
  </si>
  <si>
    <t>Seunig</t>
  </si>
  <si>
    <t>Leo</t>
  </si>
  <si>
    <t>Im Stoeckli 4</t>
  </si>
  <si>
    <t>Tuggen</t>
  </si>
  <si>
    <t>leo.seunig@gmail.ch</t>
  </si>
  <si>
    <t>055 440 27 82</t>
  </si>
  <si>
    <t>Sidler</t>
  </si>
  <si>
    <t>Franz</t>
  </si>
  <si>
    <t>Im Winkel 7</t>
  </si>
  <si>
    <t>franz.sidler@gmail.ch</t>
  </si>
  <si>
    <t>055 410 15 33</t>
  </si>
  <si>
    <t>Spieser</t>
  </si>
  <si>
    <t>Koebi</t>
  </si>
  <si>
    <t>Jaegerpfad 13</t>
  </si>
  <si>
    <t>koebi.spieser@gmail.ch</t>
  </si>
  <si>
    <t>055 442 11 40</t>
  </si>
  <si>
    <t>Spoerri</t>
  </si>
  <si>
    <t>Kenneth</t>
  </si>
  <si>
    <t>Kantonsstr. 110</t>
  </si>
  <si>
    <t>kenneth.spoerri@gmail.ch</t>
  </si>
  <si>
    <t>044 784 33 74</t>
  </si>
  <si>
    <t>Sportverband</t>
  </si>
  <si>
    <t>Katharina</t>
  </si>
  <si>
    <t>Kantonstrasse 9</t>
  </si>
  <si>
    <t>katharina.sportverband@gmail.ch</t>
  </si>
  <si>
    <t>Summermatter</t>
  </si>
  <si>
    <t>Kaspar</t>
  </si>
  <si>
    <t>Kapellstrasse 17</t>
  </si>
  <si>
    <t>kaspar.summermatter@gmail.ch</t>
  </si>
  <si>
    <t>055 442 23 61</t>
  </si>
  <si>
    <t>Van Aelst</t>
  </si>
  <si>
    <t>Kirchstr. 62</t>
  </si>
  <si>
    <t>kaspar.van aelst@gmail.ch</t>
  </si>
  <si>
    <t>055 442 47 34</t>
  </si>
  <si>
    <t>Verkehrsverein Lachen</t>
  </si>
  <si>
    <t>Karl</t>
  </si>
  <si>
    <t>Kreuzstattstrasse 8</t>
  </si>
  <si>
    <t>karl.verkehrsverein lachen@gmail.ch</t>
  </si>
  <si>
    <t>Walker</t>
  </si>
  <si>
    <t>Landsgemeindeweg 18</t>
  </si>
  <si>
    <t>karl.walker@gmail.ch</t>
  </si>
  <si>
    <t>055 440 10 47</t>
  </si>
  <si>
    <t>Waelti</t>
  </si>
  <si>
    <t>Langacker 11</t>
  </si>
  <si>
    <t>karl.waelti@gmail.ch</t>
  </si>
  <si>
    <t>044 784 21 67</t>
  </si>
  <si>
    <t>Langacker 14</t>
  </si>
  <si>
    <t>Weber</t>
  </si>
  <si>
    <t>Langacker 17</t>
  </si>
  <si>
    <t>karl.weber@gmail.ch</t>
  </si>
  <si>
    <t>055 442 15 87</t>
  </si>
  <si>
    <t>Justin</t>
  </si>
  <si>
    <t>Langackerweg 15 B</t>
  </si>
  <si>
    <t>justin.weber@gmail.ch</t>
  </si>
  <si>
    <t>Julian</t>
  </si>
  <si>
    <t>Langackerweg 21</t>
  </si>
  <si>
    <t>julian.weber@gmail.ch</t>
  </si>
  <si>
    <t>Wiedenkeller</t>
  </si>
  <si>
    <t>Judith</t>
  </si>
  <si>
    <t>Lindenbachstrasse 22</t>
  </si>
  <si>
    <t>judith.wiedenkeller@gmail.ch</t>
  </si>
  <si>
    <t>055 442 10 48</t>
  </si>
  <si>
    <t>Jrma</t>
  </si>
  <si>
    <t>Maienwies 12</t>
  </si>
  <si>
    <t>jrma.wiedenkeller@gmail.ch</t>
  </si>
  <si>
    <t>055 442 59 84</t>
  </si>
  <si>
    <t>Winteler</t>
  </si>
  <si>
    <t>Josy</t>
  </si>
  <si>
    <t>Marktstrasse 28</t>
  </si>
  <si>
    <t>josy.winteler@gmail.ch</t>
  </si>
  <si>
    <t>055 442 19 31</t>
  </si>
  <si>
    <t>Wuest</t>
  </si>
  <si>
    <t>Joseph</t>
  </si>
  <si>
    <t>joseph.wuest@gmail.ch</t>
  </si>
  <si>
    <t>055 410 38 54</t>
  </si>
  <si>
    <t>Wuhrkorperation</t>
  </si>
  <si>
    <t>joseph.wuhrkorperation@gmail.ch</t>
  </si>
  <si>
    <t>Zehnder</t>
  </si>
  <si>
    <t>Josefina</t>
  </si>
  <si>
    <t>josefina.zehnder@gmail.ch</t>
  </si>
  <si>
    <t>055 440 22 02</t>
  </si>
  <si>
    <t>Ziegler</t>
  </si>
  <si>
    <t>Josef</t>
  </si>
  <si>
    <t>Moosbruggerstrasse 5</t>
  </si>
  <si>
    <t>josef.ziegler@gmail.ch</t>
  </si>
  <si>
    <t>055 440 35 19</t>
  </si>
  <si>
    <t>Dettling</t>
  </si>
  <si>
    <t>Mosenbachstrasse  14</t>
  </si>
  <si>
    <t>Reichenburg</t>
  </si>
  <si>
    <t>josef.dettling@gmail.ch</t>
  </si>
  <si>
    <t>Zueger</t>
  </si>
  <si>
    <t>Mosenbachstrasse 14</t>
  </si>
  <si>
    <t>josef.zueger@gmail.ch</t>
  </si>
  <si>
    <t>055 440 41 21</t>
  </si>
  <si>
    <t>Bertenghi</t>
  </si>
  <si>
    <t>Mosenbachstrasse 16</t>
  </si>
  <si>
    <t>josef.bertenghi@gmail.ch</t>
  </si>
  <si>
    <t>Muehle</t>
  </si>
  <si>
    <t>josef.rauchenstein@gmail.ch</t>
  </si>
  <si>
    <t>055 442 31 75</t>
  </si>
  <si>
    <t>Muehlebachstrasse 1</t>
  </si>
  <si>
    <t>josef.schuetz@gmail.ch</t>
  </si>
  <si>
    <t>Muehlestrasse 2</t>
  </si>
  <si>
    <t>josef.maechler@gmail.ch</t>
  </si>
  <si>
    <t>055 442 84 53</t>
  </si>
  <si>
    <t>Wattenhofer</t>
  </si>
  <si>
    <t>josef.wattenhofer@gmail.ch</t>
  </si>
  <si>
    <t>055 442 32 20</t>
  </si>
  <si>
    <t>Spycher</t>
  </si>
  <si>
    <t>Jonathan</t>
  </si>
  <si>
    <t>Muertschenstrasse 3</t>
  </si>
  <si>
    <t>Horgen</t>
  </si>
  <si>
    <t>jonathan.spycher@gmail.ch</t>
  </si>
  <si>
    <t>044 725 12 96</t>
  </si>
  <si>
    <t>Hoffmann</t>
  </si>
  <si>
    <t>Johanna</t>
  </si>
  <si>
    <t>Muschelbergweg 10</t>
  </si>
  <si>
    <t>johanna.hoffmann@gmail.ch</t>
  </si>
  <si>
    <t>055 442 16 57</t>
  </si>
  <si>
    <t>Schnyder Hoffmann</t>
  </si>
  <si>
    <t>Joerg</t>
  </si>
  <si>
    <t>Nelkenweg 5</t>
  </si>
  <si>
    <t>joerg.schnyder hoffmann@gmail.ch</t>
  </si>
  <si>
    <t>Jeanette</t>
  </si>
  <si>
    <t>Neuheimstrasse 15</t>
  </si>
  <si>
    <t>jeanette.hoffmann@gmail.ch</t>
  </si>
  <si>
    <t>Jakob</t>
  </si>
  <si>
    <t>Neuheimstrasse 34</t>
  </si>
  <si>
    <t>jakob.hoffmann@gmail.ch</t>
  </si>
  <si>
    <t>Jacqueline</t>
  </si>
  <si>
    <t>Oberdorferstrasse 92</t>
  </si>
  <si>
    <t>jacqueline.holdener@gmail.ch</t>
  </si>
  <si>
    <t>Irene</t>
  </si>
  <si>
    <t>Oberdorfstrasse 42</t>
  </si>
  <si>
    <t>irene.holdener@gmail.ch</t>
  </si>
  <si>
    <t>Von Allmen</t>
  </si>
  <si>
    <t>Ilona</t>
  </si>
  <si>
    <t>ilona.von allmen@gmail.ch</t>
  </si>
  <si>
    <t>055 440 40 31</t>
  </si>
  <si>
    <t>Deuber</t>
  </si>
  <si>
    <t>Ida</t>
  </si>
  <si>
    <t>ida.deuber@gmail.ch</t>
  </si>
  <si>
    <t>055 442 34 82</t>
  </si>
  <si>
    <t>Spuehler</t>
  </si>
  <si>
    <t>Hulda</t>
  </si>
  <si>
    <t>hulda.spuehler@gmail.ch</t>
  </si>
  <si>
    <t>044 784 18 39</t>
  </si>
  <si>
    <t>Hermann</t>
  </si>
  <si>
    <t>hermann.schuetz@gmail.ch</t>
  </si>
  <si>
    <t>Bissegger</t>
  </si>
  <si>
    <t>Herbert</t>
  </si>
  <si>
    <t>herbert.bissegger@gmail.ch</t>
  </si>
  <si>
    <t>044 784 09 80</t>
  </si>
  <si>
    <t>Rieter</t>
  </si>
  <si>
    <t>Heinz</t>
  </si>
  <si>
    <t>Amden</t>
  </si>
  <si>
    <t>heinz.rieter@gmail.ch</t>
  </si>
  <si>
    <t>055 611 16 33</t>
  </si>
  <si>
    <t>Oberdorfstrasse 44</t>
  </si>
  <si>
    <t>heinz.bruhin@gmail.ch</t>
  </si>
  <si>
    <t>055 445 17 92</t>
  </si>
  <si>
    <t>Oetiker</t>
  </si>
  <si>
    <t>Heinrich</t>
  </si>
  <si>
    <t>heinrich.oetiker@gmail.ch</t>
  </si>
  <si>
    <t>055 442 11 10</t>
  </si>
  <si>
    <t>Heidi</t>
  </si>
  <si>
    <t>Oberer Erlenweg 10</t>
  </si>
  <si>
    <t>heidi.diethelm@gmail.ch</t>
  </si>
  <si>
    <t>055 440 16 23</t>
  </si>
  <si>
    <t>Obertafletenstrasse 14</t>
  </si>
  <si>
    <t>heidi.deuber@gmail.ch</t>
  </si>
  <si>
    <t>Schuler-Bamert</t>
  </si>
  <si>
    <t>Hedy</t>
  </si>
  <si>
    <t>Oberwacht</t>
  </si>
  <si>
    <t>hedy.schuler-bamert@gmail.ch</t>
  </si>
  <si>
    <t>055 440 41 19</t>
  </si>
  <si>
    <t>Kumli</t>
  </si>
  <si>
    <t>Oberwacht 7</t>
  </si>
  <si>
    <t>Niederurnen</t>
  </si>
  <si>
    <t>hedy.kumli@gmail.ch</t>
  </si>
  <si>
    <t>055 440 75 54</t>
  </si>
  <si>
    <t>Gallati</t>
  </si>
  <si>
    <t>Hans-Ruedi</t>
  </si>
  <si>
    <t>Rapperswil-Jona</t>
  </si>
  <si>
    <t>hans-ruedi.gallati@gmail.ch</t>
  </si>
  <si>
    <t>055 212 22 79</t>
  </si>
  <si>
    <t>Hansruedi</t>
  </si>
  <si>
    <t>Pappelweg 6</t>
  </si>
  <si>
    <t>hansruedi.gallati@gmail.ch</t>
  </si>
  <si>
    <t>Hans-Peter</t>
  </si>
  <si>
    <t>Paulistrasse 28</t>
  </si>
  <si>
    <t>hans-peter.meier@gmail.ch</t>
  </si>
  <si>
    <t>Faux</t>
  </si>
  <si>
    <t>Hanspeter</t>
  </si>
  <si>
    <t>hanspeter.faux@gmail.ch</t>
  </si>
  <si>
    <t>055 442 47 14</t>
  </si>
  <si>
    <t>Zimmermann</t>
  </si>
  <si>
    <t>Hansjoerg</t>
  </si>
  <si>
    <t>hansjoerg.zimmermann@gmail.ch</t>
  </si>
  <si>
    <t>055 442 71 29</t>
  </si>
  <si>
    <t>Goeldi</t>
  </si>
  <si>
    <t>Paulistrasse 32</t>
  </si>
  <si>
    <t>hans.goeldi@gmail.ch</t>
  </si>
  <si>
    <t>055 442 31 39</t>
  </si>
  <si>
    <t>Jud</t>
  </si>
  <si>
    <t>hans.jud@gmail.ch</t>
  </si>
  <si>
    <t>Gansner</t>
  </si>
  <si>
    <t>Hanny</t>
  </si>
  <si>
    <t>Perronweg 10</t>
  </si>
  <si>
    <t>hanny.gansner@gmail.ch</t>
  </si>
  <si>
    <t>055 440 54 65</t>
  </si>
  <si>
    <t>Haeni</t>
  </si>
  <si>
    <t>Hanni</t>
  </si>
  <si>
    <t>Pfaeffikonerstrasse 16</t>
  </si>
  <si>
    <t>hanni.haeni@gmail.ch</t>
  </si>
  <si>
    <t>055 442 26 12</t>
  </si>
  <si>
    <t>Schirmer</t>
  </si>
  <si>
    <t>Gottlieb</t>
  </si>
  <si>
    <t>Pflanzschulstrasse 36</t>
  </si>
  <si>
    <t>gottlieb.schirmer@gmail.ch</t>
  </si>
  <si>
    <t>055 444 15 80</t>
  </si>
  <si>
    <t>Derungs</t>
  </si>
  <si>
    <t>Gery</t>
  </si>
  <si>
    <t>Pilgerweg 22 / PF 355</t>
  </si>
  <si>
    <t>gery.derungs@gmail.ch</t>
  </si>
  <si>
    <t>044 784 74 57</t>
  </si>
  <si>
    <t>Walker-Kaelin</t>
  </si>
  <si>
    <t>Gertrud</t>
  </si>
  <si>
    <t>Postfach</t>
  </si>
  <si>
    <t>Wilen</t>
  </si>
  <si>
    <t>gertrud.walker-kaelin@gmail.ch</t>
  </si>
  <si>
    <t>044 784 28 47</t>
  </si>
  <si>
    <t>Thoma</t>
  </si>
  <si>
    <t>Georges</t>
  </si>
  <si>
    <t>Postfach 16</t>
  </si>
  <si>
    <t>Oberurnen</t>
  </si>
  <si>
    <t>georges.thoma@gmail.ch</t>
  </si>
  <si>
    <t>055 610 32 18</t>
  </si>
  <si>
    <t>Mettler</t>
  </si>
  <si>
    <t>Georg</t>
  </si>
  <si>
    <t>Postfach 7364</t>
  </si>
  <si>
    <t>Bruetten</t>
  </si>
  <si>
    <t>georg.mettler@gmail.ch</t>
  </si>
  <si>
    <t>052 345 29 63</t>
  </si>
  <si>
    <t>Gabi</t>
  </si>
  <si>
    <t>Postgasse 6</t>
  </si>
  <si>
    <t>gabi.bieri@gmail.ch</t>
  </si>
  <si>
    <t>Kistler</t>
  </si>
  <si>
    <t>Quellenstrasse 5</t>
  </si>
  <si>
    <t>fritz.kistler@gmail.ch</t>
  </si>
  <si>
    <t>055 444 15 84</t>
  </si>
  <si>
    <t>Friedrich</t>
  </si>
  <si>
    <t>Rainstrasse 31 B</t>
  </si>
  <si>
    <t>friedrich.zehnder@gmail.ch</t>
  </si>
  <si>
    <t>Frieda</t>
  </si>
  <si>
    <t>Rainweg 1</t>
  </si>
  <si>
    <t>frieda.zehnder@gmail.ch</t>
  </si>
  <si>
    <t>Berger</t>
  </si>
  <si>
    <t>Fredy</t>
  </si>
  <si>
    <t>Rathausplatz 4</t>
  </si>
  <si>
    <t>Rapperswil</t>
  </si>
  <si>
    <t>fredy.berger@gmail.ch</t>
  </si>
  <si>
    <t>055 210 46 33</t>
  </si>
  <si>
    <t>Riedenstrasse 56</t>
  </si>
  <si>
    <t>fredy.betschart@gmail.ch</t>
  </si>
  <si>
    <t>055 242 91 40</t>
  </si>
  <si>
    <t>Maetzler</t>
  </si>
  <si>
    <t>Rietbrunnen 22 b</t>
  </si>
  <si>
    <t>fredy.maetzler@gmail.ch</t>
  </si>
  <si>
    <t>055 442 13 83</t>
  </si>
  <si>
    <t>Stauffacher</t>
  </si>
  <si>
    <t>Rohrwis 5</t>
  </si>
  <si>
    <t>franz.stauffacher@gmail.ch</t>
  </si>
  <si>
    <t>055 420 23 80</t>
  </si>
  <si>
    <t>Kopp</t>
  </si>
  <si>
    <t>Ferdy</t>
  </si>
  <si>
    <t>Rosengartenstrasse 7</t>
  </si>
  <si>
    <t>ferdy.kopp@gmail.ch</t>
  </si>
  <si>
    <t>055 410 24 14</t>
  </si>
  <si>
    <t>Benz</t>
  </si>
  <si>
    <t>Felix</t>
  </si>
  <si>
    <t>Ruchweg 12</t>
  </si>
  <si>
    <t>felix.benz@gmail.ch</t>
  </si>
  <si>
    <t>Bachmann-Schwegler</t>
  </si>
  <si>
    <t>Felicitas</t>
  </si>
  <si>
    <t>Saentisstrasse 10</t>
  </si>
  <si>
    <t>felicitas.bachmann-schwegler@gmail.ch</t>
  </si>
  <si>
    <t>055 442 36 36</t>
  </si>
  <si>
    <t>Steiner</t>
  </si>
  <si>
    <t>Fabian</t>
  </si>
  <si>
    <t>Schaefliwiese 17</t>
  </si>
  <si>
    <t>Vorderthal</t>
  </si>
  <si>
    <t>fabian.steiner@gmail.ch</t>
  </si>
  <si>
    <t>055 446 17 17</t>
  </si>
  <si>
    <t>Eugen</t>
  </si>
  <si>
    <t>Schandelnstrasse 10</t>
  </si>
  <si>
    <t>eugen.marty@gmail.ch</t>
  </si>
  <si>
    <t>055 442 36 42</t>
  </si>
  <si>
    <t>Harder</t>
  </si>
  <si>
    <t>Esther</t>
  </si>
  <si>
    <t>Schilfstrasse 17</t>
  </si>
  <si>
    <t>esther.harder@gmail.ch</t>
  </si>
  <si>
    <t>055 442 30 75</t>
  </si>
  <si>
    <t>D' Elsa</t>
  </si>
  <si>
    <t>Ester</t>
  </si>
  <si>
    <t>Schubertstrasse 8/1</t>
  </si>
  <si>
    <t>Dunningen</t>
  </si>
  <si>
    <t>ester.d' elsa@gmail.ch</t>
  </si>
  <si>
    <t>Ruoss-Schuler</t>
  </si>
  <si>
    <t>Erwin</t>
  </si>
  <si>
    <t>Schuerwiesstrasse 5</t>
  </si>
  <si>
    <t>erwin.ruoss-schuler@gmail.ch</t>
  </si>
  <si>
    <t>055 445 21 88</t>
  </si>
  <si>
    <t>Buechel</t>
  </si>
  <si>
    <t>erwin.buechel@gmail.ch</t>
  </si>
  <si>
    <t>055 442 23 68</t>
  </si>
  <si>
    <t>Baertsch</t>
  </si>
  <si>
    <t>Ernst</t>
  </si>
  <si>
    <t>Schuetzenstrasse 28</t>
  </si>
  <si>
    <t>Bad Ragaz</t>
  </si>
  <si>
    <t>ernst.baertsch@gmail.ch</t>
  </si>
  <si>
    <t>Foellmi</t>
  </si>
  <si>
    <t>Erna</t>
  </si>
  <si>
    <t>Schweighofstrasse 59</t>
  </si>
  <si>
    <t>erna.foellmi@gmail.ch</t>
  </si>
  <si>
    <t>Erika</t>
  </si>
  <si>
    <t>Seefeldstrasse 29</t>
  </si>
  <si>
    <t>erika.betschart@gmail.ch</t>
  </si>
  <si>
    <t>Fatzer</t>
  </si>
  <si>
    <t>Elsbeth</t>
  </si>
  <si>
    <t>Seefeldstrasse 31</t>
  </si>
  <si>
    <t>elsbeth.fatzer@gmail.ch</t>
  </si>
  <si>
    <t xml:space="preserve">055 442 47 20 </t>
  </si>
  <si>
    <t>Elsa</t>
  </si>
  <si>
    <t>Seefeldstrasse 35</t>
  </si>
  <si>
    <t>Huetten</t>
  </si>
  <si>
    <t>elsa.betschart@gmail.ch</t>
  </si>
  <si>
    <t>044 788 21 12</t>
  </si>
  <si>
    <t>Nigg</t>
  </si>
  <si>
    <t>Elisabeth</t>
  </si>
  <si>
    <t>elisabeth.nigg@gmail.ch</t>
  </si>
  <si>
    <t>055 444 30 03</t>
  </si>
  <si>
    <t>Edith</t>
  </si>
  <si>
    <t>edith.zimmermann@gmail.ch</t>
  </si>
  <si>
    <t>055 440 33 67</t>
  </si>
  <si>
    <t>Niederer</t>
  </si>
  <si>
    <t>edith.niederer@gmail.ch</t>
  </si>
  <si>
    <t>055 410 22 06</t>
  </si>
  <si>
    <t>Hansen</t>
  </si>
  <si>
    <t>edith.hansen@gmail.ch</t>
  </si>
  <si>
    <t>Doris</t>
  </si>
  <si>
    <t>doris.seitz@gmail.ch</t>
  </si>
  <si>
    <t>Furrer</t>
  </si>
  <si>
    <t>Seestrasse</t>
  </si>
  <si>
    <t>doris.furrer@gmail.ch</t>
  </si>
  <si>
    <t>055 440 37 92</t>
  </si>
  <si>
    <t>Seestrasse 14</t>
  </si>
  <si>
    <t>doris.maechler@gmail.ch</t>
  </si>
  <si>
    <t>044 687 86 83</t>
  </si>
  <si>
    <t>Dora</t>
  </si>
  <si>
    <t>Seestrasse 206</t>
  </si>
  <si>
    <t>dora.schwendeler@gmail.ch</t>
  </si>
  <si>
    <t>Vitacco</t>
  </si>
  <si>
    <t>Dominik</t>
  </si>
  <si>
    <t>Seidenstr. 24c</t>
  </si>
  <si>
    <t>dominik.vitacco@gmail.ch</t>
  </si>
  <si>
    <t>044 310 74 19</t>
  </si>
  <si>
    <t>Sieben-Eichenweg 21</t>
  </si>
  <si>
    <t>dominik.foellmi@gmail.ch</t>
  </si>
  <si>
    <t>044 784 79 93</t>
  </si>
  <si>
    <t>Bono</t>
  </si>
  <si>
    <t>Kuesnacht</t>
  </si>
  <si>
    <t>dominik.bono@gmail.ch</t>
  </si>
  <si>
    <t>044 920 11 22</t>
  </si>
  <si>
    <t>Spiess</t>
  </si>
  <si>
    <t>Sonnenpark</t>
  </si>
  <si>
    <t>diethelm.spiess@gmail.ch</t>
  </si>
  <si>
    <t>055 445 15 75</t>
  </si>
  <si>
    <t>Seeholzer</t>
  </si>
  <si>
    <t>Deisy</t>
  </si>
  <si>
    <t>Sonnenrain 37</t>
  </si>
  <si>
    <t>deisy.seeholzer@gmail.ch</t>
  </si>
  <si>
    <t>055 460 13 40</t>
  </si>
  <si>
    <t>David</t>
  </si>
  <si>
    <t>Sonnenwiese 10</t>
  </si>
  <si>
    <t>david.krieg@gmail.ch</t>
  </si>
  <si>
    <t>055 440 43 32</t>
  </si>
  <si>
    <t>Romer</t>
  </si>
  <si>
    <t>Dagmar</t>
  </si>
  <si>
    <t>Sonnewiese 4B</t>
  </si>
  <si>
    <t>dagmar.romer@gmail.ch</t>
  </si>
  <si>
    <t>055 550 15 10</t>
  </si>
  <si>
    <t>Keller</t>
  </si>
  <si>
    <t>Cyrill</t>
  </si>
  <si>
    <t>Sonnmatt 10</t>
  </si>
  <si>
    <t>Schmerikon</t>
  </si>
  <si>
    <t>cyrill.keller@gmail.ch</t>
  </si>
  <si>
    <t>Corina</t>
  </si>
  <si>
    <t>corina.keller@gmail.ch</t>
  </si>
  <si>
    <t xml:space="preserve">Nussbaumer </t>
  </si>
  <si>
    <t>Christine</t>
  </si>
  <si>
    <t>Sonnmattstrasse 4</t>
  </si>
  <si>
    <t>christine.nussbaumer @gmail.ch</t>
  </si>
  <si>
    <t>055 442 52 35</t>
  </si>
  <si>
    <t>Nussbaumer-Holdener</t>
  </si>
  <si>
    <t>Charlotte</t>
  </si>
  <si>
    <t>Speerstrasse 2</t>
  </si>
  <si>
    <t>charlotte.nussbaumer-holdener@gmail.ch</t>
  </si>
  <si>
    <t>Nussbaumer</t>
  </si>
  <si>
    <t>Caroline</t>
  </si>
  <si>
    <t>Spielwiese 12</t>
  </si>
  <si>
    <t>caroline.nussbaumer@gmail.ch</t>
  </si>
  <si>
    <t>Spreite 12</t>
  </si>
  <si>
    <t>Carin</t>
  </si>
  <si>
    <t>carin.keller@gmail.ch</t>
  </si>
  <si>
    <t>044 784 31 08</t>
  </si>
  <si>
    <t>Bruno</t>
  </si>
  <si>
    <t>bruno.keller@gmail.ch</t>
  </si>
  <si>
    <t>Vaccaro</t>
  </si>
  <si>
    <t>Spreite 5</t>
  </si>
  <si>
    <t>bruno.vaccaro@gmail.ch</t>
  </si>
  <si>
    <t>Schwyter</t>
  </si>
  <si>
    <t>St. Gallerstr. 89</t>
  </si>
  <si>
    <t>bruno.schwyter@gmail.ch</t>
  </si>
  <si>
    <t>055 442 22 54</t>
  </si>
  <si>
    <t>St. Gallerstrasse 24</t>
  </si>
  <si>
    <t>bruno.schuler@gmail.ch</t>
  </si>
  <si>
    <t>055 440 38 79</t>
  </si>
  <si>
    <t>St. Gallerstrasse 29</t>
  </si>
  <si>
    <t>Cicoghani</t>
  </si>
  <si>
    <t>Staldenbachstrasse 20</t>
  </si>
  <si>
    <t>Soglio</t>
  </si>
  <si>
    <t>bruno.cicoghani@gmail.ch</t>
  </si>
  <si>
    <t>Brigitte</t>
  </si>
  <si>
    <t>Steineggstrasse 33</t>
  </si>
  <si>
    <t>brigitte.cicoghani@gmail.ch</t>
  </si>
  <si>
    <t>Brigitta</t>
  </si>
  <si>
    <t>brigitta.cicoghani@gmail.ch</t>
  </si>
  <si>
    <t>Streiff</t>
  </si>
  <si>
    <t>Brigida</t>
  </si>
  <si>
    <t>Strandweg</t>
  </si>
  <si>
    <t>brigida.streiff@gmail.ch</t>
  </si>
  <si>
    <t>055 444 18 42</t>
  </si>
  <si>
    <t>Staeuble</t>
  </si>
  <si>
    <t>Bertha</t>
  </si>
  <si>
    <t>Talbachstrasse 37</t>
  </si>
  <si>
    <t>bertha.staeuble@gmail.ch</t>
  </si>
  <si>
    <t>055 410 47 64</t>
  </si>
  <si>
    <t>Oettli</t>
  </si>
  <si>
    <t>Berta</t>
  </si>
  <si>
    <t>Toedistrasse 3</t>
  </si>
  <si>
    <t>berta.oettli@gmail.ch</t>
  </si>
  <si>
    <t>055 442 29 41</t>
  </si>
  <si>
    <t>Bonnevaux</t>
  </si>
  <si>
    <t>Unterer Althof 8a</t>
  </si>
  <si>
    <t>berta.bonnevaux@gmail.ch</t>
  </si>
  <si>
    <t>Bernadette</t>
  </si>
  <si>
    <t>Ussberstrasse 27</t>
  </si>
  <si>
    <t>bernadette.keller@gmail.ch</t>
  </si>
  <si>
    <t>Muehlebach</t>
  </si>
  <si>
    <t>Utzingerstrasse 2</t>
  </si>
  <si>
    <t>bernadette.muehlebach@gmail.ch</t>
  </si>
  <si>
    <t>Staehli - Huber</t>
  </si>
  <si>
    <t>Benedikt</t>
  </si>
  <si>
    <t>Vorderbergstrasse 41</t>
  </si>
  <si>
    <t>benedikt.staehli - huber@gmail.ch</t>
  </si>
  <si>
    <t>055 442 36 48</t>
  </si>
  <si>
    <t>Beatrice</t>
  </si>
  <si>
    <t>Vordere Bahnhofstr. 6</t>
  </si>
  <si>
    <t>beatrice.bieri@gmail.ch</t>
  </si>
  <si>
    <t>Friedlos</t>
  </si>
  <si>
    <t>Augusta</t>
  </si>
  <si>
    <t>augusta.friedlos@gmail.ch</t>
  </si>
  <si>
    <t>055 442 32 06</t>
  </si>
  <si>
    <t>Weibel</t>
  </si>
  <si>
    <t>Anton</t>
  </si>
  <si>
    <t>Naefels</t>
  </si>
  <si>
    <t>anton.weibel@gmail.ch</t>
  </si>
  <si>
    <t>055 612 42 47</t>
  </si>
  <si>
    <t>Senn</t>
  </si>
  <si>
    <t>Weinbergstrasse 1</t>
  </si>
  <si>
    <t>anton.senn@gmail.ch</t>
  </si>
  <si>
    <t>055 440 37 04</t>
  </si>
  <si>
    <t>Buffat</t>
  </si>
  <si>
    <t>Anni</t>
  </si>
  <si>
    <t>Wilenstrasse 35</t>
  </si>
  <si>
    <t>anni.buffat@gmail.ch</t>
  </si>
  <si>
    <t>055 282 40 74</t>
  </si>
  <si>
    <t>Annemarie</t>
  </si>
  <si>
    <t>Winterthurerstrasse 91</t>
  </si>
  <si>
    <t>annemarie.buffat@gmail.ch</t>
  </si>
  <si>
    <t>Annelies</t>
  </si>
  <si>
    <t>Wollerauerstrasse 40</t>
  </si>
  <si>
    <t>annelies.benz@gmail.ch</t>
  </si>
  <si>
    <t>055 442 25 61</t>
  </si>
  <si>
    <t>Helbling</t>
  </si>
  <si>
    <t>Anna</t>
  </si>
  <si>
    <t>Wysshaltenstrasse 19</t>
  </si>
  <si>
    <t>anna.helbling@gmail.ch</t>
  </si>
  <si>
    <t>Zeughausstrasse 17</t>
  </si>
  <si>
    <t>anna.zueger@gmail.ch</t>
  </si>
  <si>
    <t>055 442 46 29</t>
  </si>
  <si>
    <t>Andrin</t>
  </si>
  <si>
    <t>andrin.zueger@gmail.ch</t>
  </si>
  <si>
    <t>Knobel</t>
  </si>
  <si>
    <t>Andrea</t>
  </si>
  <si>
    <t>Ziegelbrueckstrasse 41</t>
  </si>
  <si>
    <t>andrea.knobel@gmail.ch</t>
  </si>
  <si>
    <t>055 442 32 24</t>
  </si>
  <si>
    <t>Lechmann</t>
  </si>
  <si>
    <t>Alois</t>
  </si>
  <si>
    <t>Ziegelhuettenstr. 16</t>
  </si>
  <si>
    <t>alois.lechmann@gmail.ch</t>
  </si>
  <si>
    <t>055 210 23 32</t>
  </si>
  <si>
    <t>Ziegelhuettenstrasse 16</t>
  </si>
  <si>
    <t>alois.schuler@gmail.ch</t>
  </si>
  <si>
    <t>Weiss</t>
  </si>
  <si>
    <t>Alfred</t>
  </si>
  <si>
    <t>alfred.weiss@gmail.ch</t>
  </si>
  <si>
    <t>055 442 47 87</t>
  </si>
  <si>
    <t>Gyr</t>
  </si>
  <si>
    <t>Alfons</t>
  </si>
  <si>
    <t>alfons.gyr@gmail.ch</t>
  </si>
  <si>
    <t>Albert</t>
  </si>
  <si>
    <t>Zuercherstrasse 18 b</t>
  </si>
  <si>
    <t>albert.faeh@gmail.ch</t>
  </si>
  <si>
    <t>Agnes</t>
  </si>
  <si>
    <t>Zuercherstrasse 272</t>
  </si>
  <si>
    <t>agnes.faeh@gmail.ch</t>
  </si>
  <si>
    <t>Stocker</t>
  </si>
  <si>
    <t>Adrian</t>
  </si>
  <si>
    <t>Zuercherstrasse 52</t>
  </si>
  <si>
    <t>adrian.stocker@gmail.ch</t>
  </si>
  <si>
    <t>+41 55 440 44 23</t>
  </si>
  <si>
    <t>Uebelhoer</t>
  </si>
  <si>
    <t>Adolf</t>
  </si>
  <si>
    <t>adolf.uebelhoer@gmail.ch</t>
  </si>
  <si>
    <t>+41 44 412 45 56</t>
  </si>
  <si>
    <t>Lutta</t>
  </si>
  <si>
    <t>Zuercherstrasse 61a</t>
  </si>
  <si>
    <t>lutta.meier@gmail.ch</t>
  </si>
  <si>
    <t>+41 44 242 25 74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</si>
  <si>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</si>
  <si>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</si>
  <si>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</si>
  <si>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</si>
  <si>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</si>
  <si>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</si>
  <si>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</si>
  <si>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</si>
  <si>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</si>
  <si>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</si>
  <si>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</si>
  <si>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</si>
  <si>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</si>
  <si>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</si>
  <si>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</si>
  <si>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</si>
  <si>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</si>
  <si>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</si>
  <si>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</si>
  <si>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</si>
  <si>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</si>
  <si>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</si>
  <si>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</si>
  <si>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</si>
  <si>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</si>
  <si>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</si>
  <si>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</si>
  <si>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</si>
  <si>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</si>
  <si>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</si>
  <si>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</si>
  <si>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</si>
  <si>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</si>
  <si>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</si>
  <si>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</si>
  <si>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</si>
  <si>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</si>
  <si>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</si>
  <si>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</si>
  <si>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</si>
  <si>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</si>
  <si>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</si>
  <si>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</si>
  <si>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</si>
  <si>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</si>
  <si>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</si>
  <si>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</si>
  <si>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</si>
  <si>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</si>
  <si>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</si>
  <si>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</si>
  <si>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</si>
  <si>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</si>
  <si>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</si>
  <si>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</si>
  <si>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</si>
  <si>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</si>
  <si>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</si>
  <si>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</si>
  <si>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</si>
  <si>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</si>
  <si>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</si>
  <si>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</si>
  <si>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</si>
  <si>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</si>
  <si>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</si>
  <si>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</si>
  <si>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</si>
  <si>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</si>
  <si>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</si>
  <si>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</si>
  <si>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</si>
  <si>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</si>
  <si>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</si>
  <si>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</si>
  <si>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</si>
  <si>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</si>
  <si>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</si>
  <si>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</si>
  <si>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</si>
  <si>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</si>
  <si>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</si>
  <si>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</si>
  <si>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</si>
  <si>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</si>
  <si>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</si>
  <si>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</si>
  <si>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</si>
  <si>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</si>
  <si>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</si>
  <si>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</si>
  <si>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</si>
  <si>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</si>
  <si>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</si>
  <si>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</si>
  <si>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</si>
  <si>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</si>
  <si>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</si>
  <si>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</si>
  <si>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</si>
  <si>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</si>
  <si>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</si>
  <si>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</si>
  <si>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gmail.ch</t>
  </si>
  <si>
    <t>Keine</t>
  </si>
  <si>
    <t>hotmail.com</t>
  </si>
  <si>
    <t>novatrend.ch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</si>
  <si>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</si>
  <si>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</si>
  <si>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</si>
  <si>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</si>
  <si>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</si>
  <si>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</si>
  <si>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</si>
  <si>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</si>
  <si>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</si>
  <si>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</si>
  <si>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</si>
  <si>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</si>
  <si>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</si>
  <si>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</si>
  <si>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</si>
  <si>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</si>
  <si>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</si>
  <si>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</si>
  <si>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</si>
  <si>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</si>
  <si>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</si>
  <si>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</si>
  <si>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</si>
  <si>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</si>
  <si>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</si>
  <si>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</si>
  <si>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</si>
  <si>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Sehr geehrte Familie Mueller</t>
  </si>
  <si>
    <t>Sehr geehrte Frau janser</t>
  </si>
  <si>
    <t>Sehr geehrte Frau Meier</t>
  </si>
  <si>
    <t>Sehr geehrter Herr King</t>
  </si>
  <si>
    <t>Sehr geehrter Herr Koch</t>
  </si>
  <si>
    <t>Sehr geehrte Frau Koller</t>
  </si>
  <si>
    <t>Sehr geehrte Frau Koepfli</t>
  </si>
  <si>
    <t>Sehr geehrter Herr Krieg</t>
  </si>
  <si>
    <t>Sehr geehrte Frau Krieg</t>
  </si>
  <si>
    <t>Sehr geehrte Familie Krieg</t>
  </si>
  <si>
    <t>Sehr geehrte Frau Krieger</t>
  </si>
  <si>
    <t>Sehr geehrter Herr Kussberger</t>
  </si>
  <si>
    <t>Sehr geehrte Frau Kuettel</t>
  </si>
  <si>
    <t>Sehr geehrte Frau Laib</t>
  </si>
  <si>
    <t>Sehr geehrte Frau Landolt</t>
  </si>
  <si>
    <t>Sehr geehrter Herr Lang</t>
  </si>
  <si>
    <t>Sehr geehrte Frau Laeubli</t>
  </si>
  <si>
    <t>Sehr geehrte Frau Lurati</t>
  </si>
  <si>
    <t>Sehr geehrte Frau Maechler</t>
  </si>
  <si>
    <t>Sehr geehrte Frau Diethelm</t>
  </si>
  <si>
    <t>Sehr geehrte Frau Maeder</t>
  </si>
  <si>
    <t>Sehr geehrter Herr Mannhart</t>
  </si>
  <si>
    <t>Sehr geehrte Familie Mannhart</t>
  </si>
  <si>
    <t>Sehr geehrter Herr Marty</t>
  </si>
  <si>
    <t>Liebe Familie Mueller</t>
  </si>
  <si>
    <t>Liebe Maria</t>
  </si>
  <si>
    <t>Liebe Claudia</t>
  </si>
  <si>
    <t>Lieber Walter</t>
  </si>
  <si>
    <t>Lieber Roman</t>
  </si>
  <si>
    <t>Liebe Rasi</t>
  </si>
  <si>
    <t>Liebe Melanie</t>
  </si>
  <si>
    <t>Lieber Hans</t>
  </si>
  <si>
    <t>Liebe Rita</t>
  </si>
  <si>
    <t>Liebe Familie Krieg</t>
  </si>
  <si>
    <t>Liebe Ricarda</t>
  </si>
  <si>
    <t>Lieber Richard</t>
  </si>
  <si>
    <t>Liebe Rene</t>
  </si>
  <si>
    <t>Liebe Margrith</t>
  </si>
  <si>
    <t>Lieber Reinhard</t>
  </si>
  <si>
    <t>Liebe Raphaela</t>
  </si>
  <si>
    <t>Liebe Ramona</t>
  </si>
  <si>
    <t>Liebe Luisa</t>
  </si>
  <si>
    <t>Liebe Paula</t>
  </si>
  <si>
    <t>Liebe pia</t>
  </si>
  <si>
    <t>Lieber Pius</t>
  </si>
  <si>
    <t>Liebe Familie Mannhart</t>
  </si>
  <si>
    <t>Lieber Philippe</t>
  </si>
  <si>
    <t>Lieber Peter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</si>
  <si>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</si>
  <si>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</si>
  <si>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</si>
  <si>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</si>
  <si>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</si>
  <si>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</si>
  <si>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</si>
  <si>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</si>
  <si>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</si>
  <si>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</t>
  </si>
  <si>
    <t>HelloPerDu</t>
  </si>
  <si>
    <t>CalcRechteck</t>
  </si>
  <si>
    <t>GetCylinderVolume</t>
  </si>
  <si>
    <t>V2.73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</si>
</sst>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6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159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33" borderId="30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4" fillId="0" borderId="0" xfId="0" applyFont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Fill="1" applyBorder="1"/>
    <xf numFmtId="0" fontId="25" fillId="0" borderId="10" xfId="0" applyFont="1" applyBorder="1" applyAlignment="1">
      <alignment wrapText="1"/>
    </xf>
    <xf numFmtId="0" fontId="0" fillId="37" borderId="10" xfId="0" applyFill="1" applyBorder="1"/>
    <xf numFmtId="0" fontId="0" fillId="37" borderId="34" xfId="0" applyFill="1" applyBorder="1"/>
    <xf numFmtId="4" fontId="0" fillId="0" borderId="10" xfId="0" applyNumberFormat="1" applyBorder="1"/>
    <xf numFmtId="0" fontId="0" fillId="33" borderId="39" xfId="0" applyFill="1" applyBorder="1"/>
    <xf numFmtId="0" fontId="0" fillId="0" borderId="40" xfId="0" applyBorder="1"/>
    <xf numFmtId="0" fontId="0" fillId="0" borderId="41" xfId="0" applyBorder="1"/>
    <xf numFmtId="0" fontId="29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3" borderId="32" xfId="0" applyFill="1" applyBorder="1"/>
    <xf numFmtId="0" fontId="0" fillId="36" borderId="42" xfId="0" applyFill="1" applyBorder="1"/>
    <xf numFmtId="0" fontId="0" fillId="36" borderId="10" xfId="0" applyFill="1" applyBorder="1"/>
    <xf numFmtId="0" fontId="0" fillId="0" borderId="10" xfId="0" applyFill="1" applyBorder="1"/>
    <xf numFmtId="4" fontId="0" fillId="36" borderId="10" xfId="0" applyNumberFormat="1" applyFill="1" applyBorder="1"/>
    <xf numFmtId="0" fontId="0" fillId="36" borderId="44" xfId="0" applyFill="1" applyBorder="1"/>
    <xf numFmtId="0" fontId="0" fillId="37" borderId="0" xfId="0" applyFill="1" applyBorder="1"/>
    <xf numFmtId="4" fontId="0" fillId="36" borderId="44" xfId="0" applyNumberFormat="1" applyFill="1" applyBorder="1"/>
    <xf numFmtId="0" fontId="0" fillId="37" borderId="43" xfId="0" applyFill="1" applyBorder="1"/>
    <xf numFmtId="0" fontId="0" fillId="37" borderId="45" xfId="0" applyFill="1" applyBorder="1"/>
    <xf numFmtId="0" fontId="0" fillId="37" borderId="36" xfId="0" applyFill="1" applyBorder="1"/>
    <xf numFmtId="4" fontId="0" fillId="0" borderId="44" xfId="0" applyNumberFormat="1" applyBorder="1"/>
    <xf numFmtId="4" fontId="0" fillId="36" borderId="19" xfId="0" applyNumberFormat="1" applyFill="1" applyBorder="1"/>
    <xf numFmtId="0" fontId="0" fillId="36" borderId="31" xfId="0" applyFill="1" applyBorder="1"/>
    <xf numFmtId="4" fontId="0" fillId="36" borderId="32" xfId="0" applyNumberFormat="1" applyFill="1" applyBorder="1"/>
    <xf numFmtId="0" fontId="30" fillId="0" borderId="0" xfId="0" applyFont="1"/>
    <xf numFmtId="0" fontId="0" fillId="33" borderId="44" xfId="0" applyFill="1" applyBorder="1"/>
    <xf numFmtId="0" fontId="0" fillId="0" borderId="45" xfId="0" applyBorder="1"/>
    <xf numFmtId="0" fontId="0" fillId="0" borderId="43" xfId="0" applyBorder="1"/>
    <xf numFmtId="0" fontId="0" fillId="36" borderId="36" xfId="0" applyFill="1" applyBorder="1"/>
    <xf numFmtId="0" fontId="21" fillId="0" borderId="10" xfId="0" quotePrefix="1" applyFont="1" applyBorder="1" applyAlignment="1">
      <alignment horizontal="left"/>
    </xf>
    <xf numFmtId="0" fontId="32" fillId="0" borderId="0" xfId="0" applyFont="1"/>
    <xf numFmtId="0" fontId="0" fillId="33" borderId="19" xfId="0" applyFill="1" applyBorder="1" applyAlignment="1">
      <alignment horizontal="right"/>
    </xf>
    <xf numFmtId="0" fontId="0" fillId="39" borderId="37" xfId="0" applyFill="1" applyBorder="1" applyAlignment="1">
      <alignment horizontal="right"/>
    </xf>
    <xf numFmtId="0" fontId="0" fillId="38" borderId="35" xfId="0" applyFill="1" applyBorder="1" applyAlignment="1">
      <alignment horizontal="right"/>
    </xf>
    <xf numFmtId="0" fontId="0" fillId="36" borderId="39" xfId="0" applyFill="1" applyBorder="1"/>
    <xf numFmtId="0" fontId="0" fillId="0" borderId="42" xfId="0" applyBorder="1"/>
    <xf numFmtId="0" fontId="0" fillId="0" borderId="31" xfId="0" applyBorder="1" applyAlignment="1">
      <alignment horizontal="right"/>
    </xf>
    <xf numFmtId="0" fontId="0" fillId="36" borderId="32" xfId="0" applyFill="1" applyBorder="1" applyAlignment="1">
      <alignment horizontal="left"/>
    </xf>
    <xf numFmtId="0" fontId="33" fillId="0" borderId="23" xfId="0" applyFont="1" applyBorder="1" applyAlignment="1">
      <alignment vertical="center"/>
    </xf>
    <xf numFmtId="0" fontId="33" fillId="0" borderId="25" xfId="0" applyFont="1" applyBorder="1" applyAlignment="1">
      <alignment vertical="center"/>
    </xf>
    <xf numFmtId="0" fontId="33" fillId="0" borderId="48" xfId="0" applyFont="1" applyBorder="1" applyAlignment="1">
      <alignment vertical="center"/>
    </xf>
    <xf numFmtId="0" fontId="0" fillId="0" borderId="47" xfId="0" applyBorder="1"/>
    <xf numFmtId="0" fontId="0" fillId="0" borderId="49" xfId="0" applyBorder="1"/>
    <xf numFmtId="0" fontId="33" fillId="33" borderId="28" xfId="0" applyFont="1" applyFill="1" applyBorder="1" applyAlignment="1">
      <alignment vertical="center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4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8" xfId="0" applyFill="1" applyBorder="1" applyAlignment="1">
      <alignment horizontal="right"/>
    </xf>
    <xf numFmtId="0" fontId="0" fillId="33" borderId="35" xfId="0" applyFill="1" applyBorder="1" applyAlignment="1">
      <alignment horizontal="right"/>
    </xf>
    <xf numFmtId="0" fontId="0" fillId="40" borderId="31" xfId="0" applyFill="1" applyBorder="1" applyAlignment="1">
      <alignment horizontal="right"/>
    </xf>
    <xf numFmtId="164" fontId="0" fillId="40" borderId="32" xfId="0" applyNumberFormat="1" applyFill="1" applyBorder="1"/>
    <xf numFmtId="0" fontId="35" fillId="0" borderId="0" xfId="0" applyFont="1"/>
    <xf numFmtId="0" fontId="34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7" fillId="40" borderId="0" xfId="0" applyNumberFormat="1" applyFont="1" applyFill="1" applyBorder="1"/>
    <xf numFmtId="0" fontId="36" fillId="40" borderId="50" xfId="0" applyFont="1" applyFill="1" applyBorder="1" applyAlignment="1">
      <alignment horizontal="center"/>
    </xf>
    <xf numFmtId="164" fontId="37" fillId="40" borderId="51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1" xfId="0" applyFill="1" applyBorder="1"/>
    <xf numFmtId="0" fontId="0" fillId="41" borderId="12" xfId="0" applyFill="1" applyBorder="1"/>
    <xf numFmtId="0" fontId="0" fillId="41" borderId="13" xfId="0" applyFill="1" applyBorder="1"/>
    <xf numFmtId="0" fontId="0" fillId="41" borderId="14" xfId="0" applyFill="1" applyBorder="1"/>
    <xf numFmtId="0" fontId="0" fillId="41" borderId="0" xfId="0" applyFill="1" applyBorder="1"/>
    <xf numFmtId="0" fontId="34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6" xfId="0" applyFill="1" applyBorder="1"/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6" fillId="41" borderId="50" xfId="0" applyFont="1" applyFill="1" applyBorder="1" applyAlignment="1">
      <alignment horizontal="center"/>
    </xf>
    <xf numFmtId="164" fontId="37" fillId="41" borderId="51" xfId="0" applyNumberFormat="1" applyFont="1" applyFill="1" applyBorder="1" applyAlignment="1">
      <alignment horizontal="center"/>
    </xf>
    <xf numFmtId="0" fontId="36" fillId="40" borderId="31" xfId="0" applyFont="1" applyFill="1" applyBorder="1" applyAlignment="1">
      <alignment horizontal="right"/>
    </xf>
    <xf numFmtId="164" fontId="36" fillId="40" borderId="32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2" fontId="25" fillId="41" borderId="0" xfId="0" applyNumberFormat="1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1" fillId="0" borderId="44" xfId="0" applyFont="1" applyBorder="1" applyAlignment="1">
      <alignment vertical="top" wrapText="1"/>
    </xf>
    <xf numFmtId="0" fontId="31" fillId="0" borderId="46" xfId="0" applyFont="1" applyBorder="1" applyAlignment="1">
      <alignment vertical="top" wrapText="1"/>
    </xf>
    <xf numFmtId="0" fontId="31" fillId="0" borderId="47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9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0"/>
      <tableStyleElement type="headerRow" dxfId="2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3089.82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(Datenaufbereitung!$U$64,Datenaufbereitung!$W$64)</c:f>
              <c:numCache>
                <c:formatCode>General</c:formatCode>
                <c:ptCount val="2"/>
                <c:pt idx="0">
                  <c:v>17</c:v>
                </c:pt>
                <c:pt idx="1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Datenaufbereitung_L!$AB$64:$AC$64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(Datenaufbereitung_L!$U$64,Datenaufbereitung_L!$W$64)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907272"/>
        <c:axId val="716904136"/>
      </c:scatterChart>
      <c:valAx>
        <c:axId val="716907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04136"/>
        <c:crosses val="autoZero"/>
        <c:crossBetween val="midCat"/>
      </c:valAx>
      <c:valAx>
        <c:axId val="71690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07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2er-Potenzen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Potenzen_L!$C$10:$M$10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Potenzen_L!$C$11:$M$11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904920"/>
        <c:axId val="716905312"/>
      </c:scatterChart>
      <c:valAx>
        <c:axId val="71690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05312"/>
        <c:crosses val="autoZero"/>
        <c:crossBetween val="midCat"/>
      </c:valAx>
      <c:valAx>
        <c:axId val="71690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0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910408"/>
        <c:axId val="716910800"/>
      </c:scatterChart>
      <c:valAx>
        <c:axId val="716910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10800"/>
        <c:crosses val="autoZero"/>
        <c:crossBetween val="midCat"/>
      </c:valAx>
      <c:valAx>
        <c:axId val="71691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10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QuadratischeFunktion_L!$B$11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QuadratischeFunktion_L!$B$12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902176"/>
        <c:axId val="716902960"/>
      </c:scatterChart>
      <c:valAx>
        <c:axId val="71690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02960"/>
        <c:crosses val="autoZero"/>
        <c:crossBetween val="midCat"/>
      </c:valAx>
      <c:valAx>
        <c:axId val="71690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0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739589</xdr:colOff>
      <xdr:row>3</xdr:row>
      <xdr:rowOff>11206</xdr:rowOff>
    </xdr:from>
    <xdr:ext cx="11138645" cy="2017060"/>
    <xdr:sp macro="" textlink="">
      <xdr:nvSpPr>
        <xdr:cNvPr id="4" name="Textfeld 3"/>
        <xdr:cNvSpPr txBox="1"/>
      </xdr:nvSpPr>
      <xdr:spPr>
        <a:xfrm>
          <a:off x="739589" y="683559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Walter_Rothlin_2020_08_13.xlsm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25</xdr:col>
      <xdr:colOff>537881</xdr:colOff>
      <xdr:row>68</xdr:row>
      <xdr:rowOff>1121</xdr:rowOff>
    </xdr:from>
    <xdr:to>
      <xdr:col>29</xdr:col>
      <xdr:colOff>11206</xdr:colOff>
      <xdr:row>81</xdr:row>
      <xdr:rowOff>11207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526675</xdr:colOff>
      <xdr:row>68</xdr:row>
      <xdr:rowOff>1121</xdr:rowOff>
    </xdr:from>
    <xdr:to>
      <xdr:col>24</xdr:col>
      <xdr:colOff>862853</xdr:colOff>
      <xdr:row>81</xdr:row>
      <xdr:rowOff>11207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293596</xdr:colOff>
      <xdr:row>12</xdr:row>
      <xdr:rowOff>112060</xdr:rowOff>
    </xdr:from>
    <xdr:to>
      <xdr:col>27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3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4" name="Textfeld 3"/>
        <xdr:cNvSpPr txBox="1"/>
      </xdr:nvSpPr>
      <xdr:spPr>
        <a:xfrm>
          <a:off x="112059" y="143435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26</xdr:col>
      <xdr:colOff>212911</xdr:colOff>
      <xdr:row>68</xdr:row>
      <xdr:rowOff>1122</xdr:rowOff>
    </xdr:from>
    <xdr:to>
      <xdr:col>29</xdr:col>
      <xdr:colOff>224118</xdr:colOff>
      <xdr:row>81</xdr:row>
      <xdr:rowOff>11208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526675</xdr:colOff>
      <xdr:row>68</xdr:row>
      <xdr:rowOff>1121</xdr:rowOff>
    </xdr:from>
    <xdr:to>
      <xdr:col>24</xdr:col>
      <xdr:colOff>862853</xdr:colOff>
      <xdr:row>81</xdr:row>
      <xdr:rowOff>11207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293596</xdr:colOff>
      <xdr:row>12</xdr:row>
      <xdr:rowOff>112060</xdr:rowOff>
    </xdr:from>
    <xdr:to>
      <xdr:col>27</xdr:col>
      <xdr:colOff>840442</xdr:colOff>
      <xdr:row>16</xdr:row>
      <xdr:rowOff>11205</xdr:rowOff>
    </xdr:to>
    <xdr:sp macro="[0]!Korrektur_Datenaufbereitung" textlink="">
      <xdr:nvSpPr>
        <xdr:cNvPr id="8" name="Rechteck 7"/>
        <xdr:cNvSpPr/>
      </xdr:nvSpPr>
      <xdr:spPr>
        <a:xfrm>
          <a:off x="24262978" y="2577354"/>
          <a:ext cx="1723464" cy="7171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9" name="Pfeil nach links 8">
          <a:hlinkClick xmlns:r="http://schemas.openxmlformats.org/officeDocument/2006/relationships" r:id="rId3"/>
        </xdr:cNvPr>
        <xdr:cNvSpPr/>
      </xdr:nvSpPr>
      <xdr:spPr>
        <a:xfrm>
          <a:off x="549088" y="582706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5939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Gruppe!</a:t>
          </a:r>
        </a:p>
      </xdr:txBody>
    </xdr:sp>
    <xdr:clientData/>
  </xdr:oneCellAnchor>
  <xdr:twoCellAnchor>
    <xdr:from>
      <xdr:col>1</xdr:col>
      <xdr:colOff>78441</xdr:colOff>
      <xdr:row>2</xdr:row>
      <xdr:rowOff>145677</xdr:rowOff>
    </xdr:from>
    <xdr:to>
      <xdr:col>1</xdr:col>
      <xdr:colOff>907676</xdr:colOff>
      <xdr:row>5</xdr:row>
      <xdr:rowOff>0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459441" y="638736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1322294</xdr:colOff>
      <xdr:row>2</xdr:row>
      <xdr:rowOff>134471</xdr:rowOff>
    </xdr:from>
    <xdr:ext cx="3843618" cy="1015919"/>
    <xdr:sp macro="" textlink="">
      <xdr:nvSpPr>
        <xdr:cNvPr id="5" name="Textfeld 4"/>
        <xdr:cNvSpPr txBox="1"/>
      </xdr:nvSpPr>
      <xdr:spPr>
        <a:xfrm>
          <a:off x="1703294" y="62753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12</xdr:row>
      <xdr:rowOff>180975</xdr:rowOff>
    </xdr:from>
    <xdr:to>
      <xdr:col>13</xdr:col>
      <xdr:colOff>9525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12</xdr:row>
      <xdr:rowOff>180975</xdr:rowOff>
    </xdr:from>
    <xdr:to>
      <xdr:col>13</xdr:col>
      <xdr:colOff>66675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752476</xdr:colOff>
      <xdr:row>3</xdr:row>
      <xdr:rowOff>47626</xdr:rowOff>
    </xdr:from>
    <xdr:ext cx="9163050" cy="857250"/>
    <xdr:sp macro="" textlink="">
      <xdr:nvSpPr>
        <xdr:cNvPr id="4" name="Textfeld 3"/>
        <xdr:cNvSpPr txBox="1"/>
      </xdr:nvSpPr>
      <xdr:spPr>
        <a:xfrm>
          <a:off x="752476" y="66675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114300</xdr:colOff>
      <xdr:row>0</xdr:row>
      <xdr:rowOff>104775</xdr:rowOff>
    </xdr:from>
    <xdr:to>
      <xdr:col>7</xdr:col>
      <xdr:colOff>181535</xdr:colOff>
      <xdr:row>2</xdr:row>
      <xdr:rowOff>113179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4724400" y="10477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5" name="Textfeld 4"/>
        <xdr:cNvSpPr txBox="1"/>
      </xdr:nvSpPr>
      <xdr:spPr>
        <a:xfrm>
          <a:off x="12401550" y="6315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704850</xdr:colOff>
      <xdr:row>0</xdr:row>
      <xdr:rowOff>76200</xdr:rowOff>
    </xdr:from>
    <xdr:to>
      <xdr:col>8</xdr:col>
      <xdr:colOff>10085</xdr:colOff>
      <xdr:row>1</xdr:row>
      <xdr:rowOff>217954</xdr:rowOff>
    </xdr:to>
    <xdr:sp macro="" textlink="">
      <xdr:nvSpPr>
        <xdr:cNvPr id="6" name="Pfeil nach links 5">
          <a:hlinkClick xmlns:r="http://schemas.openxmlformats.org/officeDocument/2006/relationships" r:id="rId2"/>
        </xdr:cNvPr>
        <xdr:cNvSpPr/>
      </xdr:nvSpPr>
      <xdr:spPr>
        <a:xfrm>
          <a:off x="5743575" y="762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89858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4" name="Grafik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75178" y="4680858"/>
          <a:ext cx="9266465" cy="5538107"/>
        </a:xfrm>
        <a:prstGeom prst="rect">
          <a:avLst/>
        </a:prstGeom>
      </xdr:spPr>
    </xdr:pic>
    <xdr:clientData/>
  </xdr:twoCellAnchor>
  <xdr:twoCellAnchor>
    <xdr:from>
      <xdr:col>4</xdr:col>
      <xdr:colOff>1143000</xdr:colOff>
      <xdr:row>0</xdr:row>
      <xdr:rowOff>136071</xdr:rowOff>
    </xdr:from>
    <xdr:to>
      <xdr:col>4</xdr:col>
      <xdr:colOff>1972235</xdr:colOff>
      <xdr:row>1</xdr:row>
      <xdr:rowOff>178493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5293179" y="136071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3" name="Textfeld 2"/>
        <xdr:cNvSpPr txBox="1"/>
      </xdr:nvSpPr>
      <xdr:spPr>
        <a:xfrm>
          <a:off x="268942" y="2734234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224118</xdr:colOff>
      <xdr:row>2</xdr:row>
      <xdr:rowOff>134471</xdr:rowOff>
    </xdr:from>
    <xdr:to>
      <xdr:col>1</xdr:col>
      <xdr:colOff>1053353</xdr:colOff>
      <xdr:row>4</xdr:row>
      <xdr:rowOff>134471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605118" y="62753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2</xdr:row>
      <xdr:rowOff>0</xdr:rowOff>
    </xdr:from>
    <xdr:to>
      <xdr:col>1</xdr:col>
      <xdr:colOff>429185</xdr:colOff>
      <xdr:row>3</xdr:row>
      <xdr:rowOff>170329</xdr:rowOff>
    </xdr:to>
    <xdr:sp macro="" textlink="">
      <xdr:nvSpPr>
        <xdr:cNvPr id="2" name="Pfeil nach links 1">
          <a:hlinkClick xmlns:r="http://schemas.openxmlformats.org/officeDocument/2006/relationships" r:id="rId1"/>
        </xdr:cNvPr>
        <xdr:cNvSpPr/>
      </xdr:nvSpPr>
      <xdr:spPr>
        <a:xfrm>
          <a:off x="361950" y="3810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>
      <selection activeCell="B6" sqref="B6"/>
    </sheetView>
  </sheetViews>
  <sheetFormatPr baseColWidth="10" defaultRowHeight="15" x14ac:dyDescent="0.25"/>
  <cols>
    <col min="13" max="13" width="15.140625" customWidth="1"/>
    <col min="14" max="15" width="24.85546875" customWidth="1"/>
  </cols>
  <sheetData>
    <row r="2" spans="2:6" ht="23.25" x14ac:dyDescent="0.35">
      <c r="B2" s="1" t="s">
        <v>0</v>
      </c>
      <c r="F2" t="s">
        <v>1468</v>
      </c>
    </row>
    <row r="4" spans="2:6" ht="15.75" thickBot="1" x14ac:dyDescent="0.3"/>
    <row r="5" spans="2:6" ht="15.75" thickBot="1" x14ac:dyDescent="0.3">
      <c r="B5" s="40"/>
      <c r="C5" s="41"/>
    </row>
    <row r="6" spans="2:6" x14ac:dyDescent="0.25">
      <c r="B6" s="42"/>
      <c r="C6" s="43"/>
    </row>
    <row r="22" spans="2:15" x14ac:dyDescent="0.25">
      <c r="B22" s="17"/>
    </row>
    <row r="23" spans="2:15" x14ac:dyDescent="0.25">
      <c r="B23" s="17"/>
    </row>
    <row r="25" spans="2:15" ht="18.75" x14ac:dyDescent="0.3">
      <c r="B25" s="88" t="s">
        <v>1320</v>
      </c>
    </row>
    <row r="26" spans="2:15" ht="15.75" thickBot="1" x14ac:dyDescent="0.3">
      <c r="H26" t="s">
        <v>1326</v>
      </c>
      <c r="I26" t="s">
        <v>1327</v>
      </c>
    </row>
    <row r="27" spans="2:15" x14ac:dyDescent="0.25">
      <c r="B27" s="52" t="str">
        <f>Datenaufbereitung!B2</f>
        <v>M100: Datenaufbereitung mit Formeln in Excel</v>
      </c>
      <c r="H27" s="125">
        <f>Datenaufbereitung!T17</f>
        <v>5.4007490636704114</v>
      </c>
      <c r="I27">
        <v>3</v>
      </c>
      <c r="J27" s="143">
        <f>H27*I27</f>
        <v>16.202247191011235</v>
      </c>
      <c r="M27" s="151" t="s">
        <v>1457</v>
      </c>
      <c r="N27" s="152" t="s">
        <v>1458</v>
      </c>
      <c r="O27" s="153" t="s">
        <v>22</v>
      </c>
    </row>
    <row r="28" spans="2:15" x14ac:dyDescent="0.25">
      <c r="B28" s="52" t="str">
        <f>StringFormeln!B2</f>
        <v>M100: String-Formeln</v>
      </c>
      <c r="H28" s="125">
        <f>StringFormeln!G7</f>
        <v>1.7</v>
      </c>
      <c r="I28">
        <v>2</v>
      </c>
      <c r="J28" s="143">
        <f t="shared" ref="J28:J31" si="0">H28*I28</f>
        <v>3.4</v>
      </c>
      <c r="M28" s="154" t="s">
        <v>1459</v>
      </c>
      <c r="N28" s="4"/>
      <c r="O28" s="26"/>
    </row>
    <row r="29" spans="2:15" ht="15.75" thickBot="1" x14ac:dyDescent="0.3">
      <c r="B29" s="52" t="str">
        <f>Potenzen!B2</f>
        <v>M100: Grafische Datenauswertung (Potenzen)</v>
      </c>
      <c r="H29" s="125">
        <f>Potenzen!V27</f>
        <v>3.8571428571428572</v>
      </c>
      <c r="I29">
        <v>1</v>
      </c>
      <c r="J29" s="143">
        <f t="shared" si="0"/>
        <v>3.8571428571428572</v>
      </c>
      <c r="M29" s="155" t="s">
        <v>1460</v>
      </c>
      <c r="N29" s="27"/>
      <c r="O29" s="28"/>
    </row>
    <row r="30" spans="2:15" x14ac:dyDescent="0.25">
      <c r="B30" s="52" t="str">
        <f>QuadratischeFunktion!B2</f>
        <v>M100: Grafische Datenauswertung (Quadratische Funktion)</v>
      </c>
      <c r="H30" s="125">
        <f>QuadratischeFunktion!$V$31</f>
        <v>2.8181818181818183</v>
      </c>
      <c r="I30">
        <v>1</v>
      </c>
      <c r="J30" s="143">
        <f t="shared" si="0"/>
        <v>2.8181818181818183</v>
      </c>
    </row>
    <row r="31" spans="2:15" ht="15.75" thickBot="1" x14ac:dyDescent="0.3">
      <c r="B31" s="52" t="str">
        <f>TXT_Daten!B2</f>
        <v>M100: Datenaufbereiten (laden und Text--&gt;Spalten)</v>
      </c>
      <c r="H31" s="125">
        <f>TXT_Daten!$R$16</f>
        <v>4.3333333333333339</v>
      </c>
      <c r="I31">
        <v>2</v>
      </c>
      <c r="J31" s="143">
        <f t="shared" si="0"/>
        <v>8.6666666666666679</v>
      </c>
    </row>
    <row r="32" spans="2:15" ht="19.5" thickBot="1" x14ac:dyDescent="0.35">
      <c r="H32" s="125"/>
      <c r="I32" s="141" t="s">
        <v>1328</v>
      </c>
      <c r="J32" s="142">
        <f>SUM(J27:J31)/SUM(I27:I31)</f>
        <v>3.8826931703336194</v>
      </c>
    </row>
    <row r="33" spans="2:10" x14ac:dyDescent="0.25">
      <c r="H33" s="125"/>
    </row>
    <row r="34" spans="2:10" x14ac:dyDescent="0.25">
      <c r="H34" s="125"/>
    </row>
    <row r="35" spans="2:10" ht="15.75" thickBot="1" x14ac:dyDescent="0.3">
      <c r="B35" s="52" t="str">
        <f>VBA_Programmierung!$B$2</f>
        <v>M403: Funktionen in VBA programmieren</v>
      </c>
      <c r="H35" s="125">
        <f>VBA_Programmierung!$O$16</f>
        <v>4.75</v>
      </c>
    </row>
    <row r="36" spans="2:10" ht="19.5" thickBot="1" x14ac:dyDescent="0.35">
      <c r="I36" s="141" t="s">
        <v>1329</v>
      </c>
      <c r="J36" s="142">
        <f>H35</f>
        <v>4.75</v>
      </c>
    </row>
    <row r="100" spans="3:10" ht="21" x14ac:dyDescent="0.35">
      <c r="C100" s="82" t="s">
        <v>266</v>
      </c>
    </row>
    <row r="101" spans="3:10" x14ac:dyDescent="0.25">
      <c r="C101" s="83" t="s">
        <v>267</v>
      </c>
      <c r="D101" s="83"/>
      <c r="E101" s="83"/>
      <c r="F101" s="83"/>
      <c r="J101" t="s">
        <v>106</v>
      </c>
    </row>
    <row r="102" spans="3:10" x14ac:dyDescent="0.25">
      <c r="C102" s="86" t="s">
        <v>268</v>
      </c>
      <c r="D102" s="84"/>
      <c r="E102" s="84"/>
      <c r="F102" s="85"/>
      <c r="J102" t="s">
        <v>115</v>
      </c>
    </row>
    <row r="103" spans="3:10" x14ac:dyDescent="0.25">
      <c r="C103" s="86" t="s">
        <v>269</v>
      </c>
      <c r="D103" s="84"/>
      <c r="E103" s="84"/>
      <c r="F103" s="85"/>
    </row>
    <row r="104" spans="3:10" x14ac:dyDescent="0.25">
      <c r="C104" s="86" t="s">
        <v>270</v>
      </c>
      <c r="D104" s="84"/>
      <c r="E104" s="84"/>
      <c r="F104" s="85"/>
    </row>
    <row r="105" spans="3:10" x14ac:dyDescent="0.25">
      <c r="C105" s="86" t="s">
        <v>271</v>
      </c>
      <c r="D105" s="84"/>
      <c r="E105" s="84"/>
      <c r="F105" s="85"/>
    </row>
    <row r="106" spans="3:10" x14ac:dyDescent="0.25">
      <c r="C106" s="86" t="s">
        <v>272</v>
      </c>
      <c r="D106" s="84"/>
      <c r="E106" s="84"/>
      <c r="F106" s="85"/>
    </row>
    <row r="107" spans="3:10" x14ac:dyDescent="0.25">
      <c r="C107" s="86" t="s">
        <v>273</v>
      </c>
      <c r="D107" s="84"/>
      <c r="E107" s="84"/>
      <c r="F107" s="85"/>
    </row>
    <row r="108" spans="3:10" x14ac:dyDescent="0.25">
      <c r="C108" s="86" t="s">
        <v>274</v>
      </c>
      <c r="D108" s="84"/>
      <c r="E108" s="84"/>
      <c r="F108" s="85"/>
    </row>
    <row r="109" spans="3:10" x14ac:dyDescent="0.25">
      <c r="C109" s="86" t="s">
        <v>275</v>
      </c>
      <c r="D109" s="84"/>
      <c r="E109" s="84"/>
      <c r="F109" s="85"/>
    </row>
    <row r="110" spans="3:10" x14ac:dyDescent="0.25">
      <c r="C110" s="86" t="s">
        <v>276</v>
      </c>
      <c r="D110" s="84"/>
      <c r="E110" s="84"/>
      <c r="F110" s="85"/>
    </row>
    <row r="111" spans="3:10" x14ac:dyDescent="0.25">
      <c r="C111" s="86" t="s">
        <v>277</v>
      </c>
      <c r="D111" s="84"/>
      <c r="E111" s="84"/>
      <c r="F111" s="85"/>
    </row>
    <row r="112" spans="3:10" x14ac:dyDescent="0.25">
      <c r="C112" s="86" t="s">
        <v>278</v>
      </c>
      <c r="D112" s="84"/>
      <c r="E112" s="84"/>
      <c r="F112" s="85"/>
    </row>
    <row r="113" spans="3:6" x14ac:dyDescent="0.25">
      <c r="C113" s="86" t="s">
        <v>279</v>
      </c>
      <c r="D113" s="84"/>
      <c r="E113" s="84"/>
      <c r="F113" s="85"/>
    </row>
    <row r="114" spans="3:6" x14ac:dyDescent="0.25">
      <c r="C114" s="86" t="s">
        <v>280</v>
      </c>
      <c r="D114" s="84"/>
      <c r="E114" s="84"/>
      <c r="F114" s="85"/>
    </row>
  </sheetData>
  <conditionalFormatting sqref="F2">
    <cfRule type="expression" dxfId="288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O83"/>
  <sheetViews>
    <sheetView zoomScale="85" zoomScaleNormal="85" workbookViewId="0">
      <selection activeCell="Q24" sqref="Q24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28.5703125" customWidth="1"/>
    <col min="15" max="15" width="13.140625" customWidth="1"/>
    <col min="16" max="16" width="8.140625" hidden="1" customWidth="1"/>
    <col min="17" max="17" width="32.140625" customWidth="1"/>
    <col min="18" max="18" width="8.140625" hidden="1" customWidth="1"/>
    <col min="19" max="19" width="17" customWidth="1"/>
    <col min="20" max="20" width="14.85546875" customWidth="1"/>
    <col min="21" max="21" width="12.28515625" customWidth="1"/>
    <col min="22" max="22" width="8.140625" hidden="1" customWidth="1"/>
    <col min="23" max="23" width="13.28515625" customWidth="1"/>
    <col min="24" max="24" width="8.140625" hidden="1" customWidth="1"/>
    <col min="25" max="25" width="32.140625" customWidth="1"/>
    <col min="26" max="26" width="8.140625" hidden="1" customWidth="1"/>
    <col min="27" max="27" width="17.5703125" customWidth="1"/>
    <col min="28" max="28" width="23.140625" customWidth="1"/>
    <col min="29" max="29" width="20.5703125" customWidth="1"/>
    <col min="30" max="30" width="8.140625" hidden="1" customWidth="1"/>
    <col min="33" max="33" width="33.42578125" customWidth="1"/>
    <col min="34" max="34" width="8.140625" hidden="1" customWidth="1"/>
    <col min="35" max="35" width="27.7109375" customWidth="1"/>
    <col min="36" max="36" width="8.140625" hidden="1" customWidth="1"/>
    <col min="37" max="37" width="29.85546875" customWidth="1"/>
    <col min="38" max="38" width="8.140625" hidden="1" customWidth="1"/>
    <col min="39" max="39" width="58.85546875" customWidth="1"/>
    <col min="40" max="40" width="17.140625" customWidth="1"/>
    <col min="41" max="41" width="8.140625" hidden="1" customWidth="1"/>
  </cols>
  <sheetData>
    <row r="1" spans="2:28" ht="15.75" thickBot="1" x14ac:dyDescent="0.3"/>
    <row r="2" spans="2:28" ht="23.25" x14ac:dyDescent="0.35">
      <c r="B2" s="1" t="s">
        <v>353</v>
      </c>
      <c r="J2" s="61" t="s">
        <v>262</v>
      </c>
      <c r="K2" s="62"/>
      <c r="L2" s="63"/>
    </row>
    <row r="3" spans="2:28" x14ac:dyDescent="0.25">
      <c r="J3" s="56" t="s">
        <v>264</v>
      </c>
      <c r="K3" s="53">
        <f>SUM(E65:AO65)</f>
        <v>343</v>
      </c>
      <c r="L3" s="60"/>
    </row>
    <row r="4" spans="2:28" x14ac:dyDescent="0.25">
      <c r="J4" s="56" t="s">
        <v>263</v>
      </c>
      <c r="K4" s="53">
        <f>SUM(E66:AO66)</f>
        <v>1</v>
      </c>
      <c r="L4" s="58"/>
    </row>
    <row r="5" spans="2:28" x14ac:dyDescent="0.25">
      <c r="J5" s="64" t="s">
        <v>265</v>
      </c>
      <c r="K5" s="53">
        <f>SUM(E67:AO67)</f>
        <v>12</v>
      </c>
      <c r="L5" s="58"/>
    </row>
    <row r="6" spans="2:28" ht="15.75" thickBot="1" x14ac:dyDescent="0.3">
      <c r="J6" s="65"/>
      <c r="K6" s="66">
        <f>SUM(K3:K5)</f>
        <v>356</v>
      </c>
      <c r="L6" s="60">
        <f>(5*K3/K6)+1</f>
        <v>5.8174157303370784</v>
      </c>
    </row>
    <row r="7" spans="2:28" ht="15.75" thickBot="1" x14ac:dyDescent="0.3"/>
    <row r="8" spans="2:28" x14ac:dyDescent="0.25">
      <c r="O8" s="126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8"/>
    </row>
    <row r="9" spans="2:28" ht="18.75" x14ac:dyDescent="0.3">
      <c r="O9" s="129"/>
      <c r="P9" s="130"/>
      <c r="Q9" s="131" t="s">
        <v>1273</v>
      </c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2"/>
    </row>
    <row r="10" spans="2:28" ht="15.75" thickBot="1" x14ac:dyDescent="0.3">
      <c r="O10" s="129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2"/>
    </row>
    <row r="11" spans="2:28" x14ac:dyDescent="0.25">
      <c r="O11" s="129"/>
      <c r="P11" s="130"/>
      <c r="Q11" s="130" t="s">
        <v>1455</v>
      </c>
      <c r="R11" s="130"/>
      <c r="S11" s="130"/>
      <c r="T11" s="130"/>
      <c r="U11" s="130"/>
      <c r="V11" s="130"/>
      <c r="W11" s="130"/>
      <c r="X11" s="130"/>
      <c r="Y11" s="130"/>
      <c r="Z11" s="130"/>
      <c r="AA11" s="145"/>
      <c r="AB11" s="146"/>
    </row>
    <row r="12" spans="2:28" x14ac:dyDescent="0.25">
      <c r="O12" s="129"/>
      <c r="P12" s="130"/>
      <c r="Q12" s="130" t="s">
        <v>1290</v>
      </c>
      <c r="R12" s="130"/>
      <c r="S12" s="130"/>
      <c r="T12" s="130"/>
      <c r="U12" s="130"/>
      <c r="V12" s="130"/>
      <c r="W12" s="130"/>
      <c r="X12" s="130"/>
      <c r="Y12" s="137" t="s">
        <v>115</v>
      </c>
      <c r="Z12" s="130"/>
      <c r="AA12" s="147" t="s">
        <v>1456</v>
      </c>
      <c r="AB12" s="144"/>
    </row>
    <row r="13" spans="2:28" x14ac:dyDescent="0.25">
      <c r="O13" s="129"/>
      <c r="P13" s="130"/>
      <c r="Q13" s="130" t="s">
        <v>1324</v>
      </c>
      <c r="R13" s="130"/>
      <c r="S13" s="130"/>
      <c r="T13" s="130"/>
      <c r="U13" s="130"/>
      <c r="V13" s="130"/>
      <c r="W13" s="130"/>
      <c r="X13" s="130"/>
      <c r="Y13" s="137" t="s">
        <v>115</v>
      </c>
      <c r="Z13" s="130"/>
      <c r="AA13" s="147"/>
      <c r="AB13" s="144"/>
    </row>
    <row r="14" spans="2:28" x14ac:dyDescent="0.25">
      <c r="O14" s="129"/>
      <c r="P14" s="130"/>
      <c r="Q14" s="130" t="s">
        <v>1323</v>
      </c>
      <c r="R14" s="130"/>
      <c r="S14" s="130"/>
      <c r="T14" s="130"/>
      <c r="U14" s="130"/>
      <c r="V14" s="130"/>
      <c r="W14" s="130"/>
      <c r="X14" s="130"/>
      <c r="Y14" s="137" t="s">
        <v>115</v>
      </c>
      <c r="Z14" s="130"/>
      <c r="AA14" s="147"/>
      <c r="AB14" s="144"/>
    </row>
    <row r="15" spans="2:28" ht="15.75" thickBot="1" x14ac:dyDescent="0.3">
      <c r="O15" s="129"/>
      <c r="P15" s="130"/>
      <c r="Q15" s="130"/>
      <c r="R15" s="130"/>
      <c r="S15" s="130"/>
      <c r="T15" s="130"/>
      <c r="U15" s="130"/>
      <c r="V15" s="130"/>
      <c r="W15" s="133" t="s">
        <v>1285</v>
      </c>
      <c r="X15" s="130"/>
      <c r="Y15" s="137">
        <f>COUNTIF(Y12:Y14,"&lt;&gt; ")</f>
        <v>3</v>
      </c>
      <c r="Z15" s="130"/>
      <c r="AA15" s="147"/>
      <c r="AB15" s="144"/>
    </row>
    <row r="16" spans="2:28" ht="18.75" x14ac:dyDescent="0.3">
      <c r="O16" s="129"/>
      <c r="P16" s="130"/>
      <c r="Q16" s="130"/>
      <c r="R16" s="130"/>
      <c r="S16" s="130"/>
      <c r="T16" s="139" t="s">
        <v>1309</v>
      </c>
      <c r="U16" s="130"/>
      <c r="V16" s="130"/>
      <c r="W16" s="133" t="s">
        <v>1286</v>
      </c>
      <c r="X16" s="130"/>
      <c r="Y16" s="137">
        <f>COUNTIF(Y12:Y14,"=Ja")</f>
        <v>0</v>
      </c>
      <c r="Z16" s="130"/>
      <c r="AA16" s="147"/>
      <c r="AB16" s="144"/>
    </row>
    <row r="17" spans="15:28" ht="21.75" thickBot="1" x14ac:dyDescent="0.4">
      <c r="O17" s="129"/>
      <c r="P17" s="130"/>
      <c r="Q17" s="130"/>
      <c r="R17" s="130"/>
      <c r="S17" s="150">
        <f>(L6-0.5) + (Y17/12)</f>
        <v>5.4007490636704114</v>
      </c>
      <c r="T17" s="140">
        <f>IF(S17&lt;1,1,S17)</f>
        <v>5.4007490636704114</v>
      </c>
      <c r="U17" s="130"/>
      <c r="V17" s="130"/>
      <c r="W17" s="133" t="s">
        <v>1302</v>
      </c>
      <c r="X17" s="130"/>
      <c r="Y17" s="138">
        <f>(5/Y15)*Y16+1</f>
        <v>1</v>
      </c>
      <c r="Z17" s="130"/>
      <c r="AA17" s="148"/>
      <c r="AB17" s="149"/>
    </row>
    <row r="18" spans="15:28" x14ac:dyDescent="0.25">
      <c r="O18" s="12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2"/>
    </row>
    <row r="19" spans="15:28" ht="15.75" thickBot="1" x14ac:dyDescent="0.3">
      <c r="O19" s="134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6"/>
    </row>
    <row r="35" spans="1:41" ht="15.75" thickBot="1" x14ac:dyDescent="0.3"/>
    <row r="36" spans="1:41" ht="15.75" thickBot="1" x14ac:dyDescent="0.3">
      <c r="A36" s="2" t="s">
        <v>261</v>
      </c>
      <c r="B36" s="2" t="s">
        <v>23</v>
      </c>
      <c r="C36" s="2" t="s">
        <v>22</v>
      </c>
      <c r="D36" s="2" t="s">
        <v>260</v>
      </c>
      <c r="E36" s="2" t="s">
        <v>238</v>
      </c>
      <c r="F36" s="2" t="s">
        <v>259</v>
      </c>
      <c r="G36" s="2" t="s">
        <v>238</v>
      </c>
      <c r="H36" s="2" t="s">
        <v>258</v>
      </c>
      <c r="I36" s="2" t="s">
        <v>28</v>
      </c>
      <c r="J36" s="2" t="s">
        <v>29</v>
      </c>
      <c r="K36" s="2" t="s">
        <v>27</v>
      </c>
      <c r="L36" s="2" t="s">
        <v>257</v>
      </c>
      <c r="M36" s="2" t="s">
        <v>238</v>
      </c>
      <c r="N36" s="2" t="s">
        <v>256</v>
      </c>
      <c r="O36" s="2" t="s">
        <v>255</v>
      </c>
      <c r="P36" s="2" t="s">
        <v>238</v>
      </c>
      <c r="Q36" s="2" t="s">
        <v>254</v>
      </c>
      <c r="R36" s="2" t="s">
        <v>238</v>
      </c>
      <c r="S36" s="2" t="s">
        <v>253</v>
      </c>
      <c r="T36" s="2" t="s">
        <v>252</v>
      </c>
      <c r="U36" s="2" t="s">
        <v>251</v>
      </c>
      <c r="V36" s="2" t="s">
        <v>238</v>
      </c>
      <c r="W36" s="2" t="s">
        <v>250</v>
      </c>
      <c r="X36" s="2" t="s">
        <v>238</v>
      </c>
      <c r="Y36" s="2" t="s">
        <v>249</v>
      </c>
      <c r="Z36" s="2" t="s">
        <v>238</v>
      </c>
      <c r="AA36" s="2" t="s">
        <v>248</v>
      </c>
      <c r="AB36" s="2" t="s">
        <v>247</v>
      </c>
      <c r="AC36" s="2" t="s">
        <v>246</v>
      </c>
      <c r="AD36" s="2" t="s">
        <v>238</v>
      </c>
      <c r="AE36" s="2" t="s">
        <v>245</v>
      </c>
      <c r="AF36" s="2" t="s">
        <v>244</v>
      </c>
      <c r="AG36" s="2" t="s">
        <v>243</v>
      </c>
      <c r="AH36" s="2" t="s">
        <v>238</v>
      </c>
      <c r="AI36" s="2" t="s">
        <v>242</v>
      </c>
      <c r="AJ36" s="2" t="s">
        <v>238</v>
      </c>
      <c r="AK36" s="2" t="s">
        <v>241</v>
      </c>
      <c r="AL36" s="2" t="s">
        <v>238</v>
      </c>
      <c r="AM36" s="2" t="s">
        <v>240</v>
      </c>
      <c r="AN36" s="67" t="s">
        <v>239</v>
      </c>
      <c r="AO36" s="49" t="s">
        <v>238</v>
      </c>
    </row>
    <row r="37" spans="1:41" x14ac:dyDescent="0.25">
      <c r="A37" s="4">
        <v>1</v>
      </c>
      <c r="B37" s="4" t="s">
        <v>237</v>
      </c>
      <c r="C37" s="4" t="s">
        <v>236</v>
      </c>
      <c r="D37" s="69"/>
      <c r="E37" s="46" t="str">
        <f t="shared" ref="E37:E63" si="0">IF(D37=PROPER(CONCATENATE(LEFT(C37,1),".")),"ok",IF(D37="","--","nok"))</f>
        <v>--</v>
      </c>
      <c r="F37" s="69"/>
      <c r="G37" s="46" t="str">
        <f t="shared" ref="G37:G63" si="1">IF(F37=PROPER(CONCATENATE(D37,B37)),"ok",IF(F37="","--","nok"))</f>
        <v>--</v>
      </c>
      <c r="H37" s="4" t="s">
        <v>235</v>
      </c>
      <c r="I37" s="4">
        <v>8853</v>
      </c>
      <c r="J37" s="4" t="s">
        <v>117</v>
      </c>
      <c r="K37" s="4" t="s">
        <v>31</v>
      </c>
      <c r="L37" s="69"/>
      <c r="M37" s="46" t="str">
        <f t="shared" ref="M37:M63" si="2">IF(L37=CONCATENATE(K37,"-",I37," ",J37),"ok",IF(L37="","--","nok"))</f>
        <v>--</v>
      </c>
      <c r="N37" s="4" t="s">
        <v>234</v>
      </c>
      <c r="O37" s="69"/>
      <c r="P37" s="46" t="str">
        <f t="shared" ref="P37:P63" si="3">IF(O37=IF(N37="","Keine",RIGHT(N37,LEN(N37)-SEARCH("@",N37,1))),"ok",IF(O37="","--","nok"))</f>
        <v>--</v>
      </c>
      <c r="Q37" s="69"/>
      <c r="R37" s="46" t="str">
        <f t="shared" ref="R37:R63" si="4">IF(Q37=CONCATENATE(LOWER(C37),".",LOWER(B37),"@","bzu.ch"),"ok",IF(Q37="","--","nok"))</f>
        <v>--</v>
      </c>
      <c r="S37" s="4" t="s">
        <v>233</v>
      </c>
      <c r="T37" s="4" t="s">
        <v>115</v>
      </c>
      <c r="U37" s="69"/>
      <c r="V37" s="46" t="str">
        <f t="shared" ref="V37:V63" si="5">IF(U37="","--",IF(U37=IF(T37="Ja",1,0),"ok","nok"))</f>
        <v>--</v>
      </c>
      <c r="W37" s="69"/>
      <c r="X37" s="46" t="str">
        <f t="shared" ref="X37:X63" si="6">IF(W37="","--",IF(W37=IF(T37="Ja",0,1),"ok","nok"))</f>
        <v>--</v>
      </c>
      <c r="Y37" s="69"/>
      <c r="Z37" s="46" t="str">
        <f t="shared" ref="Z37:Z63" si="7">IF(Y37=IF(T37="Nein",IF(N37&lt;&gt;"",N37,Q37),""),"ok",IF(Y37="","--","nok"))</f>
        <v>--</v>
      </c>
      <c r="AA37" s="48">
        <v>50</v>
      </c>
      <c r="AB37" s="48">
        <v>49.5</v>
      </c>
      <c r="AC37" s="71"/>
      <c r="AD37" s="46" t="str">
        <f t="shared" ref="AD37:AD63" si="8">IF(AC37=AA37-AB37,"ok",IF(AC37="","--","nok"))</f>
        <v>--</v>
      </c>
      <c r="AE37" s="4" t="s">
        <v>121</v>
      </c>
      <c r="AF37" s="4" t="s">
        <v>106</v>
      </c>
      <c r="AG37" s="69"/>
      <c r="AH37" s="46" t="str">
        <f t="shared" ref="AH37:AH63" si="9">IF(AG37=IF(AE37="Familie",CONCATENATE("Sehr geehrte Familie ",B37),IF(AE37="Herr",CONCATENATE("Sehr geehrter Herr ",B37),CONCATENATE("Sehr geehrte Frau ",B37))),"ok",IF(AG37="","--","nok"))</f>
        <v>--</v>
      </c>
      <c r="AI37" s="69"/>
      <c r="AJ37" s="46" t="str">
        <f t="shared" ref="AJ37:AJ63" si="10">IF(AI37=IF(AE37="Familie",CONCATENATE("Liebe Familie ",B37),IF(AE37="Herr",CONCATENATE("Lieber ",C37),CONCATENATE("Liebe ",C37))),"ok",IF(AI37="","--","nok"))</f>
        <v>--</v>
      </c>
      <c r="AK37" s="69"/>
      <c r="AL37" s="46" t="str">
        <f>IF(AK37=IF(AF37="Ja",AI37,AG37),"ok",IF(AK37="","--","nok"))</f>
        <v>ok</v>
      </c>
      <c r="AM37" s="70" t="s">
        <v>120</v>
      </c>
      <c r="AN37" s="68"/>
      <c r="AO37" s="47" t="str">
        <f t="shared" ref="AO37:AO63" si="11">IF(AN37=MID(AM37,SEARCH("{",AM37) + 1,SEARCH("}",AM37) - SEARCH("{",AM37) - 1),"ok",IF(AN37="","--","nok"))</f>
        <v>--</v>
      </c>
    </row>
    <row r="38" spans="1:41" x14ac:dyDescent="0.25">
      <c r="A38" s="4">
        <v>2</v>
      </c>
      <c r="B38" s="4" t="s">
        <v>232</v>
      </c>
      <c r="C38" s="4" t="s">
        <v>231</v>
      </c>
      <c r="D38" s="69" t="s">
        <v>1330</v>
      </c>
      <c r="E38" s="46" t="str">
        <f t="shared" si="0"/>
        <v>ok</v>
      </c>
      <c r="F38" s="69" t="s">
        <v>1337</v>
      </c>
      <c r="G38" s="46" t="str">
        <f t="shared" si="1"/>
        <v>ok</v>
      </c>
      <c r="H38" s="4" t="s">
        <v>230</v>
      </c>
      <c r="I38" s="4">
        <v>8853</v>
      </c>
      <c r="J38" s="4" t="s">
        <v>117</v>
      </c>
      <c r="K38" s="4" t="s">
        <v>31</v>
      </c>
      <c r="L38" s="69" t="s">
        <v>1361</v>
      </c>
      <c r="M38" s="46" t="str">
        <f t="shared" si="2"/>
        <v>ok</v>
      </c>
      <c r="N38" s="4" t="s">
        <v>229</v>
      </c>
      <c r="O38" s="69" t="s">
        <v>1376</v>
      </c>
      <c r="P38" s="46" t="str">
        <f t="shared" si="3"/>
        <v>ok</v>
      </c>
      <c r="Q38" s="69" t="s">
        <v>1380</v>
      </c>
      <c r="R38" s="46" t="str">
        <f t="shared" si="4"/>
        <v>ok</v>
      </c>
      <c r="S38" s="4" t="s">
        <v>228</v>
      </c>
      <c r="T38" s="4" t="s">
        <v>106</v>
      </c>
      <c r="U38" s="69">
        <v>1</v>
      </c>
      <c r="V38" s="46" t="str">
        <f t="shared" si="5"/>
        <v>ok</v>
      </c>
      <c r="W38" s="69">
        <v>0</v>
      </c>
      <c r="X38" s="46" t="str">
        <f t="shared" si="6"/>
        <v>ok</v>
      </c>
      <c r="Y38" s="69" t="s">
        <v>1406</v>
      </c>
      <c r="Z38" s="46" t="str">
        <f t="shared" si="7"/>
        <v>ok</v>
      </c>
      <c r="AA38" s="48">
        <v>68</v>
      </c>
      <c r="AB38" s="48">
        <v>30</v>
      </c>
      <c r="AC38" s="71">
        <v>38</v>
      </c>
      <c r="AD38" s="46" t="str">
        <f t="shared" si="8"/>
        <v>ok</v>
      </c>
      <c r="AE38" s="4" t="s">
        <v>121</v>
      </c>
      <c r="AF38" s="4" t="s">
        <v>115</v>
      </c>
      <c r="AG38" s="69" t="s">
        <v>1407</v>
      </c>
      <c r="AH38" s="46" t="str">
        <f t="shared" si="9"/>
        <v>ok</v>
      </c>
      <c r="AI38" s="69" t="s">
        <v>1431</v>
      </c>
      <c r="AJ38" s="46" t="str">
        <f t="shared" si="10"/>
        <v>ok</v>
      </c>
      <c r="AK38" s="69" t="s">
        <v>1407</v>
      </c>
      <c r="AL38" s="46" t="str">
        <f t="shared" ref="AL38:AL63" si="12">IF(AK38="","--",IF(AK38=IF(AF38="Ja",AI38,AG38),"ok","nok"))</f>
        <v>ok</v>
      </c>
      <c r="AM38" s="70" t="s">
        <v>114</v>
      </c>
      <c r="AN38" s="68" t="s">
        <v>248</v>
      </c>
      <c r="AO38" s="47" t="str">
        <f t="shared" si="11"/>
        <v>ok</v>
      </c>
    </row>
    <row r="39" spans="1:41" x14ac:dyDescent="0.25">
      <c r="A39" s="4">
        <v>3</v>
      </c>
      <c r="B39" s="4" t="s">
        <v>227</v>
      </c>
      <c r="C39" s="4" t="s">
        <v>226</v>
      </c>
      <c r="D39" s="69" t="s">
        <v>1331</v>
      </c>
      <c r="E39" s="46" t="str">
        <f t="shared" si="0"/>
        <v>ok</v>
      </c>
      <c r="F39" s="69" t="s">
        <v>1338</v>
      </c>
      <c r="G39" s="46" t="str">
        <f t="shared" si="1"/>
        <v>ok</v>
      </c>
      <c r="H39" s="4" t="s">
        <v>225</v>
      </c>
      <c r="I39" s="4">
        <v>8853</v>
      </c>
      <c r="J39" s="4" t="s">
        <v>117</v>
      </c>
      <c r="K39" s="4" t="s">
        <v>31</v>
      </c>
      <c r="L39" s="69" t="s">
        <v>1361</v>
      </c>
      <c r="M39" s="46" t="str">
        <f t="shared" si="2"/>
        <v>ok</v>
      </c>
      <c r="N39" s="4"/>
      <c r="O39" s="69" t="s">
        <v>1377</v>
      </c>
      <c r="P39" s="46" t="str">
        <f t="shared" si="3"/>
        <v>ok</v>
      </c>
      <c r="Q39" s="69" t="s">
        <v>1381</v>
      </c>
      <c r="R39" s="46" t="str">
        <f t="shared" si="4"/>
        <v>ok</v>
      </c>
      <c r="S39" s="4" t="s">
        <v>224</v>
      </c>
      <c r="T39" s="4" t="s">
        <v>115</v>
      </c>
      <c r="U39" s="69">
        <v>0</v>
      </c>
      <c r="V39" s="46" t="str">
        <f t="shared" si="5"/>
        <v>ok</v>
      </c>
      <c r="W39" s="69">
        <v>1</v>
      </c>
      <c r="X39" s="46" t="str">
        <f t="shared" si="6"/>
        <v>ok</v>
      </c>
      <c r="Y39" s="69" t="s">
        <v>1381</v>
      </c>
      <c r="Z39" s="46" t="str">
        <f t="shared" si="7"/>
        <v>ok</v>
      </c>
      <c r="AA39" s="48">
        <v>123</v>
      </c>
      <c r="AB39" s="48">
        <v>100</v>
      </c>
      <c r="AC39" s="71">
        <v>23</v>
      </c>
      <c r="AD39" s="46" t="str">
        <f t="shared" si="8"/>
        <v>ok</v>
      </c>
      <c r="AE39" s="4" t="s">
        <v>132</v>
      </c>
      <c r="AF39" s="4" t="s">
        <v>106</v>
      </c>
      <c r="AG39" s="69" t="s">
        <v>1408</v>
      </c>
      <c r="AH39" s="46" t="str">
        <f t="shared" si="9"/>
        <v>ok</v>
      </c>
      <c r="AI39" s="69" t="s">
        <v>1432</v>
      </c>
      <c r="AJ39" s="46" t="str">
        <f t="shared" si="10"/>
        <v>ok</v>
      </c>
      <c r="AK39" s="69" t="s">
        <v>1432</v>
      </c>
      <c r="AL39" s="46" t="str">
        <f t="shared" si="12"/>
        <v>ok</v>
      </c>
      <c r="AM39" s="70" t="s">
        <v>105</v>
      </c>
      <c r="AN39" s="68" t="s">
        <v>29</v>
      </c>
      <c r="AO39" s="47" t="str">
        <f t="shared" si="11"/>
        <v>ok</v>
      </c>
    </row>
    <row r="40" spans="1:41" x14ac:dyDescent="0.25">
      <c r="A40" s="4">
        <v>4</v>
      </c>
      <c r="B40" s="4" t="s">
        <v>223</v>
      </c>
      <c r="C40" s="4" t="s">
        <v>222</v>
      </c>
      <c r="D40" s="69" t="s">
        <v>1332</v>
      </c>
      <c r="E40" s="46" t="str">
        <f t="shared" si="0"/>
        <v>ok</v>
      </c>
      <c r="F40" s="69" t="s">
        <v>1339</v>
      </c>
      <c r="G40" s="46" t="str">
        <f t="shared" si="1"/>
        <v>ok</v>
      </c>
      <c r="H40" s="4" t="s">
        <v>221</v>
      </c>
      <c r="I40" s="4">
        <v>53175</v>
      </c>
      <c r="J40" s="4" t="s">
        <v>220</v>
      </c>
      <c r="K40" s="4" t="s">
        <v>33</v>
      </c>
      <c r="L40" s="69" t="s">
        <v>1362</v>
      </c>
      <c r="M40" s="46" t="str">
        <f t="shared" si="2"/>
        <v>ok</v>
      </c>
      <c r="N40" s="4" t="s">
        <v>219</v>
      </c>
      <c r="O40" s="69" t="s">
        <v>1378</v>
      </c>
      <c r="P40" s="46" t="str">
        <f t="shared" si="3"/>
        <v>ok</v>
      </c>
      <c r="Q40" s="69" t="s">
        <v>1382</v>
      </c>
      <c r="R40" s="46" t="str">
        <f t="shared" si="4"/>
        <v>ok</v>
      </c>
      <c r="S40" s="4" t="s">
        <v>218</v>
      </c>
      <c r="T40" s="4" t="s">
        <v>106</v>
      </c>
      <c r="U40" s="69">
        <v>1</v>
      </c>
      <c r="V40" s="46" t="str">
        <f t="shared" si="5"/>
        <v>ok</v>
      </c>
      <c r="W40" s="69">
        <v>0</v>
      </c>
      <c r="X40" s="46" t="str">
        <f t="shared" si="6"/>
        <v>ok</v>
      </c>
      <c r="Y40" s="69" t="s">
        <v>1406</v>
      </c>
      <c r="Z40" s="46" t="str">
        <f t="shared" si="7"/>
        <v>ok</v>
      </c>
      <c r="AA40" s="48">
        <v>45.3</v>
      </c>
      <c r="AB40" s="48">
        <v>30</v>
      </c>
      <c r="AC40" s="71">
        <v>15.299999999999997</v>
      </c>
      <c r="AD40" s="46" t="str">
        <f t="shared" si="8"/>
        <v>ok</v>
      </c>
      <c r="AE40" s="4" t="s">
        <v>132</v>
      </c>
      <c r="AF40" s="4" t="s">
        <v>115</v>
      </c>
      <c r="AG40" s="69" t="s">
        <v>1409</v>
      </c>
      <c r="AH40" s="46" t="str">
        <f t="shared" si="9"/>
        <v>ok</v>
      </c>
      <c r="AI40" s="69" t="s">
        <v>1433</v>
      </c>
      <c r="AJ40" s="46" t="str">
        <f t="shared" si="10"/>
        <v>ok</v>
      </c>
      <c r="AK40" s="69" t="s">
        <v>1409</v>
      </c>
      <c r="AL40" s="46" t="str">
        <f t="shared" si="12"/>
        <v>ok</v>
      </c>
      <c r="AM40" s="70" t="s">
        <v>120</v>
      </c>
      <c r="AN40" s="68" t="s">
        <v>246</v>
      </c>
      <c r="AO40" s="47" t="str">
        <f t="shared" si="11"/>
        <v>ok</v>
      </c>
    </row>
    <row r="41" spans="1:41" x14ac:dyDescent="0.25">
      <c r="A41" s="4">
        <v>5</v>
      </c>
      <c r="B41" s="4" t="s">
        <v>217</v>
      </c>
      <c r="C41" s="4" t="s">
        <v>216</v>
      </c>
      <c r="D41" s="69" t="s">
        <v>1333</v>
      </c>
      <c r="E41" s="46" t="str">
        <f t="shared" si="0"/>
        <v>ok</v>
      </c>
      <c r="F41" s="69" t="s">
        <v>1340</v>
      </c>
      <c r="G41" s="46" t="str">
        <f t="shared" si="1"/>
        <v>ok</v>
      </c>
      <c r="H41" s="4" t="s">
        <v>215</v>
      </c>
      <c r="I41" s="4">
        <v>78713</v>
      </c>
      <c r="J41" s="4" t="s">
        <v>181</v>
      </c>
      <c r="K41" s="4" t="s">
        <v>33</v>
      </c>
      <c r="L41" s="69" t="s">
        <v>1363</v>
      </c>
      <c r="M41" s="46" t="str">
        <f t="shared" si="2"/>
        <v>ok</v>
      </c>
      <c r="N41" s="4"/>
      <c r="O41" s="69" t="s">
        <v>1377</v>
      </c>
      <c r="P41" s="46" t="str">
        <f t="shared" si="3"/>
        <v>ok</v>
      </c>
      <c r="Q41" s="69" t="s">
        <v>1383</v>
      </c>
      <c r="R41" s="46" t="str">
        <f t="shared" si="4"/>
        <v>ok</v>
      </c>
      <c r="S41" s="4" t="s">
        <v>214</v>
      </c>
      <c r="T41" s="4" t="s">
        <v>115</v>
      </c>
      <c r="U41" s="69">
        <v>0</v>
      </c>
      <c r="V41" s="46" t="str">
        <f t="shared" si="5"/>
        <v>ok</v>
      </c>
      <c r="W41" s="69">
        <v>1</v>
      </c>
      <c r="X41" s="46" t="str">
        <f t="shared" si="6"/>
        <v>ok</v>
      </c>
      <c r="Y41" s="69" t="s">
        <v>1383</v>
      </c>
      <c r="Z41" s="46" t="str">
        <f t="shared" si="7"/>
        <v>ok</v>
      </c>
      <c r="AA41" s="48">
        <v>312.56</v>
      </c>
      <c r="AB41" s="48">
        <v>50</v>
      </c>
      <c r="AC41" s="71">
        <v>262.56</v>
      </c>
      <c r="AD41" s="46" t="str">
        <f t="shared" si="8"/>
        <v>ok</v>
      </c>
      <c r="AE41" s="4" t="s">
        <v>107</v>
      </c>
      <c r="AF41" s="4" t="s">
        <v>106</v>
      </c>
      <c r="AG41" s="69" t="s">
        <v>1410</v>
      </c>
      <c r="AH41" s="46" t="str">
        <f t="shared" si="9"/>
        <v>ok</v>
      </c>
      <c r="AI41" s="69" t="s">
        <v>1434</v>
      </c>
      <c r="AJ41" s="46" t="str">
        <f t="shared" si="10"/>
        <v>ok</v>
      </c>
      <c r="AK41" s="69" t="s">
        <v>1434</v>
      </c>
      <c r="AL41" s="46" t="str">
        <f t="shared" si="12"/>
        <v>ok</v>
      </c>
      <c r="AM41" s="70" t="s">
        <v>114</v>
      </c>
      <c r="AN41" s="68" t="s">
        <v>248</v>
      </c>
      <c r="AO41" s="47" t="str">
        <f t="shared" si="11"/>
        <v>ok</v>
      </c>
    </row>
    <row r="42" spans="1:41" x14ac:dyDescent="0.25">
      <c r="A42" s="4">
        <v>6</v>
      </c>
      <c r="B42" s="4" t="s">
        <v>213</v>
      </c>
      <c r="C42" s="4" t="s">
        <v>212</v>
      </c>
      <c r="D42" s="69" t="s">
        <v>1330</v>
      </c>
      <c r="E42" s="46" t="str">
        <f t="shared" si="0"/>
        <v>ok</v>
      </c>
      <c r="F42" s="69" t="s">
        <v>1341</v>
      </c>
      <c r="G42" s="46" t="str">
        <f t="shared" si="1"/>
        <v>ok</v>
      </c>
      <c r="H42" s="4" t="s">
        <v>211</v>
      </c>
      <c r="I42" s="4">
        <v>8808</v>
      </c>
      <c r="J42" s="4" t="s">
        <v>210</v>
      </c>
      <c r="K42" s="4" t="s">
        <v>31</v>
      </c>
      <c r="L42" s="69" t="s">
        <v>1364</v>
      </c>
      <c r="M42" s="46" t="str">
        <f t="shared" si="2"/>
        <v>ok</v>
      </c>
      <c r="N42" s="4" t="s">
        <v>209</v>
      </c>
      <c r="O42" s="69" t="s">
        <v>1376</v>
      </c>
      <c r="P42" s="46" t="str">
        <f t="shared" si="3"/>
        <v>ok</v>
      </c>
      <c r="Q42" s="69" t="s">
        <v>1384</v>
      </c>
      <c r="R42" s="46" t="str">
        <f t="shared" si="4"/>
        <v>ok</v>
      </c>
      <c r="S42" s="4" t="s">
        <v>208</v>
      </c>
      <c r="T42" s="4" t="s">
        <v>106</v>
      </c>
      <c r="U42" s="69">
        <v>1</v>
      </c>
      <c r="V42" s="46" t="str">
        <f t="shared" si="5"/>
        <v>ok</v>
      </c>
      <c r="W42" s="69">
        <v>0</v>
      </c>
      <c r="X42" s="46" t="str">
        <f t="shared" si="6"/>
        <v>ok</v>
      </c>
      <c r="Y42" s="69" t="s">
        <v>1406</v>
      </c>
      <c r="Z42" s="46" t="str">
        <f t="shared" si="7"/>
        <v>ok</v>
      </c>
      <c r="AA42" s="48">
        <v>21.3</v>
      </c>
      <c r="AB42" s="48">
        <v>10</v>
      </c>
      <c r="AC42" s="71">
        <v>11.3</v>
      </c>
      <c r="AD42" s="46" t="str">
        <f t="shared" si="8"/>
        <v>ok</v>
      </c>
      <c r="AE42" s="4" t="s">
        <v>107</v>
      </c>
      <c r="AF42" s="4" t="s">
        <v>115</v>
      </c>
      <c r="AG42" s="69" t="s">
        <v>1411</v>
      </c>
      <c r="AH42" s="46" t="str">
        <f t="shared" si="9"/>
        <v>ok</v>
      </c>
      <c r="AI42" s="69" t="s">
        <v>1435</v>
      </c>
      <c r="AJ42" s="46" t="str">
        <f t="shared" si="10"/>
        <v>ok</v>
      </c>
      <c r="AK42" s="69" t="s">
        <v>1411</v>
      </c>
      <c r="AL42" s="46" t="str">
        <f t="shared" si="12"/>
        <v>ok</v>
      </c>
      <c r="AM42" s="70" t="s">
        <v>105</v>
      </c>
      <c r="AN42" s="68" t="s">
        <v>29</v>
      </c>
      <c r="AO42" s="47" t="str">
        <f t="shared" si="11"/>
        <v>ok</v>
      </c>
    </row>
    <row r="43" spans="1:41" x14ac:dyDescent="0.25">
      <c r="A43" s="4">
        <v>7</v>
      </c>
      <c r="B43" s="4" t="s">
        <v>207</v>
      </c>
      <c r="C43" s="4" t="s">
        <v>206</v>
      </c>
      <c r="D43" s="69" t="s">
        <v>1330</v>
      </c>
      <c r="E43" s="46" t="str">
        <f t="shared" si="0"/>
        <v>ok</v>
      </c>
      <c r="F43" s="69" t="s">
        <v>1342</v>
      </c>
      <c r="G43" s="46" t="str">
        <f t="shared" si="1"/>
        <v>ok</v>
      </c>
      <c r="H43" s="4" t="s">
        <v>205</v>
      </c>
      <c r="I43" s="4">
        <v>8854</v>
      </c>
      <c r="J43" s="4" t="s">
        <v>145</v>
      </c>
      <c r="K43" s="4" t="s">
        <v>31</v>
      </c>
      <c r="L43" s="69" t="s">
        <v>1365</v>
      </c>
      <c r="M43" s="46" t="str">
        <f t="shared" si="2"/>
        <v>ok</v>
      </c>
      <c r="N43" s="4" t="s">
        <v>204</v>
      </c>
      <c r="O43" s="69" t="s">
        <v>1376</v>
      </c>
      <c r="P43" s="46" t="str">
        <f t="shared" si="3"/>
        <v>ok</v>
      </c>
      <c r="Q43" s="69" t="s">
        <v>1385</v>
      </c>
      <c r="R43" s="46" t="str">
        <f t="shared" si="4"/>
        <v>ok</v>
      </c>
      <c r="S43" s="4" t="s">
        <v>203</v>
      </c>
      <c r="T43" s="4" t="s">
        <v>106</v>
      </c>
      <c r="U43" s="69">
        <v>1</v>
      </c>
      <c r="V43" s="46" t="str">
        <f t="shared" si="5"/>
        <v>ok</v>
      </c>
      <c r="W43" s="69">
        <v>0</v>
      </c>
      <c r="X43" s="46" t="str">
        <f t="shared" si="6"/>
        <v>ok</v>
      </c>
      <c r="Y43" s="69" t="s">
        <v>1406</v>
      </c>
      <c r="Z43" s="46" t="str">
        <f t="shared" si="7"/>
        <v>ok</v>
      </c>
      <c r="AA43" s="48">
        <v>45.7</v>
      </c>
      <c r="AB43" s="48">
        <v>0</v>
      </c>
      <c r="AC43" s="71">
        <v>45.7</v>
      </c>
      <c r="AD43" s="46" t="str">
        <f t="shared" si="8"/>
        <v>ok</v>
      </c>
      <c r="AE43" s="4" t="s">
        <v>132</v>
      </c>
      <c r="AF43" s="4" t="s">
        <v>106</v>
      </c>
      <c r="AG43" s="69" t="s">
        <v>1412</v>
      </c>
      <c r="AH43" s="46" t="str">
        <f t="shared" si="9"/>
        <v>ok</v>
      </c>
      <c r="AI43" s="69" t="s">
        <v>1436</v>
      </c>
      <c r="AJ43" s="46" t="str">
        <f t="shared" si="10"/>
        <v>ok</v>
      </c>
      <c r="AK43" s="69" t="s">
        <v>1436</v>
      </c>
      <c r="AL43" s="46" t="str">
        <f t="shared" si="12"/>
        <v>ok</v>
      </c>
      <c r="AM43" s="70" t="s">
        <v>120</v>
      </c>
      <c r="AN43" s="68" t="s">
        <v>246</v>
      </c>
      <c r="AO43" s="47" t="str">
        <f t="shared" si="11"/>
        <v>ok</v>
      </c>
    </row>
    <row r="44" spans="1:41" x14ac:dyDescent="0.25">
      <c r="A44" s="4">
        <v>8</v>
      </c>
      <c r="B44" s="4" t="s">
        <v>202</v>
      </c>
      <c r="C44" s="4" t="s">
        <v>201</v>
      </c>
      <c r="D44" s="69" t="s">
        <v>1331</v>
      </c>
      <c r="E44" s="46" t="str">
        <f t="shared" si="0"/>
        <v>ok</v>
      </c>
      <c r="F44" s="69" t="s">
        <v>1343</v>
      </c>
      <c r="G44" s="46" t="str">
        <f t="shared" si="1"/>
        <v>ok</v>
      </c>
      <c r="H44" s="4" t="s">
        <v>200</v>
      </c>
      <c r="I44" s="4">
        <v>8045</v>
      </c>
      <c r="J44" s="4" t="s">
        <v>199</v>
      </c>
      <c r="K44" s="4" t="s">
        <v>31</v>
      </c>
      <c r="L44" s="69" t="s">
        <v>1366</v>
      </c>
      <c r="M44" s="46" t="str">
        <f t="shared" si="2"/>
        <v>ok</v>
      </c>
      <c r="N44" s="4"/>
      <c r="O44" s="69" t="s">
        <v>1377</v>
      </c>
      <c r="P44" s="46" t="str">
        <f t="shared" si="3"/>
        <v>ok</v>
      </c>
      <c r="Q44" s="69" t="s">
        <v>1386</v>
      </c>
      <c r="R44" s="46" t="str">
        <f t="shared" si="4"/>
        <v>ok</v>
      </c>
      <c r="S44" s="4" t="s">
        <v>198</v>
      </c>
      <c r="T44" s="4" t="s">
        <v>115</v>
      </c>
      <c r="U44" s="69">
        <v>0</v>
      </c>
      <c r="V44" s="46" t="str">
        <f t="shared" si="5"/>
        <v>ok</v>
      </c>
      <c r="W44" s="69">
        <v>1</v>
      </c>
      <c r="X44" s="46" t="str">
        <f t="shared" si="6"/>
        <v>ok</v>
      </c>
      <c r="Y44" s="69" t="s">
        <v>1386</v>
      </c>
      <c r="Z44" s="46" t="str">
        <f t="shared" si="7"/>
        <v>ok</v>
      </c>
      <c r="AA44" s="48">
        <v>427.8</v>
      </c>
      <c r="AB44" s="48">
        <v>250</v>
      </c>
      <c r="AC44" s="71">
        <v>177.8</v>
      </c>
      <c r="AD44" s="46" t="str">
        <f t="shared" si="8"/>
        <v>ok</v>
      </c>
      <c r="AE44" s="4" t="s">
        <v>132</v>
      </c>
      <c r="AF44" s="4" t="s">
        <v>115</v>
      </c>
      <c r="AG44" s="69" t="s">
        <v>1413</v>
      </c>
      <c r="AH44" s="46" t="str">
        <f t="shared" si="9"/>
        <v>ok</v>
      </c>
      <c r="AI44" s="69" t="s">
        <v>1437</v>
      </c>
      <c r="AJ44" s="46" t="str">
        <f t="shared" si="10"/>
        <v>ok</v>
      </c>
      <c r="AK44" s="69" t="s">
        <v>1413</v>
      </c>
      <c r="AL44" s="46" t="str">
        <f t="shared" si="12"/>
        <v>ok</v>
      </c>
      <c r="AM44" s="70" t="s">
        <v>114</v>
      </c>
      <c r="AN44" s="68" t="s">
        <v>248</v>
      </c>
      <c r="AO44" s="47" t="str">
        <f t="shared" si="11"/>
        <v>ok</v>
      </c>
    </row>
    <row r="45" spans="1:41" x14ac:dyDescent="0.25">
      <c r="A45" s="4">
        <v>9</v>
      </c>
      <c r="B45" s="4" t="s">
        <v>192</v>
      </c>
      <c r="C45" s="4" t="s">
        <v>197</v>
      </c>
      <c r="D45" s="69" t="s">
        <v>1334</v>
      </c>
      <c r="E45" s="46" t="str">
        <f t="shared" si="0"/>
        <v>ok</v>
      </c>
      <c r="F45" s="69" t="s">
        <v>1344</v>
      </c>
      <c r="G45" s="46" t="str">
        <f t="shared" si="1"/>
        <v>ok</v>
      </c>
      <c r="H45" s="4" t="s">
        <v>196</v>
      </c>
      <c r="I45" s="4">
        <v>8853</v>
      </c>
      <c r="J45" s="4" t="s">
        <v>117</v>
      </c>
      <c r="K45" s="4" t="s">
        <v>31</v>
      </c>
      <c r="L45" s="69" t="s">
        <v>1361</v>
      </c>
      <c r="M45" s="46" t="str">
        <f t="shared" si="2"/>
        <v>ok</v>
      </c>
      <c r="N45" s="4" t="s">
        <v>195</v>
      </c>
      <c r="O45" s="69" t="s">
        <v>1376</v>
      </c>
      <c r="P45" s="46" t="str">
        <f t="shared" si="3"/>
        <v>ok</v>
      </c>
      <c r="Q45" s="69" t="s">
        <v>1387</v>
      </c>
      <c r="R45" s="46" t="str">
        <f t="shared" si="4"/>
        <v>ok</v>
      </c>
      <c r="S45" s="4" t="s">
        <v>189</v>
      </c>
      <c r="T45" s="4" t="s">
        <v>115</v>
      </c>
      <c r="U45" s="69">
        <v>0</v>
      </c>
      <c r="V45" s="46" t="str">
        <f t="shared" si="5"/>
        <v>ok</v>
      </c>
      <c r="W45" s="69">
        <v>1</v>
      </c>
      <c r="X45" s="46" t="str">
        <f t="shared" si="6"/>
        <v>ok</v>
      </c>
      <c r="Y45" s="69" t="s">
        <v>195</v>
      </c>
      <c r="Z45" s="46" t="str">
        <f t="shared" si="7"/>
        <v>ok</v>
      </c>
      <c r="AA45" s="48">
        <v>34.700000000000003</v>
      </c>
      <c r="AB45" s="48">
        <v>0</v>
      </c>
      <c r="AC45" s="71">
        <v>34.700000000000003</v>
      </c>
      <c r="AD45" s="46" t="str">
        <f t="shared" si="8"/>
        <v>ok</v>
      </c>
      <c r="AE45" s="4" t="s">
        <v>107</v>
      </c>
      <c r="AF45" s="4" t="s">
        <v>106</v>
      </c>
      <c r="AG45" s="69" t="s">
        <v>1414</v>
      </c>
      <c r="AH45" s="46" t="str">
        <f t="shared" si="9"/>
        <v>ok</v>
      </c>
      <c r="AI45" s="69" t="s">
        <v>1438</v>
      </c>
      <c r="AJ45" s="46" t="str">
        <f t="shared" si="10"/>
        <v>ok</v>
      </c>
      <c r="AK45" s="69" t="s">
        <v>1438</v>
      </c>
      <c r="AL45" s="46" t="str">
        <f t="shared" si="12"/>
        <v>ok</v>
      </c>
      <c r="AM45" s="70" t="s">
        <v>105</v>
      </c>
      <c r="AN45" s="68" t="s">
        <v>29</v>
      </c>
      <c r="AO45" s="47" t="str">
        <f t="shared" si="11"/>
        <v>ok</v>
      </c>
    </row>
    <row r="46" spans="1:41" x14ac:dyDescent="0.25">
      <c r="A46" s="4">
        <v>10</v>
      </c>
      <c r="B46" s="4" t="s">
        <v>192</v>
      </c>
      <c r="C46" s="4" t="s">
        <v>178</v>
      </c>
      <c r="D46" s="69" t="s">
        <v>1330</v>
      </c>
      <c r="E46" s="46" t="str">
        <f t="shared" si="0"/>
        <v>ok</v>
      </c>
      <c r="F46" s="69" t="s">
        <v>1345</v>
      </c>
      <c r="G46" s="46" t="str">
        <f t="shared" si="1"/>
        <v>ok</v>
      </c>
      <c r="H46" s="4" t="s">
        <v>194</v>
      </c>
      <c r="I46" s="4">
        <v>8853</v>
      </c>
      <c r="J46" s="4" t="s">
        <v>117</v>
      </c>
      <c r="K46" s="4" t="s">
        <v>31</v>
      </c>
      <c r="L46" s="69" t="s">
        <v>1361</v>
      </c>
      <c r="M46" s="46" t="str">
        <f t="shared" si="2"/>
        <v>ok</v>
      </c>
      <c r="N46" s="4" t="s">
        <v>193</v>
      </c>
      <c r="O46" s="69" t="s">
        <v>1376</v>
      </c>
      <c r="P46" s="46" t="str">
        <f t="shared" si="3"/>
        <v>ok</v>
      </c>
      <c r="Q46" s="69" t="s">
        <v>1388</v>
      </c>
      <c r="R46" s="46" t="str">
        <f t="shared" si="4"/>
        <v>ok</v>
      </c>
      <c r="S46" s="4" t="s">
        <v>189</v>
      </c>
      <c r="T46" s="4" t="s">
        <v>115</v>
      </c>
      <c r="U46" s="69">
        <v>0</v>
      </c>
      <c r="V46" s="46" t="str">
        <f t="shared" si="5"/>
        <v>ok</v>
      </c>
      <c r="W46" s="69">
        <v>1</v>
      </c>
      <c r="X46" s="46" t="str">
        <f t="shared" si="6"/>
        <v>ok</v>
      </c>
      <c r="Y46" s="69" t="s">
        <v>193</v>
      </c>
      <c r="Z46" s="46" t="str">
        <f t="shared" si="7"/>
        <v>ok</v>
      </c>
      <c r="AA46" s="48">
        <v>35.9</v>
      </c>
      <c r="AB46" s="48">
        <v>0</v>
      </c>
      <c r="AC46" s="71">
        <v>35.9</v>
      </c>
      <c r="AD46" s="46" t="str">
        <f t="shared" si="8"/>
        <v>ok</v>
      </c>
      <c r="AE46" s="4" t="s">
        <v>132</v>
      </c>
      <c r="AF46" s="4" t="s">
        <v>115</v>
      </c>
      <c r="AG46" s="69" t="s">
        <v>1415</v>
      </c>
      <c r="AH46" s="46" t="str">
        <f t="shared" si="9"/>
        <v>ok</v>
      </c>
      <c r="AI46" s="69" t="s">
        <v>1439</v>
      </c>
      <c r="AJ46" s="46" t="str">
        <f t="shared" si="10"/>
        <v>ok</v>
      </c>
      <c r="AK46" s="69" t="s">
        <v>1415</v>
      </c>
      <c r="AL46" s="46" t="str">
        <f t="shared" si="12"/>
        <v>ok</v>
      </c>
      <c r="AM46" s="70" t="s">
        <v>120</v>
      </c>
      <c r="AN46" s="68" t="s">
        <v>246</v>
      </c>
      <c r="AO46" s="47" t="str">
        <f t="shared" si="11"/>
        <v>ok</v>
      </c>
    </row>
    <row r="47" spans="1:41" x14ac:dyDescent="0.25">
      <c r="A47" s="4">
        <v>11</v>
      </c>
      <c r="B47" s="4" t="s">
        <v>192</v>
      </c>
      <c r="C47" s="4" t="s">
        <v>191</v>
      </c>
      <c r="D47" s="69" t="s">
        <v>1330</v>
      </c>
      <c r="E47" s="46" t="str">
        <f t="shared" si="0"/>
        <v>ok</v>
      </c>
      <c r="F47" s="69" t="s">
        <v>1345</v>
      </c>
      <c r="G47" s="46" t="str">
        <f t="shared" si="1"/>
        <v>ok</v>
      </c>
      <c r="H47" s="4" t="s">
        <v>190</v>
      </c>
      <c r="I47" s="4">
        <v>8853</v>
      </c>
      <c r="J47" s="4" t="s">
        <v>117</v>
      </c>
      <c r="K47" s="4" t="s">
        <v>31</v>
      </c>
      <c r="L47" s="69" t="s">
        <v>1361</v>
      </c>
      <c r="M47" s="46" t="str">
        <f t="shared" si="2"/>
        <v>ok</v>
      </c>
      <c r="N47" s="4"/>
      <c r="O47" s="69" t="s">
        <v>1377</v>
      </c>
      <c r="P47" s="46" t="str">
        <f t="shared" si="3"/>
        <v>ok</v>
      </c>
      <c r="Q47" s="69" t="s">
        <v>1389</v>
      </c>
      <c r="R47" s="46" t="str">
        <f t="shared" si="4"/>
        <v>ok</v>
      </c>
      <c r="S47" s="4" t="s">
        <v>189</v>
      </c>
      <c r="T47" s="4" t="s">
        <v>106</v>
      </c>
      <c r="U47" s="69">
        <v>1</v>
      </c>
      <c r="V47" s="46" t="str">
        <f t="shared" si="5"/>
        <v>ok</v>
      </c>
      <c r="W47" s="69">
        <v>0</v>
      </c>
      <c r="X47" s="46" t="str">
        <f t="shared" si="6"/>
        <v>ok</v>
      </c>
      <c r="Y47" s="69" t="s">
        <v>1406</v>
      </c>
      <c r="Z47" s="46" t="str">
        <f t="shared" si="7"/>
        <v>ok</v>
      </c>
      <c r="AA47" s="48">
        <v>17.8</v>
      </c>
      <c r="AB47" s="48">
        <v>0</v>
      </c>
      <c r="AC47" s="71">
        <v>17.8</v>
      </c>
      <c r="AD47" s="46" t="str">
        <f t="shared" si="8"/>
        <v>ok</v>
      </c>
      <c r="AE47" s="4" t="s">
        <v>121</v>
      </c>
      <c r="AF47" s="4" t="s">
        <v>106</v>
      </c>
      <c r="AG47" s="69" t="s">
        <v>1416</v>
      </c>
      <c r="AH47" s="46" t="str">
        <f t="shared" si="9"/>
        <v>ok</v>
      </c>
      <c r="AI47" s="69" t="s">
        <v>1440</v>
      </c>
      <c r="AJ47" s="46" t="str">
        <f t="shared" si="10"/>
        <v>ok</v>
      </c>
      <c r="AK47" s="69" t="s">
        <v>1440</v>
      </c>
      <c r="AL47" s="46" t="str">
        <f t="shared" si="12"/>
        <v>ok</v>
      </c>
      <c r="AM47" s="70" t="s">
        <v>114</v>
      </c>
      <c r="AN47" s="68" t="s">
        <v>248</v>
      </c>
      <c r="AO47" s="47" t="str">
        <f t="shared" si="11"/>
        <v>ok</v>
      </c>
    </row>
    <row r="48" spans="1:41" x14ac:dyDescent="0.25">
      <c r="A48" s="4">
        <v>12</v>
      </c>
      <c r="B48" s="4" t="s">
        <v>188</v>
      </c>
      <c r="C48" s="4" t="s">
        <v>187</v>
      </c>
      <c r="D48" s="69" t="s">
        <v>1330</v>
      </c>
      <c r="E48" s="46" t="str">
        <f t="shared" si="0"/>
        <v>ok</v>
      </c>
      <c r="F48" s="69" t="s">
        <v>1346</v>
      </c>
      <c r="G48" s="46" t="str">
        <f t="shared" si="1"/>
        <v>ok</v>
      </c>
      <c r="H48" s="4" t="s">
        <v>186</v>
      </c>
      <c r="I48" s="4">
        <v>8853</v>
      </c>
      <c r="J48" s="4" t="s">
        <v>117</v>
      </c>
      <c r="K48" s="4" t="s">
        <v>31</v>
      </c>
      <c r="L48" s="69" t="s">
        <v>1361</v>
      </c>
      <c r="M48" s="46" t="str">
        <f t="shared" si="2"/>
        <v>ok</v>
      </c>
      <c r="N48" s="4" t="s">
        <v>185</v>
      </c>
      <c r="O48" s="69" t="s">
        <v>1376</v>
      </c>
      <c r="P48" s="46" t="str">
        <f t="shared" si="3"/>
        <v>ok</v>
      </c>
      <c r="Q48" s="69" t="s">
        <v>1390</v>
      </c>
      <c r="R48" s="46" t="str">
        <f t="shared" si="4"/>
        <v>ok</v>
      </c>
      <c r="S48" s="4" t="s">
        <v>161</v>
      </c>
      <c r="T48" s="4" t="s">
        <v>115</v>
      </c>
      <c r="U48" s="69">
        <v>0</v>
      </c>
      <c r="V48" s="46" t="str">
        <f t="shared" si="5"/>
        <v>ok</v>
      </c>
      <c r="W48" s="69">
        <v>1</v>
      </c>
      <c r="X48" s="46" t="str">
        <f t="shared" si="6"/>
        <v>ok</v>
      </c>
      <c r="Y48" s="69" t="s">
        <v>185</v>
      </c>
      <c r="Z48" s="46" t="str">
        <f t="shared" si="7"/>
        <v>ok</v>
      </c>
      <c r="AA48" s="48">
        <v>68</v>
      </c>
      <c r="AB48" s="48">
        <v>20</v>
      </c>
      <c r="AC48" s="71">
        <v>48</v>
      </c>
      <c r="AD48" s="46" t="str">
        <f t="shared" si="8"/>
        <v>ok</v>
      </c>
      <c r="AE48" s="4" t="s">
        <v>132</v>
      </c>
      <c r="AF48" s="4" t="s">
        <v>115</v>
      </c>
      <c r="AG48" s="69" t="s">
        <v>1417</v>
      </c>
      <c r="AH48" s="46" t="str">
        <f t="shared" si="9"/>
        <v>ok</v>
      </c>
      <c r="AI48" s="69" t="s">
        <v>1441</v>
      </c>
      <c r="AJ48" s="46" t="str">
        <f t="shared" si="10"/>
        <v>ok</v>
      </c>
      <c r="AK48" s="69" t="s">
        <v>1417</v>
      </c>
      <c r="AL48" s="46" t="str">
        <f t="shared" si="12"/>
        <v>ok</v>
      </c>
      <c r="AM48" s="70" t="s">
        <v>105</v>
      </c>
      <c r="AN48" s="68" t="s">
        <v>29</v>
      </c>
      <c r="AO48" s="47" t="str">
        <f t="shared" si="11"/>
        <v>ok</v>
      </c>
    </row>
    <row r="49" spans="1:41" x14ac:dyDescent="0.25">
      <c r="A49" s="4">
        <v>13</v>
      </c>
      <c r="B49" s="4" t="s">
        <v>184</v>
      </c>
      <c r="C49" s="4" t="s">
        <v>183</v>
      </c>
      <c r="D49" s="69" t="s">
        <v>1330</v>
      </c>
      <c r="E49" s="46" t="str">
        <f t="shared" si="0"/>
        <v>ok</v>
      </c>
      <c r="F49" s="69" t="s">
        <v>1347</v>
      </c>
      <c r="G49" s="46" t="str">
        <f t="shared" si="1"/>
        <v>ok</v>
      </c>
      <c r="H49" s="4" t="s">
        <v>182</v>
      </c>
      <c r="I49" s="4">
        <v>78713</v>
      </c>
      <c r="J49" s="4" t="s">
        <v>181</v>
      </c>
      <c r="K49" s="4" t="s">
        <v>33</v>
      </c>
      <c r="L49" s="69" t="s">
        <v>1363</v>
      </c>
      <c r="M49" s="46" t="str">
        <f t="shared" si="2"/>
        <v>ok</v>
      </c>
      <c r="N49" s="4"/>
      <c r="O49" s="69" t="s">
        <v>1377</v>
      </c>
      <c r="P49" s="46" t="str">
        <f t="shared" si="3"/>
        <v>ok</v>
      </c>
      <c r="Q49" s="69" t="s">
        <v>1391</v>
      </c>
      <c r="R49" s="46" t="str">
        <f t="shared" si="4"/>
        <v>ok</v>
      </c>
      <c r="S49" s="4" t="s">
        <v>180</v>
      </c>
      <c r="T49" s="4" t="s">
        <v>106</v>
      </c>
      <c r="U49" s="69">
        <v>1</v>
      </c>
      <c r="V49" s="46" t="str">
        <f t="shared" si="5"/>
        <v>ok</v>
      </c>
      <c r="W49" s="69">
        <v>0</v>
      </c>
      <c r="X49" s="46" t="str">
        <f t="shared" si="6"/>
        <v>ok</v>
      </c>
      <c r="Y49" s="69" t="s">
        <v>1406</v>
      </c>
      <c r="Z49" s="46" t="str">
        <f t="shared" si="7"/>
        <v>ok</v>
      </c>
      <c r="AA49" s="48">
        <v>32</v>
      </c>
      <c r="AB49" s="48">
        <v>0</v>
      </c>
      <c r="AC49" s="71">
        <v>32</v>
      </c>
      <c r="AD49" s="46" t="str">
        <f t="shared" si="8"/>
        <v>ok</v>
      </c>
      <c r="AE49" s="4" t="s">
        <v>107</v>
      </c>
      <c r="AF49" s="4" t="s">
        <v>106</v>
      </c>
      <c r="AG49" s="69" t="s">
        <v>1418</v>
      </c>
      <c r="AH49" s="46" t="str">
        <f t="shared" si="9"/>
        <v>ok</v>
      </c>
      <c r="AI49" s="69" t="s">
        <v>1442</v>
      </c>
      <c r="AJ49" s="46" t="str">
        <f t="shared" si="10"/>
        <v>ok</v>
      </c>
      <c r="AK49" s="69" t="s">
        <v>1442</v>
      </c>
      <c r="AL49" s="46" t="str">
        <f t="shared" si="12"/>
        <v>ok</v>
      </c>
      <c r="AM49" s="70" t="s">
        <v>120</v>
      </c>
      <c r="AN49" s="68" t="s">
        <v>246</v>
      </c>
      <c r="AO49" s="47" t="str">
        <f t="shared" si="11"/>
        <v>ok</v>
      </c>
    </row>
    <row r="50" spans="1:41" x14ac:dyDescent="0.25">
      <c r="A50" s="4">
        <v>14</v>
      </c>
      <c r="B50" s="4" t="s">
        <v>179</v>
      </c>
      <c r="C50" s="4" t="s">
        <v>178</v>
      </c>
      <c r="D50" s="69" t="s">
        <v>1330</v>
      </c>
      <c r="E50" s="46" t="str">
        <f t="shared" si="0"/>
        <v>ok</v>
      </c>
      <c r="F50" s="69" t="s">
        <v>1348</v>
      </c>
      <c r="G50" s="46" t="str">
        <f t="shared" si="1"/>
        <v>ok</v>
      </c>
      <c r="H50" s="4" t="s">
        <v>177</v>
      </c>
      <c r="I50" s="4">
        <v>8832</v>
      </c>
      <c r="J50" s="4" t="s">
        <v>176</v>
      </c>
      <c r="K50" s="4" t="s">
        <v>31</v>
      </c>
      <c r="L50" s="69" t="s">
        <v>1367</v>
      </c>
      <c r="M50" s="46" t="str">
        <f t="shared" si="2"/>
        <v>ok</v>
      </c>
      <c r="N50" s="4" t="s">
        <v>175</v>
      </c>
      <c r="O50" s="69" t="s">
        <v>1376</v>
      </c>
      <c r="P50" s="46" t="str">
        <f t="shared" si="3"/>
        <v>ok</v>
      </c>
      <c r="Q50" s="69" t="s">
        <v>1392</v>
      </c>
      <c r="R50" s="46" t="str">
        <f t="shared" si="4"/>
        <v>ok</v>
      </c>
      <c r="S50" s="4" t="s">
        <v>174</v>
      </c>
      <c r="T50" s="4" t="s">
        <v>106</v>
      </c>
      <c r="U50" s="69">
        <v>1</v>
      </c>
      <c r="V50" s="46" t="str">
        <f t="shared" si="5"/>
        <v>ok</v>
      </c>
      <c r="W50" s="69">
        <v>0</v>
      </c>
      <c r="X50" s="46" t="str">
        <f t="shared" si="6"/>
        <v>ok</v>
      </c>
      <c r="Y50" s="69" t="s">
        <v>1406</v>
      </c>
      <c r="Z50" s="46" t="str">
        <f t="shared" si="7"/>
        <v>ok</v>
      </c>
      <c r="AA50" s="48">
        <v>123</v>
      </c>
      <c r="AB50" s="48">
        <v>50</v>
      </c>
      <c r="AC50" s="71">
        <v>73</v>
      </c>
      <c r="AD50" s="46" t="str">
        <f t="shared" si="8"/>
        <v>ok</v>
      </c>
      <c r="AE50" s="4" t="s">
        <v>132</v>
      </c>
      <c r="AF50" s="4" t="s">
        <v>115</v>
      </c>
      <c r="AG50" s="69" t="s">
        <v>1419</v>
      </c>
      <c r="AH50" s="46" t="str">
        <f t="shared" si="9"/>
        <v>ok</v>
      </c>
      <c r="AI50" s="69" t="s">
        <v>1439</v>
      </c>
      <c r="AJ50" s="46" t="str">
        <f t="shared" si="10"/>
        <v>ok</v>
      </c>
      <c r="AK50" s="69" t="s">
        <v>1419</v>
      </c>
      <c r="AL50" s="46" t="str">
        <f t="shared" si="12"/>
        <v>ok</v>
      </c>
      <c r="AM50" s="70" t="s">
        <v>114</v>
      </c>
      <c r="AN50" s="68" t="s">
        <v>248</v>
      </c>
      <c r="AO50" s="47" t="str">
        <f t="shared" si="11"/>
        <v>ok</v>
      </c>
    </row>
    <row r="51" spans="1:41" x14ac:dyDescent="0.25">
      <c r="A51" s="4">
        <v>15</v>
      </c>
      <c r="B51" s="4" t="s">
        <v>173</v>
      </c>
      <c r="C51" s="4" t="s">
        <v>172</v>
      </c>
      <c r="D51" s="69" t="s">
        <v>1330</v>
      </c>
      <c r="E51" s="46" t="str">
        <f t="shared" si="0"/>
        <v>ok</v>
      </c>
      <c r="F51" s="69" t="s">
        <v>1349</v>
      </c>
      <c r="G51" s="46" t="str">
        <f t="shared" si="1"/>
        <v>ok</v>
      </c>
      <c r="H51" s="4" t="s">
        <v>167</v>
      </c>
      <c r="I51" s="4">
        <v>8855</v>
      </c>
      <c r="J51" s="4" t="s">
        <v>171</v>
      </c>
      <c r="K51" s="4" t="s">
        <v>31</v>
      </c>
      <c r="L51" s="69" t="s">
        <v>1368</v>
      </c>
      <c r="M51" s="46" t="str">
        <f t="shared" si="2"/>
        <v>ok</v>
      </c>
      <c r="N51" s="4" t="s">
        <v>170</v>
      </c>
      <c r="O51" s="69" t="s">
        <v>1376</v>
      </c>
      <c r="P51" s="46" t="str">
        <f t="shared" si="3"/>
        <v>ok</v>
      </c>
      <c r="Q51" s="69" t="s">
        <v>1393</v>
      </c>
      <c r="R51" s="46" t="str">
        <f t="shared" si="4"/>
        <v>ok</v>
      </c>
      <c r="S51" s="4" t="s">
        <v>169</v>
      </c>
      <c r="T51" s="4" t="s">
        <v>106</v>
      </c>
      <c r="U51" s="69">
        <v>1</v>
      </c>
      <c r="V51" s="46" t="str">
        <f t="shared" si="5"/>
        <v>ok</v>
      </c>
      <c r="W51" s="69">
        <v>0</v>
      </c>
      <c r="X51" s="46" t="str">
        <f t="shared" si="6"/>
        <v>ok</v>
      </c>
      <c r="Y51" s="69" t="s">
        <v>1406</v>
      </c>
      <c r="Z51" s="46" t="str">
        <f t="shared" si="7"/>
        <v>ok</v>
      </c>
      <c r="AA51" s="48">
        <v>45.3</v>
      </c>
      <c r="AB51" s="48">
        <v>0</v>
      </c>
      <c r="AC51" s="71">
        <v>45.3</v>
      </c>
      <c r="AD51" s="46" t="str">
        <f t="shared" si="8"/>
        <v>ok</v>
      </c>
      <c r="AE51" s="4" t="s">
        <v>132</v>
      </c>
      <c r="AF51" s="4" t="s">
        <v>106</v>
      </c>
      <c r="AG51" s="69" t="s">
        <v>1420</v>
      </c>
      <c r="AH51" s="46" t="str">
        <f t="shared" si="9"/>
        <v>ok</v>
      </c>
      <c r="AI51" s="69" t="s">
        <v>1443</v>
      </c>
      <c r="AJ51" s="46" t="str">
        <f t="shared" si="10"/>
        <v>ok</v>
      </c>
      <c r="AK51" s="69" t="s">
        <v>1443</v>
      </c>
      <c r="AL51" s="46" t="str">
        <f t="shared" si="12"/>
        <v>ok</v>
      </c>
      <c r="AM51" s="70" t="s">
        <v>105</v>
      </c>
      <c r="AN51" s="68" t="s">
        <v>29</v>
      </c>
      <c r="AO51" s="47" t="str">
        <f t="shared" si="11"/>
        <v>ok</v>
      </c>
    </row>
    <row r="52" spans="1:41" x14ac:dyDescent="0.25">
      <c r="A52" s="4">
        <v>16</v>
      </c>
      <c r="B52" s="4" t="s">
        <v>93</v>
      </c>
      <c r="C52" s="4" t="s">
        <v>168</v>
      </c>
      <c r="D52" s="69" t="s">
        <v>1331</v>
      </c>
      <c r="E52" s="46" t="str">
        <f t="shared" si="0"/>
        <v>ok</v>
      </c>
      <c r="F52" s="69" t="s">
        <v>1350</v>
      </c>
      <c r="G52" s="46" t="str">
        <f t="shared" si="1"/>
        <v>ok</v>
      </c>
      <c r="H52" s="4" t="s">
        <v>167</v>
      </c>
      <c r="I52" s="4">
        <v>8807</v>
      </c>
      <c r="J52" s="4" t="s">
        <v>135</v>
      </c>
      <c r="K52" s="4" t="s">
        <v>31</v>
      </c>
      <c r="L52" s="69" t="s">
        <v>1369</v>
      </c>
      <c r="M52" s="46" t="str">
        <f t="shared" si="2"/>
        <v>ok</v>
      </c>
      <c r="N52" s="4" t="s">
        <v>166</v>
      </c>
      <c r="O52" s="69" t="s">
        <v>1378</v>
      </c>
      <c r="P52" s="46" t="str">
        <f t="shared" si="3"/>
        <v>ok</v>
      </c>
      <c r="Q52" s="69" t="s">
        <v>1394</v>
      </c>
      <c r="R52" s="46" t="str">
        <f t="shared" si="4"/>
        <v>ok</v>
      </c>
      <c r="S52" s="4" t="s">
        <v>165</v>
      </c>
      <c r="T52" s="4" t="s">
        <v>106</v>
      </c>
      <c r="U52" s="69">
        <v>1</v>
      </c>
      <c r="V52" s="46" t="str">
        <f t="shared" si="5"/>
        <v>ok</v>
      </c>
      <c r="W52" s="69">
        <v>0</v>
      </c>
      <c r="X52" s="46" t="str">
        <f t="shared" si="6"/>
        <v>ok</v>
      </c>
      <c r="Y52" s="69" t="s">
        <v>1406</v>
      </c>
      <c r="Z52" s="46" t="str">
        <f t="shared" si="7"/>
        <v>ok</v>
      </c>
      <c r="AA52" s="48">
        <v>312.56</v>
      </c>
      <c r="AB52" s="48">
        <v>0</v>
      </c>
      <c r="AC52" s="71">
        <v>312.56</v>
      </c>
      <c r="AD52" s="46" t="str">
        <f t="shared" si="8"/>
        <v>ok</v>
      </c>
      <c r="AE52" s="4" t="s">
        <v>132</v>
      </c>
      <c r="AF52" s="4" t="s">
        <v>115</v>
      </c>
      <c r="AG52" s="69" t="s">
        <v>1421</v>
      </c>
      <c r="AH52" s="46" t="str">
        <f t="shared" si="9"/>
        <v>ok</v>
      </c>
      <c r="AI52" s="69" t="s">
        <v>1444</v>
      </c>
      <c r="AJ52" s="46" t="str">
        <f t="shared" si="10"/>
        <v>ok</v>
      </c>
      <c r="AK52" s="69" t="s">
        <v>1421</v>
      </c>
      <c r="AL52" s="46" t="str">
        <f t="shared" si="12"/>
        <v>ok</v>
      </c>
      <c r="AM52" s="70" t="s">
        <v>120</v>
      </c>
      <c r="AN52" s="68" t="s">
        <v>246</v>
      </c>
      <c r="AO52" s="47" t="str">
        <f t="shared" si="11"/>
        <v>ok</v>
      </c>
    </row>
    <row r="53" spans="1:41" x14ac:dyDescent="0.25">
      <c r="A53" s="4">
        <v>17</v>
      </c>
      <c r="B53" s="4" t="s">
        <v>164</v>
      </c>
      <c r="C53" s="4" t="s">
        <v>163</v>
      </c>
      <c r="D53" s="69" t="s">
        <v>1330</v>
      </c>
      <c r="E53" s="46" t="str">
        <f t="shared" si="0"/>
        <v>ok</v>
      </c>
      <c r="F53" s="69" t="s">
        <v>1351</v>
      </c>
      <c r="G53" s="46" t="str">
        <f t="shared" si="1"/>
        <v>ok</v>
      </c>
      <c r="H53" s="4" t="s">
        <v>162</v>
      </c>
      <c r="I53" s="4">
        <v>8853</v>
      </c>
      <c r="J53" s="4" t="s">
        <v>117</v>
      </c>
      <c r="K53" s="4" t="s">
        <v>31</v>
      </c>
      <c r="L53" s="69" t="s">
        <v>1361</v>
      </c>
      <c r="M53" s="46" t="str">
        <f t="shared" si="2"/>
        <v>ok</v>
      </c>
      <c r="N53" s="4"/>
      <c r="O53" s="69" t="s">
        <v>1377</v>
      </c>
      <c r="P53" s="46" t="str">
        <f t="shared" si="3"/>
        <v>ok</v>
      </c>
      <c r="Q53" s="69" t="s">
        <v>1395</v>
      </c>
      <c r="R53" s="46" t="str">
        <f t="shared" si="4"/>
        <v>ok</v>
      </c>
      <c r="S53" s="4" t="s">
        <v>161</v>
      </c>
      <c r="T53" s="4" t="s">
        <v>106</v>
      </c>
      <c r="U53" s="69">
        <v>1</v>
      </c>
      <c r="V53" s="46" t="str">
        <f t="shared" si="5"/>
        <v>ok</v>
      </c>
      <c r="W53" s="69">
        <v>0</v>
      </c>
      <c r="X53" s="46" t="str">
        <f t="shared" si="6"/>
        <v>ok</v>
      </c>
      <c r="Y53" s="69" t="s">
        <v>1406</v>
      </c>
      <c r="Z53" s="46" t="str">
        <f t="shared" si="7"/>
        <v>ok</v>
      </c>
      <c r="AA53" s="48">
        <v>84</v>
      </c>
      <c r="AB53" s="48">
        <v>24</v>
      </c>
      <c r="AC53" s="71">
        <v>60</v>
      </c>
      <c r="AD53" s="46" t="str">
        <f t="shared" si="8"/>
        <v>ok</v>
      </c>
      <c r="AE53" s="4" t="s">
        <v>107</v>
      </c>
      <c r="AF53" s="4" t="s">
        <v>106</v>
      </c>
      <c r="AG53" s="69" t="s">
        <v>1422</v>
      </c>
      <c r="AH53" s="46" t="str">
        <f t="shared" si="9"/>
        <v>ok</v>
      </c>
      <c r="AI53" s="69" t="s">
        <v>1445</v>
      </c>
      <c r="AJ53" s="46" t="str">
        <f t="shared" si="10"/>
        <v>ok</v>
      </c>
      <c r="AK53" s="69" t="s">
        <v>1445</v>
      </c>
      <c r="AL53" s="46" t="str">
        <f t="shared" si="12"/>
        <v>ok</v>
      </c>
      <c r="AM53" s="70" t="s">
        <v>114</v>
      </c>
      <c r="AN53" s="68" t="s">
        <v>248</v>
      </c>
      <c r="AO53" s="47" t="str">
        <f t="shared" si="11"/>
        <v>ok</v>
      </c>
    </row>
    <row r="54" spans="1:41" x14ac:dyDescent="0.25">
      <c r="A54" s="4">
        <v>18</v>
      </c>
      <c r="B54" s="4" t="s">
        <v>160</v>
      </c>
      <c r="C54" s="4" t="s">
        <v>159</v>
      </c>
      <c r="D54" s="69" t="s">
        <v>1330</v>
      </c>
      <c r="E54" s="46" t="str">
        <f t="shared" si="0"/>
        <v>ok</v>
      </c>
      <c r="F54" s="69" t="s">
        <v>1352</v>
      </c>
      <c r="G54" s="46" t="str">
        <f t="shared" si="1"/>
        <v>ok</v>
      </c>
      <c r="H54" s="4" t="s">
        <v>158</v>
      </c>
      <c r="I54" s="4">
        <v>8808</v>
      </c>
      <c r="J54" s="4" t="s">
        <v>157</v>
      </c>
      <c r="K54" s="4" t="s">
        <v>31</v>
      </c>
      <c r="L54" s="69" t="s">
        <v>1370</v>
      </c>
      <c r="M54" s="46" t="str">
        <f t="shared" si="2"/>
        <v>ok</v>
      </c>
      <c r="N54" s="4" t="s">
        <v>156</v>
      </c>
      <c r="O54" s="69" t="s">
        <v>1376</v>
      </c>
      <c r="P54" s="46" t="str">
        <f t="shared" si="3"/>
        <v>ok</v>
      </c>
      <c r="Q54" s="69" t="s">
        <v>1396</v>
      </c>
      <c r="R54" s="46" t="str">
        <f t="shared" si="4"/>
        <v>ok</v>
      </c>
      <c r="S54" s="4" t="s">
        <v>155</v>
      </c>
      <c r="T54" s="4" t="s">
        <v>115</v>
      </c>
      <c r="U54" s="69">
        <v>0</v>
      </c>
      <c r="V54" s="46" t="str">
        <f t="shared" si="5"/>
        <v>ok</v>
      </c>
      <c r="W54" s="69">
        <v>1</v>
      </c>
      <c r="X54" s="46" t="str">
        <f t="shared" si="6"/>
        <v>ok</v>
      </c>
      <c r="Y54" s="69" t="s">
        <v>156</v>
      </c>
      <c r="Z54" s="46" t="str">
        <f t="shared" si="7"/>
        <v>ok</v>
      </c>
      <c r="AA54" s="48">
        <v>45.7</v>
      </c>
      <c r="AB54" s="48">
        <v>25</v>
      </c>
      <c r="AC54" s="71">
        <v>20.700000000000003</v>
      </c>
      <c r="AD54" s="46" t="str">
        <f t="shared" si="8"/>
        <v>ok</v>
      </c>
      <c r="AE54" s="4" t="s">
        <v>132</v>
      </c>
      <c r="AF54" s="4" t="s">
        <v>115</v>
      </c>
      <c r="AG54" s="69" t="s">
        <v>1423</v>
      </c>
      <c r="AH54" s="46" t="str">
        <f t="shared" si="9"/>
        <v>ok</v>
      </c>
      <c r="AI54" s="69" t="s">
        <v>1446</v>
      </c>
      <c r="AJ54" s="46" t="str">
        <f t="shared" si="10"/>
        <v>ok</v>
      </c>
      <c r="AK54" s="69" t="s">
        <v>1423</v>
      </c>
      <c r="AL54" s="46" t="str">
        <f t="shared" si="12"/>
        <v>ok</v>
      </c>
      <c r="AM54" s="70" t="s">
        <v>105</v>
      </c>
      <c r="AN54" s="68" t="s">
        <v>29</v>
      </c>
      <c r="AO54" s="47" t="str">
        <f t="shared" si="11"/>
        <v>ok</v>
      </c>
    </row>
    <row r="55" spans="1:41" x14ac:dyDescent="0.25">
      <c r="A55" s="4">
        <v>19</v>
      </c>
      <c r="B55" s="4" t="s">
        <v>154</v>
      </c>
      <c r="C55" s="4" t="s">
        <v>150</v>
      </c>
      <c r="D55" s="69" t="s">
        <v>1330</v>
      </c>
      <c r="E55" s="46" t="str">
        <f t="shared" si="0"/>
        <v>ok</v>
      </c>
      <c r="F55" s="69" t="s">
        <v>1353</v>
      </c>
      <c r="G55" s="46" t="str">
        <f t="shared" si="1"/>
        <v>ok</v>
      </c>
      <c r="H55" s="4" t="s">
        <v>149</v>
      </c>
      <c r="I55" s="4">
        <v>8634</v>
      </c>
      <c r="J55" s="4" t="s">
        <v>153</v>
      </c>
      <c r="K55" s="4" t="s">
        <v>31</v>
      </c>
      <c r="L55" s="69" t="s">
        <v>1371</v>
      </c>
      <c r="M55" s="46" t="str">
        <f t="shared" si="2"/>
        <v>ok</v>
      </c>
      <c r="N55" s="4" t="s">
        <v>152</v>
      </c>
      <c r="O55" s="69" t="s">
        <v>1376</v>
      </c>
      <c r="P55" s="46" t="str">
        <f t="shared" si="3"/>
        <v>ok</v>
      </c>
      <c r="Q55" s="69" t="s">
        <v>1397</v>
      </c>
      <c r="R55" s="46" t="str">
        <f t="shared" si="4"/>
        <v>ok</v>
      </c>
      <c r="S55" s="4" t="s">
        <v>151</v>
      </c>
      <c r="T55" s="4" t="s">
        <v>106</v>
      </c>
      <c r="U55" s="69">
        <v>1</v>
      </c>
      <c r="V55" s="46" t="str">
        <f t="shared" si="5"/>
        <v>ok</v>
      </c>
      <c r="W55" s="69">
        <v>0</v>
      </c>
      <c r="X55" s="46" t="str">
        <f t="shared" si="6"/>
        <v>ok</v>
      </c>
      <c r="Y55" s="69" t="s">
        <v>1406</v>
      </c>
      <c r="Z55" s="46" t="str">
        <f t="shared" si="7"/>
        <v>ok</v>
      </c>
      <c r="AA55" s="48">
        <v>1427.8</v>
      </c>
      <c r="AB55" s="48"/>
      <c r="AC55" s="71">
        <v>1427.8</v>
      </c>
      <c r="AD55" s="46" t="str">
        <f t="shared" si="8"/>
        <v>ok</v>
      </c>
      <c r="AE55" s="4" t="s">
        <v>132</v>
      </c>
      <c r="AF55" s="4" t="s">
        <v>106</v>
      </c>
      <c r="AG55" s="69" t="s">
        <v>1424</v>
      </c>
      <c r="AH55" s="46" t="str">
        <f t="shared" si="9"/>
        <v>ok</v>
      </c>
      <c r="AI55" s="69" t="s">
        <v>1447</v>
      </c>
      <c r="AJ55" s="46" t="str">
        <f t="shared" si="10"/>
        <v>ok</v>
      </c>
      <c r="AK55" s="69" t="s">
        <v>1447</v>
      </c>
      <c r="AL55" s="46" t="str">
        <f t="shared" si="12"/>
        <v>ok</v>
      </c>
      <c r="AM55" s="70" t="s">
        <v>120</v>
      </c>
      <c r="AN55" s="68" t="s">
        <v>246</v>
      </c>
      <c r="AO55" s="47" t="str">
        <f t="shared" si="11"/>
        <v>ok</v>
      </c>
    </row>
    <row r="56" spans="1:41" x14ac:dyDescent="0.25">
      <c r="A56" s="4">
        <v>20</v>
      </c>
      <c r="B56" s="4" t="s">
        <v>147</v>
      </c>
      <c r="C56" s="4" t="s">
        <v>150</v>
      </c>
      <c r="D56" s="69" t="s">
        <v>1330</v>
      </c>
      <c r="E56" s="46" t="str">
        <f t="shared" si="0"/>
        <v>ok</v>
      </c>
      <c r="F56" s="69" t="s">
        <v>1354</v>
      </c>
      <c r="G56" s="46" t="str">
        <f t="shared" si="1"/>
        <v>ok</v>
      </c>
      <c r="H56" s="4" t="s">
        <v>149</v>
      </c>
      <c r="I56" s="4">
        <v>8853</v>
      </c>
      <c r="J56" s="4" t="s">
        <v>117</v>
      </c>
      <c r="K56" s="4" t="s">
        <v>31</v>
      </c>
      <c r="L56" s="69" t="s">
        <v>1361</v>
      </c>
      <c r="M56" s="46" t="str">
        <f t="shared" si="2"/>
        <v>ok</v>
      </c>
      <c r="N56" s="4"/>
      <c r="O56" s="69" t="s">
        <v>1377</v>
      </c>
      <c r="P56" s="46" t="str">
        <f t="shared" si="3"/>
        <v>ok</v>
      </c>
      <c r="Q56" s="69" t="s">
        <v>1398</v>
      </c>
      <c r="R56" s="46" t="str">
        <f t="shared" si="4"/>
        <v>ok</v>
      </c>
      <c r="S56" s="4" t="s">
        <v>148</v>
      </c>
      <c r="T56" s="4" t="s">
        <v>106</v>
      </c>
      <c r="U56" s="69">
        <v>1</v>
      </c>
      <c r="V56" s="46" t="str">
        <f t="shared" si="5"/>
        <v>ok</v>
      </c>
      <c r="W56" s="69">
        <v>0</v>
      </c>
      <c r="X56" s="46" t="str">
        <f t="shared" si="6"/>
        <v>ok</v>
      </c>
      <c r="Y56" s="69" t="s">
        <v>1406</v>
      </c>
      <c r="Z56" s="46" t="str">
        <f t="shared" si="7"/>
        <v>ok</v>
      </c>
      <c r="AA56" s="48">
        <v>439</v>
      </c>
      <c r="AB56" s="48">
        <v>400</v>
      </c>
      <c r="AC56" s="71">
        <v>39</v>
      </c>
      <c r="AD56" s="46" t="str">
        <f t="shared" si="8"/>
        <v>ok</v>
      </c>
      <c r="AE56" s="4" t="s">
        <v>132</v>
      </c>
      <c r="AF56" s="4" t="s">
        <v>115</v>
      </c>
      <c r="AG56" s="69" t="s">
        <v>1425</v>
      </c>
      <c r="AH56" s="46" t="str">
        <f t="shared" si="9"/>
        <v>ok</v>
      </c>
      <c r="AI56" s="69" t="s">
        <v>1447</v>
      </c>
      <c r="AJ56" s="46" t="str">
        <f t="shared" si="10"/>
        <v>ok</v>
      </c>
      <c r="AK56" s="69" t="s">
        <v>1425</v>
      </c>
      <c r="AL56" s="46" t="str">
        <f t="shared" si="12"/>
        <v>ok</v>
      </c>
      <c r="AM56" s="70" t="s">
        <v>114</v>
      </c>
      <c r="AN56" s="68" t="s">
        <v>248</v>
      </c>
      <c r="AO56" s="47" t="str">
        <f t="shared" si="11"/>
        <v>ok</v>
      </c>
    </row>
    <row r="57" spans="1:41" x14ac:dyDescent="0.25">
      <c r="A57" s="4">
        <v>21</v>
      </c>
      <c r="B57" s="4" t="s">
        <v>147</v>
      </c>
      <c r="C57" s="4" t="s">
        <v>146</v>
      </c>
      <c r="D57" s="69" t="s">
        <v>1335</v>
      </c>
      <c r="E57" s="46" t="str">
        <f t="shared" si="0"/>
        <v>ok</v>
      </c>
      <c r="F57" s="69" t="s">
        <v>1355</v>
      </c>
      <c r="G57" s="46" t="str">
        <f t="shared" si="1"/>
        <v>ok</v>
      </c>
      <c r="H57" s="4" t="s">
        <v>141</v>
      </c>
      <c r="I57" s="4">
        <v>8854</v>
      </c>
      <c r="J57" s="4" t="s">
        <v>145</v>
      </c>
      <c r="K57" s="4" t="s">
        <v>31</v>
      </c>
      <c r="L57" s="69" t="s">
        <v>1365</v>
      </c>
      <c r="M57" s="46" t="str">
        <f t="shared" si="2"/>
        <v>ok</v>
      </c>
      <c r="N57" s="4"/>
      <c r="O57" s="69" t="s">
        <v>1377</v>
      </c>
      <c r="P57" s="46" t="str">
        <f t="shared" si="3"/>
        <v>ok</v>
      </c>
      <c r="Q57" s="69" t="s">
        <v>1399</v>
      </c>
      <c r="R57" s="46" t="str">
        <f t="shared" si="4"/>
        <v>ok</v>
      </c>
      <c r="S57" s="4" t="s">
        <v>144</v>
      </c>
      <c r="T57" s="4" t="s">
        <v>106</v>
      </c>
      <c r="U57" s="69">
        <v>1</v>
      </c>
      <c r="V57" s="46" t="str">
        <f t="shared" si="5"/>
        <v>ok</v>
      </c>
      <c r="W57" s="69">
        <v>0</v>
      </c>
      <c r="X57" s="46" t="str">
        <f t="shared" si="6"/>
        <v>ok</v>
      </c>
      <c r="Y57" s="69" t="s">
        <v>1406</v>
      </c>
      <c r="Z57" s="46" t="str">
        <f t="shared" si="7"/>
        <v>ok</v>
      </c>
      <c r="AA57" s="48">
        <v>32.5</v>
      </c>
      <c r="AB57" s="48">
        <v>0</v>
      </c>
      <c r="AC57" s="71">
        <v>32.5</v>
      </c>
      <c r="AD57" s="46" t="str">
        <f t="shared" si="8"/>
        <v>ok</v>
      </c>
      <c r="AE57" s="4" t="s">
        <v>132</v>
      </c>
      <c r="AF57" s="4" t="s">
        <v>106</v>
      </c>
      <c r="AG57" s="69" t="s">
        <v>1425</v>
      </c>
      <c r="AH57" s="46" t="str">
        <f t="shared" si="9"/>
        <v>ok</v>
      </c>
      <c r="AI57" s="69" t="s">
        <v>1448</v>
      </c>
      <c r="AJ57" s="46" t="str">
        <f t="shared" si="10"/>
        <v>ok</v>
      </c>
      <c r="AK57" s="69" t="s">
        <v>1448</v>
      </c>
      <c r="AL57" s="46" t="str">
        <f t="shared" si="12"/>
        <v>ok</v>
      </c>
      <c r="AM57" s="70" t="s">
        <v>105</v>
      </c>
      <c r="AN57" s="68" t="s">
        <v>29</v>
      </c>
      <c r="AO57" s="47" t="str">
        <f t="shared" si="11"/>
        <v>ok</v>
      </c>
    </row>
    <row r="58" spans="1:41" x14ac:dyDescent="0.25">
      <c r="A58" s="4">
        <v>22</v>
      </c>
      <c r="B58" s="4" t="s">
        <v>143</v>
      </c>
      <c r="C58" s="4" t="s">
        <v>142</v>
      </c>
      <c r="D58" s="69" t="s">
        <v>1336</v>
      </c>
      <c r="E58" s="46" t="str">
        <f t="shared" si="0"/>
        <v>ok</v>
      </c>
      <c r="F58" s="69" t="s">
        <v>1356</v>
      </c>
      <c r="G58" s="46" t="str">
        <f t="shared" si="1"/>
        <v>ok</v>
      </c>
      <c r="H58" s="4" t="s">
        <v>141</v>
      </c>
      <c r="I58" s="4">
        <v>8863</v>
      </c>
      <c r="J58" s="4" t="s">
        <v>140</v>
      </c>
      <c r="K58" s="4" t="s">
        <v>31</v>
      </c>
      <c r="L58" s="69" t="s">
        <v>1372</v>
      </c>
      <c r="M58" s="46" t="str">
        <f t="shared" si="2"/>
        <v>ok</v>
      </c>
      <c r="N58" s="4"/>
      <c r="O58" s="69" t="s">
        <v>1377</v>
      </c>
      <c r="P58" s="46" t="str">
        <f t="shared" si="3"/>
        <v>ok</v>
      </c>
      <c r="Q58" s="69" t="s">
        <v>1400</v>
      </c>
      <c r="R58" s="46" t="str">
        <f t="shared" si="4"/>
        <v>ok</v>
      </c>
      <c r="S58" s="4" t="s">
        <v>139</v>
      </c>
      <c r="T58" s="4" t="s">
        <v>115</v>
      </c>
      <c r="U58" s="69">
        <v>0</v>
      </c>
      <c r="V58" s="46" t="str">
        <f t="shared" si="5"/>
        <v>ok</v>
      </c>
      <c r="W58" s="69">
        <v>1</v>
      </c>
      <c r="X58" s="46" t="str">
        <f t="shared" si="6"/>
        <v>ok</v>
      </c>
      <c r="Y58" s="69" t="s">
        <v>1400</v>
      </c>
      <c r="Z58" s="46" t="str">
        <f t="shared" si="7"/>
        <v>ok</v>
      </c>
      <c r="AA58" s="48">
        <v>53</v>
      </c>
      <c r="AB58" s="48">
        <v>0</v>
      </c>
      <c r="AC58" s="71">
        <v>53</v>
      </c>
      <c r="AD58" s="46" t="str">
        <f t="shared" si="8"/>
        <v>ok</v>
      </c>
      <c r="AE58" s="4" t="s">
        <v>132</v>
      </c>
      <c r="AF58" s="4" t="s">
        <v>115</v>
      </c>
      <c r="AG58" s="69" t="s">
        <v>1426</v>
      </c>
      <c r="AH58" s="46" t="str">
        <f t="shared" si="9"/>
        <v>ok</v>
      </c>
      <c r="AI58" s="69" t="s">
        <v>1449</v>
      </c>
      <c r="AJ58" s="46" t="str">
        <f t="shared" si="10"/>
        <v>ok</v>
      </c>
      <c r="AK58" s="69" t="s">
        <v>1426</v>
      </c>
      <c r="AL58" s="46" t="str">
        <f t="shared" si="12"/>
        <v>ok</v>
      </c>
      <c r="AM58" s="70" t="s">
        <v>120</v>
      </c>
      <c r="AN58" s="68" t="s">
        <v>246</v>
      </c>
      <c r="AO58" s="47" t="str">
        <f t="shared" si="11"/>
        <v>ok</v>
      </c>
    </row>
    <row r="59" spans="1:41" x14ac:dyDescent="0.25">
      <c r="A59" s="4">
        <v>23</v>
      </c>
      <c r="B59" s="4" t="s">
        <v>138</v>
      </c>
      <c r="C59" s="4" t="s">
        <v>137</v>
      </c>
      <c r="D59" s="69" t="s">
        <v>1336</v>
      </c>
      <c r="E59" s="46" t="str">
        <f t="shared" si="0"/>
        <v>ok</v>
      </c>
      <c r="F59" s="69" t="s">
        <v>1357</v>
      </c>
      <c r="G59" s="46" t="str">
        <f t="shared" si="1"/>
        <v>ok</v>
      </c>
      <c r="H59" s="4" t="s">
        <v>136</v>
      </c>
      <c r="I59" s="4">
        <v>8807</v>
      </c>
      <c r="J59" s="4" t="s">
        <v>135</v>
      </c>
      <c r="K59" s="4" t="s">
        <v>31</v>
      </c>
      <c r="L59" s="69" t="s">
        <v>1369</v>
      </c>
      <c r="M59" s="46" t="str">
        <f t="shared" si="2"/>
        <v>ok</v>
      </c>
      <c r="N59" s="4" t="s">
        <v>134</v>
      </c>
      <c r="O59" s="69" t="s">
        <v>1376</v>
      </c>
      <c r="P59" s="46" t="str">
        <f t="shared" si="3"/>
        <v>ok</v>
      </c>
      <c r="Q59" s="69" t="s">
        <v>1401</v>
      </c>
      <c r="R59" s="46" t="str">
        <f t="shared" si="4"/>
        <v>ok</v>
      </c>
      <c r="S59" s="4" t="s">
        <v>133</v>
      </c>
      <c r="T59" s="4" t="s">
        <v>115</v>
      </c>
      <c r="U59" s="69">
        <v>0</v>
      </c>
      <c r="V59" s="46" t="str">
        <f t="shared" si="5"/>
        <v>ok</v>
      </c>
      <c r="W59" s="69">
        <v>1</v>
      </c>
      <c r="X59" s="46" t="str">
        <f t="shared" si="6"/>
        <v>ok</v>
      </c>
      <c r="Y59" s="69" t="s">
        <v>134</v>
      </c>
      <c r="Z59" s="46" t="str">
        <f t="shared" si="7"/>
        <v>ok</v>
      </c>
      <c r="AA59" s="48">
        <v>15.7</v>
      </c>
      <c r="AB59" s="48">
        <v>0</v>
      </c>
      <c r="AC59" s="71">
        <v>15.7</v>
      </c>
      <c r="AD59" s="46" t="str">
        <f t="shared" si="8"/>
        <v>ok</v>
      </c>
      <c r="AE59" s="4" t="s">
        <v>132</v>
      </c>
      <c r="AF59" s="4" t="s">
        <v>106</v>
      </c>
      <c r="AG59" s="69" t="s">
        <v>1427</v>
      </c>
      <c r="AH59" s="46" t="str">
        <f t="shared" si="9"/>
        <v>ok</v>
      </c>
      <c r="AI59" s="69" t="s">
        <v>1450</v>
      </c>
      <c r="AJ59" s="46" t="str">
        <f t="shared" si="10"/>
        <v>ok</v>
      </c>
      <c r="AK59" s="69" t="s">
        <v>1450</v>
      </c>
      <c r="AL59" s="46" t="str">
        <f t="shared" si="12"/>
        <v>ok</v>
      </c>
      <c r="AM59" s="70" t="s">
        <v>114</v>
      </c>
      <c r="AN59" s="68" t="s">
        <v>248</v>
      </c>
      <c r="AO59" s="47" t="str">
        <f t="shared" si="11"/>
        <v>ok</v>
      </c>
    </row>
    <row r="60" spans="1:41" x14ac:dyDescent="0.25">
      <c r="A60" s="4">
        <v>24</v>
      </c>
      <c r="B60" s="4" t="s">
        <v>127</v>
      </c>
      <c r="C60" s="4" t="s">
        <v>131</v>
      </c>
      <c r="D60" s="69" t="s">
        <v>1336</v>
      </c>
      <c r="E60" s="46" t="str">
        <f t="shared" si="0"/>
        <v>ok</v>
      </c>
      <c r="F60" s="69" t="s">
        <v>1358</v>
      </c>
      <c r="G60" s="46" t="str">
        <f t="shared" si="1"/>
        <v>ok</v>
      </c>
      <c r="H60" s="4" t="s">
        <v>130</v>
      </c>
      <c r="I60" s="4">
        <v>8708</v>
      </c>
      <c r="J60" s="4" t="s">
        <v>129</v>
      </c>
      <c r="K60" s="4" t="s">
        <v>31</v>
      </c>
      <c r="L60" s="69" t="s">
        <v>1373</v>
      </c>
      <c r="M60" s="46" t="str">
        <f t="shared" si="2"/>
        <v>ok</v>
      </c>
      <c r="N60" s="4" t="s">
        <v>128</v>
      </c>
      <c r="O60" s="69" t="s">
        <v>1376</v>
      </c>
      <c r="P60" s="46" t="str">
        <f t="shared" si="3"/>
        <v>ok</v>
      </c>
      <c r="Q60" s="69" t="s">
        <v>1402</v>
      </c>
      <c r="R60" s="46" t="str">
        <f t="shared" si="4"/>
        <v>ok</v>
      </c>
      <c r="S60" s="4" t="s">
        <v>122</v>
      </c>
      <c r="T60" s="4" t="s">
        <v>106</v>
      </c>
      <c r="U60" s="69">
        <v>1</v>
      </c>
      <c r="V60" s="46" t="str">
        <f t="shared" si="5"/>
        <v>ok</v>
      </c>
      <c r="W60" s="69">
        <v>0</v>
      </c>
      <c r="X60" s="46" t="str">
        <f t="shared" si="6"/>
        <v>ok</v>
      </c>
      <c r="Y60" s="69" t="s">
        <v>1406</v>
      </c>
      <c r="Z60" s="46" t="str">
        <f t="shared" si="7"/>
        <v>ok</v>
      </c>
      <c r="AA60" s="48">
        <v>68</v>
      </c>
      <c r="AB60" s="48">
        <v>0</v>
      </c>
      <c r="AC60" s="71">
        <v>68</v>
      </c>
      <c r="AD60" s="46" t="str">
        <f t="shared" si="8"/>
        <v>ok</v>
      </c>
      <c r="AE60" s="4" t="s">
        <v>107</v>
      </c>
      <c r="AF60" s="4" t="s">
        <v>115</v>
      </c>
      <c r="AG60" s="69" t="s">
        <v>1428</v>
      </c>
      <c r="AH60" s="46" t="str">
        <f t="shared" si="9"/>
        <v>ok</v>
      </c>
      <c r="AI60" s="69" t="s">
        <v>1451</v>
      </c>
      <c r="AJ60" s="46" t="str">
        <f t="shared" si="10"/>
        <v>ok</v>
      </c>
      <c r="AK60" s="69" t="s">
        <v>1428</v>
      </c>
      <c r="AL60" s="46" t="str">
        <f t="shared" si="12"/>
        <v>ok</v>
      </c>
      <c r="AM60" s="70" t="s">
        <v>105</v>
      </c>
      <c r="AN60" s="68" t="s">
        <v>29</v>
      </c>
      <c r="AO60" s="47" t="str">
        <f t="shared" si="11"/>
        <v>ok</v>
      </c>
    </row>
    <row r="61" spans="1:41" x14ac:dyDescent="0.25">
      <c r="A61" s="4">
        <v>25</v>
      </c>
      <c r="B61" s="4" t="s">
        <v>127</v>
      </c>
      <c r="C61" s="4" t="s">
        <v>126</v>
      </c>
      <c r="D61" s="69" t="s">
        <v>1331</v>
      </c>
      <c r="E61" s="46" t="str">
        <f t="shared" si="0"/>
        <v>ok</v>
      </c>
      <c r="F61" s="69" t="s">
        <v>1359</v>
      </c>
      <c r="G61" s="46" t="str">
        <f t="shared" si="1"/>
        <v>ok</v>
      </c>
      <c r="H61" s="4" t="s">
        <v>125</v>
      </c>
      <c r="I61" s="4">
        <v>8708</v>
      </c>
      <c r="J61" s="4" t="s">
        <v>124</v>
      </c>
      <c r="K61" s="4" t="s">
        <v>31</v>
      </c>
      <c r="L61" s="69" t="s">
        <v>1374</v>
      </c>
      <c r="M61" s="46" t="str">
        <f t="shared" si="2"/>
        <v>ok</v>
      </c>
      <c r="N61" s="4" t="s">
        <v>123</v>
      </c>
      <c r="O61" s="69" t="s">
        <v>1379</v>
      </c>
      <c r="P61" s="46" t="str">
        <f t="shared" si="3"/>
        <v>ok</v>
      </c>
      <c r="Q61" s="69" t="s">
        <v>1403</v>
      </c>
      <c r="R61" s="46" t="str">
        <f t="shared" si="4"/>
        <v>ok</v>
      </c>
      <c r="S61" s="4" t="s">
        <v>122</v>
      </c>
      <c r="T61" s="4" t="s">
        <v>106</v>
      </c>
      <c r="U61" s="69">
        <v>1</v>
      </c>
      <c r="V61" s="46" t="str">
        <f t="shared" si="5"/>
        <v>ok</v>
      </c>
      <c r="W61" s="69">
        <v>0</v>
      </c>
      <c r="X61" s="46" t="str">
        <f t="shared" si="6"/>
        <v>ok</v>
      </c>
      <c r="Y61" s="69" t="s">
        <v>1406</v>
      </c>
      <c r="Z61" s="46" t="str">
        <f t="shared" si="7"/>
        <v>ok</v>
      </c>
      <c r="AA61" s="48">
        <v>658</v>
      </c>
      <c r="AB61" s="48">
        <v>470</v>
      </c>
      <c r="AC61" s="71">
        <v>188</v>
      </c>
      <c r="AD61" s="46" t="str">
        <f t="shared" si="8"/>
        <v>ok</v>
      </c>
      <c r="AE61" s="4" t="s">
        <v>121</v>
      </c>
      <c r="AF61" s="4" t="s">
        <v>106</v>
      </c>
      <c r="AG61" s="69" t="s">
        <v>1429</v>
      </c>
      <c r="AH61" s="46" t="str">
        <f t="shared" si="9"/>
        <v>ok</v>
      </c>
      <c r="AI61" s="69" t="s">
        <v>1452</v>
      </c>
      <c r="AJ61" s="46" t="str">
        <f t="shared" si="10"/>
        <v>ok</v>
      </c>
      <c r="AK61" s="69" t="s">
        <v>1452</v>
      </c>
      <c r="AL61" s="46" t="str">
        <f t="shared" si="12"/>
        <v>ok</v>
      </c>
      <c r="AM61" s="70" t="s">
        <v>120</v>
      </c>
      <c r="AN61" s="68" t="s">
        <v>246</v>
      </c>
      <c r="AO61" s="47" t="str">
        <f t="shared" si="11"/>
        <v>ok</v>
      </c>
    </row>
    <row r="62" spans="1:41" x14ac:dyDescent="0.25">
      <c r="A62" s="4">
        <v>26</v>
      </c>
      <c r="B62" s="4" t="s">
        <v>113</v>
      </c>
      <c r="C62" s="4" t="s">
        <v>119</v>
      </c>
      <c r="D62" s="69" t="s">
        <v>1336</v>
      </c>
      <c r="E62" s="46" t="str">
        <f t="shared" si="0"/>
        <v>ok</v>
      </c>
      <c r="F62" s="69" t="s">
        <v>1360</v>
      </c>
      <c r="G62" s="46" t="str">
        <f t="shared" si="1"/>
        <v>ok</v>
      </c>
      <c r="H62" s="4" t="s">
        <v>118</v>
      </c>
      <c r="I62" s="4">
        <v>8853</v>
      </c>
      <c r="J62" s="4" t="s">
        <v>117</v>
      </c>
      <c r="K62" s="4" t="s">
        <v>31</v>
      </c>
      <c r="L62" s="69" t="s">
        <v>1361</v>
      </c>
      <c r="M62" s="46" t="str">
        <f t="shared" si="2"/>
        <v>ok</v>
      </c>
      <c r="N62" s="4"/>
      <c r="O62" s="69" t="s">
        <v>1377</v>
      </c>
      <c r="P62" s="46" t="str">
        <f t="shared" si="3"/>
        <v>ok</v>
      </c>
      <c r="Q62" s="69" t="s">
        <v>1404</v>
      </c>
      <c r="R62" s="46" t="str">
        <f t="shared" si="4"/>
        <v>ok</v>
      </c>
      <c r="S62" s="4" t="s">
        <v>116</v>
      </c>
      <c r="T62" s="4" t="s">
        <v>106</v>
      </c>
      <c r="U62" s="69">
        <v>1</v>
      </c>
      <c r="V62" s="46" t="str">
        <f t="shared" si="5"/>
        <v>ok</v>
      </c>
      <c r="W62" s="69">
        <v>0</v>
      </c>
      <c r="X62" s="46" t="str">
        <f t="shared" si="6"/>
        <v>ok</v>
      </c>
      <c r="Y62" s="69" t="s">
        <v>1406</v>
      </c>
      <c r="Z62" s="46" t="str">
        <f t="shared" si="7"/>
        <v>ok</v>
      </c>
      <c r="AA62" s="48">
        <v>7.4</v>
      </c>
      <c r="AB62" s="48">
        <v>0</v>
      </c>
      <c r="AC62" s="71">
        <v>7.4</v>
      </c>
      <c r="AD62" s="46" t="str">
        <f t="shared" si="8"/>
        <v>ok</v>
      </c>
      <c r="AE62" s="4" t="s">
        <v>107</v>
      </c>
      <c r="AF62" s="4" t="s">
        <v>115</v>
      </c>
      <c r="AG62" s="69" t="s">
        <v>1430</v>
      </c>
      <c r="AH62" s="46" t="str">
        <f t="shared" si="9"/>
        <v>ok</v>
      </c>
      <c r="AI62" s="69" t="s">
        <v>1453</v>
      </c>
      <c r="AJ62" s="46" t="str">
        <f t="shared" si="10"/>
        <v>ok</v>
      </c>
      <c r="AK62" s="69" t="s">
        <v>1430</v>
      </c>
      <c r="AL62" s="46" t="str">
        <f t="shared" si="12"/>
        <v>ok</v>
      </c>
      <c r="AM62" s="70" t="s">
        <v>114</v>
      </c>
      <c r="AN62" s="68" t="s">
        <v>248</v>
      </c>
      <c r="AO62" s="47" t="str">
        <f t="shared" si="11"/>
        <v>ok</v>
      </c>
    </row>
    <row r="63" spans="1:41" ht="15.75" thickBot="1" x14ac:dyDescent="0.3">
      <c r="A63" s="4">
        <v>27</v>
      </c>
      <c r="B63" s="4" t="s">
        <v>113</v>
      </c>
      <c r="C63" s="4" t="s">
        <v>112</v>
      </c>
      <c r="D63" s="69" t="s">
        <v>1336</v>
      </c>
      <c r="E63" s="46" t="str">
        <f t="shared" si="0"/>
        <v>ok</v>
      </c>
      <c r="F63" s="69" t="s">
        <v>1360</v>
      </c>
      <c r="G63" s="46" t="str">
        <f t="shared" si="1"/>
        <v>ok</v>
      </c>
      <c r="H63" s="4" t="s">
        <v>111</v>
      </c>
      <c r="I63" s="4">
        <v>8852</v>
      </c>
      <c r="J63" s="4" t="s">
        <v>110</v>
      </c>
      <c r="K63" s="4" t="s">
        <v>31</v>
      </c>
      <c r="L63" s="69" t="s">
        <v>1375</v>
      </c>
      <c r="M63" s="46" t="str">
        <f t="shared" si="2"/>
        <v>ok</v>
      </c>
      <c r="N63" s="4" t="s">
        <v>109</v>
      </c>
      <c r="O63" s="69" t="s">
        <v>1376</v>
      </c>
      <c r="P63" s="46" t="str">
        <f t="shared" si="3"/>
        <v>ok</v>
      </c>
      <c r="Q63" s="69" t="s">
        <v>1405</v>
      </c>
      <c r="R63" s="46" t="str">
        <f t="shared" si="4"/>
        <v>ok</v>
      </c>
      <c r="S63" s="4" t="s">
        <v>108</v>
      </c>
      <c r="T63" s="4" t="s">
        <v>106</v>
      </c>
      <c r="U63" s="72">
        <v>1</v>
      </c>
      <c r="V63" s="46" t="str">
        <f t="shared" si="5"/>
        <v>ok</v>
      </c>
      <c r="W63" s="72">
        <v>0</v>
      </c>
      <c r="X63" s="77" t="str">
        <f t="shared" si="6"/>
        <v>ok</v>
      </c>
      <c r="Y63" s="69" t="s">
        <v>1406</v>
      </c>
      <c r="Z63" s="75" t="str">
        <f t="shared" si="7"/>
        <v>ok</v>
      </c>
      <c r="AA63" s="78">
        <v>4.8</v>
      </c>
      <c r="AB63" s="78">
        <v>0</v>
      </c>
      <c r="AC63" s="74">
        <v>4.8</v>
      </c>
      <c r="AD63" s="46" t="str">
        <f t="shared" si="8"/>
        <v>ok</v>
      </c>
      <c r="AE63" s="4" t="s">
        <v>107</v>
      </c>
      <c r="AF63" s="4" t="s">
        <v>106</v>
      </c>
      <c r="AG63" s="69" t="s">
        <v>1430</v>
      </c>
      <c r="AH63" s="46" t="str">
        <f t="shared" si="9"/>
        <v>ok</v>
      </c>
      <c r="AI63" s="69" t="s">
        <v>1454</v>
      </c>
      <c r="AJ63" s="46" t="str">
        <f t="shared" si="10"/>
        <v>ok</v>
      </c>
      <c r="AK63" s="69" t="s">
        <v>1454</v>
      </c>
      <c r="AL63" s="46" t="str">
        <f t="shared" si="12"/>
        <v>ok</v>
      </c>
      <c r="AM63" s="70" t="s">
        <v>105</v>
      </c>
      <c r="AN63" s="69" t="s">
        <v>29</v>
      </c>
      <c r="AO63" s="46" t="str">
        <f t="shared" si="11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6" t="str">
        <f>IF(U64="","--",IF(U64=17,"ok","nok"))</f>
        <v>ok</v>
      </c>
      <c r="W64" s="80">
        <f>SUM(W37:W63)</f>
        <v>9</v>
      </c>
      <c r="X64" s="46" t="str">
        <f>IF(W64="","--",IF(W64=10,"ok","nok"))</f>
        <v>nok</v>
      </c>
      <c r="Y64" s="35"/>
      <c r="Z64" s="46" t="str">
        <f>IF(AA64="","--",IF(EqualsWithinTolerance(AA64,4598.82,1),"ok","nok"))</f>
        <v>ok</v>
      </c>
      <c r="AA64" s="81">
        <f>SUM(AA37:AA63)</f>
        <v>4598.82</v>
      </c>
      <c r="AB64" s="79">
        <f>SUM(AB37:AB63)</f>
        <v>1508.5</v>
      </c>
      <c r="AC64" s="79">
        <f>SUM(AC37:AC63)</f>
        <v>3089.82</v>
      </c>
      <c r="AD64" s="75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3">
        <f>COUNTIFS(E37:E63,"ok")</f>
        <v>26</v>
      </c>
      <c r="F65" s="35"/>
      <c r="G65" s="73">
        <f>COUNTIFS(G37:G63,"ok")</f>
        <v>26</v>
      </c>
      <c r="H65" s="35"/>
      <c r="I65" s="35"/>
      <c r="J65" s="35"/>
      <c r="K65" s="35"/>
      <c r="L65" s="35"/>
      <c r="M65" s="73">
        <f>COUNTIFS(M37:M63,"ok")</f>
        <v>26</v>
      </c>
      <c r="N65" s="35"/>
      <c r="O65" s="35"/>
      <c r="P65" s="73">
        <f>COUNTIFS(P37:P63,"ok")</f>
        <v>26</v>
      </c>
      <c r="Q65" s="35"/>
      <c r="R65" s="73">
        <f>COUNTIFS(R37:R63,"ok")</f>
        <v>26</v>
      </c>
      <c r="S65" s="35"/>
      <c r="T65" s="35"/>
      <c r="U65" s="44"/>
      <c r="V65" s="73">
        <f>COUNTIFS(V37:V64,"ok")</f>
        <v>27</v>
      </c>
      <c r="W65" s="35"/>
      <c r="X65" s="73">
        <f>COUNTIFS(X37:X64,"ok")</f>
        <v>26</v>
      </c>
      <c r="Y65" s="35"/>
      <c r="Z65" s="73">
        <f>COUNTIFS(Z37:Z64,"ok")</f>
        <v>27</v>
      </c>
      <c r="AA65" s="35"/>
      <c r="AB65" s="35"/>
      <c r="AC65" s="35"/>
      <c r="AD65" s="73">
        <f>COUNTIFS(AD37:AD64,"ok")</f>
        <v>27</v>
      </c>
      <c r="AE65" s="35"/>
      <c r="AF65" s="35"/>
      <c r="AG65" s="35"/>
      <c r="AH65" s="73">
        <f>COUNTIFS(AH37:AH64,"ok")</f>
        <v>27</v>
      </c>
      <c r="AI65" s="35"/>
      <c r="AJ65" s="73">
        <f>COUNTIFS(AJ37:AJ64,"ok")</f>
        <v>26</v>
      </c>
      <c r="AK65" s="35"/>
      <c r="AL65" s="73">
        <f>COUNTIFS(AL37:AL64,"ok")</f>
        <v>27</v>
      </c>
      <c r="AM65" s="35"/>
      <c r="AN65" s="35"/>
      <c r="AO65" s="73">
        <f>COUNTIFS(AO37:AO63,"ok")</f>
        <v>26</v>
      </c>
    </row>
    <row r="66" spans="1:41" x14ac:dyDescent="0.25">
      <c r="A66" s="35"/>
      <c r="B66" s="35"/>
      <c r="C66" s="35"/>
      <c r="D66" s="35"/>
      <c r="E66" s="73">
        <f>COUNTIFS(E37:E63,"nok")</f>
        <v>0</v>
      </c>
      <c r="F66" s="35"/>
      <c r="G66" s="73">
        <f>COUNTIFS(G37:G63,"nok")</f>
        <v>0</v>
      </c>
      <c r="H66" s="35"/>
      <c r="I66" s="35"/>
      <c r="J66" s="35"/>
      <c r="K66" s="35"/>
      <c r="L66" s="35"/>
      <c r="M66" s="73">
        <f>COUNTIFS(M37:M63,"nok")</f>
        <v>0</v>
      </c>
      <c r="N66" s="35"/>
      <c r="O66" s="35"/>
      <c r="P66" s="73">
        <f>COUNTIFS(P37:P63,"nok")</f>
        <v>0</v>
      </c>
      <c r="Q66" s="35"/>
      <c r="R66" s="73">
        <f>COUNTIFS(R37:R63,"nok")</f>
        <v>0</v>
      </c>
      <c r="S66" s="35"/>
      <c r="T66" s="35"/>
      <c r="U66" s="35"/>
      <c r="V66" s="73">
        <f>COUNTIFS(V37:V64,"nok")</f>
        <v>0</v>
      </c>
      <c r="W66" s="35"/>
      <c r="X66" s="73">
        <f>COUNTIFS(X37:X64,"nok")</f>
        <v>1</v>
      </c>
      <c r="Y66" s="35"/>
      <c r="Z66" s="73">
        <f>COUNTIFS(Z37:Z64,"nok")</f>
        <v>0</v>
      </c>
      <c r="AA66" s="35"/>
      <c r="AB66" s="35"/>
      <c r="AC66" s="35"/>
      <c r="AD66" s="73">
        <f>COUNTIFS(AD37:AD64,"nok")</f>
        <v>0</v>
      </c>
      <c r="AE66" s="35"/>
      <c r="AF66" s="35"/>
      <c r="AG66" s="35"/>
      <c r="AH66" s="73">
        <f>COUNTIFS(AH37:AH64,"nok")</f>
        <v>0</v>
      </c>
      <c r="AI66" s="35"/>
      <c r="AJ66" s="73">
        <f>COUNTIFS(AJ37:AJ64,"nok")</f>
        <v>0</v>
      </c>
      <c r="AK66" s="35"/>
      <c r="AL66" s="73">
        <f>COUNTIFS(AL37:AL64,"nok")</f>
        <v>0</v>
      </c>
      <c r="AM66" s="35"/>
      <c r="AN66" s="35"/>
      <c r="AO66" s="73">
        <f>COUNTIFS(AO37:AO63,"nok")</f>
        <v>0</v>
      </c>
    </row>
    <row r="67" spans="1:41" x14ac:dyDescent="0.25">
      <c r="A67" s="35"/>
      <c r="B67" s="35"/>
      <c r="C67" s="35"/>
      <c r="D67" s="35"/>
      <c r="E67" s="73">
        <f>COUNTIFS(E37:E63,"--")</f>
        <v>1</v>
      </c>
      <c r="F67" s="35"/>
      <c r="G67" s="73">
        <f>COUNTIFS(G37:G63,"--")</f>
        <v>1</v>
      </c>
      <c r="H67" s="35"/>
      <c r="I67" s="35"/>
      <c r="J67" s="35"/>
      <c r="K67" s="35"/>
      <c r="L67" s="35"/>
      <c r="M67" s="73">
        <f>COUNTIFS(M37:M63,"--")</f>
        <v>1</v>
      </c>
      <c r="N67" s="35"/>
      <c r="O67" s="35"/>
      <c r="P67" s="73">
        <f>COUNTIFS(P37:P63,"--")</f>
        <v>1</v>
      </c>
      <c r="Q67" s="35"/>
      <c r="R67" s="73">
        <f>COUNTIFS(R37:R63,"--")</f>
        <v>1</v>
      </c>
      <c r="S67" s="35"/>
      <c r="T67" s="35"/>
      <c r="U67" s="35"/>
      <c r="V67" s="73">
        <f>COUNTIFS(V37:V64,"--")</f>
        <v>1</v>
      </c>
      <c r="W67" s="35"/>
      <c r="X67" s="73">
        <f>COUNTIFS(X37:X64,"--")</f>
        <v>1</v>
      </c>
      <c r="Y67" s="35"/>
      <c r="Z67" s="73">
        <f>COUNTIFS(Z37:Z64,"--")</f>
        <v>1</v>
      </c>
      <c r="AA67" s="35"/>
      <c r="AB67" s="35"/>
      <c r="AC67" s="35"/>
      <c r="AD67" s="73">
        <f>COUNTIFS(AD37:AD64,"--")</f>
        <v>1</v>
      </c>
      <c r="AE67" s="35"/>
      <c r="AF67" s="35"/>
      <c r="AG67" s="35"/>
      <c r="AH67" s="73">
        <f>COUNTIFS(AH37:AH64,"--")</f>
        <v>1</v>
      </c>
      <c r="AI67" s="35"/>
      <c r="AJ67" s="73">
        <f>COUNTIFS(AJ37:AJ64,"--")</f>
        <v>1</v>
      </c>
      <c r="AK67" s="35"/>
      <c r="AL67" s="73">
        <f>COUNTIFS(AL37:AL64,"--")</f>
        <v>0</v>
      </c>
      <c r="AM67" s="35"/>
      <c r="AN67" s="35"/>
      <c r="AO67" s="73">
        <f>COUNTIFS(AO37:AO63,"--")</f>
        <v>1</v>
      </c>
    </row>
    <row r="72" spans="1:41" x14ac:dyDescent="0.25">
      <c r="D72" s="44"/>
      <c r="E72" s="44"/>
      <c r="F72" s="44"/>
      <c r="G72" s="44"/>
      <c r="H72" s="44"/>
      <c r="I72" s="44"/>
      <c r="J72" s="44"/>
      <c r="K72" s="44"/>
    </row>
    <row r="73" spans="1:41" ht="18.75" x14ac:dyDescent="0.3">
      <c r="D73" s="44"/>
      <c r="E73" s="118"/>
      <c r="F73" s="44"/>
      <c r="G73" s="44"/>
      <c r="H73" s="44"/>
      <c r="I73" s="44"/>
      <c r="J73" s="44"/>
      <c r="K73" s="44"/>
    </row>
    <row r="74" spans="1:41" x14ac:dyDescent="0.25">
      <c r="D74" s="44"/>
      <c r="E74" s="44"/>
      <c r="F74" s="44"/>
      <c r="G74" s="44"/>
      <c r="H74" s="44"/>
      <c r="I74" s="44"/>
      <c r="J74" s="44"/>
      <c r="K74" s="44"/>
    </row>
    <row r="75" spans="1:41" x14ac:dyDescent="0.25">
      <c r="D75" s="44"/>
      <c r="E75" s="44"/>
      <c r="F75" s="44"/>
      <c r="G75" s="44"/>
      <c r="H75" s="44"/>
      <c r="I75" s="44"/>
      <c r="J75" s="44"/>
      <c r="K75" s="44"/>
    </row>
    <row r="76" spans="1:41" x14ac:dyDescent="0.25">
      <c r="D76" s="44"/>
      <c r="E76" s="44"/>
      <c r="F76" s="44"/>
      <c r="G76" s="44"/>
      <c r="H76" s="44"/>
      <c r="I76" s="44"/>
      <c r="J76" s="44"/>
      <c r="K76" s="44"/>
    </row>
    <row r="77" spans="1:41" x14ac:dyDescent="0.25">
      <c r="D77" s="44"/>
      <c r="E77" s="44"/>
      <c r="F77" s="44"/>
      <c r="G77" s="44"/>
      <c r="H77" s="44"/>
      <c r="I77" s="44"/>
      <c r="J77" s="44"/>
      <c r="K77" s="44"/>
    </row>
    <row r="78" spans="1:41" x14ac:dyDescent="0.25">
      <c r="D78" s="44"/>
      <c r="E78" s="44"/>
      <c r="F78" s="44"/>
      <c r="G78" s="44"/>
      <c r="H78" s="44"/>
      <c r="I78" s="44"/>
      <c r="J78" s="44"/>
      <c r="K78" s="44"/>
    </row>
    <row r="79" spans="1:41" x14ac:dyDescent="0.25">
      <c r="D79" s="44"/>
      <c r="E79" s="44"/>
      <c r="F79" s="44"/>
      <c r="G79" s="44"/>
      <c r="H79" s="44"/>
      <c r="I79" s="44"/>
      <c r="J79" s="44"/>
      <c r="K79" s="44"/>
      <c r="M79" s="44"/>
    </row>
    <row r="80" spans="1:41" x14ac:dyDescent="0.25">
      <c r="D80" s="44"/>
      <c r="E80" s="44"/>
      <c r="F80" s="44"/>
      <c r="G80" s="44"/>
      <c r="H80" s="44"/>
      <c r="I80" s="119"/>
      <c r="J80" s="44"/>
      <c r="K80" s="44"/>
    </row>
    <row r="81" spans="4:11" x14ac:dyDescent="0.25">
      <c r="D81" s="44"/>
      <c r="E81" s="44"/>
      <c r="F81" s="44"/>
      <c r="G81" s="44"/>
      <c r="H81" s="44"/>
      <c r="I81" s="119"/>
      <c r="J81" s="120"/>
      <c r="K81" s="44"/>
    </row>
    <row r="82" spans="4:11" x14ac:dyDescent="0.25">
      <c r="D82" s="44"/>
      <c r="E82" s="44"/>
      <c r="F82" s="44"/>
      <c r="G82" s="44"/>
      <c r="H82" s="44"/>
      <c r="I82" s="44"/>
      <c r="J82" s="44"/>
      <c r="K82" s="44"/>
    </row>
    <row r="83" spans="4:11" x14ac:dyDescent="0.25">
      <c r="D83" s="44"/>
      <c r="E83" s="44"/>
      <c r="F83" s="44"/>
      <c r="G83" s="44"/>
      <c r="H83" s="44"/>
      <c r="I83" s="44"/>
      <c r="J83" s="44"/>
      <c r="K83" s="44"/>
    </row>
  </sheetData>
  <conditionalFormatting sqref="AG37:AG63">
    <cfRule type="expression" dxfId="287" priority="69">
      <formula>AH37="nok"</formula>
    </cfRule>
    <cfRule type="expression" dxfId="286" priority="70">
      <formula>AH37="ok"</formula>
    </cfRule>
    <cfRule type="expression" dxfId="285" priority="71">
      <formula>AH37="--"</formula>
    </cfRule>
  </conditionalFormatting>
  <conditionalFormatting sqref="AI37:AI63">
    <cfRule type="expression" dxfId="284" priority="66">
      <formula>AJ37="nok"</formula>
    </cfRule>
    <cfRule type="expression" dxfId="283" priority="67">
      <formula>AJ37="ok"</formula>
    </cfRule>
    <cfRule type="expression" dxfId="282" priority="68">
      <formula>AJ37="--"</formula>
    </cfRule>
  </conditionalFormatting>
  <conditionalFormatting sqref="AK37:AK63">
    <cfRule type="expression" dxfId="281" priority="63">
      <formula>AL37="nok"</formula>
    </cfRule>
    <cfRule type="expression" dxfId="280" priority="64">
      <formula>AL37="ok"</formula>
    </cfRule>
    <cfRule type="expression" dxfId="279" priority="65">
      <formula>AL37="--"</formula>
    </cfRule>
  </conditionalFormatting>
  <conditionalFormatting sqref="D37:D63">
    <cfRule type="expression" dxfId="278" priority="60">
      <formula>E37="nok"</formula>
    </cfRule>
    <cfRule type="expression" dxfId="277" priority="61">
      <formula>E37="ok"</formula>
    </cfRule>
    <cfRule type="expression" dxfId="276" priority="62">
      <formula>E37="--"</formula>
    </cfRule>
  </conditionalFormatting>
  <conditionalFormatting sqref="F37:F63">
    <cfRule type="expression" dxfId="275" priority="57">
      <formula>G37="nok"</formula>
    </cfRule>
    <cfRule type="expression" dxfId="274" priority="58">
      <formula>G37="ok"</formula>
    </cfRule>
    <cfRule type="expression" dxfId="273" priority="59">
      <formula>G37="--"</formula>
    </cfRule>
  </conditionalFormatting>
  <conditionalFormatting sqref="L37:L63">
    <cfRule type="expression" dxfId="272" priority="54">
      <formula>M37="nok"</formula>
    </cfRule>
    <cfRule type="expression" dxfId="271" priority="55">
      <formula>M37="ok"</formula>
    </cfRule>
    <cfRule type="expression" dxfId="270" priority="56">
      <formula>M37="--"</formula>
    </cfRule>
  </conditionalFormatting>
  <conditionalFormatting sqref="O37:O63">
    <cfRule type="expression" dxfId="269" priority="51">
      <formula>P37="nok"</formula>
    </cfRule>
    <cfRule type="expression" dxfId="268" priority="52">
      <formula>P37="ok"</formula>
    </cfRule>
    <cfRule type="expression" dxfId="267" priority="53">
      <formula>P37="--"</formula>
    </cfRule>
  </conditionalFormatting>
  <conditionalFormatting sqref="Q37:Q63">
    <cfRule type="expression" dxfId="266" priority="48">
      <formula>R37="nok"</formula>
    </cfRule>
    <cfRule type="expression" dxfId="265" priority="49">
      <formula>R37="ok"</formula>
    </cfRule>
    <cfRule type="expression" dxfId="264" priority="50">
      <formula>R37="--"</formula>
    </cfRule>
  </conditionalFormatting>
  <conditionalFormatting sqref="U37:U63">
    <cfRule type="expression" dxfId="263" priority="45">
      <formula>V37="nok"</formula>
    </cfRule>
    <cfRule type="expression" dxfId="262" priority="46">
      <formula>V37="ok"</formula>
    </cfRule>
    <cfRule type="expression" dxfId="261" priority="47">
      <formula>V37="--"</formula>
    </cfRule>
  </conditionalFormatting>
  <conditionalFormatting sqref="W37:W63">
    <cfRule type="expression" dxfId="260" priority="42">
      <formula>X37="nok"</formula>
    </cfRule>
    <cfRule type="expression" dxfId="259" priority="43">
      <formula>X37="ok"</formula>
    </cfRule>
    <cfRule type="expression" dxfId="258" priority="44">
      <formula>X37="--"</formula>
    </cfRule>
  </conditionalFormatting>
  <conditionalFormatting sqref="AC37:AC63">
    <cfRule type="expression" dxfId="257" priority="39">
      <formula>AD37="nok"</formula>
    </cfRule>
    <cfRule type="expression" dxfId="256" priority="40">
      <formula>AD37="ok"</formula>
    </cfRule>
    <cfRule type="expression" dxfId="255" priority="41">
      <formula>AD37="--"</formula>
    </cfRule>
  </conditionalFormatting>
  <conditionalFormatting sqref="AN37:AN63">
    <cfRule type="expression" dxfId="254" priority="36">
      <formula>AO37="nok"</formula>
    </cfRule>
    <cfRule type="expression" dxfId="253" priority="37">
      <formula>AO37="ok"</formula>
    </cfRule>
    <cfRule type="expression" dxfId="252" priority="38">
      <formula>AO37="--"</formula>
    </cfRule>
  </conditionalFormatting>
  <conditionalFormatting sqref="Y37:Y63">
    <cfRule type="expression" dxfId="251" priority="33">
      <formula>Z37="nok"</formula>
    </cfRule>
    <cfRule type="expression" dxfId="250" priority="34">
      <formula>Z37="ok"</formula>
    </cfRule>
    <cfRule type="expression" dxfId="249" priority="35">
      <formula>Z37="--"</formula>
    </cfRule>
  </conditionalFormatting>
  <conditionalFormatting sqref="U65">
    <cfRule type="expression" dxfId="248" priority="72">
      <formula>V66="nok"</formula>
    </cfRule>
    <cfRule type="expression" dxfId="247" priority="73">
      <formula>V66="ok"</formula>
    </cfRule>
    <cfRule type="expression" dxfId="246" priority="74">
      <formula>V66="--"</formula>
    </cfRule>
  </conditionalFormatting>
  <conditionalFormatting sqref="L3">
    <cfRule type="cellIs" dxfId="245" priority="26" stopIfTrue="1" operator="equal">
      <formula>"Not defined"</formula>
    </cfRule>
    <cfRule type="cellIs" dxfId="244" priority="27" stopIfTrue="1" operator="greaterThan">
      <formula>5.7</formula>
    </cfRule>
    <cfRule type="cellIs" dxfId="243" priority="28" stopIfTrue="1" operator="greaterThan">
      <formula>5</formula>
    </cfRule>
    <cfRule type="cellIs" dxfId="242" priority="29" stopIfTrue="1" operator="greaterThan">
      <formula>4.5</formula>
    </cfRule>
    <cfRule type="cellIs" dxfId="241" priority="30" stopIfTrue="1" operator="greaterThanOrEqual">
      <formula>4</formula>
    </cfRule>
    <cfRule type="cellIs" dxfId="240" priority="31" stopIfTrue="1" operator="greaterThanOrEqual">
      <formula>3</formula>
    </cfRule>
    <cfRule type="cellIs" dxfId="239" priority="32" stopIfTrue="1" operator="greaterThanOrEqual">
      <formula>1</formula>
    </cfRule>
  </conditionalFormatting>
  <conditionalFormatting sqref="U64">
    <cfRule type="expression" dxfId="238" priority="23">
      <formula>V64="nok"</formula>
    </cfRule>
    <cfRule type="expression" dxfId="237" priority="24">
      <formula>V64="ok"</formula>
    </cfRule>
    <cfRule type="expression" dxfId="236" priority="25">
      <formula>V64="--"</formula>
    </cfRule>
  </conditionalFormatting>
  <conditionalFormatting sqref="W64">
    <cfRule type="expression" dxfId="235" priority="20">
      <formula>X64="nok"</formula>
    </cfRule>
    <cfRule type="expression" dxfId="234" priority="21">
      <formula>X64="ok"</formula>
    </cfRule>
    <cfRule type="expression" dxfId="233" priority="22">
      <formula>X64="--"</formula>
    </cfRule>
  </conditionalFormatting>
  <conditionalFormatting sqref="AC64">
    <cfRule type="expression" dxfId="232" priority="17">
      <formula>AD64="nok"</formula>
    </cfRule>
    <cfRule type="expression" dxfId="231" priority="18">
      <formula>AD64="ok"</formula>
    </cfRule>
    <cfRule type="expression" dxfId="230" priority="19">
      <formula>AD64="--"</formula>
    </cfRule>
  </conditionalFormatting>
  <conditionalFormatting sqref="Z64">
    <cfRule type="expression" dxfId="229" priority="14">
      <formula>AA64="nok"</formula>
    </cfRule>
    <cfRule type="expression" dxfId="228" priority="15">
      <formula>AA64="ok"</formula>
    </cfRule>
    <cfRule type="expression" dxfId="227" priority="16">
      <formula>AA64="--"</formula>
    </cfRule>
  </conditionalFormatting>
  <conditionalFormatting sqref="AA64">
    <cfRule type="expression" dxfId="226" priority="11">
      <formula>Z64="nok"</formula>
    </cfRule>
    <cfRule type="expression" dxfId="225" priority="12">
      <formula>Z64="ok"</formula>
    </cfRule>
    <cfRule type="expression" dxfId="224" priority="13">
      <formula>Z64="--"</formula>
    </cfRule>
  </conditionalFormatting>
  <conditionalFormatting sqref="AB64">
    <cfRule type="expression" dxfId="223" priority="8">
      <formula>AH64="nok"</formula>
    </cfRule>
    <cfRule type="expression" dxfId="222" priority="9">
      <formula>AH64="ok"</formula>
    </cfRule>
    <cfRule type="expression" dxfId="221" priority="10">
      <formula>AH64="--"</formula>
    </cfRule>
  </conditionalFormatting>
  <conditionalFormatting sqref="L6">
    <cfRule type="cellIs" dxfId="220" priority="1" stopIfTrue="1" operator="equal">
      <formula>"Not defined"</formula>
    </cfRule>
    <cfRule type="cellIs" dxfId="219" priority="2" stopIfTrue="1" operator="greaterThan">
      <formula>5.7</formula>
    </cfRule>
    <cfRule type="cellIs" dxfId="218" priority="3" stopIfTrue="1" operator="greaterThan">
      <formula>5</formula>
    </cfRule>
    <cfRule type="cellIs" dxfId="217" priority="4" stopIfTrue="1" operator="greaterThan">
      <formula>4.5</formula>
    </cfRule>
    <cfRule type="cellIs" dxfId="216" priority="5" stopIfTrue="1" operator="greaterThanOrEqual">
      <formula>4</formula>
    </cfRule>
    <cfRule type="cellIs" dxfId="215" priority="6" stopIfTrue="1" operator="greaterThanOrEqual">
      <formula>3</formula>
    </cfRule>
    <cfRule type="cellIs" dxfId="214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Y12:Y14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C000"/>
    <pageSetUpPr fitToPage="1"/>
  </sheetPr>
  <dimension ref="A1:AO83"/>
  <sheetViews>
    <sheetView zoomScale="85" zoomScaleNormal="85" workbookViewId="0">
      <selection activeCell="F37" sqref="F37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customWidth="1"/>
    <col min="6" max="6" width="15.42578125" customWidth="1"/>
    <col min="7" max="7" width="8.140625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customWidth="1"/>
    <col min="14" max="14" width="28.5703125" customWidth="1"/>
    <col min="15" max="15" width="13.140625" customWidth="1"/>
    <col min="16" max="16" width="8.140625" customWidth="1"/>
    <col min="17" max="17" width="32.140625" customWidth="1"/>
    <col min="18" max="18" width="8.140625" customWidth="1"/>
    <col min="19" max="19" width="17" customWidth="1"/>
    <col min="20" max="20" width="14.85546875" customWidth="1"/>
    <col min="21" max="21" width="12.28515625" customWidth="1"/>
    <col min="22" max="22" width="8.140625" customWidth="1"/>
    <col min="23" max="23" width="13.28515625" customWidth="1"/>
    <col min="24" max="24" width="8.140625" customWidth="1"/>
    <col min="25" max="25" width="32.140625" customWidth="1"/>
    <col min="26" max="26" width="8.140625" customWidth="1"/>
    <col min="27" max="27" width="17.5703125" customWidth="1"/>
    <col min="28" max="28" width="23.140625" customWidth="1"/>
    <col min="29" max="29" width="20.5703125" customWidth="1"/>
    <col min="30" max="30" width="8.140625" customWidth="1"/>
    <col min="33" max="33" width="33.42578125" customWidth="1"/>
    <col min="34" max="34" width="8.140625" customWidth="1"/>
    <col min="35" max="35" width="27.7109375" customWidth="1"/>
    <col min="36" max="36" width="8.140625" customWidth="1"/>
    <col min="37" max="37" width="29.85546875" customWidth="1"/>
    <col min="38" max="38" width="8.140625" customWidth="1"/>
    <col min="39" max="39" width="58.85546875" customWidth="1"/>
    <col min="40" max="40" width="17.140625" customWidth="1"/>
    <col min="41" max="41" width="8.140625" customWidth="1"/>
  </cols>
  <sheetData>
    <row r="1" spans="2:28" ht="15.75" thickBot="1" x14ac:dyDescent="0.3"/>
    <row r="2" spans="2:28" ht="23.25" x14ac:dyDescent="0.35">
      <c r="B2" s="1" t="s">
        <v>353</v>
      </c>
      <c r="J2" s="61" t="s">
        <v>262</v>
      </c>
      <c r="K2" s="62"/>
      <c r="L2" s="63"/>
    </row>
    <row r="3" spans="2:28" x14ac:dyDescent="0.25">
      <c r="J3" s="56" t="s">
        <v>264</v>
      </c>
      <c r="K3" s="53">
        <f>SUM(E65:AO65)</f>
        <v>356</v>
      </c>
      <c r="L3" s="60"/>
    </row>
    <row r="4" spans="2:28" x14ac:dyDescent="0.25">
      <c r="J4" s="56" t="s">
        <v>263</v>
      </c>
      <c r="K4" s="53">
        <f>SUM(E66:AO66)</f>
        <v>0</v>
      </c>
      <c r="L4" s="58"/>
    </row>
    <row r="5" spans="2:28" x14ac:dyDescent="0.25">
      <c r="J5" s="64" t="s">
        <v>265</v>
      </c>
      <c r="K5" s="53">
        <f>SUM(E67:AO67)</f>
        <v>0</v>
      </c>
      <c r="L5" s="58"/>
    </row>
    <row r="6" spans="2:28" ht="15.75" thickBot="1" x14ac:dyDescent="0.3">
      <c r="J6" s="65"/>
      <c r="K6" s="66">
        <f>SUM(K3:K5)</f>
        <v>356</v>
      </c>
      <c r="L6" s="60">
        <f>(5*K3/K6)+1</f>
        <v>6</v>
      </c>
    </row>
    <row r="7" spans="2:28" ht="15.75" thickBot="1" x14ac:dyDescent="0.3"/>
    <row r="8" spans="2:28" x14ac:dyDescent="0.25">
      <c r="O8" s="126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8"/>
    </row>
    <row r="9" spans="2:28" ht="18.75" x14ac:dyDescent="0.3">
      <c r="O9" s="129"/>
      <c r="P9" s="130"/>
      <c r="Q9" s="131" t="s">
        <v>1273</v>
      </c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2"/>
    </row>
    <row r="10" spans="2:28" ht="15.75" thickBot="1" x14ac:dyDescent="0.3">
      <c r="O10" s="129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2"/>
    </row>
    <row r="11" spans="2:28" x14ac:dyDescent="0.25">
      <c r="O11" s="129"/>
      <c r="P11" s="130"/>
      <c r="Q11" s="130" t="s">
        <v>1455</v>
      </c>
      <c r="R11" s="130"/>
      <c r="S11" s="130"/>
      <c r="T11" s="130"/>
      <c r="U11" s="130"/>
      <c r="V11" s="130"/>
      <c r="W11" s="130"/>
      <c r="X11" s="130"/>
      <c r="Y11" s="130"/>
      <c r="Z11" s="130"/>
      <c r="AA11" s="145"/>
      <c r="AB11" s="146"/>
    </row>
    <row r="12" spans="2:28" x14ac:dyDescent="0.25">
      <c r="O12" s="129"/>
      <c r="P12" s="130"/>
      <c r="Q12" s="130" t="s">
        <v>1290</v>
      </c>
      <c r="R12" s="130"/>
      <c r="S12" s="130"/>
      <c r="T12" s="130"/>
      <c r="U12" s="130"/>
      <c r="V12" s="130"/>
      <c r="W12" s="130"/>
      <c r="X12" s="130"/>
      <c r="Y12" s="137" t="s">
        <v>115</v>
      </c>
      <c r="Z12" s="130"/>
      <c r="AA12" s="147" t="s">
        <v>1456</v>
      </c>
      <c r="AB12" s="144"/>
    </row>
    <row r="13" spans="2:28" x14ac:dyDescent="0.25">
      <c r="O13" s="129"/>
      <c r="P13" s="130"/>
      <c r="Q13" s="130" t="s">
        <v>1324</v>
      </c>
      <c r="R13" s="130"/>
      <c r="S13" s="130"/>
      <c r="T13" s="130"/>
      <c r="U13" s="130"/>
      <c r="V13" s="130"/>
      <c r="W13" s="130"/>
      <c r="X13" s="130"/>
      <c r="Y13" s="137" t="s">
        <v>115</v>
      </c>
      <c r="Z13" s="130"/>
      <c r="AA13" s="147"/>
      <c r="AB13" s="144"/>
    </row>
    <row r="14" spans="2:28" x14ac:dyDescent="0.25">
      <c r="O14" s="129"/>
      <c r="P14" s="130"/>
      <c r="Q14" s="130" t="s">
        <v>1323</v>
      </c>
      <c r="R14" s="130"/>
      <c r="S14" s="130"/>
      <c r="T14" s="130"/>
      <c r="U14" s="130"/>
      <c r="V14" s="130"/>
      <c r="W14" s="130"/>
      <c r="X14" s="130"/>
      <c r="Y14" s="137" t="s">
        <v>115</v>
      </c>
      <c r="Z14" s="130"/>
      <c r="AA14" s="147"/>
      <c r="AB14" s="144"/>
    </row>
    <row r="15" spans="2:28" ht="15.75" thickBot="1" x14ac:dyDescent="0.3">
      <c r="O15" s="129"/>
      <c r="P15" s="130"/>
      <c r="Q15" s="130"/>
      <c r="R15" s="130"/>
      <c r="S15" s="130"/>
      <c r="T15" s="130"/>
      <c r="U15" s="130"/>
      <c r="V15" s="130"/>
      <c r="W15" s="133" t="s">
        <v>1285</v>
      </c>
      <c r="X15" s="130"/>
      <c r="Y15" s="137">
        <f>COUNTIF(Y12:Y14,"&lt;&gt; ")</f>
        <v>3</v>
      </c>
      <c r="Z15" s="130"/>
      <c r="AA15" s="147"/>
      <c r="AB15" s="144"/>
    </row>
    <row r="16" spans="2:28" ht="18.75" x14ac:dyDescent="0.3">
      <c r="O16" s="129"/>
      <c r="P16" s="130"/>
      <c r="Q16" s="130"/>
      <c r="R16" s="130"/>
      <c r="S16" s="130"/>
      <c r="T16" s="139" t="s">
        <v>1309</v>
      </c>
      <c r="U16" s="130"/>
      <c r="V16" s="130"/>
      <c r="W16" s="133" t="s">
        <v>1286</v>
      </c>
      <c r="X16" s="130"/>
      <c r="Y16" s="137">
        <f>COUNTIF(Y12:Y14,"=Ja")</f>
        <v>0</v>
      </c>
      <c r="Z16" s="130"/>
      <c r="AA16" s="147"/>
      <c r="AB16" s="144"/>
    </row>
    <row r="17" spans="15:28" ht="21.75" thickBot="1" x14ac:dyDescent="0.4">
      <c r="O17" s="129"/>
      <c r="P17" s="130"/>
      <c r="Q17" s="130"/>
      <c r="R17" s="130"/>
      <c r="S17" s="130"/>
      <c r="T17" s="140">
        <f>(L6-0.5) + (Y17/12)</f>
        <v>5.583333333333333</v>
      </c>
      <c r="U17" s="130"/>
      <c r="V17" s="130"/>
      <c r="W17" s="133" t="s">
        <v>1302</v>
      </c>
      <c r="X17" s="130"/>
      <c r="Y17" s="138">
        <f>(5/Y15)*Y16+1</f>
        <v>1</v>
      </c>
      <c r="Z17" s="130"/>
      <c r="AA17" s="148"/>
      <c r="AB17" s="149"/>
    </row>
    <row r="18" spans="15:28" x14ac:dyDescent="0.25">
      <c r="O18" s="12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2"/>
    </row>
    <row r="19" spans="15:28" ht="15.75" thickBot="1" x14ac:dyDescent="0.3">
      <c r="O19" s="134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6"/>
    </row>
    <row r="35" spans="1:41" ht="15.75" thickBot="1" x14ac:dyDescent="0.3"/>
    <row r="36" spans="1:41" ht="15.75" thickBot="1" x14ac:dyDescent="0.3">
      <c r="A36" s="2" t="s">
        <v>261</v>
      </c>
      <c r="B36" s="2" t="s">
        <v>23</v>
      </c>
      <c r="C36" s="2" t="s">
        <v>22</v>
      </c>
      <c r="D36" s="2" t="s">
        <v>260</v>
      </c>
      <c r="E36" s="2" t="s">
        <v>238</v>
      </c>
      <c r="F36" s="2" t="s">
        <v>259</v>
      </c>
      <c r="G36" s="2" t="s">
        <v>238</v>
      </c>
      <c r="H36" s="2" t="s">
        <v>258</v>
      </c>
      <c r="I36" s="2" t="s">
        <v>28</v>
      </c>
      <c r="J36" s="2" t="s">
        <v>29</v>
      </c>
      <c r="K36" s="2" t="s">
        <v>27</v>
      </c>
      <c r="L36" s="2" t="s">
        <v>257</v>
      </c>
      <c r="M36" s="2" t="s">
        <v>238</v>
      </c>
      <c r="N36" s="2" t="s">
        <v>256</v>
      </c>
      <c r="O36" s="2" t="s">
        <v>255</v>
      </c>
      <c r="P36" s="2" t="s">
        <v>238</v>
      </c>
      <c r="Q36" s="2" t="s">
        <v>254</v>
      </c>
      <c r="R36" s="2" t="s">
        <v>238</v>
      </c>
      <c r="S36" s="2" t="s">
        <v>253</v>
      </c>
      <c r="T36" s="2" t="s">
        <v>252</v>
      </c>
      <c r="U36" s="2" t="s">
        <v>251</v>
      </c>
      <c r="V36" s="2" t="s">
        <v>238</v>
      </c>
      <c r="W36" s="2" t="s">
        <v>250</v>
      </c>
      <c r="X36" s="2" t="s">
        <v>238</v>
      </c>
      <c r="Y36" s="2" t="s">
        <v>249</v>
      </c>
      <c r="Z36" s="2" t="s">
        <v>238</v>
      </c>
      <c r="AA36" s="2" t="s">
        <v>248</v>
      </c>
      <c r="AB36" s="2" t="s">
        <v>247</v>
      </c>
      <c r="AC36" s="2" t="s">
        <v>246</v>
      </c>
      <c r="AD36" s="2" t="s">
        <v>238</v>
      </c>
      <c r="AE36" s="2" t="s">
        <v>245</v>
      </c>
      <c r="AF36" s="2" t="s">
        <v>244</v>
      </c>
      <c r="AG36" s="2" t="s">
        <v>243</v>
      </c>
      <c r="AH36" s="2" t="s">
        <v>238</v>
      </c>
      <c r="AI36" s="2" t="s">
        <v>242</v>
      </c>
      <c r="AJ36" s="2" t="s">
        <v>238</v>
      </c>
      <c r="AK36" s="2" t="s">
        <v>241</v>
      </c>
      <c r="AL36" s="2" t="s">
        <v>238</v>
      </c>
      <c r="AM36" s="2" t="s">
        <v>240</v>
      </c>
      <c r="AN36" s="67" t="s">
        <v>239</v>
      </c>
      <c r="AO36" s="49" t="s">
        <v>238</v>
      </c>
    </row>
    <row r="37" spans="1:41" x14ac:dyDescent="0.25">
      <c r="A37" s="4">
        <v>1</v>
      </c>
      <c r="B37" s="4" t="s">
        <v>237</v>
      </c>
      <c r="C37" s="4" t="s">
        <v>236</v>
      </c>
      <c r="D37" s="69" t="str">
        <f>PROPER(CONCATENATE(LEFT(C37,1),"."))</f>
        <v>R.</v>
      </c>
      <c r="E37" s="46" t="str">
        <f t="shared" ref="E37:E63" si="0">IF(D37=PROPER(CONCATENATE(LEFT(C37,1),".")),"ok",IF(D37="","--","nok"))</f>
        <v>ok</v>
      </c>
      <c r="F37" s="69" t="str">
        <f>PROPER(CONCATENATE(D37,B37))</f>
        <v>R.Hollenstein</v>
      </c>
      <c r="G37" s="46" t="str">
        <f t="shared" ref="G37:G63" si="1">IF(F37=PROPER(CONCATENATE(D37,B37)),"ok",IF(F37="","--","nok"))</f>
        <v>ok</v>
      </c>
      <c r="H37" s="4" t="s">
        <v>235</v>
      </c>
      <c r="I37" s="4">
        <v>8853</v>
      </c>
      <c r="J37" s="4" t="s">
        <v>117</v>
      </c>
      <c r="K37" s="4" t="s">
        <v>31</v>
      </c>
      <c r="L37" s="69" t="str">
        <f>CONCATENATE(K37,"-",I37," ",J37)</f>
        <v>CH-8853 Lachen</v>
      </c>
      <c r="M37" s="46" t="str">
        <f t="shared" ref="M37:M63" si="2">IF(L37=CONCATENATE(K37,"-",I37," ",J37),"ok",IF(L37="","--","nok"))</f>
        <v>ok</v>
      </c>
      <c r="N37" s="4" t="s">
        <v>234</v>
      </c>
      <c r="O37" s="69" t="str">
        <f t="shared" ref="O37:O63" si="3">IF(N37="","Keine",RIGHT(N37,LEN(N37)-SEARCH("@",N37,1)))</f>
        <v>gmail.ch</v>
      </c>
      <c r="P37" s="46" t="str">
        <f t="shared" ref="P37:P63" si="4">IF(O37=IF(N37="","Keine",RIGHT(N37,LEN(N37)-SEARCH("@",N37,1))),"ok",IF(O37="","--","nok"))</f>
        <v>ok</v>
      </c>
      <c r="Q37" s="69" t="str">
        <f>CONCATENATE(LOWER(C37),".",LOWER(B37),"@","bzu.ch")</f>
        <v>ruth.hollenstein@bzu.ch</v>
      </c>
      <c r="R37" s="46" t="str">
        <f t="shared" ref="R37:R63" si="5">IF(Q37=CONCATENATE(LOWER(C37),".",LOWER(B37),"@","bzu.ch"),"ok",IF(Q37="","--","nok"))</f>
        <v>ok</v>
      </c>
      <c r="S37" s="4" t="s">
        <v>233</v>
      </c>
      <c r="T37" s="4" t="s">
        <v>115</v>
      </c>
      <c r="U37" s="69">
        <f>IF(T37="Ja",1,0)</f>
        <v>0</v>
      </c>
      <c r="V37" s="46" t="str">
        <f t="shared" ref="V37:V63" si="6">IF(U37="","--",IF(U37=IF(T37="Ja",1,0),"ok","nok"))</f>
        <v>ok</v>
      </c>
      <c r="W37" s="69">
        <f>IF(T37="Ja",0,1)</f>
        <v>1</v>
      </c>
      <c r="X37" s="46" t="str">
        <f t="shared" ref="X37:X63" si="7">IF(W37="","--",IF(W37=IF(T37="Ja",0,1),"ok","nok"))</f>
        <v>ok</v>
      </c>
      <c r="Y37" s="69" t="str">
        <f>IF(T37="Nein",IF(N37&lt;&gt;"",N37,Q37),"")</f>
        <v>ruth.hollenstein@gmail.ch</v>
      </c>
      <c r="Z37" s="46" t="str">
        <f t="shared" ref="Z37:Z63" si="8">IF(Y37=IF(T37="Nein",IF(N37&lt;&gt;"",N37,Q37),""),"ok",IF(Y37="","--","nok"))</f>
        <v>ok</v>
      </c>
      <c r="AA37" s="48">
        <v>50</v>
      </c>
      <c r="AB37" s="48">
        <v>49.5</v>
      </c>
      <c r="AC37" s="71">
        <f t="shared" ref="AC37:AC63" si="9">AA37-AB37</f>
        <v>0.5</v>
      </c>
      <c r="AD37" s="46" t="str">
        <f t="shared" ref="AD37:AD63" si="10">IF(AC37=AA37-AB37,"ok",IF(AC37="","--","nok"))</f>
        <v>ok</v>
      </c>
      <c r="AE37" s="4" t="s">
        <v>121</v>
      </c>
      <c r="AF37" s="4" t="s">
        <v>106</v>
      </c>
      <c r="AG37" s="69" t="str">
        <f t="shared" ref="AG37:AG63" si="11">IF(AE37="Familie",CONCATENATE("Sehr geehrte Familie ",B37),IF(AE37="Herr",CONCATENATE("Sehr geehrter Herr ",B37),CONCATENATE("Sehr geehrte Frau ",B37)))</f>
        <v>Sehr geehrte Familie Hollenstein</v>
      </c>
      <c r="AH37" s="46" t="str">
        <f t="shared" ref="AH37:AH63" si="12">IF(AG37=IF(AE37="Familie",CONCATENATE("Sehr geehrte Familie ",B37),IF(AE37="Herr",CONCATENATE("Sehr geehrter Herr ",B37),CONCATENATE("Sehr geehrte Frau ",B37))),"ok",IF(AG37="","--","nok"))</f>
        <v>ok</v>
      </c>
      <c r="AI37" s="69" t="str">
        <f t="shared" ref="AI37:AI63" si="13">IF(AE37="Familie",CONCATENATE("Liebe Familie ",B37),IF(AE37="Herr",CONCATENATE("Lieber ",C37),CONCATENATE("Liebe ",C37)))</f>
        <v>Liebe Familie Hollenstein</v>
      </c>
      <c r="AJ37" s="46" t="str">
        <f t="shared" ref="AJ37:AJ63" si="14">IF(AI37=IF(AE37="Familie",CONCATENATE("Liebe Familie ",B37),IF(AE37="Herr",CONCATENATE("Lieber ",C37),CONCATENATE("Liebe ",C37))),"ok",IF(AI37="","--","nok"))</f>
        <v>ok</v>
      </c>
      <c r="AK37" s="69" t="str">
        <f t="shared" ref="AK37:AK63" si="15">IF(AF37="Ja",AI37,AG37)</f>
        <v>Liebe Familie Hollenstein</v>
      </c>
      <c r="AL37" s="46" t="str">
        <f>IF(AK37=IF(AF37="Ja",AI37,AG37),"ok",IF(AK37="","--","nok"))</f>
        <v>ok</v>
      </c>
      <c r="AM37" s="70" t="s">
        <v>120</v>
      </c>
      <c r="AN37" s="68" t="str">
        <f t="shared" ref="AN37:AN63" si="16">MID(AM37,SEARCH("{",AM37) + 1,SEARCH("}",AM37) - SEARCH("{",AM37) - 1)</f>
        <v>Offener Betrag</v>
      </c>
      <c r="AO37" s="47" t="str">
        <f t="shared" ref="AO37:AO63" si="17">IF(AN37=MID(AM37,SEARCH("{",AM37) + 1,SEARCH("}",AM37) - SEARCH("{",AM37) - 1),"ok",IF(AN37="","--","nok"))</f>
        <v>ok</v>
      </c>
    </row>
    <row r="38" spans="1:41" x14ac:dyDescent="0.25">
      <c r="A38" s="4">
        <v>2</v>
      </c>
      <c r="B38" s="4" t="s">
        <v>232</v>
      </c>
      <c r="C38" s="4" t="s">
        <v>231</v>
      </c>
      <c r="D38" s="69" t="str">
        <f t="shared" ref="D38:D63" si="18">PROPER(CONCATENATE(LEFT(C38,1),"."))</f>
        <v>R.</v>
      </c>
      <c r="E38" s="46" t="str">
        <f t="shared" si="0"/>
        <v>ok</v>
      </c>
      <c r="F38" s="69" t="str">
        <f t="shared" ref="F38:F63" si="19">PROPER(CONCATENATE(D38,B38))</f>
        <v>R.Mueller</v>
      </c>
      <c r="G38" s="46" t="str">
        <f t="shared" si="1"/>
        <v>ok</v>
      </c>
      <c r="H38" s="4" t="s">
        <v>230</v>
      </c>
      <c r="I38" s="4">
        <v>8853</v>
      </c>
      <c r="J38" s="4" t="s">
        <v>117</v>
      </c>
      <c r="K38" s="4" t="s">
        <v>31</v>
      </c>
      <c r="L38" s="69" t="str">
        <f t="shared" ref="L38:L63" si="20">CONCATENATE(K38,"-",I38," ",J38)</f>
        <v>CH-8853 Lachen</v>
      </c>
      <c r="M38" s="46" t="str">
        <f t="shared" si="2"/>
        <v>ok</v>
      </c>
      <c r="N38" s="4" t="s">
        <v>229</v>
      </c>
      <c r="O38" s="69" t="str">
        <f t="shared" si="3"/>
        <v>gmail.ch</v>
      </c>
      <c r="P38" s="46" t="str">
        <f t="shared" si="4"/>
        <v>ok</v>
      </c>
      <c r="Q38" s="69" t="str">
        <f t="shared" ref="Q38:Q63" si="21">CONCATENATE(LOWER(C38),".",LOWER(B38),"@","bzu.ch")</f>
        <v>ruedi.mueller@bzu.ch</v>
      </c>
      <c r="R38" s="46" t="str">
        <f t="shared" si="5"/>
        <v>ok</v>
      </c>
      <c r="S38" s="4" t="s">
        <v>228</v>
      </c>
      <c r="T38" s="4" t="s">
        <v>106</v>
      </c>
      <c r="U38" s="69">
        <f t="shared" ref="U38:U63" si="22">IF(T38="Ja",1,0)</f>
        <v>1</v>
      </c>
      <c r="V38" s="46" t="str">
        <f t="shared" si="6"/>
        <v>ok</v>
      </c>
      <c r="W38" s="69">
        <f t="shared" ref="W38:W63" si="23">IF(T38="Ja",0,1)</f>
        <v>0</v>
      </c>
      <c r="X38" s="46" t="str">
        <f t="shared" si="7"/>
        <v>ok</v>
      </c>
      <c r="Y38" s="69" t="str">
        <f t="shared" ref="Y38:Y63" si="24">IF(T38="Nein",IF(N38&lt;&gt;"",N38,Q38),"")</f>
        <v/>
      </c>
      <c r="Z38" s="46" t="str">
        <f t="shared" si="8"/>
        <v>ok</v>
      </c>
      <c r="AA38" s="48">
        <v>68</v>
      </c>
      <c r="AB38" s="48">
        <v>30</v>
      </c>
      <c r="AC38" s="71">
        <f t="shared" si="9"/>
        <v>38</v>
      </c>
      <c r="AD38" s="46" t="str">
        <f t="shared" si="10"/>
        <v>ok</v>
      </c>
      <c r="AE38" s="4" t="s">
        <v>121</v>
      </c>
      <c r="AF38" s="4" t="s">
        <v>115</v>
      </c>
      <c r="AG38" s="69" t="str">
        <f t="shared" si="11"/>
        <v>Sehr geehrte Familie Mueller</v>
      </c>
      <c r="AH38" s="46" t="str">
        <f t="shared" si="12"/>
        <v>ok</v>
      </c>
      <c r="AI38" s="69" t="str">
        <f t="shared" si="13"/>
        <v>Liebe Familie Mueller</v>
      </c>
      <c r="AJ38" s="46" t="str">
        <f t="shared" si="14"/>
        <v>ok</v>
      </c>
      <c r="AK38" s="69" t="str">
        <f t="shared" si="15"/>
        <v>Sehr geehrte Familie Mueller</v>
      </c>
      <c r="AL38" s="46" t="str">
        <f t="shared" ref="AL38:AL63" si="25">IF(AK38="","--",IF(AK38=IF(AF38="Ja",AI38,AG38),"ok","nok"))</f>
        <v>ok</v>
      </c>
      <c r="AM38" s="70" t="s">
        <v>114</v>
      </c>
      <c r="AN38" s="68" t="str">
        <f>MID(AM38,SEARCH("{",AM38) + 1,SEARCH("}",AM38) - SEARCH("{",AM38) - 1)</f>
        <v>Rechnungsbetrag</v>
      </c>
      <c r="AO38" s="47" t="str">
        <f t="shared" si="17"/>
        <v>ok</v>
      </c>
    </row>
    <row r="39" spans="1:41" x14ac:dyDescent="0.25">
      <c r="A39" s="4">
        <v>3</v>
      </c>
      <c r="B39" s="4" t="s">
        <v>227</v>
      </c>
      <c r="C39" s="4" t="s">
        <v>226</v>
      </c>
      <c r="D39" s="69" t="str">
        <f t="shared" si="18"/>
        <v>M.</v>
      </c>
      <c r="E39" s="46" t="str">
        <f t="shared" si="0"/>
        <v>ok</v>
      </c>
      <c r="F39" s="69" t="str">
        <f t="shared" si="19"/>
        <v>M.Janser</v>
      </c>
      <c r="G39" s="46" t="str">
        <f t="shared" si="1"/>
        <v>ok</v>
      </c>
      <c r="H39" s="4" t="s">
        <v>225</v>
      </c>
      <c r="I39" s="4">
        <v>8853</v>
      </c>
      <c r="J39" s="4" t="s">
        <v>117</v>
      </c>
      <c r="K39" s="4" t="s">
        <v>31</v>
      </c>
      <c r="L39" s="69" t="str">
        <f t="shared" si="20"/>
        <v>CH-8853 Lachen</v>
      </c>
      <c r="M39" s="46" t="str">
        <f t="shared" si="2"/>
        <v>ok</v>
      </c>
      <c r="N39" s="4"/>
      <c r="O39" s="69" t="str">
        <f t="shared" si="3"/>
        <v>Keine</v>
      </c>
      <c r="P39" s="46" t="str">
        <f t="shared" si="4"/>
        <v>ok</v>
      </c>
      <c r="Q39" s="69" t="str">
        <f t="shared" si="21"/>
        <v>maria.janser@bzu.ch</v>
      </c>
      <c r="R39" s="46" t="str">
        <f t="shared" si="5"/>
        <v>ok</v>
      </c>
      <c r="S39" s="4" t="s">
        <v>224</v>
      </c>
      <c r="T39" s="4" t="s">
        <v>115</v>
      </c>
      <c r="U39" s="69">
        <f t="shared" si="22"/>
        <v>0</v>
      </c>
      <c r="V39" s="46" t="str">
        <f t="shared" si="6"/>
        <v>ok</v>
      </c>
      <c r="W39" s="69">
        <f t="shared" si="23"/>
        <v>1</v>
      </c>
      <c r="X39" s="46" t="str">
        <f t="shared" si="7"/>
        <v>ok</v>
      </c>
      <c r="Y39" s="69" t="str">
        <f t="shared" si="24"/>
        <v>maria.janser@bzu.ch</v>
      </c>
      <c r="Z39" s="46" t="str">
        <f t="shared" si="8"/>
        <v>ok</v>
      </c>
      <c r="AA39" s="48">
        <v>123</v>
      </c>
      <c r="AB39" s="48">
        <v>100</v>
      </c>
      <c r="AC39" s="71">
        <f t="shared" si="9"/>
        <v>23</v>
      </c>
      <c r="AD39" s="46" t="str">
        <f t="shared" si="10"/>
        <v>ok</v>
      </c>
      <c r="AE39" s="4" t="s">
        <v>132</v>
      </c>
      <c r="AF39" s="4" t="s">
        <v>106</v>
      </c>
      <c r="AG39" s="69" t="str">
        <f t="shared" si="11"/>
        <v>Sehr geehrte Frau janser</v>
      </c>
      <c r="AH39" s="46" t="str">
        <f t="shared" si="12"/>
        <v>ok</v>
      </c>
      <c r="AI39" s="69" t="str">
        <f t="shared" si="13"/>
        <v>Liebe Maria</v>
      </c>
      <c r="AJ39" s="46" t="str">
        <f t="shared" si="14"/>
        <v>ok</v>
      </c>
      <c r="AK39" s="69" t="str">
        <f t="shared" si="15"/>
        <v>Liebe Maria</v>
      </c>
      <c r="AL39" s="46" t="str">
        <f t="shared" si="25"/>
        <v>ok</v>
      </c>
      <c r="AM39" s="70" t="s">
        <v>105</v>
      </c>
      <c r="AN39" s="68" t="str">
        <f t="shared" si="16"/>
        <v>Ort</v>
      </c>
      <c r="AO39" s="47" t="str">
        <f t="shared" si="17"/>
        <v>ok</v>
      </c>
    </row>
    <row r="40" spans="1:41" x14ac:dyDescent="0.25">
      <c r="A40" s="4">
        <v>4</v>
      </c>
      <c r="B40" s="4" t="s">
        <v>223</v>
      </c>
      <c r="C40" s="4" t="s">
        <v>222</v>
      </c>
      <c r="D40" s="69" t="str">
        <f t="shared" si="18"/>
        <v>C.</v>
      </c>
      <c r="E40" s="46" t="str">
        <f t="shared" si="0"/>
        <v>ok</v>
      </c>
      <c r="F40" s="69" t="str">
        <f t="shared" si="19"/>
        <v>C.Meier</v>
      </c>
      <c r="G40" s="46" t="str">
        <f t="shared" si="1"/>
        <v>ok</v>
      </c>
      <c r="H40" s="4" t="s">
        <v>221</v>
      </c>
      <c r="I40" s="4">
        <v>53175</v>
      </c>
      <c r="J40" s="4" t="s">
        <v>220</v>
      </c>
      <c r="K40" s="4" t="s">
        <v>33</v>
      </c>
      <c r="L40" s="69" t="str">
        <f t="shared" si="20"/>
        <v>DE-53175 Bonn</v>
      </c>
      <c r="M40" s="46" t="str">
        <f t="shared" si="2"/>
        <v>ok</v>
      </c>
      <c r="N40" s="4" t="s">
        <v>219</v>
      </c>
      <c r="O40" s="69" t="str">
        <f t="shared" si="3"/>
        <v>hotmail.com</v>
      </c>
      <c r="P40" s="46" t="str">
        <f t="shared" si="4"/>
        <v>ok</v>
      </c>
      <c r="Q40" s="69" t="str">
        <f t="shared" si="21"/>
        <v>claudia.meier@bzu.ch</v>
      </c>
      <c r="R40" s="46" t="str">
        <f t="shared" si="5"/>
        <v>ok</v>
      </c>
      <c r="S40" s="4" t="s">
        <v>218</v>
      </c>
      <c r="T40" s="4" t="s">
        <v>106</v>
      </c>
      <c r="U40" s="69">
        <f t="shared" si="22"/>
        <v>1</v>
      </c>
      <c r="V40" s="46" t="str">
        <f t="shared" si="6"/>
        <v>ok</v>
      </c>
      <c r="W40" s="69">
        <f t="shared" si="23"/>
        <v>0</v>
      </c>
      <c r="X40" s="46" t="str">
        <f t="shared" si="7"/>
        <v>ok</v>
      </c>
      <c r="Y40" s="69" t="str">
        <f t="shared" si="24"/>
        <v/>
      </c>
      <c r="Z40" s="46" t="str">
        <f t="shared" si="8"/>
        <v>ok</v>
      </c>
      <c r="AA40" s="48">
        <v>45.3</v>
      </c>
      <c r="AB40" s="48">
        <v>30</v>
      </c>
      <c r="AC40" s="71">
        <f t="shared" si="9"/>
        <v>15.299999999999997</v>
      </c>
      <c r="AD40" s="46" t="str">
        <f t="shared" si="10"/>
        <v>ok</v>
      </c>
      <c r="AE40" s="4" t="s">
        <v>132</v>
      </c>
      <c r="AF40" s="4" t="s">
        <v>115</v>
      </c>
      <c r="AG40" s="69" t="str">
        <f t="shared" si="11"/>
        <v>Sehr geehrte Frau Meier</v>
      </c>
      <c r="AH40" s="46" t="str">
        <f t="shared" si="12"/>
        <v>ok</v>
      </c>
      <c r="AI40" s="69" t="str">
        <f t="shared" si="13"/>
        <v>Liebe Claudia</v>
      </c>
      <c r="AJ40" s="46" t="str">
        <f t="shared" si="14"/>
        <v>ok</v>
      </c>
      <c r="AK40" s="69" t="str">
        <f t="shared" si="15"/>
        <v>Sehr geehrte Frau Meier</v>
      </c>
      <c r="AL40" s="46" t="str">
        <f t="shared" si="25"/>
        <v>ok</v>
      </c>
      <c r="AM40" s="70" t="s">
        <v>120</v>
      </c>
      <c r="AN40" s="68" t="str">
        <f t="shared" si="16"/>
        <v>Offener Betrag</v>
      </c>
      <c r="AO40" s="47" t="str">
        <f t="shared" si="17"/>
        <v>ok</v>
      </c>
    </row>
    <row r="41" spans="1:41" x14ac:dyDescent="0.25">
      <c r="A41" s="4">
        <v>5</v>
      </c>
      <c r="B41" s="4" t="s">
        <v>217</v>
      </c>
      <c r="C41" s="4" t="s">
        <v>216</v>
      </c>
      <c r="D41" s="69" t="str">
        <f t="shared" si="18"/>
        <v>W.</v>
      </c>
      <c r="E41" s="46" t="str">
        <f t="shared" si="0"/>
        <v>ok</v>
      </c>
      <c r="F41" s="69" t="str">
        <f t="shared" si="19"/>
        <v>W.King</v>
      </c>
      <c r="G41" s="46" t="str">
        <f t="shared" si="1"/>
        <v>ok</v>
      </c>
      <c r="H41" s="4" t="s">
        <v>215</v>
      </c>
      <c r="I41" s="4">
        <v>78713</v>
      </c>
      <c r="J41" s="4" t="s">
        <v>181</v>
      </c>
      <c r="K41" s="4" t="s">
        <v>33</v>
      </c>
      <c r="L41" s="69" t="str">
        <f t="shared" si="20"/>
        <v xml:space="preserve">DE-78713 Schramberg </v>
      </c>
      <c r="M41" s="46" t="str">
        <f t="shared" si="2"/>
        <v>ok</v>
      </c>
      <c r="N41" s="4"/>
      <c r="O41" s="69" t="str">
        <f t="shared" si="3"/>
        <v>Keine</v>
      </c>
      <c r="P41" s="46" t="str">
        <f t="shared" si="4"/>
        <v>ok</v>
      </c>
      <c r="Q41" s="69" t="str">
        <f t="shared" si="21"/>
        <v>walter.king@bzu.ch</v>
      </c>
      <c r="R41" s="46" t="str">
        <f t="shared" si="5"/>
        <v>ok</v>
      </c>
      <c r="S41" s="4" t="s">
        <v>214</v>
      </c>
      <c r="T41" s="4" t="s">
        <v>115</v>
      </c>
      <c r="U41" s="69">
        <f t="shared" si="22"/>
        <v>0</v>
      </c>
      <c r="V41" s="46" t="str">
        <f t="shared" si="6"/>
        <v>ok</v>
      </c>
      <c r="W41" s="69">
        <f t="shared" si="23"/>
        <v>1</v>
      </c>
      <c r="X41" s="46" t="str">
        <f t="shared" si="7"/>
        <v>ok</v>
      </c>
      <c r="Y41" s="69" t="str">
        <f t="shared" si="24"/>
        <v>walter.king@bzu.ch</v>
      </c>
      <c r="Z41" s="46" t="str">
        <f t="shared" si="8"/>
        <v>ok</v>
      </c>
      <c r="AA41" s="48">
        <v>312.56</v>
      </c>
      <c r="AB41" s="48">
        <v>50</v>
      </c>
      <c r="AC41" s="71">
        <f t="shared" si="9"/>
        <v>262.56</v>
      </c>
      <c r="AD41" s="46" t="str">
        <f t="shared" si="10"/>
        <v>ok</v>
      </c>
      <c r="AE41" s="4" t="s">
        <v>107</v>
      </c>
      <c r="AF41" s="4" t="s">
        <v>106</v>
      </c>
      <c r="AG41" s="69" t="str">
        <f t="shared" si="11"/>
        <v>Sehr geehrter Herr King</v>
      </c>
      <c r="AH41" s="46" t="str">
        <f t="shared" si="12"/>
        <v>ok</v>
      </c>
      <c r="AI41" s="69" t="str">
        <f t="shared" si="13"/>
        <v>Lieber Walter</v>
      </c>
      <c r="AJ41" s="46" t="str">
        <f t="shared" si="14"/>
        <v>ok</v>
      </c>
      <c r="AK41" s="69" t="str">
        <f t="shared" si="15"/>
        <v>Lieber Walter</v>
      </c>
      <c r="AL41" s="46" t="str">
        <f t="shared" si="25"/>
        <v>ok</v>
      </c>
      <c r="AM41" s="70" t="s">
        <v>114</v>
      </c>
      <c r="AN41" s="68" t="str">
        <f t="shared" si="16"/>
        <v>Rechnungsbetrag</v>
      </c>
      <c r="AO41" s="47" t="str">
        <f t="shared" si="17"/>
        <v>ok</v>
      </c>
    </row>
    <row r="42" spans="1:41" x14ac:dyDescent="0.25">
      <c r="A42" s="4">
        <v>6</v>
      </c>
      <c r="B42" s="4" t="s">
        <v>213</v>
      </c>
      <c r="C42" s="4" t="s">
        <v>212</v>
      </c>
      <c r="D42" s="69" t="str">
        <f t="shared" si="18"/>
        <v>R.</v>
      </c>
      <c r="E42" s="46" t="str">
        <f t="shared" si="0"/>
        <v>ok</v>
      </c>
      <c r="F42" s="69" t="str">
        <f t="shared" si="19"/>
        <v>R.Koch</v>
      </c>
      <c r="G42" s="46" t="str">
        <f t="shared" si="1"/>
        <v>ok</v>
      </c>
      <c r="H42" s="4" t="s">
        <v>211</v>
      </c>
      <c r="I42" s="4">
        <v>8808</v>
      </c>
      <c r="J42" s="4" t="s">
        <v>210</v>
      </c>
      <c r="K42" s="4" t="s">
        <v>31</v>
      </c>
      <c r="L42" s="69" t="str">
        <f t="shared" si="20"/>
        <v>CH-8808 Pfaeffikon</v>
      </c>
      <c r="M42" s="46" t="str">
        <f t="shared" si="2"/>
        <v>ok</v>
      </c>
      <c r="N42" s="4" t="s">
        <v>209</v>
      </c>
      <c r="O42" s="69" t="str">
        <f t="shared" si="3"/>
        <v>gmail.ch</v>
      </c>
      <c r="P42" s="46" t="str">
        <f t="shared" si="4"/>
        <v>ok</v>
      </c>
      <c r="Q42" s="69" t="str">
        <f t="shared" si="21"/>
        <v>roman.koch@bzu.ch</v>
      </c>
      <c r="R42" s="46" t="str">
        <f t="shared" si="5"/>
        <v>ok</v>
      </c>
      <c r="S42" s="4" t="s">
        <v>208</v>
      </c>
      <c r="T42" s="4" t="s">
        <v>106</v>
      </c>
      <c r="U42" s="69">
        <f t="shared" si="22"/>
        <v>1</v>
      </c>
      <c r="V42" s="46" t="str">
        <f t="shared" si="6"/>
        <v>ok</v>
      </c>
      <c r="W42" s="69">
        <f t="shared" si="23"/>
        <v>0</v>
      </c>
      <c r="X42" s="46" t="str">
        <f t="shared" si="7"/>
        <v>ok</v>
      </c>
      <c r="Y42" s="69" t="str">
        <f t="shared" si="24"/>
        <v/>
      </c>
      <c r="Z42" s="46" t="str">
        <f t="shared" si="8"/>
        <v>ok</v>
      </c>
      <c r="AA42" s="48">
        <v>21.3</v>
      </c>
      <c r="AB42" s="48">
        <v>10</v>
      </c>
      <c r="AC42" s="71">
        <f t="shared" si="9"/>
        <v>11.3</v>
      </c>
      <c r="AD42" s="46" t="str">
        <f t="shared" si="10"/>
        <v>ok</v>
      </c>
      <c r="AE42" s="4" t="s">
        <v>107</v>
      </c>
      <c r="AF42" s="4" t="s">
        <v>115</v>
      </c>
      <c r="AG42" s="69" t="str">
        <f t="shared" si="11"/>
        <v>Sehr geehrter Herr Koch</v>
      </c>
      <c r="AH42" s="46" t="str">
        <f t="shared" si="12"/>
        <v>ok</v>
      </c>
      <c r="AI42" s="69" t="str">
        <f t="shared" si="13"/>
        <v>Lieber Roman</v>
      </c>
      <c r="AJ42" s="46" t="str">
        <f t="shared" si="14"/>
        <v>ok</v>
      </c>
      <c r="AK42" s="69" t="str">
        <f t="shared" si="15"/>
        <v>Sehr geehrter Herr Koch</v>
      </c>
      <c r="AL42" s="46" t="str">
        <f t="shared" si="25"/>
        <v>ok</v>
      </c>
      <c r="AM42" s="70" t="s">
        <v>105</v>
      </c>
      <c r="AN42" s="68" t="str">
        <f t="shared" si="16"/>
        <v>Ort</v>
      </c>
      <c r="AO42" s="47" t="str">
        <f t="shared" si="17"/>
        <v>ok</v>
      </c>
    </row>
    <row r="43" spans="1:41" x14ac:dyDescent="0.25">
      <c r="A43" s="4">
        <v>7</v>
      </c>
      <c r="B43" s="4" t="s">
        <v>207</v>
      </c>
      <c r="C43" s="4" t="s">
        <v>206</v>
      </c>
      <c r="D43" s="69" t="str">
        <f t="shared" si="18"/>
        <v>R.</v>
      </c>
      <c r="E43" s="46" t="str">
        <f t="shared" si="0"/>
        <v>ok</v>
      </c>
      <c r="F43" s="69" t="str">
        <f t="shared" si="19"/>
        <v>R.Koller</v>
      </c>
      <c r="G43" s="46" t="str">
        <f t="shared" si="1"/>
        <v>ok</v>
      </c>
      <c r="H43" s="4" t="s">
        <v>205</v>
      </c>
      <c r="I43" s="4">
        <v>8854</v>
      </c>
      <c r="J43" s="4" t="s">
        <v>145</v>
      </c>
      <c r="K43" s="4" t="s">
        <v>31</v>
      </c>
      <c r="L43" s="69" t="str">
        <f t="shared" si="20"/>
        <v>CH-8854 Siebnen</v>
      </c>
      <c r="M43" s="46" t="str">
        <f t="shared" si="2"/>
        <v>ok</v>
      </c>
      <c r="N43" s="4" t="s">
        <v>204</v>
      </c>
      <c r="O43" s="69" t="str">
        <f t="shared" si="3"/>
        <v>gmail.ch</v>
      </c>
      <c r="P43" s="46" t="str">
        <f t="shared" si="4"/>
        <v>ok</v>
      </c>
      <c r="Q43" s="69" t="str">
        <f t="shared" si="21"/>
        <v>rasi.koller@bzu.ch</v>
      </c>
      <c r="R43" s="46" t="str">
        <f t="shared" si="5"/>
        <v>ok</v>
      </c>
      <c r="S43" s="4" t="s">
        <v>203</v>
      </c>
      <c r="T43" s="4" t="s">
        <v>106</v>
      </c>
      <c r="U43" s="69">
        <f t="shared" si="22"/>
        <v>1</v>
      </c>
      <c r="V43" s="46" t="str">
        <f t="shared" si="6"/>
        <v>ok</v>
      </c>
      <c r="W43" s="69">
        <f t="shared" si="23"/>
        <v>0</v>
      </c>
      <c r="X43" s="46" t="str">
        <f t="shared" si="7"/>
        <v>ok</v>
      </c>
      <c r="Y43" s="69" t="str">
        <f t="shared" si="24"/>
        <v/>
      </c>
      <c r="Z43" s="46" t="str">
        <f t="shared" si="8"/>
        <v>ok</v>
      </c>
      <c r="AA43" s="48">
        <v>45.7</v>
      </c>
      <c r="AB43" s="48">
        <v>0</v>
      </c>
      <c r="AC43" s="71">
        <f t="shared" si="9"/>
        <v>45.7</v>
      </c>
      <c r="AD43" s="46" t="str">
        <f t="shared" si="10"/>
        <v>ok</v>
      </c>
      <c r="AE43" s="4" t="s">
        <v>132</v>
      </c>
      <c r="AF43" s="4" t="s">
        <v>106</v>
      </c>
      <c r="AG43" s="69" t="str">
        <f t="shared" si="11"/>
        <v>Sehr geehrte Frau Koller</v>
      </c>
      <c r="AH43" s="46" t="str">
        <f t="shared" si="12"/>
        <v>ok</v>
      </c>
      <c r="AI43" s="69" t="str">
        <f t="shared" si="13"/>
        <v>Liebe Rasi</v>
      </c>
      <c r="AJ43" s="46" t="str">
        <f t="shared" si="14"/>
        <v>ok</v>
      </c>
      <c r="AK43" s="69" t="str">
        <f t="shared" si="15"/>
        <v>Liebe Rasi</v>
      </c>
      <c r="AL43" s="46" t="str">
        <f t="shared" si="25"/>
        <v>ok</v>
      </c>
      <c r="AM43" s="70" t="s">
        <v>120</v>
      </c>
      <c r="AN43" s="68" t="str">
        <f t="shared" si="16"/>
        <v>Offener Betrag</v>
      </c>
      <c r="AO43" s="47" t="str">
        <f t="shared" si="17"/>
        <v>ok</v>
      </c>
    </row>
    <row r="44" spans="1:41" x14ac:dyDescent="0.25">
      <c r="A44" s="4">
        <v>8</v>
      </c>
      <c r="B44" s="4" t="s">
        <v>202</v>
      </c>
      <c r="C44" s="4" t="s">
        <v>201</v>
      </c>
      <c r="D44" s="69" t="str">
        <f t="shared" si="18"/>
        <v>M.</v>
      </c>
      <c r="E44" s="46" t="str">
        <f t="shared" si="0"/>
        <v>ok</v>
      </c>
      <c r="F44" s="69" t="str">
        <f t="shared" si="19"/>
        <v>M.Koepfli</v>
      </c>
      <c r="G44" s="46" t="str">
        <f t="shared" si="1"/>
        <v>ok</v>
      </c>
      <c r="H44" s="4" t="s">
        <v>200</v>
      </c>
      <c r="I44" s="4">
        <v>8045</v>
      </c>
      <c r="J44" s="4" t="s">
        <v>199</v>
      </c>
      <c r="K44" s="4" t="s">
        <v>31</v>
      </c>
      <c r="L44" s="69" t="str">
        <f t="shared" si="20"/>
        <v>CH-8045 Zuerich</v>
      </c>
      <c r="M44" s="46" t="str">
        <f t="shared" si="2"/>
        <v>ok</v>
      </c>
      <c r="N44" s="4"/>
      <c r="O44" s="69" t="str">
        <f t="shared" si="3"/>
        <v>Keine</v>
      </c>
      <c r="P44" s="46" t="str">
        <f t="shared" si="4"/>
        <v>ok</v>
      </c>
      <c r="Q44" s="69" t="str">
        <f t="shared" si="21"/>
        <v>melanie.koepfli@bzu.ch</v>
      </c>
      <c r="R44" s="46" t="str">
        <f t="shared" si="5"/>
        <v>ok</v>
      </c>
      <c r="S44" s="4" t="s">
        <v>198</v>
      </c>
      <c r="T44" s="4" t="s">
        <v>115</v>
      </c>
      <c r="U44" s="69">
        <f t="shared" si="22"/>
        <v>0</v>
      </c>
      <c r="V44" s="46" t="str">
        <f t="shared" si="6"/>
        <v>ok</v>
      </c>
      <c r="W44" s="69">
        <f t="shared" si="23"/>
        <v>1</v>
      </c>
      <c r="X44" s="46" t="str">
        <f t="shared" si="7"/>
        <v>ok</v>
      </c>
      <c r="Y44" s="69" t="str">
        <f t="shared" si="24"/>
        <v>melanie.koepfli@bzu.ch</v>
      </c>
      <c r="Z44" s="46" t="str">
        <f t="shared" si="8"/>
        <v>ok</v>
      </c>
      <c r="AA44" s="48">
        <v>427.8</v>
      </c>
      <c r="AB44" s="48">
        <v>250</v>
      </c>
      <c r="AC44" s="71">
        <f t="shared" si="9"/>
        <v>177.8</v>
      </c>
      <c r="AD44" s="46" t="str">
        <f t="shared" si="10"/>
        <v>ok</v>
      </c>
      <c r="AE44" s="4" t="s">
        <v>132</v>
      </c>
      <c r="AF44" s="4" t="s">
        <v>115</v>
      </c>
      <c r="AG44" s="69" t="str">
        <f t="shared" si="11"/>
        <v>Sehr geehrte Frau Koepfli</v>
      </c>
      <c r="AH44" s="46" t="str">
        <f t="shared" si="12"/>
        <v>ok</v>
      </c>
      <c r="AI44" s="69" t="str">
        <f t="shared" si="13"/>
        <v>Liebe Melanie</v>
      </c>
      <c r="AJ44" s="46" t="str">
        <f t="shared" si="14"/>
        <v>ok</v>
      </c>
      <c r="AK44" s="69" t="str">
        <f t="shared" si="15"/>
        <v>Sehr geehrte Frau Koepfli</v>
      </c>
      <c r="AL44" s="46" t="str">
        <f t="shared" si="25"/>
        <v>ok</v>
      </c>
      <c r="AM44" s="70" t="s">
        <v>114</v>
      </c>
      <c r="AN44" s="68" t="str">
        <f t="shared" si="16"/>
        <v>Rechnungsbetrag</v>
      </c>
      <c r="AO44" s="47" t="str">
        <f t="shared" si="17"/>
        <v>ok</v>
      </c>
    </row>
    <row r="45" spans="1:41" x14ac:dyDescent="0.25">
      <c r="A45" s="4">
        <v>9</v>
      </c>
      <c r="B45" s="4" t="s">
        <v>192</v>
      </c>
      <c r="C45" s="4" t="s">
        <v>197</v>
      </c>
      <c r="D45" s="69" t="str">
        <f t="shared" si="18"/>
        <v>H.</v>
      </c>
      <c r="E45" s="46" t="str">
        <f t="shared" si="0"/>
        <v>ok</v>
      </c>
      <c r="F45" s="69" t="str">
        <f t="shared" si="19"/>
        <v>H.Krieg</v>
      </c>
      <c r="G45" s="46" t="str">
        <f t="shared" si="1"/>
        <v>ok</v>
      </c>
      <c r="H45" s="4" t="s">
        <v>196</v>
      </c>
      <c r="I45" s="4">
        <v>8853</v>
      </c>
      <c r="J45" s="4" t="s">
        <v>117</v>
      </c>
      <c r="K45" s="4" t="s">
        <v>31</v>
      </c>
      <c r="L45" s="69" t="str">
        <f t="shared" si="20"/>
        <v>CH-8853 Lachen</v>
      </c>
      <c r="M45" s="46" t="str">
        <f t="shared" si="2"/>
        <v>ok</v>
      </c>
      <c r="N45" s="4" t="s">
        <v>195</v>
      </c>
      <c r="O45" s="69" t="str">
        <f t="shared" si="3"/>
        <v>gmail.ch</v>
      </c>
      <c r="P45" s="46" t="str">
        <f t="shared" si="4"/>
        <v>ok</v>
      </c>
      <c r="Q45" s="69" t="str">
        <f t="shared" si="21"/>
        <v>hans.krieg@bzu.ch</v>
      </c>
      <c r="R45" s="46" t="str">
        <f t="shared" si="5"/>
        <v>ok</v>
      </c>
      <c r="S45" s="4" t="s">
        <v>189</v>
      </c>
      <c r="T45" s="4" t="s">
        <v>115</v>
      </c>
      <c r="U45" s="69">
        <f t="shared" si="22"/>
        <v>0</v>
      </c>
      <c r="V45" s="46" t="str">
        <f t="shared" si="6"/>
        <v>ok</v>
      </c>
      <c r="W45" s="69">
        <f t="shared" si="23"/>
        <v>1</v>
      </c>
      <c r="X45" s="46" t="str">
        <f t="shared" si="7"/>
        <v>ok</v>
      </c>
      <c r="Y45" s="69" t="str">
        <f t="shared" si="24"/>
        <v>roes.krieg@gmail.ch</v>
      </c>
      <c r="Z45" s="46" t="str">
        <f t="shared" si="8"/>
        <v>ok</v>
      </c>
      <c r="AA45" s="48">
        <v>34.700000000000003</v>
      </c>
      <c r="AB45" s="48">
        <v>0</v>
      </c>
      <c r="AC45" s="71">
        <f t="shared" si="9"/>
        <v>34.700000000000003</v>
      </c>
      <c r="AD45" s="46" t="str">
        <f t="shared" si="10"/>
        <v>ok</v>
      </c>
      <c r="AE45" s="4" t="s">
        <v>107</v>
      </c>
      <c r="AF45" s="4" t="s">
        <v>106</v>
      </c>
      <c r="AG45" s="69" t="str">
        <f t="shared" si="11"/>
        <v>Sehr geehrter Herr Krieg</v>
      </c>
      <c r="AH45" s="46" t="str">
        <f t="shared" si="12"/>
        <v>ok</v>
      </c>
      <c r="AI45" s="69" t="str">
        <f t="shared" si="13"/>
        <v>Lieber Hans</v>
      </c>
      <c r="AJ45" s="46" t="str">
        <f t="shared" si="14"/>
        <v>ok</v>
      </c>
      <c r="AK45" s="69" t="str">
        <f t="shared" si="15"/>
        <v>Lieber Hans</v>
      </c>
      <c r="AL45" s="46" t="str">
        <f t="shared" si="25"/>
        <v>ok</v>
      </c>
      <c r="AM45" s="70" t="s">
        <v>105</v>
      </c>
      <c r="AN45" s="68" t="str">
        <f t="shared" si="16"/>
        <v>Ort</v>
      </c>
      <c r="AO45" s="47" t="str">
        <f t="shared" si="17"/>
        <v>ok</v>
      </c>
    </row>
    <row r="46" spans="1:41" x14ac:dyDescent="0.25">
      <c r="A46" s="4">
        <v>10</v>
      </c>
      <c r="B46" s="4" t="s">
        <v>192</v>
      </c>
      <c r="C46" s="4" t="s">
        <v>178</v>
      </c>
      <c r="D46" s="69" t="str">
        <f t="shared" si="18"/>
        <v>R.</v>
      </c>
      <c r="E46" s="46" t="str">
        <f t="shared" si="0"/>
        <v>ok</v>
      </c>
      <c r="F46" s="69" t="str">
        <f t="shared" si="19"/>
        <v>R.Krieg</v>
      </c>
      <c r="G46" s="46" t="str">
        <f t="shared" si="1"/>
        <v>ok</v>
      </c>
      <c r="H46" s="4" t="s">
        <v>194</v>
      </c>
      <c r="I46" s="4">
        <v>8853</v>
      </c>
      <c r="J46" s="4" t="s">
        <v>117</v>
      </c>
      <c r="K46" s="4" t="s">
        <v>31</v>
      </c>
      <c r="L46" s="69" t="str">
        <f t="shared" si="20"/>
        <v>CH-8853 Lachen</v>
      </c>
      <c r="M46" s="46" t="str">
        <f t="shared" si="2"/>
        <v>ok</v>
      </c>
      <c r="N46" s="4" t="s">
        <v>193</v>
      </c>
      <c r="O46" s="69" t="str">
        <f t="shared" si="3"/>
        <v>gmail.ch</v>
      </c>
      <c r="P46" s="46" t="str">
        <f t="shared" si="4"/>
        <v>ok</v>
      </c>
      <c r="Q46" s="69" t="str">
        <f t="shared" si="21"/>
        <v>rita.krieg@bzu.ch</v>
      </c>
      <c r="R46" s="46" t="str">
        <f t="shared" si="5"/>
        <v>ok</v>
      </c>
      <c r="S46" s="4" t="s">
        <v>189</v>
      </c>
      <c r="T46" s="4" t="s">
        <v>115</v>
      </c>
      <c r="U46" s="69">
        <f t="shared" si="22"/>
        <v>0</v>
      </c>
      <c r="V46" s="46" t="str">
        <f t="shared" si="6"/>
        <v>ok</v>
      </c>
      <c r="W46" s="69">
        <f t="shared" si="23"/>
        <v>1</v>
      </c>
      <c r="X46" s="46" t="str">
        <f t="shared" si="7"/>
        <v>ok</v>
      </c>
      <c r="Y46" s="69" t="str">
        <f t="shared" si="24"/>
        <v>rita.krieg@gmail.ch</v>
      </c>
      <c r="Z46" s="46" t="str">
        <f t="shared" si="8"/>
        <v>ok</v>
      </c>
      <c r="AA46" s="48">
        <v>35.9</v>
      </c>
      <c r="AB46" s="48">
        <v>0</v>
      </c>
      <c r="AC46" s="71">
        <f t="shared" si="9"/>
        <v>35.9</v>
      </c>
      <c r="AD46" s="46" t="str">
        <f t="shared" si="10"/>
        <v>ok</v>
      </c>
      <c r="AE46" s="4" t="s">
        <v>132</v>
      </c>
      <c r="AF46" s="4" t="s">
        <v>115</v>
      </c>
      <c r="AG46" s="69" t="str">
        <f t="shared" si="11"/>
        <v>Sehr geehrte Frau Krieg</v>
      </c>
      <c r="AH46" s="46" t="str">
        <f t="shared" si="12"/>
        <v>ok</v>
      </c>
      <c r="AI46" s="69" t="str">
        <f t="shared" si="13"/>
        <v>Liebe Rita</v>
      </c>
      <c r="AJ46" s="46" t="str">
        <f t="shared" si="14"/>
        <v>ok</v>
      </c>
      <c r="AK46" s="69" t="str">
        <f t="shared" si="15"/>
        <v>Sehr geehrte Frau Krieg</v>
      </c>
      <c r="AL46" s="46" t="str">
        <f t="shared" si="25"/>
        <v>ok</v>
      </c>
      <c r="AM46" s="70" t="s">
        <v>120</v>
      </c>
      <c r="AN46" s="68" t="str">
        <f t="shared" si="16"/>
        <v>Offener Betrag</v>
      </c>
      <c r="AO46" s="47" t="str">
        <f t="shared" si="17"/>
        <v>ok</v>
      </c>
    </row>
    <row r="47" spans="1:41" x14ac:dyDescent="0.25">
      <c r="A47" s="4">
        <v>11</v>
      </c>
      <c r="B47" s="4" t="s">
        <v>192</v>
      </c>
      <c r="C47" s="4" t="s">
        <v>191</v>
      </c>
      <c r="D47" s="69" t="str">
        <f t="shared" si="18"/>
        <v>R.</v>
      </c>
      <c r="E47" s="46" t="str">
        <f t="shared" si="0"/>
        <v>ok</v>
      </c>
      <c r="F47" s="69" t="str">
        <f t="shared" si="19"/>
        <v>R.Krieg</v>
      </c>
      <c r="G47" s="46" t="str">
        <f t="shared" si="1"/>
        <v>ok</v>
      </c>
      <c r="H47" s="4" t="s">
        <v>190</v>
      </c>
      <c r="I47" s="4">
        <v>8853</v>
      </c>
      <c r="J47" s="4" t="s">
        <v>117</v>
      </c>
      <c r="K47" s="4" t="s">
        <v>31</v>
      </c>
      <c r="L47" s="69" t="str">
        <f t="shared" si="20"/>
        <v>CH-8853 Lachen</v>
      </c>
      <c r="M47" s="46" t="str">
        <f t="shared" si="2"/>
        <v>ok</v>
      </c>
      <c r="N47" s="4"/>
      <c r="O47" s="69" t="str">
        <f t="shared" si="3"/>
        <v>Keine</v>
      </c>
      <c r="P47" s="46" t="str">
        <f t="shared" si="4"/>
        <v>ok</v>
      </c>
      <c r="Q47" s="69" t="str">
        <f t="shared" si="21"/>
        <v>roberta.krieg@bzu.ch</v>
      </c>
      <c r="R47" s="46" t="str">
        <f t="shared" si="5"/>
        <v>ok</v>
      </c>
      <c r="S47" s="4" t="s">
        <v>189</v>
      </c>
      <c r="T47" s="4" t="s">
        <v>106</v>
      </c>
      <c r="U47" s="69">
        <f t="shared" si="22"/>
        <v>1</v>
      </c>
      <c r="V47" s="46" t="str">
        <f t="shared" si="6"/>
        <v>ok</v>
      </c>
      <c r="W47" s="69">
        <f t="shared" si="23"/>
        <v>0</v>
      </c>
      <c r="X47" s="46" t="str">
        <f t="shared" si="7"/>
        <v>ok</v>
      </c>
      <c r="Y47" s="69" t="str">
        <f t="shared" si="24"/>
        <v/>
      </c>
      <c r="Z47" s="46" t="str">
        <f t="shared" si="8"/>
        <v>ok</v>
      </c>
      <c r="AA47" s="48">
        <v>17.8</v>
      </c>
      <c r="AB47" s="48">
        <v>0</v>
      </c>
      <c r="AC47" s="71">
        <f t="shared" si="9"/>
        <v>17.8</v>
      </c>
      <c r="AD47" s="46" t="str">
        <f t="shared" si="10"/>
        <v>ok</v>
      </c>
      <c r="AE47" s="4" t="s">
        <v>121</v>
      </c>
      <c r="AF47" s="4" t="s">
        <v>106</v>
      </c>
      <c r="AG47" s="69" t="str">
        <f t="shared" si="11"/>
        <v>Sehr geehrte Familie Krieg</v>
      </c>
      <c r="AH47" s="46" t="str">
        <f t="shared" si="12"/>
        <v>ok</v>
      </c>
      <c r="AI47" s="69" t="str">
        <f t="shared" si="13"/>
        <v>Liebe Familie Krieg</v>
      </c>
      <c r="AJ47" s="46" t="str">
        <f t="shared" si="14"/>
        <v>ok</v>
      </c>
      <c r="AK47" s="69" t="str">
        <f t="shared" si="15"/>
        <v>Liebe Familie Krieg</v>
      </c>
      <c r="AL47" s="46" t="str">
        <f t="shared" si="25"/>
        <v>ok</v>
      </c>
      <c r="AM47" s="70" t="s">
        <v>114</v>
      </c>
      <c r="AN47" s="68" t="str">
        <f t="shared" si="16"/>
        <v>Rechnungsbetrag</v>
      </c>
      <c r="AO47" s="47" t="str">
        <f t="shared" si="17"/>
        <v>ok</v>
      </c>
    </row>
    <row r="48" spans="1:41" x14ac:dyDescent="0.25">
      <c r="A48" s="4">
        <v>12</v>
      </c>
      <c r="B48" s="4" t="s">
        <v>188</v>
      </c>
      <c r="C48" s="4" t="s">
        <v>187</v>
      </c>
      <c r="D48" s="69" t="str">
        <f t="shared" si="18"/>
        <v>R.</v>
      </c>
      <c r="E48" s="46" t="str">
        <f t="shared" si="0"/>
        <v>ok</v>
      </c>
      <c r="F48" s="69" t="str">
        <f t="shared" si="19"/>
        <v>R.Krieger</v>
      </c>
      <c r="G48" s="46" t="str">
        <f t="shared" si="1"/>
        <v>ok</v>
      </c>
      <c r="H48" s="4" t="s">
        <v>186</v>
      </c>
      <c r="I48" s="4">
        <v>8853</v>
      </c>
      <c r="J48" s="4" t="s">
        <v>117</v>
      </c>
      <c r="K48" s="4" t="s">
        <v>31</v>
      </c>
      <c r="L48" s="69" t="str">
        <f t="shared" si="20"/>
        <v>CH-8853 Lachen</v>
      </c>
      <c r="M48" s="46" t="str">
        <f t="shared" si="2"/>
        <v>ok</v>
      </c>
      <c r="N48" s="4" t="s">
        <v>185</v>
      </c>
      <c r="O48" s="69" t="str">
        <f t="shared" si="3"/>
        <v>gmail.ch</v>
      </c>
      <c r="P48" s="46" t="str">
        <f t="shared" si="4"/>
        <v>ok</v>
      </c>
      <c r="Q48" s="69" t="str">
        <f t="shared" si="21"/>
        <v>ricarda.krieger@bzu.ch</v>
      </c>
      <c r="R48" s="46" t="str">
        <f t="shared" si="5"/>
        <v>ok</v>
      </c>
      <c r="S48" s="4" t="s">
        <v>161</v>
      </c>
      <c r="T48" s="4" t="s">
        <v>115</v>
      </c>
      <c r="U48" s="69">
        <f t="shared" si="22"/>
        <v>0</v>
      </c>
      <c r="V48" s="46" t="str">
        <f t="shared" si="6"/>
        <v>ok</v>
      </c>
      <c r="W48" s="69">
        <f t="shared" si="23"/>
        <v>1</v>
      </c>
      <c r="X48" s="46" t="str">
        <f t="shared" si="7"/>
        <v>ok</v>
      </c>
      <c r="Y48" s="69" t="str">
        <f t="shared" si="24"/>
        <v>richi.krieger@gmail.ch</v>
      </c>
      <c r="Z48" s="46" t="str">
        <f t="shared" si="8"/>
        <v>ok</v>
      </c>
      <c r="AA48" s="48">
        <v>68</v>
      </c>
      <c r="AB48" s="48">
        <v>20</v>
      </c>
      <c r="AC48" s="71">
        <f t="shared" si="9"/>
        <v>48</v>
      </c>
      <c r="AD48" s="46" t="str">
        <f t="shared" si="10"/>
        <v>ok</v>
      </c>
      <c r="AE48" s="4" t="s">
        <v>132</v>
      </c>
      <c r="AF48" s="4" t="s">
        <v>115</v>
      </c>
      <c r="AG48" s="69" t="str">
        <f t="shared" si="11"/>
        <v>Sehr geehrte Frau Krieger</v>
      </c>
      <c r="AH48" s="46" t="str">
        <f t="shared" si="12"/>
        <v>ok</v>
      </c>
      <c r="AI48" s="69" t="str">
        <f t="shared" si="13"/>
        <v>Liebe Ricarda</v>
      </c>
      <c r="AJ48" s="46" t="str">
        <f t="shared" si="14"/>
        <v>ok</v>
      </c>
      <c r="AK48" s="69" t="str">
        <f t="shared" si="15"/>
        <v>Sehr geehrte Frau Krieger</v>
      </c>
      <c r="AL48" s="46" t="str">
        <f t="shared" si="25"/>
        <v>ok</v>
      </c>
      <c r="AM48" s="70" t="s">
        <v>105</v>
      </c>
      <c r="AN48" s="68" t="str">
        <f t="shared" si="16"/>
        <v>Ort</v>
      </c>
      <c r="AO48" s="47" t="str">
        <f t="shared" si="17"/>
        <v>ok</v>
      </c>
    </row>
    <row r="49" spans="1:41" x14ac:dyDescent="0.25">
      <c r="A49" s="4">
        <v>13</v>
      </c>
      <c r="B49" s="4" t="s">
        <v>184</v>
      </c>
      <c r="C49" s="4" t="s">
        <v>183</v>
      </c>
      <c r="D49" s="69" t="str">
        <f t="shared" si="18"/>
        <v>R.</v>
      </c>
      <c r="E49" s="46" t="str">
        <f t="shared" si="0"/>
        <v>ok</v>
      </c>
      <c r="F49" s="69" t="str">
        <f t="shared" si="19"/>
        <v>R.Kussberger</v>
      </c>
      <c r="G49" s="46" t="str">
        <f t="shared" si="1"/>
        <v>ok</v>
      </c>
      <c r="H49" s="4" t="s">
        <v>182</v>
      </c>
      <c r="I49" s="4">
        <v>78713</v>
      </c>
      <c r="J49" s="4" t="s">
        <v>181</v>
      </c>
      <c r="K49" s="4" t="s">
        <v>33</v>
      </c>
      <c r="L49" s="69" t="str">
        <f t="shared" si="20"/>
        <v xml:space="preserve">DE-78713 Schramberg </v>
      </c>
      <c r="M49" s="46" t="str">
        <f t="shared" si="2"/>
        <v>ok</v>
      </c>
      <c r="N49" s="4"/>
      <c r="O49" s="69" t="str">
        <f t="shared" si="3"/>
        <v>Keine</v>
      </c>
      <c r="P49" s="46" t="str">
        <f t="shared" si="4"/>
        <v>ok</v>
      </c>
      <c r="Q49" s="69" t="str">
        <f t="shared" si="21"/>
        <v>richard.kussberger@bzu.ch</v>
      </c>
      <c r="R49" s="46" t="str">
        <f t="shared" si="5"/>
        <v>ok</v>
      </c>
      <c r="S49" s="4" t="s">
        <v>180</v>
      </c>
      <c r="T49" s="4" t="s">
        <v>106</v>
      </c>
      <c r="U49" s="69">
        <f t="shared" si="22"/>
        <v>1</v>
      </c>
      <c r="V49" s="46" t="str">
        <f t="shared" si="6"/>
        <v>ok</v>
      </c>
      <c r="W49" s="69">
        <f t="shared" si="23"/>
        <v>0</v>
      </c>
      <c r="X49" s="46" t="str">
        <f t="shared" si="7"/>
        <v>ok</v>
      </c>
      <c r="Y49" s="69" t="str">
        <f t="shared" si="24"/>
        <v/>
      </c>
      <c r="Z49" s="46" t="str">
        <f t="shared" si="8"/>
        <v>ok</v>
      </c>
      <c r="AA49" s="48">
        <v>32</v>
      </c>
      <c r="AB49" s="48">
        <v>0</v>
      </c>
      <c r="AC49" s="71">
        <f t="shared" si="9"/>
        <v>32</v>
      </c>
      <c r="AD49" s="46" t="str">
        <f t="shared" si="10"/>
        <v>ok</v>
      </c>
      <c r="AE49" s="4" t="s">
        <v>107</v>
      </c>
      <c r="AF49" s="4" t="s">
        <v>106</v>
      </c>
      <c r="AG49" s="69" t="str">
        <f t="shared" si="11"/>
        <v>Sehr geehrter Herr Kussberger</v>
      </c>
      <c r="AH49" s="46" t="str">
        <f t="shared" si="12"/>
        <v>ok</v>
      </c>
      <c r="AI49" s="69" t="str">
        <f t="shared" si="13"/>
        <v>Lieber Richard</v>
      </c>
      <c r="AJ49" s="46" t="str">
        <f t="shared" si="14"/>
        <v>ok</v>
      </c>
      <c r="AK49" s="69" t="str">
        <f t="shared" si="15"/>
        <v>Lieber Richard</v>
      </c>
      <c r="AL49" s="46" t="str">
        <f t="shared" si="25"/>
        <v>ok</v>
      </c>
      <c r="AM49" s="70" t="s">
        <v>120</v>
      </c>
      <c r="AN49" s="68" t="str">
        <f t="shared" si="16"/>
        <v>Offener Betrag</v>
      </c>
      <c r="AO49" s="47" t="str">
        <f t="shared" si="17"/>
        <v>ok</v>
      </c>
    </row>
    <row r="50" spans="1:41" x14ac:dyDescent="0.25">
      <c r="A50" s="4">
        <v>14</v>
      </c>
      <c r="B50" s="4" t="s">
        <v>179</v>
      </c>
      <c r="C50" s="4" t="s">
        <v>178</v>
      </c>
      <c r="D50" s="69" t="str">
        <f t="shared" si="18"/>
        <v>R.</v>
      </c>
      <c r="E50" s="46" t="str">
        <f t="shared" si="0"/>
        <v>ok</v>
      </c>
      <c r="F50" s="69" t="str">
        <f t="shared" si="19"/>
        <v>R.Kuettel</v>
      </c>
      <c r="G50" s="46" t="str">
        <f t="shared" si="1"/>
        <v>ok</v>
      </c>
      <c r="H50" s="4" t="s">
        <v>177</v>
      </c>
      <c r="I50" s="4">
        <v>8832</v>
      </c>
      <c r="J50" s="4" t="s">
        <v>176</v>
      </c>
      <c r="K50" s="4" t="s">
        <v>31</v>
      </c>
      <c r="L50" s="69" t="str">
        <f t="shared" si="20"/>
        <v>CH-8832 Wollerau</v>
      </c>
      <c r="M50" s="46" t="str">
        <f t="shared" si="2"/>
        <v>ok</v>
      </c>
      <c r="N50" s="4" t="s">
        <v>175</v>
      </c>
      <c r="O50" s="69" t="str">
        <f t="shared" si="3"/>
        <v>gmail.ch</v>
      </c>
      <c r="P50" s="46" t="str">
        <f t="shared" si="4"/>
        <v>ok</v>
      </c>
      <c r="Q50" s="69" t="str">
        <f t="shared" si="21"/>
        <v>rita.kuettel@bzu.ch</v>
      </c>
      <c r="R50" s="46" t="str">
        <f t="shared" si="5"/>
        <v>ok</v>
      </c>
      <c r="S50" s="4" t="s">
        <v>174</v>
      </c>
      <c r="T50" s="4" t="s">
        <v>106</v>
      </c>
      <c r="U50" s="69">
        <f t="shared" si="22"/>
        <v>1</v>
      </c>
      <c r="V50" s="46" t="str">
        <f t="shared" si="6"/>
        <v>ok</v>
      </c>
      <c r="W50" s="69">
        <f t="shared" si="23"/>
        <v>0</v>
      </c>
      <c r="X50" s="46" t="str">
        <f t="shared" si="7"/>
        <v>ok</v>
      </c>
      <c r="Y50" s="69" t="str">
        <f t="shared" si="24"/>
        <v/>
      </c>
      <c r="Z50" s="46" t="str">
        <f t="shared" si="8"/>
        <v>ok</v>
      </c>
      <c r="AA50" s="48">
        <v>123</v>
      </c>
      <c r="AB50" s="48">
        <v>50</v>
      </c>
      <c r="AC50" s="71">
        <f t="shared" si="9"/>
        <v>73</v>
      </c>
      <c r="AD50" s="46" t="str">
        <f t="shared" si="10"/>
        <v>ok</v>
      </c>
      <c r="AE50" s="4" t="s">
        <v>132</v>
      </c>
      <c r="AF50" s="4" t="s">
        <v>115</v>
      </c>
      <c r="AG50" s="69" t="str">
        <f t="shared" si="11"/>
        <v>Sehr geehrte Frau Kuettel</v>
      </c>
      <c r="AH50" s="46" t="str">
        <f t="shared" si="12"/>
        <v>ok</v>
      </c>
      <c r="AI50" s="69" t="str">
        <f t="shared" si="13"/>
        <v>Liebe Rita</v>
      </c>
      <c r="AJ50" s="46" t="str">
        <f t="shared" si="14"/>
        <v>ok</v>
      </c>
      <c r="AK50" s="69" t="str">
        <f t="shared" si="15"/>
        <v>Sehr geehrte Frau Kuettel</v>
      </c>
      <c r="AL50" s="46" t="str">
        <f t="shared" si="25"/>
        <v>ok</v>
      </c>
      <c r="AM50" s="70" t="s">
        <v>114</v>
      </c>
      <c r="AN50" s="68" t="str">
        <f t="shared" si="16"/>
        <v>Rechnungsbetrag</v>
      </c>
      <c r="AO50" s="47" t="str">
        <f t="shared" si="17"/>
        <v>ok</v>
      </c>
    </row>
    <row r="51" spans="1:41" x14ac:dyDescent="0.25">
      <c r="A51" s="4">
        <v>15</v>
      </c>
      <c r="B51" s="4" t="s">
        <v>173</v>
      </c>
      <c r="C51" s="4" t="s">
        <v>172</v>
      </c>
      <c r="D51" s="69" t="str">
        <f t="shared" si="18"/>
        <v>R.</v>
      </c>
      <c r="E51" s="46" t="str">
        <f t="shared" si="0"/>
        <v>ok</v>
      </c>
      <c r="F51" s="69" t="str">
        <f t="shared" si="19"/>
        <v>R.Laib</v>
      </c>
      <c r="G51" s="46" t="str">
        <f t="shared" si="1"/>
        <v>ok</v>
      </c>
      <c r="H51" s="4" t="s">
        <v>167</v>
      </c>
      <c r="I51" s="4">
        <v>8855</v>
      </c>
      <c r="J51" s="4" t="s">
        <v>171</v>
      </c>
      <c r="K51" s="4" t="s">
        <v>31</v>
      </c>
      <c r="L51" s="69" t="str">
        <f t="shared" si="20"/>
        <v>CH-8855 Nuolen</v>
      </c>
      <c r="M51" s="46" t="str">
        <f t="shared" si="2"/>
        <v>ok</v>
      </c>
      <c r="N51" s="4" t="s">
        <v>170</v>
      </c>
      <c r="O51" s="69" t="str">
        <f t="shared" si="3"/>
        <v>gmail.ch</v>
      </c>
      <c r="P51" s="46" t="str">
        <f t="shared" si="4"/>
        <v>ok</v>
      </c>
      <c r="Q51" s="69" t="str">
        <f t="shared" si="21"/>
        <v>rene.laib@bzu.ch</v>
      </c>
      <c r="R51" s="46" t="str">
        <f t="shared" si="5"/>
        <v>ok</v>
      </c>
      <c r="S51" s="4" t="s">
        <v>169</v>
      </c>
      <c r="T51" s="4" t="s">
        <v>106</v>
      </c>
      <c r="U51" s="69">
        <f t="shared" si="22"/>
        <v>1</v>
      </c>
      <c r="V51" s="46" t="str">
        <f t="shared" si="6"/>
        <v>ok</v>
      </c>
      <c r="W51" s="69">
        <f t="shared" si="23"/>
        <v>0</v>
      </c>
      <c r="X51" s="46" t="str">
        <f t="shared" si="7"/>
        <v>ok</v>
      </c>
      <c r="Y51" s="69" t="str">
        <f t="shared" si="24"/>
        <v/>
      </c>
      <c r="Z51" s="46" t="str">
        <f t="shared" si="8"/>
        <v>ok</v>
      </c>
      <c r="AA51" s="48">
        <v>45.3</v>
      </c>
      <c r="AB51" s="48">
        <v>0</v>
      </c>
      <c r="AC51" s="71">
        <f t="shared" si="9"/>
        <v>45.3</v>
      </c>
      <c r="AD51" s="46" t="str">
        <f t="shared" si="10"/>
        <v>ok</v>
      </c>
      <c r="AE51" s="4" t="s">
        <v>132</v>
      </c>
      <c r="AF51" s="4" t="s">
        <v>106</v>
      </c>
      <c r="AG51" s="69" t="str">
        <f t="shared" si="11"/>
        <v>Sehr geehrte Frau Laib</v>
      </c>
      <c r="AH51" s="46" t="str">
        <f t="shared" si="12"/>
        <v>ok</v>
      </c>
      <c r="AI51" s="69" t="str">
        <f t="shared" si="13"/>
        <v>Liebe Rene</v>
      </c>
      <c r="AJ51" s="46" t="str">
        <f t="shared" si="14"/>
        <v>ok</v>
      </c>
      <c r="AK51" s="69" t="str">
        <f t="shared" si="15"/>
        <v>Liebe Rene</v>
      </c>
      <c r="AL51" s="46" t="str">
        <f t="shared" si="25"/>
        <v>ok</v>
      </c>
      <c r="AM51" s="70" t="s">
        <v>105</v>
      </c>
      <c r="AN51" s="68" t="str">
        <f t="shared" si="16"/>
        <v>Ort</v>
      </c>
      <c r="AO51" s="47" t="str">
        <f t="shared" si="17"/>
        <v>ok</v>
      </c>
    </row>
    <row r="52" spans="1:41" x14ac:dyDescent="0.25">
      <c r="A52" s="4">
        <v>16</v>
      </c>
      <c r="B52" s="4" t="s">
        <v>93</v>
      </c>
      <c r="C52" s="4" t="s">
        <v>168</v>
      </c>
      <c r="D52" s="69" t="str">
        <f t="shared" si="18"/>
        <v>M.</v>
      </c>
      <c r="E52" s="46" t="str">
        <f t="shared" si="0"/>
        <v>ok</v>
      </c>
      <c r="F52" s="69" t="str">
        <f t="shared" si="19"/>
        <v>M.Landolt</v>
      </c>
      <c r="G52" s="46" t="str">
        <f t="shared" si="1"/>
        <v>ok</v>
      </c>
      <c r="H52" s="4" t="s">
        <v>167</v>
      </c>
      <c r="I52" s="4">
        <v>8807</v>
      </c>
      <c r="J52" s="4" t="s">
        <v>135</v>
      </c>
      <c r="K52" s="4" t="s">
        <v>31</v>
      </c>
      <c r="L52" s="69" t="str">
        <f t="shared" si="20"/>
        <v>CH-8807 Freienbach</v>
      </c>
      <c r="M52" s="46" t="str">
        <f t="shared" si="2"/>
        <v>ok</v>
      </c>
      <c r="N52" s="4" t="s">
        <v>166</v>
      </c>
      <c r="O52" s="69" t="str">
        <f t="shared" si="3"/>
        <v>hotmail.com</v>
      </c>
      <c r="P52" s="46" t="str">
        <f t="shared" si="4"/>
        <v>ok</v>
      </c>
      <c r="Q52" s="69" t="str">
        <f t="shared" si="21"/>
        <v>margrith.landolt@bzu.ch</v>
      </c>
      <c r="R52" s="46" t="str">
        <f t="shared" si="5"/>
        <v>ok</v>
      </c>
      <c r="S52" s="4" t="s">
        <v>165</v>
      </c>
      <c r="T52" s="4" t="s">
        <v>106</v>
      </c>
      <c r="U52" s="69">
        <f t="shared" si="22"/>
        <v>1</v>
      </c>
      <c r="V52" s="46" t="str">
        <f t="shared" si="6"/>
        <v>ok</v>
      </c>
      <c r="W52" s="69">
        <f t="shared" si="23"/>
        <v>0</v>
      </c>
      <c r="X52" s="46" t="str">
        <f t="shared" si="7"/>
        <v>ok</v>
      </c>
      <c r="Y52" s="69" t="str">
        <f t="shared" si="24"/>
        <v/>
      </c>
      <c r="Z52" s="46" t="str">
        <f t="shared" si="8"/>
        <v>ok</v>
      </c>
      <c r="AA52" s="48">
        <v>312.56</v>
      </c>
      <c r="AB52" s="48">
        <v>0</v>
      </c>
      <c r="AC52" s="71">
        <f t="shared" si="9"/>
        <v>312.56</v>
      </c>
      <c r="AD52" s="46" t="str">
        <f t="shared" si="10"/>
        <v>ok</v>
      </c>
      <c r="AE52" s="4" t="s">
        <v>132</v>
      </c>
      <c r="AF52" s="4" t="s">
        <v>115</v>
      </c>
      <c r="AG52" s="69" t="str">
        <f t="shared" si="11"/>
        <v>Sehr geehrte Frau Landolt</v>
      </c>
      <c r="AH52" s="46" t="str">
        <f t="shared" si="12"/>
        <v>ok</v>
      </c>
      <c r="AI52" s="69" t="str">
        <f t="shared" si="13"/>
        <v>Liebe Margrith</v>
      </c>
      <c r="AJ52" s="46" t="str">
        <f t="shared" si="14"/>
        <v>ok</v>
      </c>
      <c r="AK52" s="69" t="str">
        <f t="shared" si="15"/>
        <v>Sehr geehrte Frau Landolt</v>
      </c>
      <c r="AL52" s="46" t="str">
        <f t="shared" si="25"/>
        <v>ok</v>
      </c>
      <c r="AM52" s="70" t="s">
        <v>120</v>
      </c>
      <c r="AN52" s="68" t="str">
        <f t="shared" si="16"/>
        <v>Offener Betrag</v>
      </c>
      <c r="AO52" s="47" t="str">
        <f t="shared" si="17"/>
        <v>ok</v>
      </c>
    </row>
    <row r="53" spans="1:41" x14ac:dyDescent="0.25">
      <c r="A53" s="4">
        <v>17</v>
      </c>
      <c r="B53" s="4" t="s">
        <v>164</v>
      </c>
      <c r="C53" s="4" t="s">
        <v>163</v>
      </c>
      <c r="D53" s="69" t="str">
        <f t="shared" si="18"/>
        <v>R.</v>
      </c>
      <c r="E53" s="46" t="str">
        <f t="shared" si="0"/>
        <v>ok</v>
      </c>
      <c r="F53" s="69" t="str">
        <f t="shared" si="19"/>
        <v>R.Lang</v>
      </c>
      <c r="G53" s="46" t="str">
        <f t="shared" si="1"/>
        <v>ok</v>
      </c>
      <c r="H53" s="4" t="s">
        <v>162</v>
      </c>
      <c r="I53" s="4">
        <v>8853</v>
      </c>
      <c r="J53" s="4" t="s">
        <v>117</v>
      </c>
      <c r="K53" s="4" t="s">
        <v>31</v>
      </c>
      <c r="L53" s="69" t="str">
        <f t="shared" si="20"/>
        <v>CH-8853 Lachen</v>
      </c>
      <c r="M53" s="46" t="str">
        <f t="shared" si="2"/>
        <v>ok</v>
      </c>
      <c r="N53" s="4"/>
      <c r="O53" s="69" t="str">
        <f t="shared" si="3"/>
        <v>Keine</v>
      </c>
      <c r="P53" s="46" t="str">
        <f t="shared" si="4"/>
        <v>ok</v>
      </c>
      <c r="Q53" s="69" t="str">
        <f t="shared" si="21"/>
        <v>reinhard.lang@bzu.ch</v>
      </c>
      <c r="R53" s="46" t="str">
        <f t="shared" si="5"/>
        <v>ok</v>
      </c>
      <c r="S53" s="4" t="s">
        <v>161</v>
      </c>
      <c r="T53" s="4" t="s">
        <v>106</v>
      </c>
      <c r="U53" s="69">
        <f t="shared" si="22"/>
        <v>1</v>
      </c>
      <c r="V53" s="46" t="str">
        <f t="shared" si="6"/>
        <v>ok</v>
      </c>
      <c r="W53" s="69">
        <f t="shared" si="23"/>
        <v>0</v>
      </c>
      <c r="X53" s="46" t="str">
        <f t="shared" si="7"/>
        <v>ok</v>
      </c>
      <c r="Y53" s="69" t="str">
        <f t="shared" si="24"/>
        <v/>
      </c>
      <c r="Z53" s="46" t="str">
        <f t="shared" si="8"/>
        <v>ok</v>
      </c>
      <c r="AA53" s="48">
        <v>84</v>
      </c>
      <c r="AB53" s="48">
        <v>24</v>
      </c>
      <c r="AC53" s="71">
        <f t="shared" si="9"/>
        <v>60</v>
      </c>
      <c r="AD53" s="46" t="str">
        <f t="shared" si="10"/>
        <v>ok</v>
      </c>
      <c r="AE53" s="4" t="s">
        <v>107</v>
      </c>
      <c r="AF53" s="4" t="s">
        <v>106</v>
      </c>
      <c r="AG53" s="69" t="str">
        <f t="shared" si="11"/>
        <v>Sehr geehrter Herr Lang</v>
      </c>
      <c r="AH53" s="46" t="str">
        <f t="shared" si="12"/>
        <v>ok</v>
      </c>
      <c r="AI53" s="69" t="str">
        <f t="shared" si="13"/>
        <v>Lieber Reinhard</v>
      </c>
      <c r="AJ53" s="46" t="str">
        <f t="shared" si="14"/>
        <v>ok</v>
      </c>
      <c r="AK53" s="69" t="str">
        <f t="shared" si="15"/>
        <v>Lieber Reinhard</v>
      </c>
      <c r="AL53" s="46" t="str">
        <f t="shared" si="25"/>
        <v>ok</v>
      </c>
      <c r="AM53" s="70" t="s">
        <v>114</v>
      </c>
      <c r="AN53" s="68" t="str">
        <f t="shared" si="16"/>
        <v>Rechnungsbetrag</v>
      </c>
      <c r="AO53" s="47" t="str">
        <f t="shared" si="17"/>
        <v>ok</v>
      </c>
    </row>
    <row r="54" spans="1:41" x14ac:dyDescent="0.25">
      <c r="A54" s="4">
        <v>18</v>
      </c>
      <c r="B54" s="4" t="s">
        <v>160</v>
      </c>
      <c r="C54" s="4" t="s">
        <v>159</v>
      </c>
      <c r="D54" s="69" t="str">
        <f t="shared" si="18"/>
        <v>R.</v>
      </c>
      <c r="E54" s="46" t="str">
        <f t="shared" si="0"/>
        <v>ok</v>
      </c>
      <c r="F54" s="69" t="str">
        <f t="shared" si="19"/>
        <v>R.Laeubli</v>
      </c>
      <c r="G54" s="46" t="str">
        <f t="shared" si="1"/>
        <v>ok</v>
      </c>
      <c r="H54" s="4" t="s">
        <v>158</v>
      </c>
      <c r="I54" s="4">
        <v>8808</v>
      </c>
      <c r="J54" s="4" t="s">
        <v>157</v>
      </c>
      <c r="K54" s="4" t="s">
        <v>31</v>
      </c>
      <c r="L54" s="69" t="str">
        <f t="shared" si="20"/>
        <v>CH-8808 Pfäffikon</v>
      </c>
      <c r="M54" s="46" t="str">
        <f t="shared" si="2"/>
        <v>ok</v>
      </c>
      <c r="N54" s="4" t="s">
        <v>156</v>
      </c>
      <c r="O54" s="69" t="str">
        <f t="shared" si="3"/>
        <v>gmail.ch</v>
      </c>
      <c r="P54" s="46" t="str">
        <f t="shared" si="4"/>
        <v>ok</v>
      </c>
      <c r="Q54" s="69" t="str">
        <f t="shared" si="21"/>
        <v>raphaela.laeubli@bzu.ch</v>
      </c>
      <c r="R54" s="46" t="str">
        <f t="shared" si="5"/>
        <v>ok</v>
      </c>
      <c r="S54" s="4" t="s">
        <v>155</v>
      </c>
      <c r="T54" s="4" t="s">
        <v>115</v>
      </c>
      <c r="U54" s="69">
        <f t="shared" si="22"/>
        <v>0</v>
      </c>
      <c r="V54" s="46" t="str">
        <f t="shared" si="6"/>
        <v>ok</v>
      </c>
      <c r="W54" s="69">
        <f t="shared" si="23"/>
        <v>1</v>
      </c>
      <c r="X54" s="46" t="str">
        <f t="shared" si="7"/>
        <v>ok</v>
      </c>
      <c r="Y54" s="69" t="str">
        <f t="shared" si="24"/>
        <v>raphael.laeubli@gmail.ch</v>
      </c>
      <c r="Z54" s="46" t="str">
        <f t="shared" si="8"/>
        <v>ok</v>
      </c>
      <c r="AA54" s="48">
        <v>45.7</v>
      </c>
      <c r="AB54" s="48">
        <v>25</v>
      </c>
      <c r="AC54" s="71">
        <f t="shared" si="9"/>
        <v>20.700000000000003</v>
      </c>
      <c r="AD54" s="46" t="str">
        <f t="shared" si="10"/>
        <v>ok</v>
      </c>
      <c r="AE54" s="4" t="s">
        <v>132</v>
      </c>
      <c r="AF54" s="4" t="s">
        <v>115</v>
      </c>
      <c r="AG54" s="69" t="str">
        <f t="shared" si="11"/>
        <v>Sehr geehrte Frau Laeubli</v>
      </c>
      <c r="AH54" s="46" t="str">
        <f t="shared" si="12"/>
        <v>ok</v>
      </c>
      <c r="AI54" s="69" t="str">
        <f t="shared" si="13"/>
        <v>Liebe Raphaela</v>
      </c>
      <c r="AJ54" s="46" t="str">
        <f t="shared" si="14"/>
        <v>ok</v>
      </c>
      <c r="AK54" s="69" t="str">
        <f t="shared" si="15"/>
        <v>Sehr geehrte Frau Laeubli</v>
      </c>
      <c r="AL54" s="46" t="str">
        <f t="shared" si="25"/>
        <v>ok</v>
      </c>
      <c r="AM54" s="70" t="s">
        <v>105</v>
      </c>
      <c r="AN54" s="68" t="str">
        <f t="shared" si="16"/>
        <v>Ort</v>
      </c>
      <c r="AO54" s="47" t="str">
        <f t="shared" si="17"/>
        <v>ok</v>
      </c>
    </row>
    <row r="55" spans="1:41" x14ac:dyDescent="0.25">
      <c r="A55" s="4">
        <v>19</v>
      </c>
      <c r="B55" s="4" t="s">
        <v>154</v>
      </c>
      <c r="C55" s="4" t="s">
        <v>150</v>
      </c>
      <c r="D55" s="69" t="str">
        <f t="shared" si="18"/>
        <v>R.</v>
      </c>
      <c r="E55" s="46" t="str">
        <f t="shared" si="0"/>
        <v>ok</v>
      </c>
      <c r="F55" s="69" t="str">
        <f t="shared" si="19"/>
        <v>R.Lurati</v>
      </c>
      <c r="G55" s="46" t="str">
        <f t="shared" si="1"/>
        <v>ok</v>
      </c>
      <c r="H55" s="4" t="s">
        <v>149</v>
      </c>
      <c r="I55" s="4">
        <v>8634</v>
      </c>
      <c r="J55" s="4" t="s">
        <v>153</v>
      </c>
      <c r="K55" s="4" t="s">
        <v>31</v>
      </c>
      <c r="L55" s="69" t="str">
        <f t="shared" si="20"/>
        <v>CH-8634 Hombrechtikon</v>
      </c>
      <c r="M55" s="46" t="str">
        <f t="shared" si="2"/>
        <v>ok</v>
      </c>
      <c r="N55" s="4" t="s">
        <v>152</v>
      </c>
      <c r="O55" s="69" t="str">
        <f t="shared" si="3"/>
        <v>gmail.ch</v>
      </c>
      <c r="P55" s="46" t="str">
        <f t="shared" si="4"/>
        <v>ok</v>
      </c>
      <c r="Q55" s="69" t="str">
        <f t="shared" si="21"/>
        <v>ramona.lurati@bzu.ch</v>
      </c>
      <c r="R55" s="46" t="str">
        <f t="shared" si="5"/>
        <v>ok</v>
      </c>
      <c r="S55" s="4" t="s">
        <v>151</v>
      </c>
      <c r="T55" s="4" t="s">
        <v>106</v>
      </c>
      <c r="U55" s="69">
        <f t="shared" si="22"/>
        <v>1</v>
      </c>
      <c r="V55" s="46" t="str">
        <f t="shared" si="6"/>
        <v>ok</v>
      </c>
      <c r="W55" s="69">
        <f t="shared" si="23"/>
        <v>0</v>
      </c>
      <c r="X55" s="46" t="str">
        <f t="shared" si="7"/>
        <v>ok</v>
      </c>
      <c r="Y55" s="69" t="str">
        <f t="shared" si="24"/>
        <v/>
      </c>
      <c r="Z55" s="46" t="str">
        <f t="shared" si="8"/>
        <v>ok</v>
      </c>
      <c r="AA55" s="48">
        <v>1427.8</v>
      </c>
      <c r="AB55" s="48"/>
      <c r="AC55" s="71">
        <f t="shared" si="9"/>
        <v>1427.8</v>
      </c>
      <c r="AD55" s="46" t="str">
        <f t="shared" si="10"/>
        <v>ok</v>
      </c>
      <c r="AE55" s="4" t="s">
        <v>132</v>
      </c>
      <c r="AF55" s="4" t="s">
        <v>106</v>
      </c>
      <c r="AG55" s="69" t="str">
        <f t="shared" si="11"/>
        <v>Sehr geehrte Frau Lurati</v>
      </c>
      <c r="AH55" s="46" t="str">
        <f t="shared" si="12"/>
        <v>ok</v>
      </c>
      <c r="AI55" s="69" t="str">
        <f t="shared" si="13"/>
        <v>Liebe Ramona</v>
      </c>
      <c r="AJ55" s="46" t="str">
        <f t="shared" si="14"/>
        <v>ok</v>
      </c>
      <c r="AK55" s="69" t="str">
        <f t="shared" si="15"/>
        <v>Liebe Ramona</v>
      </c>
      <c r="AL55" s="46" t="str">
        <f t="shared" si="25"/>
        <v>ok</v>
      </c>
      <c r="AM55" s="70" t="s">
        <v>120</v>
      </c>
      <c r="AN55" s="68" t="str">
        <f t="shared" si="16"/>
        <v>Offener Betrag</v>
      </c>
      <c r="AO55" s="47" t="str">
        <f t="shared" si="17"/>
        <v>ok</v>
      </c>
    </row>
    <row r="56" spans="1:41" x14ac:dyDescent="0.25">
      <c r="A56" s="4">
        <v>20</v>
      </c>
      <c r="B56" s="4" t="s">
        <v>147</v>
      </c>
      <c r="C56" s="4" t="s">
        <v>150</v>
      </c>
      <c r="D56" s="69" t="str">
        <f t="shared" si="18"/>
        <v>R.</v>
      </c>
      <c r="E56" s="46" t="str">
        <f t="shared" si="0"/>
        <v>ok</v>
      </c>
      <c r="F56" s="69" t="str">
        <f t="shared" si="19"/>
        <v>R.Maechler</v>
      </c>
      <c r="G56" s="46" t="str">
        <f t="shared" si="1"/>
        <v>ok</v>
      </c>
      <c r="H56" s="4" t="s">
        <v>149</v>
      </c>
      <c r="I56" s="4">
        <v>8853</v>
      </c>
      <c r="J56" s="4" t="s">
        <v>117</v>
      </c>
      <c r="K56" s="4" t="s">
        <v>31</v>
      </c>
      <c r="L56" s="69" t="str">
        <f t="shared" si="20"/>
        <v>CH-8853 Lachen</v>
      </c>
      <c r="M56" s="46" t="str">
        <f t="shared" si="2"/>
        <v>ok</v>
      </c>
      <c r="N56" s="4"/>
      <c r="O56" s="69" t="str">
        <f t="shared" si="3"/>
        <v>Keine</v>
      </c>
      <c r="P56" s="46" t="str">
        <f t="shared" si="4"/>
        <v>ok</v>
      </c>
      <c r="Q56" s="69" t="str">
        <f t="shared" si="21"/>
        <v>ramona.maechler@bzu.ch</v>
      </c>
      <c r="R56" s="46" t="str">
        <f t="shared" si="5"/>
        <v>ok</v>
      </c>
      <c r="S56" s="4" t="s">
        <v>148</v>
      </c>
      <c r="T56" s="4" t="s">
        <v>106</v>
      </c>
      <c r="U56" s="69">
        <f t="shared" si="22"/>
        <v>1</v>
      </c>
      <c r="V56" s="46" t="str">
        <f t="shared" si="6"/>
        <v>ok</v>
      </c>
      <c r="W56" s="69">
        <f t="shared" si="23"/>
        <v>0</v>
      </c>
      <c r="X56" s="46" t="str">
        <f t="shared" si="7"/>
        <v>ok</v>
      </c>
      <c r="Y56" s="69" t="str">
        <f t="shared" si="24"/>
        <v/>
      </c>
      <c r="Z56" s="46" t="str">
        <f t="shared" si="8"/>
        <v>ok</v>
      </c>
      <c r="AA56" s="48">
        <v>439</v>
      </c>
      <c r="AB56" s="48">
        <v>400</v>
      </c>
      <c r="AC56" s="71">
        <f t="shared" si="9"/>
        <v>39</v>
      </c>
      <c r="AD56" s="46" t="str">
        <f t="shared" si="10"/>
        <v>ok</v>
      </c>
      <c r="AE56" s="4" t="s">
        <v>132</v>
      </c>
      <c r="AF56" s="4" t="s">
        <v>115</v>
      </c>
      <c r="AG56" s="69" t="str">
        <f t="shared" si="11"/>
        <v>Sehr geehrte Frau Maechler</v>
      </c>
      <c r="AH56" s="46" t="str">
        <f t="shared" si="12"/>
        <v>ok</v>
      </c>
      <c r="AI56" s="69" t="str">
        <f t="shared" si="13"/>
        <v>Liebe Ramona</v>
      </c>
      <c r="AJ56" s="46" t="str">
        <f t="shared" si="14"/>
        <v>ok</v>
      </c>
      <c r="AK56" s="69" t="str">
        <f t="shared" si="15"/>
        <v>Sehr geehrte Frau Maechler</v>
      </c>
      <c r="AL56" s="46" t="str">
        <f t="shared" si="25"/>
        <v>ok</v>
      </c>
      <c r="AM56" s="70" t="s">
        <v>114</v>
      </c>
      <c r="AN56" s="68" t="str">
        <f t="shared" si="16"/>
        <v>Rechnungsbetrag</v>
      </c>
      <c r="AO56" s="47" t="str">
        <f t="shared" si="17"/>
        <v>ok</v>
      </c>
    </row>
    <row r="57" spans="1:41" x14ac:dyDescent="0.25">
      <c r="A57" s="4">
        <v>21</v>
      </c>
      <c r="B57" s="4" t="s">
        <v>147</v>
      </c>
      <c r="C57" s="4" t="s">
        <v>146</v>
      </c>
      <c r="D57" s="69" t="str">
        <f t="shared" si="18"/>
        <v>L.</v>
      </c>
      <c r="E57" s="46" t="str">
        <f t="shared" si="0"/>
        <v>ok</v>
      </c>
      <c r="F57" s="69" t="str">
        <f t="shared" si="19"/>
        <v>L.Maechler</v>
      </c>
      <c r="G57" s="46" t="str">
        <f t="shared" si="1"/>
        <v>ok</v>
      </c>
      <c r="H57" s="4" t="s">
        <v>141</v>
      </c>
      <c r="I57" s="4">
        <v>8854</v>
      </c>
      <c r="J57" s="4" t="s">
        <v>145</v>
      </c>
      <c r="K57" s="4" t="s">
        <v>31</v>
      </c>
      <c r="L57" s="69" t="str">
        <f t="shared" si="20"/>
        <v>CH-8854 Siebnen</v>
      </c>
      <c r="M57" s="46" t="str">
        <f t="shared" si="2"/>
        <v>ok</v>
      </c>
      <c r="N57" s="4"/>
      <c r="O57" s="69" t="str">
        <f t="shared" si="3"/>
        <v>Keine</v>
      </c>
      <c r="P57" s="46" t="str">
        <f t="shared" si="4"/>
        <v>ok</v>
      </c>
      <c r="Q57" s="69" t="str">
        <f t="shared" si="21"/>
        <v>luisa.maechler@bzu.ch</v>
      </c>
      <c r="R57" s="46" t="str">
        <f t="shared" si="5"/>
        <v>ok</v>
      </c>
      <c r="S57" s="4" t="s">
        <v>144</v>
      </c>
      <c r="T57" s="4" t="s">
        <v>106</v>
      </c>
      <c r="U57" s="69">
        <f t="shared" si="22"/>
        <v>1</v>
      </c>
      <c r="V57" s="46" t="str">
        <f t="shared" si="6"/>
        <v>ok</v>
      </c>
      <c r="W57" s="69">
        <f t="shared" si="23"/>
        <v>0</v>
      </c>
      <c r="X57" s="46" t="str">
        <f t="shared" si="7"/>
        <v>ok</v>
      </c>
      <c r="Y57" s="69" t="str">
        <f t="shared" si="24"/>
        <v/>
      </c>
      <c r="Z57" s="46" t="str">
        <f t="shared" si="8"/>
        <v>ok</v>
      </c>
      <c r="AA57" s="48">
        <v>32.5</v>
      </c>
      <c r="AB57" s="48">
        <v>0</v>
      </c>
      <c r="AC57" s="71">
        <f t="shared" si="9"/>
        <v>32.5</v>
      </c>
      <c r="AD57" s="46" t="str">
        <f t="shared" si="10"/>
        <v>ok</v>
      </c>
      <c r="AE57" s="4" t="s">
        <v>132</v>
      </c>
      <c r="AF57" s="4" t="s">
        <v>106</v>
      </c>
      <c r="AG57" s="69" t="str">
        <f t="shared" si="11"/>
        <v>Sehr geehrte Frau Maechler</v>
      </c>
      <c r="AH57" s="46" t="str">
        <f t="shared" si="12"/>
        <v>ok</v>
      </c>
      <c r="AI57" s="69" t="str">
        <f t="shared" si="13"/>
        <v>Liebe Luisa</v>
      </c>
      <c r="AJ57" s="46" t="str">
        <f t="shared" si="14"/>
        <v>ok</v>
      </c>
      <c r="AK57" s="69" t="str">
        <f t="shared" si="15"/>
        <v>Liebe Luisa</v>
      </c>
      <c r="AL57" s="46" t="str">
        <f t="shared" si="25"/>
        <v>ok</v>
      </c>
      <c r="AM57" s="70" t="s">
        <v>105</v>
      </c>
      <c r="AN57" s="68" t="str">
        <f t="shared" si="16"/>
        <v>Ort</v>
      </c>
      <c r="AO57" s="47" t="str">
        <f t="shared" si="17"/>
        <v>ok</v>
      </c>
    </row>
    <row r="58" spans="1:41" x14ac:dyDescent="0.25">
      <c r="A58" s="4">
        <v>22</v>
      </c>
      <c r="B58" s="4" t="s">
        <v>143</v>
      </c>
      <c r="C58" s="4" t="s">
        <v>142</v>
      </c>
      <c r="D58" s="69" t="str">
        <f t="shared" si="18"/>
        <v>P.</v>
      </c>
      <c r="E58" s="46" t="str">
        <f t="shared" si="0"/>
        <v>ok</v>
      </c>
      <c r="F58" s="69" t="str">
        <f t="shared" si="19"/>
        <v>P.Diethelm</v>
      </c>
      <c r="G58" s="46" t="str">
        <f t="shared" si="1"/>
        <v>ok</v>
      </c>
      <c r="H58" s="4" t="s">
        <v>141</v>
      </c>
      <c r="I58" s="4">
        <v>8863</v>
      </c>
      <c r="J58" s="4" t="s">
        <v>140</v>
      </c>
      <c r="K58" s="4" t="s">
        <v>31</v>
      </c>
      <c r="L58" s="69" t="str">
        <f t="shared" si="20"/>
        <v>CH-8863 Buttikon</v>
      </c>
      <c r="M58" s="46" t="str">
        <f t="shared" si="2"/>
        <v>ok</v>
      </c>
      <c r="N58" s="4"/>
      <c r="O58" s="69" t="str">
        <f t="shared" si="3"/>
        <v>Keine</v>
      </c>
      <c r="P58" s="46" t="str">
        <f t="shared" si="4"/>
        <v>ok</v>
      </c>
      <c r="Q58" s="69" t="str">
        <f t="shared" si="21"/>
        <v>paula.diethelm@bzu.ch</v>
      </c>
      <c r="R58" s="46" t="str">
        <f t="shared" si="5"/>
        <v>ok</v>
      </c>
      <c r="S58" s="4" t="s">
        <v>139</v>
      </c>
      <c r="T58" s="4" t="s">
        <v>115</v>
      </c>
      <c r="U58" s="69">
        <f t="shared" si="22"/>
        <v>0</v>
      </c>
      <c r="V58" s="46" t="str">
        <f t="shared" si="6"/>
        <v>ok</v>
      </c>
      <c r="W58" s="69">
        <f t="shared" si="23"/>
        <v>1</v>
      </c>
      <c r="X58" s="46" t="str">
        <f t="shared" si="7"/>
        <v>ok</v>
      </c>
      <c r="Y58" s="69" t="str">
        <f t="shared" si="24"/>
        <v>paula.diethelm@bzu.ch</v>
      </c>
      <c r="Z58" s="46" t="str">
        <f t="shared" si="8"/>
        <v>ok</v>
      </c>
      <c r="AA58" s="48">
        <v>53</v>
      </c>
      <c r="AB58" s="48">
        <v>0</v>
      </c>
      <c r="AC58" s="71">
        <f t="shared" si="9"/>
        <v>53</v>
      </c>
      <c r="AD58" s="46" t="str">
        <f t="shared" si="10"/>
        <v>ok</v>
      </c>
      <c r="AE58" s="4" t="s">
        <v>132</v>
      </c>
      <c r="AF58" s="4" t="s">
        <v>115</v>
      </c>
      <c r="AG58" s="69" t="str">
        <f t="shared" si="11"/>
        <v>Sehr geehrte Frau Diethelm</v>
      </c>
      <c r="AH58" s="46" t="str">
        <f t="shared" si="12"/>
        <v>ok</v>
      </c>
      <c r="AI58" s="69" t="str">
        <f t="shared" si="13"/>
        <v>Liebe Paula</v>
      </c>
      <c r="AJ58" s="46" t="str">
        <f t="shared" si="14"/>
        <v>ok</v>
      </c>
      <c r="AK58" s="69" t="str">
        <f t="shared" si="15"/>
        <v>Sehr geehrte Frau Diethelm</v>
      </c>
      <c r="AL58" s="46" t="str">
        <f t="shared" si="25"/>
        <v>ok</v>
      </c>
      <c r="AM58" s="70" t="s">
        <v>120</v>
      </c>
      <c r="AN58" s="68" t="str">
        <f t="shared" si="16"/>
        <v>Offener Betrag</v>
      </c>
      <c r="AO58" s="47" t="str">
        <f t="shared" si="17"/>
        <v>ok</v>
      </c>
    </row>
    <row r="59" spans="1:41" x14ac:dyDescent="0.25">
      <c r="A59" s="4">
        <v>23</v>
      </c>
      <c r="B59" s="4" t="s">
        <v>138</v>
      </c>
      <c r="C59" s="4" t="s">
        <v>137</v>
      </c>
      <c r="D59" s="69" t="str">
        <f t="shared" si="18"/>
        <v>P.</v>
      </c>
      <c r="E59" s="46" t="str">
        <f t="shared" si="0"/>
        <v>ok</v>
      </c>
      <c r="F59" s="69" t="str">
        <f t="shared" si="19"/>
        <v>P.Maeder</v>
      </c>
      <c r="G59" s="46" t="str">
        <f t="shared" si="1"/>
        <v>ok</v>
      </c>
      <c r="H59" s="4" t="s">
        <v>136</v>
      </c>
      <c r="I59" s="4">
        <v>8807</v>
      </c>
      <c r="J59" s="4" t="s">
        <v>135</v>
      </c>
      <c r="K59" s="4" t="s">
        <v>31</v>
      </c>
      <c r="L59" s="69" t="str">
        <f t="shared" si="20"/>
        <v>CH-8807 Freienbach</v>
      </c>
      <c r="M59" s="46" t="str">
        <f t="shared" si="2"/>
        <v>ok</v>
      </c>
      <c r="N59" s="4" t="s">
        <v>134</v>
      </c>
      <c r="O59" s="69" t="str">
        <f t="shared" si="3"/>
        <v>gmail.ch</v>
      </c>
      <c r="P59" s="46" t="str">
        <f t="shared" si="4"/>
        <v>ok</v>
      </c>
      <c r="Q59" s="69" t="str">
        <f t="shared" si="21"/>
        <v>pia.maeder@bzu.ch</v>
      </c>
      <c r="R59" s="46" t="str">
        <f t="shared" si="5"/>
        <v>ok</v>
      </c>
      <c r="S59" s="4" t="s">
        <v>133</v>
      </c>
      <c r="T59" s="4" t="s">
        <v>115</v>
      </c>
      <c r="U59" s="69">
        <f t="shared" si="22"/>
        <v>0</v>
      </c>
      <c r="V59" s="46" t="str">
        <f t="shared" si="6"/>
        <v>ok</v>
      </c>
      <c r="W59" s="69">
        <f t="shared" si="23"/>
        <v>1</v>
      </c>
      <c r="X59" s="46" t="str">
        <f t="shared" si="7"/>
        <v>ok</v>
      </c>
      <c r="Y59" s="69" t="str">
        <f t="shared" si="24"/>
        <v>pia.maeder@gmail.ch</v>
      </c>
      <c r="Z59" s="46" t="str">
        <f t="shared" si="8"/>
        <v>ok</v>
      </c>
      <c r="AA59" s="48">
        <v>15.7</v>
      </c>
      <c r="AB59" s="48">
        <v>0</v>
      </c>
      <c r="AC59" s="71">
        <f t="shared" si="9"/>
        <v>15.7</v>
      </c>
      <c r="AD59" s="46" t="str">
        <f t="shared" si="10"/>
        <v>ok</v>
      </c>
      <c r="AE59" s="4" t="s">
        <v>132</v>
      </c>
      <c r="AF59" s="4" t="s">
        <v>106</v>
      </c>
      <c r="AG59" s="69" t="str">
        <f t="shared" si="11"/>
        <v>Sehr geehrte Frau Maeder</v>
      </c>
      <c r="AH59" s="46" t="str">
        <f t="shared" si="12"/>
        <v>ok</v>
      </c>
      <c r="AI59" s="69" t="str">
        <f t="shared" si="13"/>
        <v>Liebe pia</v>
      </c>
      <c r="AJ59" s="46" t="str">
        <f t="shared" si="14"/>
        <v>ok</v>
      </c>
      <c r="AK59" s="69" t="str">
        <f t="shared" si="15"/>
        <v>Liebe pia</v>
      </c>
      <c r="AL59" s="46" t="str">
        <f t="shared" si="25"/>
        <v>ok</v>
      </c>
      <c r="AM59" s="70" t="s">
        <v>114</v>
      </c>
      <c r="AN59" s="68" t="str">
        <f t="shared" si="16"/>
        <v>Rechnungsbetrag</v>
      </c>
      <c r="AO59" s="47" t="str">
        <f t="shared" si="17"/>
        <v>ok</v>
      </c>
    </row>
    <row r="60" spans="1:41" x14ac:dyDescent="0.25">
      <c r="A60" s="4">
        <v>24</v>
      </c>
      <c r="B60" s="4" t="s">
        <v>127</v>
      </c>
      <c r="C60" s="4" t="s">
        <v>131</v>
      </c>
      <c r="D60" s="69" t="str">
        <f t="shared" si="18"/>
        <v>P.</v>
      </c>
      <c r="E60" s="46" t="str">
        <f t="shared" si="0"/>
        <v>ok</v>
      </c>
      <c r="F60" s="69" t="str">
        <f t="shared" si="19"/>
        <v>P.Mannhart</v>
      </c>
      <c r="G60" s="46" t="str">
        <f t="shared" si="1"/>
        <v>ok</v>
      </c>
      <c r="H60" s="4" t="s">
        <v>130</v>
      </c>
      <c r="I60" s="4">
        <v>8708</v>
      </c>
      <c r="J60" s="4" t="s">
        <v>129</v>
      </c>
      <c r="K60" s="4" t="s">
        <v>31</v>
      </c>
      <c r="L60" s="69" t="str">
        <f t="shared" si="20"/>
        <v>CH-8708 Männedorf</v>
      </c>
      <c r="M60" s="46" t="str">
        <f t="shared" si="2"/>
        <v>ok</v>
      </c>
      <c r="N60" s="4" t="s">
        <v>128</v>
      </c>
      <c r="O60" s="69" t="str">
        <f t="shared" si="3"/>
        <v>gmail.ch</v>
      </c>
      <c r="P60" s="46" t="str">
        <f t="shared" si="4"/>
        <v>ok</v>
      </c>
      <c r="Q60" s="69" t="str">
        <f t="shared" si="21"/>
        <v>pius.mannhart@bzu.ch</v>
      </c>
      <c r="R60" s="46" t="str">
        <f t="shared" si="5"/>
        <v>ok</v>
      </c>
      <c r="S60" s="4" t="s">
        <v>122</v>
      </c>
      <c r="T60" s="4" t="s">
        <v>106</v>
      </c>
      <c r="U60" s="69">
        <f t="shared" si="22"/>
        <v>1</v>
      </c>
      <c r="V60" s="46" t="str">
        <f t="shared" si="6"/>
        <v>ok</v>
      </c>
      <c r="W60" s="69">
        <f t="shared" si="23"/>
        <v>0</v>
      </c>
      <c r="X60" s="46" t="str">
        <f t="shared" si="7"/>
        <v>ok</v>
      </c>
      <c r="Y60" s="69" t="str">
        <f t="shared" si="24"/>
        <v/>
      </c>
      <c r="Z60" s="46" t="str">
        <f t="shared" si="8"/>
        <v>ok</v>
      </c>
      <c r="AA60" s="48">
        <v>68</v>
      </c>
      <c r="AB60" s="48">
        <v>0</v>
      </c>
      <c r="AC60" s="71">
        <f t="shared" si="9"/>
        <v>68</v>
      </c>
      <c r="AD60" s="46" t="str">
        <f t="shared" si="10"/>
        <v>ok</v>
      </c>
      <c r="AE60" s="4" t="s">
        <v>107</v>
      </c>
      <c r="AF60" s="4" t="s">
        <v>115</v>
      </c>
      <c r="AG60" s="69" t="str">
        <f t="shared" si="11"/>
        <v>Sehr geehrter Herr Mannhart</v>
      </c>
      <c r="AH60" s="46" t="str">
        <f t="shared" si="12"/>
        <v>ok</v>
      </c>
      <c r="AI60" s="69" t="str">
        <f t="shared" si="13"/>
        <v>Lieber Pius</v>
      </c>
      <c r="AJ60" s="46" t="str">
        <f t="shared" si="14"/>
        <v>ok</v>
      </c>
      <c r="AK60" s="69" t="str">
        <f t="shared" si="15"/>
        <v>Sehr geehrter Herr Mannhart</v>
      </c>
      <c r="AL60" s="46" t="str">
        <f t="shared" si="25"/>
        <v>ok</v>
      </c>
      <c r="AM60" s="70" t="s">
        <v>105</v>
      </c>
      <c r="AN60" s="68" t="str">
        <f t="shared" si="16"/>
        <v>Ort</v>
      </c>
      <c r="AO60" s="47" t="str">
        <f t="shared" si="17"/>
        <v>ok</v>
      </c>
    </row>
    <row r="61" spans="1:41" x14ac:dyDescent="0.25">
      <c r="A61" s="4">
        <v>25</v>
      </c>
      <c r="B61" s="4" t="s">
        <v>127</v>
      </c>
      <c r="C61" s="4" t="s">
        <v>126</v>
      </c>
      <c r="D61" s="69" t="str">
        <f t="shared" si="18"/>
        <v>M.</v>
      </c>
      <c r="E61" s="46" t="str">
        <f t="shared" si="0"/>
        <v>ok</v>
      </c>
      <c r="F61" s="69" t="str">
        <f t="shared" si="19"/>
        <v>M.Mannhart</v>
      </c>
      <c r="G61" s="46" t="str">
        <f t="shared" si="1"/>
        <v>ok</v>
      </c>
      <c r="H61" s="4" t="s">
        <v>125</v>
      </c>
      <c r="I61" s="4">
        <v>8708</v>
      </c>
      <c r="J61" s="4" t="s">
        <v>124</v>
      </c>
      <c r="K61" s="4" t="s">
        <v>31</v>
      </c>
      <c r="L61" s="69" t="str">
        <f t="shared" si="20"/>
        <v>CH-8708 Maennedorf</v>
      </c>
      <c r="M61" s="46" t="str">
        <f t="shared" si="2"/>
        <v>ok</v>
      </c>
      <c r="N61" s="4" t="s">
        <v>123</v>
      </c>
      <c r="O61" s="69" t="str">
        <f t="shared" si="3"/>
        <v>novatrend.ch</v>
      </c>
      <c r="P61" s="46" t="str">
        <f t="shared" si="4"/>
        <v>ok</v>
      </c>
      <c r="Q61" s="69" t="str">
        <f t="shared" si="21"/>
        <v>mia.mannhart@bzu.ch</v>
      </c>
      <c r="R61" s="46" t="str">
        <f t="shared" si="5"/>
        <v>ok</v>
      </c>
      <c r="S61" s="4" t="s">
        <v>122</v>
      </c>
      <c r="T61" s="4" t="s">
        <v>106</v>
      </c>
      <c r="U61" s="69">
        <f t="shared" si="22"/>
        <v>1</v>
      </c>
      <c r="V61" s="46" t="str">
        <f t="shared" si="6"/>
        <v>ok</v>
      </c>
      <c r="W61" s="69">
        <f t="shared" si="23"/>
        <v>0</v>
      </c>
      <c r="X61" s="46" t="str">
        <f t="shared" si="7"/>
        <v>ok</v>
      </c>
      <c r="Y61" s="69" t="str">
        <f t="shared" si="24"/>
        <v/>
      </c>
      <c r="Z61" s="46" t="str">
        <f t="shared" si="8"/>
        <v>ok</v>
      </c>
      <c r="AA61" s="48">
        <v>658</v>
      </c>
      <c r="AB61" s="48">
        <v>470</v>
      </c>
      <c r="AC61" s="71">
        <f t="shared" si="9"/>
        <v>188</v>
      </c>
      <c r="AD61" s="46" t="str">
        <f t="shared" si="10"/>
        <v>ok</v>
      </c>
      <c r="AE61" s="4" t="s">
        <v>121</v>
      </c>
      <c r="AF61" s="4" t="s">
        <v>106</v>
      </c>
      <c r="AG61" s="69" t="str">
        <f t="shared" si="11"/>
        <v>Sehr geehrte Familie Mannhart</v>
      </c>
      <c r="AH61" s="46" t="str">
        <f t="shared" si="12"/>
        <v>ok</v>
      </c>
      <c r="AI61" s="69" t="str">
        <f t="shared" si="13"/>
        <v>Liebe Familie Mannhart</v>
      </c>
      <c r="AJ61" s="46" t="str">
        <f t="shared" si="14"/>
        <v>ok</v>
      </c>
      <c r="AK61" s="69" t="str">
        <f t="shared" si="15"/>
        <v>Liebe Familie Mannhart</v>
      </c>
      <c r="AL61" s="46" t="str">
        <f t="shared" si="25"/>
        <v>ok</v>
      </c>
      <c r="AM61" s="70" t="s">
        <v>120</v>
      </c>
      <c r="AN61" s="68" t="str">
        <f t="shared" si="16"/>
        <v>Offener Betrag</v>
      </c>
      <c r="AO61" s="47" t="str">
        <f t="shared" si="17"/>
        <v>ok</v>
      </c>
    </row>
    <row r="62" spans="1:41" x14ac:dyDescent="0.25">
      <c r="A62" s="4">
        <v>26</v>
      </c>
      <c r="B62" s="4" t="s">
        <v>113</v>
      </c>
      <c r="C62" s="4" t="s">
        <v>119</v>
      </c>
      <c r="D62" s="69" t="str">
        <f t="shared" si="18"/>
        <v>P.</v>
      </c>
      <c r="E62" s="46" t="str">
        <f t="shared" si="0"/>
        <v>ok</v>
      </c>
      <c r="F62" s="69" t="str">
        <f t="shared" si="19"/>
        <v>P.Marty</v>
      </c>
      <c r="G62" s="46" t="str">
        <f t="shared" si="1"/>
        <v>ok</v>
      </c>
      <c r="H62" s="4" t="s">
        <v>118</v>
      </c>
      <c r="I62" s="4">
        <v>8853</v>
      </c>
      <c r="J62" s="4" t="s">
        <v>117</v>
      </c>
      <c r="K62" s="4" t="s">
        <v>31</v>
      </c>
      <c r="L62" s="69" t="str">
        <f t="shared" si="20"/>
        <v>CH-8853 Lachen</v>
      </c>
      <c r="M62" s="46" t="str">
        <f t="shared" si="2"/>
        <v>ok</v>
      </c>
      <c r="N62" s="4"/>
      <c r="O62" s="69" t="str">
        <f t="shared" si="3"/>
        <v>Keine</v>
      </c>
      <c r="P62" s="46" t="str">
        <f t="shared" si="4"/>
        <v>ok</v>
      </c>
      <c r="Q62" s="69" t="str">
        <f t="shared" si="21"/>
        <v>philippe.marty@bzu.ch</v>
      </c>
      <c r="R62" s="46" t="str">
        <f t="shared" si="5"/>
        <v>ok</v>
      </c>
      <c r="S62" s="4" t="s">
        <v>116</v>
      </c>
      <c r="T62" s="4" t="s">
        <v>106</v>
      </c>
      <c r="U62" s="69">
        <f t="shared" si="22"/>
        <v>1</v>
      </c>
      <c r="V62" s="46" t="str">
        <f t="shared" si="6"/>
        <v>ok</v>
      </c>
      <c r="W62" s="69">
        <f t="shared" si="23"/>
        <v>0</v>
      </c>
      <c r="X62" s="46" t="str">
        <f t="shared" si="7"/>
        <v>ok</v>
      </c>
      <c r="Y62" s="69" t="str">
        <f t="shared" si="24"/>
        <v/>
      </c>
      <c r="Z62" s="46" t="str">
        <f t="shared" si="8"/>
        <v>ok</v>
      </c>
      <c r="AA62" s="48">
        <v>7.4</v>
      </c>
      <c r="AB62" s="48">
        <v>0</v>
      </c>
      <c r="AC62" s="71">
        <f t="shared" si="9"/>
        <v>7.4</v>
      </c>
      <c r="AD62" s="46" t="str">
        <f t="shared" si="10"/>
        <v>ok</v>
      </c>
      <c r="AE62" s="4" t="s">
        <v>107</v>
      </c>
      <c r="AF62" s="4" t="s">
        <v>115</v>
      </c>
      <c r="AG62" s="69" t="str">
        <f t="shared" si="11"/>
        <v>Sehr geehrter Herr Marty</v>
      </c>
      <c r="AH62" s="46" t="str">
        <f t="shared" si="12"/>
        <v>ok</v>
      </c>
      <c r="AI62" s="69" t="str">
        <f t="shared" si="13"/>
        <v>Lieber Philippe</v>
      </c>
      <c r="AJ62" s="46" t="str">
        <f t="shared" si="14"/>
        <v>ok</v>
      </c>
      <c r="AK62" s="69" t="str">
        <f t="shared" si="15"/>
        <v>Sehr geehrter Herr Marty</v>
      </c>
      <c r="AL62" s="46" t="str">
        <f t="shared" si="25"/>
        <v>ok</v>
      </c>
      <c r="AM62" s="70" t="s">
        <v>114</v>
      </c>
      <c r="AN62" s="68" t="str">
        <f t="shared" si="16"/>
        <v>Rechnungsbetrag</v>
      </c>
      <c r="AO62" s="47" t="str">
        <f t="shared" si="17"/>
        <v>ok</v>
      </c>
    </row>
    <row r="63" spans="1:41" ht="15.75" thickBot="1" x14ac:dyDescent="0.3">
      <c r="A63" s="4">
        <v>27</v>
      </c>
      <c r="B63" s="4" t="s">
        <v>113</v>
      </c>
      <c r="C63" s="4" t="s">
        <v>112</v>
      </c>
      <c r="D63" s="69" t="str">
        <f t="shared" si="18"/>
        <v>P.</v>
      </c>
      <c r="E63" s="46" t="str">
        <f t="shared" si="0"/>
        <v>ok</v>
      </c>
      <c r="F63" s="69" t="str">
        <f t="shared" si="19"/>
        <v>P.Marty</v>
      </c>
      <c r="G63" s="46" t="str">
        <f t="shared" si="1"/>
        <v>ok</v>
      </c>
      <c r="H63" s="4" t="s">
        <v>111</v>
      </c>
      <c r="I63" s="4">
        <v>8852</v>
      </c>
      <c r="J63" s="4" t="s">
        <v>110</v>
      </c>
      <c r="K63" s="4" t="s">
        <v>31</v>
      </c>
      <c r="L63" s="69" t="str">
        <f t="shared" si="20"/>
        <v>CH-8852 Altendorf</v>
      </c>
      <c r="M63" s="46" t="str">
        <f t="shared" si="2"/>
        <v>ok</v>
      </c>
      <c r="N63" s="4" t="s">
        <v>109</v>
      </c>
      <c r="O63" s="69" t="str">
        <f t="shared" si="3"/>
        <v>gmail.ch</v>
      </c>
      <c r="P63" s="46" t="str">
        <f t="shared" si="4"/>
        <v>ok</v>
      </c>
      <c r="Q63" s="69" t="str">
        <f t="shared" si="21"/>
        <v>peter.marty@bzu.ch</v>
      </c>
      <c r="R63" s="46" t="str">
        <f t="shared" si="5"/>
        <v>ok</v>
      </c>
      <c r="S63" s="4" t="s">
        <v>108</v>
      </c>
      <c r="T63" s="4" t="s">
        <v>106</v>
      </c>
      <c r="U63" s="72">
        <f t="shared" si="22"/>
        <v>1</v>
      </c>
      <c r="V63" s="46" t="str">
        <f t="shared" si="6"/>
        <v>ok</v>
      </c>
      <c r="W63" s="72">
        <f t="shared" si="23"/>
        <v>0</v>
      </c>
      <c r="X63" s="77" t="str">
        <f t="shared" si="7"/>
        <v>ok</v>
      </c>
      <c r="Y63" s="69" t="str">
        <f t="shared" si="24"/>
        <v/>
      </c>
      <c r="Z63" s="75" t="str">
        <f t="shared" si="8"/>
        <v>ok</v>
      </c>
      <c r="AA63" s="78">
        <v>4.8</v>
      </c>
      <c r="AB63" s="78">
        <v>0</v>
      </c>
      <c r="AC63" s="74">
        <f t="shared" si="9"/>
        <v>4.8</v>
      </c>
      <c r="AD63" s="46" t="str">
        <f t="shared" si="10"/>
        <v>ok</v>
      </c>
      <c r="AE63" s="4" t="s">
        <v>107</v>
      </c>
      <c r="AF63" s="4" t="s">
        <v>106</v>
      </c>
      <c r="AG63" s="69" t="str">
        <f t="shared" si="11"/>
        <v>Sehr geehrter Herr Marty</v>
      </c>
      <c r="AH63" s="46" t="str">
        <f t="shared" si="12"/>
        <v>ok</v>
      </c>
      <c r="AI63" s="69" t="str">
        <f t="shared" si="13"/>
        <v>Lieber Peter</v>
      </c>
      <c r="AJ63" s="46" t="str">
        <f t="shared" si="14"/>
        <v>ok</v>
      </c>
      <c r="AK63" s="69" t="str">
        <f t="shared" si="15"/>
        <v>Lieber Peter</v>
      </c>
      <c r="AL63" s="46" t="str">
        <f t="shared" si="25"/>
        <v>ok</v>
      </c>
      <c r="AM63" s="70" t="s">
        <v>105</v>
      </c>
      <c r="AN63" s="69" t="str">
        <f t="shared" si="16"/>
        <v>Ort</v>
      </c>
      <c r="AO63" s="46" t="str">
        <f t="shared" si="17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6" t="str">
        <f>IF(U64="","--",IF(U64=17,"ok","nok"))</f>
        <v>ok</v>
      </c>
      <c r="W64" s="80">
        <f>SUM(W37:W63)</f>
        <v>10</v>
      </c>
      <c r="X64" s="46" t="str">
        <f>IF(W64="","--",IF(W64=10,"ok","nok"))</f>
        <v>ok</v>
      </c>
      <c r="Y64" s="35"/>
      <c r="Z64" s="46" t="str">
        <f>IF(AA64="","--",IF(EqualsWithinTolerance(AA64,4598.82,1),"ok","nok"))</f>
        <v>ok</v>
      </c>
      <c r="AA64" s="81">
        <f>SUM(AA37:AA63)</f>
        <v>4598.82</v>
      </c>
      <c r="AB64" s="79">
        <f>SUM(AB37:AB63)</f>
        <v>1508.5</v>
      </c>
      <c r="AC64" s="79">
        <f>SUM(AC37:AC63)</f>
        <v>3090.32</v>
      </c>
      <c r="AD64" s="75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3">
        <f>COUNTIFS(E37:E63,"ok")</f>
        <v>27</v>
      </c>
      <c r="F65" s="35"/>
      <c r="G65" s="73">
        <f>COUNTIFS(G37:G63,"ok")</f>
        <v>27</v>
      </c>
      <c r="H65" s="35"/>
      <c r="I65" s="35"/>
      <c r="J65" s="35"/>
      <c r="K65" s="35"/>
      <c r="L65" s="35"/>
      <c r="M65" s="73">
        <f>COUNTIFS(M37:M63,"ok")</f>
        <v>27</v>
      </c>
      <c r="N65" s="35"/>
      <c r="O65" s="35"/>
      <c r="P65" s="73">
        <f>COUNTIFS(P37:P63,"ok")</f>
        <v>27</v>
      </c>
      <c r="Q65" s="35"/>
      <c r="R65" s="73">
        <f>COUNTIFS(R37:R63,"ok")</f>
        <v>27</v>
      </c>
      <c r="S65" s="35"/>
      <c r="T65" s="35"/>
      <c r="U65" s="44"/>
      <c r="V65" s="73">
        <f>COUNTIFS(V37:V64,"ok")</f>
        <v>28</v>
      </c>
      <c r="W65" s="35"/>
      <c r="X65" s="73">
        <f>COUNTIFS(X37:X64,"ok")</f>
        <v>28</v>
      </c>
      <c r="Y65" s="35"/>
      <c r="Z65" s="73">
        <f>COUNTIFS(Z37:Z64,"ok")</f>
        <v>28</v>
      </c>
      <c r="AA65" s="35"/>
      <c r="AB65" s="35"/>
      <c r="AC65" s="35"/>
      <c r="AD65" s="73">
        <f>COUNTIFS(AD37:AD64,"ok")</f>
        <v>28</v>
      </c>
      <c r="AE65" s="35"/>
      <c r="AF65" s="35"/>
      <c r="AG65" s="35"/>
      <c r="AH65" s="73">
        <f>COUNTIFS(AH37:AH64,"ok")</f>
        <v>28</v>
      </c>
      <c r="AI65" s="35"/>
      <c r="AJ65" s="73">
        <f>COUNTIFS(AJ37:AJ64,"ok")</f>
        <v>27</v>
      </c>
      <c r="AK65" s="35"/>
      <c r="AL65" s="73">
        <f>COUNTIFS(AL37:AL64,"ok")</f>
        <v>27</v>
      </c>
      <c r="AM65" s="35"/>
      <c r="AN65" s="35"/>
      <c r="AO65" s="73">
        <f>COUNTIFS(AO37:AO63,"ok")</f>
        <v>27</v>
      </c>
    </row>
    <row r="66" spans="1:41" x14ac:dyDescent="0.25">
      <c r="A66" s="35"/>
      <c r="B66" s="35"/>
      <c r="C66" s="35"/>
      <c r="D66" s="35"/>
      <c r="E66" s="73">
        <f>COUNTIFS(E37:E63,"nok")</f>
        <v>0</v>
      </c>
      <c r="F66" s="35"/>
      <c r="G66" s="73">
        <f>COUNTIFS(G37:G63,"nok")</f>
        <v>0</v>
      </c>
      <c r="H66" s="35"/>
      <c r="I66" s="35"/>
      <c r="J66" s="35"/>
      <c r="K66" s="35"/>
      <c r="L66" s="35"/>
      <c r="M66" s="73">
        <f>COUNTIFS(M37:M63,"nok")</f>
        <v>0</v>
      </c>
      <c r="N66" s="35"/>
      <c r="O66" s="35"/>
      <c r="P66" s="73">
        <f>COUNTIFS(P37:P63,"nok")</f>
        <v>0</v>
      </c>
      <c r="Q66" s="35"/>
      <c r="R66" s="73">
        <f>COUNTIFS(R37:R63,"nok")</f>
        <v>0</v>
      </c>
      <c r="S66" s="35"/>
      <c r="T66" s="35"/>
      <c r="U66" s="35"/>
      <c r="V66" s="73">
        <f>COUNTIFS(V37:V64,"nok")</f>
        <v>0</v>
      </c>
      <c r="W66" s="35"/>
      <c r="X66" s="73">
        <f>COUNTIFS(X37:X64,"nok")</f>
        <v>0</v>
      </c>
      <c r="Y66" s="35"/>
      <c r="Z66" s="73">
        <f>COUNTIFS(Z37:Z64,"nok")</f>
        <v>0</v>
      </c>
      <c r="AA66" s="35"/>
      <c r="AB66" s="35"/>
      <c r="AC66" s="35"/>
      <c r="AD66" s="73">
        <f>COUNTIFS(AD37:AD64,"nok")</f>
        <v>0</v>
      </c>
      <c r="AE66" s="35"/>
      <c r="AF66" s="35"/>
      <c r="AG66" s="35"/>
      <c r="AH66" s="73">
        <f>COUNTIFS(AH37:AH64,"nok")</f>
        <v>0</v>
      </c>
      <c r="AI66" s="35"/>
      <c r="AJ66" s="73">
        <f>COUNTIFS(AJ37:AJ64,"nok")</f>
        <v>0</v>
      </c>
      <c r="AK66" s="35"/>
      <c r="AL66" s="73">
        <f>COUNTIFS(AL37:AL64,"nok")</f>
        <v>0</v>
      </c>
      <c r="AM66" s="35"/>
      <c r="AN66" s="35"/>
      <c r="AO66" s="73">
        <f>COUNTIFS(AO37:AO63,"nok")</f>
        <v>0</v>
      </c>
    </row>
    <row r="67" spans="1:41" x14ac:dyDescent="0.25">
      <c r="A67" s="35"/>
      <c r="B67" s="35"/>
      <c r="C67" s="35"/>
      <c r="D67" s="35"/>
      <c r="E67" s="73">
        <f>COUNTIFS(E37:E63,"--")</f>
        <v>0</v>
      </c>
      <c r="F67" s="35"/>
      <c r="G67" s="73">
        <f>COUNTIFS(G37:G63,"--")</f>
        <v>0</v>
      </c>
      <c r="H67" s="35"/>
      <c r="I67" s="35"/>
      <c r="J67" s="35"/>
      <c r="K67" s="35"/>
      <c r="L67" s="35"/>
      <c r="M67" s="73">
        <f>COUNTIFS(M37:M63,"--")</f>
        <v>0</v>
      </c>
      <c r="N67" s="35"/>
      <c r="O67" s="35"/>
      <c r="P67" s="73">
        <f>COUNTIFS(P37:P63,"--")</f>
        <v>0</v>
      </c>
      <c r="Q67" s="35"/>
      <c r="R67" s="73">
        <f>COUNTIFS(R37:R63,"--")</f>
        <v>0</v>
      </c>
      <c r="S67" s="35"/>
      <c r="T67" s="35"/>
      <c r="U67" s="35"/>
      <c r="V67" s="73">
        <f>COUNTIFS(V37:V64,"--")</f>
        <v>0</v>
      </c>
      <c r="W67" s="35"/>
      <c r="X67" s="73">
        <f>COUNTIFS(X37:X64,"--")</f>
        <v>0</v>
      </c>
      <c r="Y67" s="35"/>
      <c r="Z67" s="73">
        <f>COUNTIFS(Z37:Z64,"--")</f>
        <v>0</v>
      </c>
      <c r="AA67" s="35"/>
      <c r="AB67" s="35"/>
      <c r="AC67" s="35"/>
      <c r="AD67" s="73">
        <f>COUNTIFS(AD37:AD64,"--")</f>
        <v>0</v>
      </c>
      <c r="AE67" s="35"/>
      <c r="AF67" s="35"/>
      <c r="AG67" s="35"/>
      <c r="AH67" s="73">
        <f>COUNTIFS(AH37:AH64,"--")</f>
        <v>0</v>
      </c>
      <c r="AI67" s="35"/>
      <c r="AJ67" s="73">
        <f>COUNTIFS(AJ37:AJ64,"--")</f>
        <v>0</v>
      </c>
      <c r="AK67" s="35"/>
      <c r="AL67" s="73">
        <f>COUNTIFS(AL37:AL64,"--")</f>
        <v>0</v>
      </c>
      <c r="AM67" s="35"/>
      <c r="AN67" s="35"/>
      <c r="AO67" s="73">
        <f>COUNTIFS(AO37:AO63,"--")</f>
        <v>0</v>
      </c>
    </row>
    <row r="72" spans="1:41" x14ac:dyDescent="0.25">
      <c r="D72" s="44"/>
      <c r="E72" s="44"/>
      <c r="F72" s="44"/>
      <c r="G72" s="44"/>
      <c r="H72" s="44"/>
      <c r="I72" s="44"/>
      <c r="J72" s="44"/>
      <c r="K72" s="44"/>
    </row>
    <row r="73" spans="1:41" ht="18.75" x14ac:dyDescent="0.3">
      <c r="D73" s="44"/>
      <c r="E73" s="118"/>
      <c r="F73" s="44"/>
      <c r="G73" s="44"/>
      <c r="H73" s="44"/>
      <c r="I73" s="44"/>
      <c r="J73" s="44"/>
      <c r="K73" s="44"/>
    </row>
    <row r="74" spans="1:41" x14ac:dyDescent="0.25">
      <c r="D74" s="44"/>
      <c r="E74" s="44"/>
      <c r="F74" s="44"/>
      <c r="G74" s="44"/>
      <c r="H74" s="44"/>
      <c r="I74" s="44"/>
      <c r="J74" s="44"/>
      <c r="K74" s="44"/>
    </row>
    <row r="75" spans="1:41" x14ac:dyDescent="0.25">
      <c r="D75" s="44"/>
      <c r="E75" s="44"/>
      <c r="F75" s="44"/>
      <c r="G75" s="44"/>
      <c r="H75" s="44"/>
      <c r="I75" s="44"/>
      <c r="J75" s="44"/>
      <c r="K75" s="44"/>
    </row>
    <row r="76" spans="1:41" x14ac:dyDescent="0.25">
      <c r="D76" s="44"/>
      <c r="E76" s="44"/>
      <c r="F76" s="44"/>
      <c r="G76" s="44"/>
      <c r="H76" s="44"/>
      <c r="I76" s="44"/>
      <c r="J76" s="44"/>
      <c r="K76" s="44"/>
    </row>
    <row r="77" spans="1:41" x14ac:dyDescent="0.25">
      <c r="D77" s="44"/>
      <c r="E77" s="44"/>
      <c r="F77" s="44"/>
      <c r="G77" s="44"/>
      <c r="H77" s="44"/>
      <c r="I77" s="44"/>
      <c r="J77" s="44"/>
      <c r="K77" s="44"/>
    </row>
    <row r="78" spans="1:41" x14ac:dyDescent="0.25">
      <c r="D78" s="44"/>
      <c r="E78" s="44"/>
      <c r="F78" s="44"/>
      <c r="G78" s="44"/>
      <c r="H78" s="44"/>
      <c r="I78" s="44"/>
      <c r="J78" s="44"/>
      <c r="K78" s="44"/>
    </row>
    <row r="79" spans="1:41" x14ac:dyDescent="0.25">
      <c r="D79" s="44"/>
      <c r="E79" s="44"/>
      <c r="F79" s="44"/>
      <c r="G79" s="44"/>
      <c r="H79" s="44"/>
      <c r="I79" s="44"/>
      <c r="J79" s="44"/>
      <c r="K79" s="44"/>
      <c r="M79" s="44"/>
    </row>
    <row r="80" spans="1:41" x14ac:dyDescent="0.25">
      <c r="D80" s="44"/>
      <c r="E80" s="44"/>
      <c r="F80" s="44"/>
      <c r="G80" s="44"/>
      <c r="H80" s="44"/>
      <c r="I80" s="119"/>
      <c r="J80" s="44"/>
      <c r="K80" s="44"/>
    </row>
    <row r="81" spans="4:11" x14ac:dyDescent="0.25">
      <c r="D81" s="44"/>
      <c r="E81" s="44"/>
      <c r="F81" s="44"/>
      <c r="G81" s="44"/>
      <c r="H81" s="44"/>
      <c r="I81" s="119"/>
      <c r="J81" s="120"/>
      <c r="K81" s="44"/>
    </row>
    <row r="82" spans="4:11" x14ac:dyDescent="0.25">
      <c r="D82" s="44"/>
      <c r="E82" s="44"/>
      <c r="F82" s="44"/>
      <c r="G82" s="44"/>
      <c r="H82" s="44"/>
      <c r="I82" s="44"/>
      <c r="J82" s="44"/>
      <c r="K82" s="44"/>
    </row>
    <row r="83" spans="4:11" x14ac:dyDescent="0.25">
      <c r="D83" s="44"/>
      <c r="E83" s="44"/>
      <c r="F83" s="44"/>
      <c r="G83" s="44"/>
      <c r="H83" s="44"/>
      <c r="I83" s="44"/>
      <c r="J83" s="44"/>
      <c r="K83" s="44"/>
    </row>
  </sheetData>
  <conditionalFormatting sqref="AG37:AG63">
    <cfRule type="expression" dxfId="213" priority="76">
      <formula>AH37="nok"</formula>
    </cfRule>
    <cfRule type="expression" dxfId="212" priority="77">
      <formula>AH37="ok"</formula>
    </cfRule>
    <cfRule type="expression" dxfId="211" priority="78">
      <formula>AH37="--"</formula>
    </cfRule>
  </conditionalFormatting>
  <conditionalFormatting sqref="AI37:AI63">
    <cfRule type="expression" dxfId="210" priority="73">
      <formula>AJ37="nok"</formula>
    </cfRule>
    <cfRule type="expression" dxfId="209" priority="74">
      <formula>AJ37="ok"</formula>
    </cfRule>
    <cfRule type="expression" dxfId="208" priority="75">
      <formula>AJ37="--"</formula>
    </cfRule>
  </conditionalFormatting>
  <conditionalFormatting sqref="AK37:AK63">
    <cfRule type="expression" dxfId="207" priority="70">
      <formula>AL37="nok"</formula>
    </cfRule>
    <cfRule type="expression" dxfId="206" priority="71">
      <formula>AL37="ok"</formula>
    </cfRule>
    <cfRule type="expression" dxfId="205" priority="72">
      <formula>AL37="--"</formula>
    </cfRule>
  </conditionalFormatting>
  <conditionalFormatting sqref="D37:D63">
    <cfRule type="expression" dxfId="204" priority="67">
      <formula>E37="nok"</formula>
    </cfRule>
    <cfRule type="expression" dxfId="203" priority="68">
      <formula>E37="ok"</formula>
    </cfRule>
    <cfRule type="expression" dxfId="202" priority="69">
      <formula>E37="--"</formula>
    </cfRule>
  </conditionalFormatting>
  <conditionalFormatting sqref="F37:F63">
    <cfRule type="expression" dxfId="201" priority="64">
      <formula>G37="nok"</formula>
    </cfRule>
    <cfRule type="expression" dxfId="200" priority="65">
      <formula>G37="ok"</formula>
    </cfRule>
    <cfRule type="expression" dxfId="199" priority="66">
      <formula>G37="--"</formula>
    </cfRule>
  </conditionalFormatting>
  <conditionalFormatting sqref="L37:L63">
    <cfRule type="expression" dxfId="198" priority="61">
      <formula>M37="nok"</formula>
    </cfRule>
    <cfRule type="expression" dxfId="197" priority="62">
      <formula>M37="ok"</formula>
    </cfRule>
    <cfRule type="expression" dxfId="196" priority="63">
      <formula>M37="--"</formula>
    </cfRule>
  </conditionalFormatting>
  <conditionalFormatting sqref="O37:O63">
    <cfRule type="expression" dxfId="195" priority="58">
      <formula>P37="nok"</formula>
    </cfRule>
    <cfRule type="expression" dxfId="194" priority="59">
      <formula>P37="ok"</formula>
    </cfRule>
    <cfRule type="expression" dxfId="193" priority="60">
      <formula>P37="--"</formula>
    </cfRule>
  </conditionalFormatting>
  <conditionalFormatting sqref="Q37:Q63">
    <cfRule type="expression" dxfId="192" priority="55">
      <formula>R37="nok"</formula>
    </cfRule>
    <cfRule type="expression" dxfId="191" priority="56">
      <formula>R37="ok"</formula>
    </cfRule>
    <cfRule type="expression" dxfId="190" priority="57">
      <formula>R37="--"</formula>
    </cfRule>
  </conditionalFormatting>
  <conditionalFormatting sqref="U37:U63">
    <cfRule type="expression" dxfId="189" priority="52">
      <formula>V37="nok"</formula>
    </cfRule>
    <cfRule type="expression" dxfId="188" priority="53">
      <formula>V37="ok"</formula>
    </cfRule>
    <cfRule type="expression" dxfId="187" priority="54">
      <formula>V37="--"</formula>
    </cfRule>
  </conditionalFormatting>
  <conditionalFormatting sqref="W37:W63">
    <cfRule type="expression" dxfId="186" priority="49">
      <formula>X37="nok"</formula>
    </cfRule>
    <cfRule type="expression" dxfId="185" priority="50">
      <formula>X37="ok"</formula>
    </cfRule>
    <cfRule type="expression" dxfId="184" priority="51">
      <formula>X37="--"</formula>
    </cfRule>
  </conditionalFormatting>
  <conditionalFormatting sqref="AC37:AC63">
    <cfRule type="expression" dxfId="183" priority="46">
      <formula>AD37="nok"</formula>
    </cfRule>
    <cfRule type="expression" dxfId="182" priority="47">
      <formula>AD37="ok"</formula>
    </cfRule>
    <cfRule type="expression" dxfId="181" priority="48">
      <formula>AD37="--"</formula>
    </cfRule>
  </conditionalFormatting>
  <conditionalFormatting sqref="AN37:AN63">
    <cfRule type="expression" dxfId="180" priority="43">
      <formula>AO37="nok"</formula>
    </cfRule>
    <cfRule type="expression" dxfId="179" priority="44">
      <formula>AO37="ok"</formula>
    </cfRule>
    <cfRule type="expression" dxfId="178" priority="45">
      <formula>AO37="--"</formula>
    </cfRule>
  </conditionalFormatting>
  <conditionalFormatting sqref="Y37:Y63">
    <cfRule type="expression" dxfId="177" priority="40">
      <formula>Z37="nok"</formula>
    </cfRule>
    <cfRule type="expression" dxfId="176" priority="41">
      <formula>Z37="ok"</formula>
    </cfRule>
    <cfRule type="expression" dxfId="175" priority="42">
      <formula>Z37="--"</formula>
    </cfRule>
  </conditionalFormatting>
  <conditionalFormatting sqref="U65">
    <cfRule type="expression" dxfId="174" priority="79">
      <formula>V66="nok"</formula>
    </cfRule>
    <cfRule type="expression" dxfId="173" priority="80">
      <formula>V66="ok"</formula>
    </cfRule>
    <cfRule type="expression" dxfId="172" priority="81">
      <formula>V66="--"</formula>
    </cfRule>
  </conditionalFormatting>
  <conditionalFormatting sqref="L3">
    <cfRule type="cellIs" dxfId="171" priority="33" stopIfTrue="1" operator="equal">
      <formula>"Not defined"</formula>
    </cfRule>
    <cfRule type="cellIs" dxfId="170" priority="34" stopIfTrue="1" operator="greaterThan">
      <formula>5.7</formula>
    </cfRule>
    <cfRule type="cellIs" dxfId="169" priority="35" stopIfTrue="1" operator="greaterThan">
      <formula>5</formula>
    </cfRule>
    <cfRule type="cellIs" dxfId="168" priority="36" stopIfTrue="1" operator="greaterThan">
      <formula>4.5</formula>
    </cfRule>
    <cfRule type="cellIs" dxfId="167" priority="37" stopIfTrue="1" operator="greaterThanOrEqual">
      <formula>4</formula>
    </cfRule>
    <cfRule type="cellIs" dxfId="166" priority="38" stopIfTrue="1" operator="greaterThanOrEqual">
      <formula>3</formula>
    </cfRule>
    <cfRule type="cellIs" dxfId="165" priority="39" stopIfTrue="1" operator="greaterThanOrEqual">
      <formula>1</formula>
    </cfRule>
  </conditionalFormatting>
  <conditionalFormatting sqref="U64">
    <cfRule type="expression" dxfId="164" priority="30">
      <formula>V64="nok"</formula>
    </cfRule>
    <cfRule type="expression" dxfId="163" priority="31">
      <formula>V64="ok"</formula>
    </cfRule>
    <cfRule type="expression" dxfId="162" priority="32">
      <formula>V64="--"</formula>
    </cfRule>
  </conditionalFormatting>
  <conditionalFormatting sqref="W64">
    <cfRule type="expression" dxfId="161" priority="27">
      <formula>X64="nok"</formula>
    </cfRule>
    <cfRule type="expression" dxfId="160" priority="28">
      <formula>X64="ok"</formula>
    </cfRule>
    <cfRule type="expression" dxfId="159" priority="29">
      <formula>X64="--"</formula>
    </cfRule>
  </conditionalFormatting>
  <conditionalFormatting sqref="AC64">
    <cfRule type="expression" dxfId="158" priority="24">
      <formula>AD64="nok"</formula>
    </cfRule>
    <cfRule type="expression" dxfId="157" priority="25">
      <formula>AD64="ok"</formula>
    </cfRule>
    <cfRule type="expression" dxfId="156" priority="26">
      <formula>AD64="--"</formula>
    </cfRule>
  </conditionalFormatting>
  <conditionalFormatting sqref="Z64">
    <cfRule type="expression" dxfId="155" priority="21">
      <formula>AA64="nok"</formula>
    </cfRule>
    <cfRule type="expression" dxfId="154" priority="22">
      <formula>AA64="ok"</formula>
    </cfRule>
    <cfRule type="expression" dxfId="153" priority="23">
      <formula>AA64="--"</formula>
    </cfRule>
  </conditionalFormatting>
  <conditionalFormatting sqref="AA64">
    <cfRule type="expression" dxfId="152" priority="18">
      <formula>Z64="nok"</formula>
    </cfRule>
    <cfRule type="expression" dxfId="151" priority="19">
      <formula>Z64="ok"</formula>
    </cfRule>
    <cfRule type="expression" dxfId="150" priority="20">
      <formula>Z64="--"</formula>
    </cfRule>
  </conditionalFormatting>
  <conditionalFormatting sqref="AB64">
    <cfRule type="expression" dxfId="149" priority="15">
      <formula>AH64="nok"</formula>
    </cfRule>
    <cfRule type="expression" dxfId="148" priority="16">
      <formula>AH64="ok"</formula>
    </cfRule>
    <cfRule type="expression" dxfId="147" priority="17">
      <formula>AH64="--"</formula>
    </cfRule>
  </conditionalFormatting>
  <conditionalFormatting sqref="L6">
    <cfRule type="cellIs" dxfId="146" priority="1" stopIfTrue="1" operator="equal">
      <formula>"Not defined"</formula>
    </cfRule>
    <cfRule type="cellIs" dxfId="145" priority="2" stopIfTrue="1" operator="greaterThan">
      <formula>5.7</formula>
    </cfRule>
    <cfRule type="cellIs" dxfId="144" priority="3" stopIfTrue="1" operator="greaterThan">
      <formula>5</formula>
    </cfRule>
    <cfRule type="cellIs" dxfId="143" priority="4" stopIfTrue="1" operator="greaterThan">
      <formula>4.5</formula>
    </cfRule>
    <cfRule type="cellIs" dxfId="142" priority="5" stopIfTrue="1" operator="greaterThanOrEqual">
      <formula>4</formula>
    </cfRule>
    <cfRule type="cellIs" dxfId="141" priority="6" stopIfTrue="1" operator="greaterThanOrEqual">
      <formula>3</formula>
    </cfRule>
    <cfRule type="cellIs" dxfId="140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Y12:Y14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C23" sqref="C23:C26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354</v>
      </c>
      <c r="E2" s="7"/>
      <c r="F2" s="8"/>
      <c r="G2" s="8"/>
      <c r="H2" s="9"/>
    </row>
    <row r="3" spans="2:10" ht="15.75" thickBot="1" x14ac:dyDescent="0.3">
      <c r="E3" s="13" t="s">
        <v>15</v>
      </c>
      <c r="F3" s="11"/>
      <c r="G3" s="11"/>
      <c r="H3" s="12"/>
      <c r="J3" s="17"/>
    </row>
    <row r="4" spans="2:10" x14ac:dyDescent="0.25">
      <c r="E4" s="10"/>
      <c r="F4" s="54" t="s">
        <v>13</v>
      </c>
      <c r="G4" s="55">
        <f>COUNTIF(H22:H110,"=ok")</f>
        <v>8</v>
      </c>
      <c r="H4" s="12"/>
    </row>
    <row r="5" spans="2:10" x14ac:dyDescent="0.25">
      <c r="E5" s="10"/>
      <c r="F5" s="56" t="s">
        <v>14</v>
      </c>
      <c r="G5" s="57">
        <f>COUNTIF(H22:H110,"=Not ok")</f>
        <v>0</v>
      </c>
      <c r="H5" s="12"/>
    </row>
    <row r="6" spans="2:10" x14ac:dyDescent="0.25">
      <c r="E6" s="10"/>
      <c r="F6" s="56" t="s">
        <v>284</v>
      </c>
      <c r="G6" s="57">
        <f>COUNTIF(H22:H110,"=--")</f>
        <v>44</v>
      </c>
      <c r="H6" s="12"/>
    </row>
    <row r="7" spans="2:10" ht="15.75" thickBot="1" x14ac:dyDescent="0.3">
      <c r="E7" s="10"/>
      <c r="F7" s="59" t="s">
        <v>16</v>
      </c>
      <c r="G7" s="124">
        <f>IF(G4+G5+G6&gt;0,ROUNDDOWN(((5*G4)/(G4+G5+G6))+1,1),"Not defined")</f>
        <v>1.7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282</v>
      </c>
      <c r="C22" s="2" t="s">
        <v>281</v>
      </c>
      <c r="D22" s="21" t="s">
        <v>317</v>
      </c>
      <c r="E22" s="21"/>
      <c r="F22" s="21"/>
      <c r="G22" s="19" t="s">
        <v>10</v>
      </c>
      <c r="H22" s="3" t="s">
        <v>5</v>
      </c>
      <c r="I22" s="3" t="s">
        <v>11</v>
      </c>
    </row>
    <row r="23" spans="2:9" x14ac:dyDescent="0.25">
      <c r="B23" s="156" t="s">
        <v>283</v>
      </c>
      <c r="C23" s="5">
        <f>FIND(" ",D23) + 1</f>
        <v>6</v>
      </c>
      <c r="D23" s="22" t="s">
        <v>285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57"/>
      <c r="C24" s="5">
        <f t="shared" ref="C24:C26" si="0">FIND(" ",D24) + 1</f>
        <v>5</v>
      </c>
      <c r="D24" s="22" t="s">
        <v>7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57"/>
      <c r="C25" s="5">
        <f t="shared" si="0"/>
        <v>6</v>
      </c>
      <c r="D25" s="22" t="s">
        <v>287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58"/>
      <c r="C26" s="5">
        <f t="shared" si="0"/>
        <v>14</v>
      </c>
      <c r="D26" s="22" t="s">
        <v>286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282</v>
      </c>
      <c r="C29" s="2" t="s">
        <v>281</v>
      </c>
      <c r="D29" s="21" t="s">
        <v>317</v>
      </c>
      <c r="E29" s="21"/>
      <c r="F29" s="21"/>
      <c r="G29" s="19" t="s">
        <v>10</v>
      </c>
      <c r="H29" s="3" t="s">
        <v>5</v>
      </c>
    </row>
    <row r="30" spans="2:9" x14ac:dyDescent="0.25">
      <c r="B30" s="156" t="s">
        <v>288</v>
      </c>
      <c r="C30" s="5">
        <f>FIND(" ",D30,FIND(" ",D30)+1)</f>
        <v>12</v>
      </c>
      <c r="D30" s="22" t="s">
        <v>285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57"/>
      <c r="C31" s="5">
        <f t="shared" ref="C31:C33" si="2">FIND(" ",D31,FIND(" ",D31)+1)</f>
        <v>8</v>
      </c>
      <c r="D31" s="22" t="s">
        <v>7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57"/>
      <c r="C32" s="5">
        <f t="shared" si="2"/>
        <v>13</v>
      </c>
      <c r="D32" s="22" t="s">
        <v>287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58"/>
      <c r="C33" s="5">
        <f t="shared" si="2"/>
        <v>19</v>
      </c>
      <c r="D33" s="22" t="s">
        <v>286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282</v>
      </c>
      <c r="C36" s="2" t="s">
        <v>281</v>
      </c>
      <c r="D36" s="21" t="s">
        <v>317</v>
      </c>
      <c r="E36" s="21"/>
      <c r="F36" s="21"/>
      <c r="G36" s="19" t="s">
        <v>10</v>
      </c>
      <c r="H36" s="3" t="s">
        <v>5</v>
      </c>
    </row>
    <row r="37" spans="2:8" x14ac:dyDescent="0.25">
      <c r="B37" s="156" t="s">
        <v>295</v>
      </c>
      <c r="C37" s="5"/>
      <c r="D37" s="22" t="s">
        <v>285</v>
      </c>
      <c r="E37" s="22"/>
      <c r="F37" s="22"/>
      <c r="G37" s="18" t="s">
        <v>291</v>
      </c>
      <c r="H37" s="6" t="str">
        <f>IF(G37=C37,"ok",IF(C37="","--","Not ok"))</f>
        <v>--</v>
      </c>
    </row>
    <row r="38" spans="2:8" x14ac:dyDescent="0.25">
      <c r="B38" s="157"/>
      <c r="C38" s="5"/>
      <c r="D38" s="22" t="s">
        <v>7</v>
      </c>
      <c r="E38" s="22"/>
      <c r="F38" s="22"/>
      <c r="G38" s="18" t="s">
        <v>292</v>
      </c>
      <c r="H38" s="6" t="str">
        <f t="shared" ref="H38:H40" si="4">IF(G38=C38,"ok",IF(C38="","--","Not ok"))</f>
        <v>--</v>
      </c>
    </row>
    <row r="39" spans="2:8" x14ac:dyDescent="0.25">
      <c r="B39" s="157"/>
      <c r="C39" s="5"/>
      <c r="D39" s="22" t="s">
        <v>287</v>
      </c>
      <c r="E39" s="22"/>
      <c r="F39" s="22"/>
      <c r="G39" s="18" t="s">
        <v>293</v>
      </c>
      <c r="H39" s="6" t="str">
        <f t="shared" si="4"/>
        <v>--</v>
      </c>
    </row>
    <row r="40" spans="2:8" x14ac:dyDescent="0.25">
      <c r="B40" s="158"/>
      <c r="C40" s="5"/>
      <c r="D40" s="22" t="s">
        <v>286</v>
      </c>
      <c r="E40" s="22"/>
      <c r="F40" s="22"/>
      <c r="G40" s="18" t="s">
        <v>294</v>
      </c>
      <c r="H40" s="6" t="str">
        <f t="shared" si="4"/>
        <v>--</v>
      </c>
    </row>
    <row r="43" spans="2:8" x14ac:dyDescent="0.25">
      <c r="B43" s="2" t="s">
        <v>282</v>
      </c>
      <c r="C43" s="2" t="s">
        <v>281</v>
      </c>
      <c r="D43" s="21" t="s">
        <v>317</v>
      </c>
      <c r="E43" s="21"/>
      <c r="F43" s="21"/>
      <c r="G43" s="19" t="s">
        <v>10</v>
      </c>
      <c r="H43" s="3" t="s">
        <v>5</v>
      </c>
    </row>
    <row r="44" spans="2:8" x14ac:dyDescent="0.25">
      <c r="B44" s="156" t="s">
        <v>296</v>
      </c>
      <c r="C44" s="5"/>
      <c r="D44" s="22" t="s">
        <v>285</v>
      </c>
      <c r="E44" s="22"/>
      <c r="F44" s="22"/>
      <c r="G44" s="18" t="s">
        <v>297</v>
      </c>
      <c r="H44" s="6" t="str">
        <f>IF(G44=C44,"ok",IF(C44="","--","Not ok"))</f>
        <v>--</v>
      </c>
    </row>
    <row r="45" spans="2:8" x14ac:dyDescent="0.25">
      <c r="B45" s="157"/>
      <c r="C45" s="5"/>
      <c r="D45" s="22" t="s">
        <v>7</v>
      </c>
      <c r="E45" s="22"/>
      <c r="F45" s="22"/>
      <c r="G45" s="18" t="s">
        <v>1461</v>
      </c>
      <c r="H45" s="6" t="str">
        <f t="shared" ref="H45:H47" si="5">IF(G45=C45,"ok",IF(C45="","--","Not ok"))</f>
        <v>--</v>
      </c>
    </row>
    <row r="46" spans="2:8" x14ac:dyDescent="0.25">
      <c r="B46" s="157"/>
      <c r="C46" s="5"/>
      <c r="D46" s="22" t="s">
        <v>287</v>
      </c>
      <c r="E46" s="22"/>
      <c r="F46" s="22"/>
      <c r="G46" s="18" t="s">
        <v>1462</v>
      </c>
      <c r="H46" s="6" t="str">
        <f t="shared" si="5"/>
        <v>--</v>
      </c>
    </row>
    <row r="47" spans="2:8" x14ac:dyDescent="0.25">
      <c r="B47" s="158"/>
      <c r="C47" s="5"/>
      <c r="D47" s="22" t="s">
        <v>286</v>
      </c>
      <c r="E47" s="22"/>
      <c r="F47" s="22"/>
      <c r="G47" s="18" t="s">
        <v>1463</v>
      </c>
      <c r="H47" s="6" t="str">
        <f t="shared" si="5"/>
        <v>--</v>
      </c>
    </row>
    <row r="50" spans="2:8" x14ac:dyDescent="0.25">
      <c r="B50" s="2" t="s">
        <v>282</v>
      </c>
      <c r="C50" s="2" t="s">
        <v>281</v>
      </c>
      <c r="D50" s="21" t="s">
        <v>317</v>
      </c>
      <c r="E50" s="21"/>
      <c r="F50" s="21"/>
      <c r="G50" s="19" t="s">
        <v>10</v>
      </c>
      <c r="H50" s="3" t="s">
        <v>5</v>
      </c>
    </row>
    <row r="51" spans="2:8" x14ac:dyDescent="0.25">
      <c r="B51" s="156" t="s">
        <v>298</v>
      </c>
      <c r="C51" s="5"/>
      <c r="D51" s="22" t="s">
        <v>285</v>
      </c>
      <c r="E51" s="22"/>
      <c r="F51" s="22"/>
      <c r="G51" s="18" t="s">
        <v>299</v>
      </c>
      <c r="H51" s="6" t="str">
        <f>IF(G51=C51,"ok",IF(C51="","--","Not ok"))</f>
        <v>--</v>
      </c>
    </row>
    <row r="52" spans="2:8" x14ac:dyDescent="0.25">
      <c r="B52" s="157"/>
      <c r="C52" s="5"/>
      <c r="D52" s="22" t="s">
        <v>7</v>
      </c>
      <c r="E52" s="22"/>
      <c r="F52" s="22"/>
      <c r="G52" s="18" t="s">
        <v>300</v>
      </c>
      <c r="H52" s="6" t="str">
        <f t="shared" ref="H52:H54" si="6">IF(G52=C52,"ok",IF(C52="","--","Not ok"))</f>
        <v>--</v>
      </c>
    </row>
    <row r="53" spans="2:8" x14ac:dyDescent="0.25">
      <c r="B53" s="157"/>
      <c r="C53" s="5"/>
      <c r="D53" s="22" t="s">
        <v>287</v>
      </c>
      <c r="E53" s="22"/>
      <c r="F53" s="22"/>
      <c r="G53" s="18" t="s">
        <v>301</v>
      </c>
      <c r="H53" s="6" t="str">
        <f t="shared" si="6"/>
        <v>--</v>
      </c>
    </row>
    <row r="54" spans="2:8" x14ac:dyDescent="0.25">
      <c r="B54" s="158"/>
      <c r="C54" s="5"/>
      <c r="D54" s="22" t="s">
        <v>286</v>
      </c>
      <c r="E54" s="22"/>
      <c r="F54" s="22"/>
      <c r="G54" s="18" t="s">
        <v>302</v>
      </c>
      <c r="H54" s="6" t="str">
        <f t="shared" si="6"/>
        <v>--</v>
      </c>
    </row>
    <row r="57" spans="2:8" x14ac:dyDescent="0.25">
      <c r="B57" s="2" t="s">
        <v>282</v>
      </c>
      <c r="C57" s="2" t="s">
        <v>281</v>
      </c>
      <c r="D57" s="21" t="s">
        <v>317</v>
      </c>
      <c r="E57" s="21"/>
      <c r="F57" s="21"/>
      <c r="G57" s="19" t="s">
        <v>10</v>
      </c>
      <c r="H57" s="3" t="s">
        <v>5</v>
      </c>
    </row>
    <row r="58" spans="2:8" x14ac:dyDescent="0.25">
      <c r="B58" s="156" t="s">
        <v>303</v>
      </c>
      <c r="C58" s="5"/>
      <c r="D58" s="22" t="s">
        <v>285</v>
      </c>
      <c r="E58" s="22"/>
      <c r="F58" s="22"/>
      <c r="G58" s="18" t="s">
        <v>304</v>
      </c>
      <c r="H58" s="6" t="str">
        <f>IF(G58=C58,"ok",IF(C58="","--","Not ok"))</f>
        <v>--</v>
      </c>
    </row>
    <row r="59" spans="2:8" x14ac:dyDescent="0.25">
      <c r="B59" s="157"/>
      <c r="C59" s="5"/>
      <c r="D59" s="22" t="s">
        <v>7</v>
      </c>
      <c r="E59" s="22"/>
      <c r="F59" s="22"/>
      <c r="G59" s="18" t="s">
        <v>305</v>
      </c>
      <c r="H59" s="6" t="str">
        <f t="shared" ref="H59:H61" si="7">IF(G59=C59,"ok",IF(C59="","--","Not ok"))</f>
        <v>--</v>
      </c>
    </row>
    <row r="60" spans="2:8" x14ac:dyDescent="0.25">
      <c r="B60" s="157"/>
      <c r="C60" s="5"/>
      <c r="D60" s="22" t="s">
        <v>287</v>
      </c>
      <c r="E60" s="22"/>
      <c r="F60" s="22"/>
      <c r="G60" s="18" t="s">
        <v>306</v>
      </c>
      <c r="H60" s="6" t="str">
        <f t="shared" si="7"/>
        <v>--</v>
      </c>
    </row>
    <row r="61" spans="2:8" x14ac:dyDescent="0.25">
      <c r="B61" s="158"/>
      <c r="C61" s="5"/>
      <c r="D61" s="22" t="s">
        <v>286</v>
      </c>
      <c r="E61" s="22"/>
      <c r="F61" s="22"/>
      <c r="G61" s="18" t="s">
        <v>307</v>
      </c>
      <c r="H61" s="6" t="str">
        <f t="shared" si="7"/>
        <v>--</v>
      </c>
    </row>
    <row r="64" spans="2:8" x14ac:dyDescent="0.25">
      <c r="B64" s="2" t="s">
        <v>282</v>
      </c>
      <c r="C64" s="2" t="s">
        <v>281</v>
      </c>
      <c r="D64" s="21" t="s">
        <v>317</v>
      </c>
      <c r="E64" s="21"/>
      <c r="F64" s="21"/>
      <c r="G64" s="19" t="s">
        <v>10</v>
      </c>
      <c r="H64" s="3" t="s">
        <v>5</v>
      </c>
    </row>
    <row r="65" spans="2:8" x14ac:dyDescent="0.25">
      <c r="B65" s="156" t="s">
        <v>308</v>
      </c>
      <c r="C65" s="5"/>
      <c r="D65" s="22" t="s">
        <v>285</v>
      </c>
      <c r="E65" s="22"/>
      <c r="F65" s="22"/>
      <c r="G65" s="18" t="s">
        <v>309</v>
      </c>
      <c r="H65" s="6" t="str">
        <f>IF(G65=C65,"ok",IF(C65="","--","Not ok"))</f>
        <v>--</v>
      </c>
    </row>
    <row r="66" spans="2:8" x14ac:dyDescent="0.25">
      <c r="B66" s="157"/>
      <c r="C66" s="5"/>
      <c r="D66" s="22" t="s">
        <v>7</v>
      </c>
      <c r="E66" s="22"/>
      <c r="F66" s="22"/>
      <c r="G66" s="18" t="s">
        <v>310</v>
      </c>
      <c r="H66" s="6" t="str">
        <f t="shared" ref="H66:H68" si="8">IF(G66=C66,"ok",IF(C66="","--","Not ok"))</f>
        <v>--</v>
      </c>
    </row>
    <row r="67" spans="2:8" x14ac:dyDescent="0.25">
      <c r="B67" s="157"/>
      <c r="C67" s="5"/>
      <c r="D67" s="22" t="s">
        <v>287</v>
      </c>
      <c r="E67" s="22"/>
      <c r="F67" s="22"/>
      <c r="G67" s="18" t="s">
        <v>311</v>
      </c>
      <c r="H67" s="6" t="str">
        <f t="shared" si="8"/>
        <v>--</v>
      </c>
    </row>
    <row r="68" spans="2:8" x14ac:dyDescent="0.25">
      <c r="B68" s="158"/>
      <c r="C68" s="5"/>
      <c r="D68" s="22" t="s">
        <v>286</v>
      </c>
      <c r="E68" s="22"/>
      <c r="F68" s="22"/>
      <c r="G68" s="18" t="s">
        <v>312</v>
      </c>
      <c r="H68" s="6" t="str">
        <f t="shared" si="8"/>
        <v>--</v>
      </c>
    </row>
    <row r="71" spans="2:8" x14ac:dyDescent="0.25">
      <c r="B71" s="2" t="s">
        <v>282</v>
      </c>
      <c r="C71" s="2" t="s">
        <v>281</v>
      </c>
      <c r="D71" s="21" t="s">
        <v>317</v>
      </c>
      <c r="E71" s="21"/>
      <c r="F71" s="21"/>
      <c r="G71" s="19" t="s">
        <v>10</v>
      </c>
      <c r="H71" s="3" t="s">
        <v>5</v>
      </c>
    </row>
    <row r="72" spans="2:8" x14ac:dyDescent="0.25">
      <c r="B72" s="156" t="s">
        <v>313</v>
      </c>
      <c r="C72" s="5"/>
      <c r="D72" s="22" t="s">
        <v>285</v>
      </c>
      <c r="E72" s="22"/>
      <c r="F72" s="22"/>
      <c r="G72" s="18" t="s">
        <v>314</v>
      </c>
      <c r="H72" s="6" t="str">
        <f>IF(G72=C72,"ok",IF(C72="","--","Not ok"))</f>
        <v>--</v>
      </c>
    </row>
    <row r="73" spans="2:8" x14ac:dyDescent="0.25">
      <c r="B73" s="157"/>
      <c r="C73" s="5"/>
      <c r="D73" s="22" t="s">
        <v>7</v>
      </c>
      <c r="E73" s="22"/>
      <c r="F73" s="22"/>
      <c r="G73" s="18" t="s">
        <v>290</v>
      </c>
      <c r="H73" s="6" t="str">
        <f t="shared" ref="H73:H75" si="9">IF(G73=C73,"ok",IF(C73="","--","Not ok"))</f>
        <v>--</v>
      </c>
    </row>
    <row r="74" spans="2:8" x14ac:dyDescent="0.25">
      <c r="B74" s="157"/>
      <c r="C74" s="5"/>
      <c r="D74" s="22" t="s">
        <v>287</v>
      </c>
      <c r="E74" s="22"/>
      <c r="F74" s="22"/>
      <c r="G74" s="18" t="s">
        <v>315</v>
      </c>
      <c r="H74" s="6" t="str">
        <f t="shared" si="9"/>
        <v>--</v>
      </c>
    </row>
    <row r="75" spans="2:8" x14ac:dyDescent="0.25">
      <c r="B75" s="158"/>
      <c r="C75" s="5"/>
      <c r="D75" s="22" t="s">
        <v>286</v>
      </c>
      <c r="E75" s="22"/>
      <c r="F75" s="22"/>
      <c r="G75" s="18" t="s">
        <v>316</v>
      </c>
      <c r="H75" s="6" t="str">
        <f t="shared" si="9"/>
        <v>--</v>
      </c>
    </row>
    <row r="78" spans="2:8" x14ac:dyDescent="0.25">
      <c r="B78" s="2" t="s">
        <v>282</v>
      </c>
      <c r="C78" s="2" t="s">
        <v>281</v>
      </c>
      <c r="D78" s="21" t="s">
        <v>317</v>
      </c>
      <c r="E78" s="21"/>
      <c r="F78" s="21"/>
      <c r="G78" s="19" t="s">
        <v>10</v>
      </c>
      <c r="H78" s="3" t="s">
        <v>5</v>
      </c>
    </row>
    <row r="79" spans="2:8" x14ac:dyDescent="0.25">
      <c r="B79" s="156" t="s">
        <v>318</v>
      </c>
      <c r="C79" s="5"/>
      <c r="D79" s="22" t="s">
        <v>285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57"/>
      <c r="C80" s="5"/>
      <c r="D80" s="22" t="s">
        <v>7</v>
      </c>
      <c r="E80" s="22"/>
      <c r="F80" s="22"/>
      <c r="G80" s="18">
        <v>14</v>
      </c>
      <c r="H80" s="6" t="str">
        <f t="shared" ref="H80:H82" si="10">IF(G80=C80,"ok",IF(C80="","--","Not ok"))</f>
        <v>--</v>
      </c>
    </row>
    <row r="81" spans="2:8" x14ac:dyDescent="0.25">
      <c r="B81" s="157"/>
      <c r="C81" s="5"/>
      <c r="D81" s="22" t="s">
        <v>287</v>
      </c>
      <c r="E81" s="22"/>
      <c r="F81" s="22"/>
      <c r="G81" s="18">
        <v>24</v>
      </c>
      <c r="H81" s="6" t="str">
        <f t="shared" si="10"/>
        <v>--</v>
      </c>
    </row>
    <row r="82" spans="2:8" x14ac:dyDescent="0.25">
      <c r="B82" s="158"/>
      <c r="C82" s="5"/>
      <c r="D82" s="22" t="s">
        <v>286</v>
      </c>
      <c r="E82" s="22"/>
      <c r="F82" s="22"/>
      <c r="G82" s="18">
        <v>23</v>
      </c>
      <c r="H82" s="6" t="str">
        <f t="shared" si="10"/>
        <v>--</v>
      </c>
    </row>
    <row r="85" spans="2:8" x14ac:dyDescent="0.25">
      <c r="B85" s="2" t="s">
        <v>282</v>
      </c>
      <c r="C85" s="2" t="s">
        <v>281</v>
      </c>
      <c r="D85" s="21" t="s">
        <v>319</v>
      </c>
      <c r="E85" s="21" t="s">
        <v>320</v>
      </c>
      <c r="F85" s="21" t="s">
        <v>322</v>
      </c>
      <c r="G85" s="19" t="s">
        <v>10</v>
      </c>
      <c r="H85" s="3" t="s">
        <v>5</v>
      </c>
    </row>
    <row r="86" spans="2:8" x14ac:dyDescent="0.25">
      <c r="B86" s="156" t="s">
        <v>321</v>
      </c>
      <c r="C86" s="5"/>
      <c r="D86" s="22">
        <v>8855</v>
      </c>
      <c r="E86" s="22" t="s">
        <v>32</v>
      </c>
      <c r="F86" s="22" t="s">
        <v>323</v>
      </c>
      <c r="G86" s="18" t="s">
        <v>331</v>
      </c>
      <c r="H86" s="6" t="str">
        <f>IF(G86=C86,"ok",IF(C86="","--","Not ok"))</f>
        <v>--</v>
      </c>
    </row>
    <row r="87" spans="2:8" x14ac:dyDescent="0.25">
      <c r="B87" s="157"/>
      <c r="C87" s="5"/>
      <c r="D87" s="22" t="s">
        <v>216</v>
      </c>
      <c r="E87" s="22" t="s">
        <v>324</v>
      </c>
      <c r="F87" s="22" t="s">
        <v>325</v>
      </c>
      <c r="G87" s="18" t="s">
        <v>332</v>
      </c>
      <c r="H87" s="6" t="str">
        <f t="shared" ref="H87:H89" si="11">IF(G87=C87,"ok",IF(C87="","--","Not ok"))</f>
        <v>--</v>
      </c>
    </row>
    <row r="88" spans="2:8" x14ac:dyDescent="0.25">
      <c r="B88" s="157"/>
      <c r="C88" s="5"/>
      <c r="D88" s="22" t="s">
        <v>326</v>
      </c>
      <c r="E88" s="22" t="s">
        <v>327</v>
      </c>
      <c r="F88" s="22" t="s">
        <v>328</v>
      </c>
      <c r="G88" s="18" t="s">
        <v>333</v>
      </c>
      <c r="H88" s="6" t="str">
        <f t="shared" si="11"/>
        <v>--</v>
      </c>
    </row>
    <row r="89" spans="2:8" x14ac:dyDescent="0.25">
      <c r="B89" s="158"/>
      <c r="C89" s="5"/>
      <c r="D89" s="22" t="s">
        <v>329</v>
      </c>
      <c r="E89" s="22">
        <v>12345</v>
      </c>
      <c r="F89" s="22" t="s">
        <v>330</v>
      </c>
      <c r="G89" s="18" t="s">
        <v>334</v>
      </c>
      <c r="H89" s="6" t="str">
        <f t="shared" si="11"/>
        <v>--</v>
      </c>
    </row>
    <row r="92" spans="2:8" x14ac:dyDescent="0.25">
      <c r="B92" s="2" t="s">
        <v>282</v>
      </c>
      <c r="C92" s="2" t="s">
        <v>281</v>
      </c>
      <c r="D92" s="21" t="s">
        <v>319</v>
      </c>
      <c r="E92" s="21"/>
      <c r="F92" s="21"/>
      <c r="G92" s="19" t="s">
        <v>10</v>
      </c>
      <c r="H92" s="3" t="s">
        <v>5</v>
      </c>
    </row>
    <row r="93" spans="2:8" x14ac:dyDescent="0.25">
      <c r="B93" s="156" t="s">
        <v>336</v>
      </c>
      <c r="C93" s="5"/>
      <c r="D93" s="87" t="s">
        <v>338</v>
      </c>
      <c r="E93" s="22"/>
      <c r="F93" s="22"/>
      <c r="G93" s="18" t="s">
        <v>341</v>
      </c>
      <c r="H93" s="6" t="str">
        <f>IF(G93=C93,"ok",IF(C93="","--","Not ok"))</f>
        <v>--</v>
      </c>
    </row>
    <row r="94" spans="2:8" x14ac:dyDescent="0.25">
      <c r="B94" s="157"/>
      <c r="C94" s="5"/>
      <c r="D94" s="22" t="s">
        <v>335</v>
      </c>
      <c r="E94" s="22"/>
      <c r="F94" s="22"/>
      <c r="G94" s="18" t="s">
        <v>342</v>
      </c>
      <c r="H94" s="6" t="str">
        <f t="shared" ref="H94:H96" si="12">IF(G94=C94,"ok",IF(C94="","--","Not ok"))</f>
        <v>--</v>
      </c>
    </row>
    <row r="95" spans="2:8" x14ac:dyDescent="0.25">
      <c r="B95" s="157"/>
      <c r="C95" s="5"/>
      <c r="D95" s="22" t="s">
        <v>339</v>
      </c>
      <c r="E95" s="22"/>
      <c r="F95" s="22"/>
      <c r="G95" s="18" t="s">
        <v>343</v>
      </c>
      <c r="H95" s="6" t="str">
        <f t="shared" si="12"/>
        <v>--</v>
      </c>
    </row>
    <row r="96" spans="2:8" x14ac:dyDescent="0.25">
      <c r="B96" s="158"/>
      <c r="C96" s="5"/>
      <c r="D96" s="22" t="s">
        <v>340</v>
      </c>
      <c r="E96" s="22"/>
      <c r="F96" s="22"/>
      <c r="G96" s="18" t="s">
        <v>344</v>
      </c>
      <c r="H96" s="6" t="str">
        <f t="shared" si="12"/>
        <v>--</v>
      </c>
    </row>
    <row r="99" spans="2:8" x14ac:dyDescent="0.25">
      <c r="B99" s="2" t="s">
        <v>282</v>
      </c>
      <c r="C99" s="2" t="s">
        <v>281</v>
      </c>
      <c r="D99" s="21" t="s">
        <v>319</v>
      </c>
      <c r="E99" s="21"/>
      <c r="F99" s="21"/>
      <c r="G99" s="19" t="s">
        <v>10</v>
      </c>
      <c r="H99" s="3" t="s">
        <v>5</v>
      </c>
    </row>
    <row r="100" spans="2:8" x14ac:dyDescent="0.25">
      <c r="B100" s="156" t="s">
        <v>350</v>
      </c>
      <c r="C100" s="5"/>
      <c r="D100" s="87" t="s">
        <v>337</v>
      </c>
      <c r="E100" s="22"/>
      <c r="F100" s="22"/>
      <c r="G100" s="18" t="s">
        <v>351</v>
      </c>
      <c r="H100" s="6" t="str">
        <f>IF(G100=C100,"ok",IF(C100="","--","Not ok"))</f>
        <v>--</v>
      </c>
    </row>
    <row r="101" spans="2:8" x14ac:dyDescent="0.25">
      <c r="B101" s="157"/>
      <c r="C101" s="5"/>
      <c r="D101" s="22" t="s">
        <v>335</v>
      </c>
      <c r="E101" s="22"/>
      <c r="F101" s="22"/>
      <c r="G101" s="18" t="s">
        <v>352</v>
      </c>
      <c r="H101" s="6" t="str">
        <f t="shared" ref="H101:H103" si="13">IF(G101=C101,"ok",IF(C101="","--","Not ok"))</f>
        <v>--</v>
      </c>
    </row>
    <row r="102" spans="2:8" x14ac:dyDescent="0.25">
      <c r="B102" s="157"/>
      <c r="C102" s="5"/>
      <c r="D102" s="22" t="s">
        <v>339</v>
      </c>
      <c r="E102" s="22"/>
      <c r="F102" s="22"/>
      <c r="G102" s="18" t="s">
        <v>352</v>
      </c>
      <c r="H102" s="6" t="str">
        <f t="shared" si="13"/>
        <v>--</v>
      </c>
    </row>
    <row r="103" spans="2:8" x14ac:dyDescent="0.25">
      <c r="B103" s="158"/>
      <c r="C103" s="5"/>
      <c r="D103" s="22" t="s">
        <v>340</v>
      </c>
      <c r="E103" s="22"/>
      <c r="F103" s="22"/>
      <c r="G103" s="18" t="s">
        <v>351</v>
      </c>
      <c r="H103" s="6" t="str">
        <f t="shared" si="13"/>
        <v>--</v>
      </c>
    </row>
    <row r="106" spans="2:8" x14ac:dyDescent="0.25">
      <c r="B106" s="2" t="s">
        <v>345</v>
      </c>
      <c r="C106" s="2" t="s">
        <v>281</v>
      </c>
      <c r="D106" s="21" t="s">
        <v>19</v>
      </c>
      <c r="E106" s="21"/>
      <c r="F106" s="21"/>
      <c r="G106" s="19" t="s">
        <v>10</v>
      </c>
      <c r="H106" s="3" t="s">
        <v>5</v>
      </c>
    </row>
    <row r="107" spans="2:8" x14ac:dyDescent="0.25">
      <c r="B107" s="156" t="s">
        <v>289</v>
      </c>
      <c r="C107" s="5"/>
      <c r="D107" s="22" t="s">
        <v>285</v>
      </c>
      <c r="E107" s="22"/>
      <c r="F107" s="22"/>
      <c r="G107" s="18" t="s">
        <v>346</v>
      </c>
      <c r="H107" s="6" t="str">
        <f>IF(G107=C107,"ok",IF(C107="","--","Not ok"))</f>
        <v>--</v>
      </c>
    </row>
    <row r="108" spans="2:8" x14ac:dyDescent="0.25">
      <c r="B108" s="157"/>
      <c r="C108" s="5"/>
      <c r="D108" s="22" t="s">
        <v>7</v>
      </c>
      <c r="E108" s="22"/>
      <c r="F108" s="22"/>
      <c r="G108" s="18" t="s">
        <v>347</v>
      </c>
      <c r="H108" s="6" t="str">
        <f t="shared" ref="H108:H110" si="14">IF(G108=C108,"ok",IF(C108="","--","Not ok"))</f>
        <v>--</v>
      </c>
    </row>
    <row r="109" spans="2:8" x14ac:dyDescent="0.25">
      <c r="B109" s="157"/>
      <c r="C109" s="5"/>
      <c r="D109" s="22" t="s">
        <v>287</v>
      </c>
      <c r="E109" s="22"/>
      <c r="F109" s="22"/>
      <c r="G109" s="18" t="s">
        <v>348</v>
      </c>
      <c r="H109" s="6" t="str">
        <f t="shared" si="14"/>
        <v>--</v>
      </c>
    </row>
    <row r="110" spans="2:8" x14ac:dyDescent="0.25">
      <c r="B110" s="158"/>
      <c r="C110" s="5"/>
      <c r="D110" s="22" t="s">
        <v>286</v>
      </c>
      <c r="E110" s="22"/>
      <c r="F110" s="22"/>
      <c r="G110" s="18" t="s">
        <v>349</v>
      </c>
      <c r="H110" s="6" t="str">
        <f t="shared" si="14"/>
        <v>--</v>
      </c>
    </row>
  </sheetData>
  <mergeCells count="13">
    <mergeCell ref="B58:B61"/>
    <mergeCell ref="B23:B26"/>
    <mergeCell ref="B30:B33"/>
    <mergeCell ref="B37:B40"/>
    <mergeCell ref="B44:B47"/>
    <mergeCell ref="B51:B54"/>
    <mergeCell ref="B107:B110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139" priority="32" operator="equal">
      <formula>"Not ok"</formula>
    </cfRule>
    <cfRule type="cellIs" dxfId="138" priority="33" operator="equal">
      <formula>"ok"</formula>
    </cfRule>
  </conditionalFormatting>
  <conditionalFormatting sqref="G7">
    <cfRule type="cellIs" dxfId="137" priority="25" stopIfTrue="1" operator="equal">
      <formula>"Not defined"</formula>
    </cfRule>
    <cfRule type="cellIs" dxfId="136" priority="26" stopIfTrue="1" operator="greaterThan">
      <formula>5.7</formula>
    </cfRule>
    <cfRule type="cellIs" dxfId="135" priority="27" stopIfTrue="1" operator="greaterThan">
      <formula>5</formula>
    </cfRule>
    <cfRule type="cellIs" dxfId="134" priority="28" stopIfTrue="1" operator="greaterThan">
      <formula>4.5</formula>
    </cfRule>
    <cfRule type="cellIs" dxfId="133" priority="29" stopIfTrue="1" operator="greaterThanOrEqual">
      <formula>4</formula>
    </cfRule>
    <cfRule type="cellIs" dxfId="132" priority="30" stopIfTrue="1" operator="greaterThanOrEqual">
      <formula>3</formula>
    </cfRule>
    <cfRule type="cellIs" dxfId="131" priority="31" stopIfTrue="1" operator="greaterThanOrEqual">
      <formula>1</formula>
    </cfRule>
  </conditionalFormatting>
  <conditionalFormatting sqref="H30:H33">
    <cfRule type="cellIs" dxfId="130" priority="23" operator="equal">
      <formula>"Not ok"</formula>
    </cfRule>
    <cfRule type="cellIs" dxfId="129" priority="24" operator="equal">
      <formula>"ok"</formula>
    </cfRule>
  </conditionalFormatting>
  <conditionalFormatting sqref="H107:H110">
    <cfRule type="cellIs" dxfId="128" priority="21" operator="equal">
      <formula>"Not ok"</formula>
    </cfRule>
    <cfRule type="cellIs" dxfId="127" priority="22" operator="equal">
      <formula>"ok"</formula>
    </cfRule>
  </conditionalFormatting>
  <conditionalFormatting sqref="H37:H40">
    <cfRule type="cellIs" dxfId="126" priority="19" operator="equal">
      <formula>"Not ok"</formula>
    </cfRule>
    <cfRule type="cellIs" dxfId="125" priority="20" operator="equal">
      <formula>"ok"</formula>
    </cfRule>
  </conditionalFormatting>
  <conditionalFormatting sqref="H44:H47">
    <cfRule type="cellIs" dxfId="124" priority="17" operator="equal">
      <formula>"Not ok"</formula>
    </cfRule>
    <cfRule type="cellIs" dxfId="123" priority="18" operator="equal">
      <formula>"ok"</formula>
    </cfRule>
  </conditionalFormatting>
  <conditionalFormatting sqref="H51:H54">
    <cfRule type="cellIs" dxfId="122" priority="15" operator="equal">
      <formula>"Not ok"</formula>
    </cfRule>
    <cfRule type="cellIs" dxfId="121" priority="16" operator="equal">
      <formula>"ok"</formula>
    </cfRule>
  </conditionalFormatting>
  <conditionalFormatting sqref="H58:H61">
    <cfRule type="cellIs" dxfId="120" priority="13" operator="equal">
      <formula>"Not ok"</formula>
    </cfRule>
    <cfRule type="cellIs" dxfId="119" priority="14" operator="equal">
      <formula>"ok"</formula>
    </cfRule>
  </conditionalFormatting>
  <conditionalFormatting sqref="H65:H68">
    <cfRule type="cellIs" dxfId="118" priority="11" operator="equal">
      <formula>"Not ok"</formula>
    </cfRule>
    <cfRule type="cellIs" dxfId="117" priority="12" operator="equal">
      <formula>"ok"</formula>
    </cfRule>
  </conditionalFormatting>
  <conditionalFormatting sqref="H72:H75">
    <cfRule type="cellIs" dxfId="116" priority="9" operator="equal">
      <formula>"Not ok"</formula>
    </cfRule>
    <cfRule type="cellIs" dxfId="115" priority="10" operator="equal">
      <formula>"ok"</formula>
    </cfRule>
  </conditionalFormatting>
  <conditionalFormatting sqref="H79:H82">
    <cfRule type="cellIs" dxfId="114" priority="7" operator="equal">
      <formula>"Not ok"</formula>
    </cfRule>
    <cfRule type="cellIs" dxfId="113" priority="8" operator="equal">
      <formula>"ok"</formula>
    </cfRule>
  </conditionalFormatting>
  <conditionalFormatting sqref="H86:H89">
    <cfRule type="cellIs" dxfId="112" priority="5" operator="equal">
      <formula>"Not ok"</formula>
    </cfRule>
    <cfRule type="cellIs" dxfId="111" priority="6" operator="equal">
      <formula>"ok"</formula>
    </cfRule>
  </conditionalFormatting>
  <conditionalFormatting sqref="H93:H96">
    <cfRule type="cellIs" dxfId="110" priority="3" operator="equal">
      <formula>"Not ok"</formula>
    </cfRule>
    <cfRule type="cellIs" dxfId="109" priority="4" operator="equal">
      <formula>"ok"</formula>
    </cfRule>
  </conditionalFormatting>
  <conditionalFormatting sqref="H100:H103">
    <cfRule type="cellIs" dxfId="108" priority="1" operator="equal">
      <formula>"Not ok"</formula>
    </cfRule>
    <cfRule type="cellIs" dxfId="10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  <pageSetUpPr fitToPage="1"/>
  </sheetPr>
  <dimension ref="B1:J110"/>
  <sheetViews>
    <sheetView topLeftCell="A31" zoomScale="85" zoomScaleNormal="85" workbookViewId="0">
      <selection activeCell="G44" sqref="G44:G47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tr">
        <f>StringFormeln!B2</f>
        <v>M100: String-Formeln</v>
      </c>
      <c r="E2" s="7"/>
      <c r="F2" s="8"/>
      <c r="G2" s="8"/>
      <c r="H2" s="9"/>
    </row>
    <row r="3" spans="2:10" ht="15.75" thickBot="1" x14ac:dyDescent="0.3">
      <c r="E3" s="13" t="s">
        <v>15</v>
      </c>
      <c r="F3" s="11"/>
      <c r="G3" s="11"/>
      <c r="H3" s="12"/>
      <c r="J3" s="17"/>
    </row>
    <row r="4" spans="2:10" x14ac:dyDescent="0.25">
      <c r="E4" s="10"/>
      <c r="F4" s="54" t="s">
        <v>13</v>
      </c>
      <c r="G4" s="55">
        <f>COUNTIF(H22:H110,"=ok")</f>
        <v>52</v>
      </c>
      <c r="H4" s="12"/>
    </row>
    <row r="5" spans="2:10" x14ac:dyDescent="0.25">
      <c r="E5" s="10"/>
      <c r="F5" s="56" t="s">
        <v>14</v>
      </c>
      <c r="G5" s="57">
        <f>COUNTIF(H22:H110,"=Not ok")</f>
        <v>0</v>
      </c>
      <c r="H5" s="12"/>
    </row>
    <row r="6" spans="2:10" x14ac:dyDescent="0.25">
      <c r="E6" s="10"/>
      <c r="F6" s="56" t="s">
        <v>284</v>
      </c>
      <c r="G6" s="57">
        <f>COUNTIF(H22:H110,"=--")</f>
        <v>0</v>
      </c>
      <c r="H6" s="12"/>
    </row>
    <row r="7" spans="2:10" ht="15.75" thickBot="1" x14ac:dyDescent="0.3">
      <c r="E7" s="10"/>
      <c r="F7" s="59" t="s">
        <v>16</v>
      </c>
      <c r="G7" s="124">
        <f>IF(G4+G5+G6&gt;0,ROUNDDOWN(((5*G4)/(G4+G5+G6))+1,1),"Not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282</v>
      </c>
      <c r="C22" s="2" t="s">
        <v>281</v>
      </c>
      <c r="D22" s="21" t="s">
        <v>317</v>
      </c>
      <c r="E22" s="21"/>
      <c r="F22" s="21"/>
      <c r="G22" s="19" t="s">
        <v>10</v>
      </c>
      <c r="H22" s="3" t="s">
        <v>5</v>
      </c>
      <c r="I22" s="3" t="s">
        <v>11</v>
      </c>
    </row>
    <row r="23" spans="2:9" x14ac:dyDescent="0.25">
      <c r="B23" s="156" t="s">
        <v>283</v>
      </c>
      <c r="C23" s="5">
        <f>FIND(" ",D23) + 1</f>
        <v>6</v>
      </c>
      <c r="D23" s="22" t="s">
        <v>285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57"/>
      <c r="C24" s="5">
        <f t="shared" ref="C24:C26" si="0">FIND(" ",D24) + 1</f>
        <v>5</v>
      </c>
      <c r="D24" s="22" t="s">
        <v>7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57"/>
      <c r="C25" s="5">
        <f t="shared" si="0"/>
        <v>6</v>
      </c>
      <c r="D25" s="22" t="s">
        <v>287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58"/>
      <c r="C26" s="5">
        <f t="shared" si="0"/>
        <v>14</v>
      </c>
      <c r="D26" s="22" t="s">
        <v>286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282</v>
      </c>
      <c r="C29" s="2" t="s">
        <v>281</v>
      </c>
      <c r="D29" s="21" t="s">
        <v>317</v>
      </c>
      <c r="E29" s="21"/>
      <c r="F29" s="21"/>
      <c r="G29" s="19" t="s">
        <v>10</v>
      </c>
      <c r="H29" s="3" t="s">
        <v>5</v>
      </c>
    </row>
    <row r="30" spans="2:9" x14ac:dyDescent="0.25">
      <c r="B30" s="156" t="s">
        <v>288</v>
      </c>
      <c r="C30" s="5">
        <f>FIND(" ",D30,FIND(" ",D30)+1)</f>
        <v>12</v>
      </c>
      <c r="D30" s="22" t="s">
        <v>285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57"/>
      <c r="C31" s="5">
        <f t="shared" ref="C31:C33" si="2">FIND(" ",D31,FIND(" ",D31)+1)</f>
        <v>8</v>
      </c>
      <c r="D31" s="22" t="s">
        <v>7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57"/>
      <c r="C32" s="5">
        <f t="shared" si="2"/>
        <v>13</v>
      </c>
      <c r="D32" s="22" t="s">
        <v>287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58"/>
      <c r="C33" s="5">
        <f t="shared" si="2"/>
        <v>19</v>
      </c>
      <c r="D33" s="22" t="s">
        <v>286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282</v>
      </c>
      <c r="C36" s="2" t="s">
        <v>281</v>
      </c>
      <c r="D36" s="21" t="s">
        <v>317</v>
      </c>
      <c r="E36" s="21"/>
      <c r="F36" s="21"/>
      <c r="G36" s="19" t="s">
        <v>10</v>
      </c>
      <c r="H36" s="3" t="s">
        <v>5</v>
      </c>
    </row>
    <row r="37" spans="2:8" x14ac:dyDescent="0.25">
      <c r="B37" s="156" t="s">
        <v>295</v>
      </c>
      <c r="C37" s="5" t="str">
        <f>LEFT(D37,8)</f>
        <v>8855 Wan</v>
      </c>
      <c r="D37" s="22" t="s">
        <v>285</v>
      </c>
      <c r="E37" s="22"/>
      <c r="F37" s="22"/>
      <c r="G37" s="18" t="s">
        <v>291</v>
      </c>
      <c r="H37" s="6" t="str">
        <f>IF(G37=C37,"ok",IF(C37="","--","Not ok"))</f>
        <v>ok</v>
      </c>
    </row>
    <row r="38" spans="2:8" x14ac:dyDescent="0.25">
      <c r="B38" s="157"/>
      <c r="C38" s="5" t="str">
        <f t="shared" ref="C38:C40" si="4">LEFT(D38,8)</f>
        <v xml:space="preserve">Max und </v>
      </c>
      <c r="D38" s="22" t="s">
        <v>7</v>
      </c>
      <c r="E38" s="22"/>
      <c r="F38" s="22"/>
      <c r="G38" s="18" t="s">
        <v>292</v>
      </c>
      <c r="H38" s="6" t="str">
        <f t="shared" ref="H38:H40" si="5">IF(G38=C38,"ok",IF(C38="","--","Not ok"))</f>
        <v>ok</v>
      </c>
    </row>
    <row r="39" spans="2:8" x14ac:dyDescent="0.25">
      <c r="B39" s="157"/>
      <c r="C39" s="5" t="str">
        <f t="shared" si="4"/>
        <v>Sehr gee</v>
      </c>
      <c r="D39" s="22" t="s">
        <v>287</v>
      </c>
      <c r="E39" s="22"/>
      <c r="F39" s="22"/>
      <c r="G39" s="18" t="s">
        <v>293</v>
      </c>
      <c r="H39" s="6" t="str">
        <f t="shared" si="5"/>
        <v>ok</v>
      </c>
    </row>
    <row r="40" spans="2:8" x14ac:dyDescent="0.25">
      <c r="B40" s="158"/>
      <c r="C40" s="5" t="str">
        <f t="shared" si="4"/>
        <v>Berufssc</v>
      </c>
      <c r="D40" s="22" t="s">
        <v>286</v>
      </c>
      <c r="E40" s="22"/>
      <c r="F40" s="22"/>
      <c r="G40" s="18" t="s">
        <v>294</v>
      </c>
      <c r="H40" s="6" t="str">
        <f t="shared" si="5"/>
        <v>ok</v>
      </c>
    </row>
    <row r="43" spans="2:8" x14ac:dyDescent="0.25">
      <c r="B43" s="2" t="s">
        <v>282</v>
      </c>
      <c r="C43" s="2" t="s">
        <v>281</v>
      </c>
      <c r="D43" s="21" t="s">
        <v>317</v>
      </c>
      <c r="E43" s="21"/>
      <c r="F43" s="21"/>
      <c r="G43" s="19" t="s">
        <v>10</v>
      </c>
      <c r="H43" s="3" t="s">
        <v>5</v>
      </c>
    </row>
    <row r="44" spans="2:8" x14ac:dyDescent="0.25">
      <c r="B44" s="156" t="s">
        <v>296</v>
      </c>
      <c r="C44" s="5" t="str">
        <f>RIGHT(D44,8)</f>
        <v>gen (SZ)</v>
      </c>
      <c r="D44" s="22" t="s">
        <v>285</v>
      </c>
      <c r="E44" s="22"/>
      <c r="F44" s="22"/>
      <c r="G44" s="18" t="s">
        <v>297</v>
      </c>
      <c r="H44" s="6" t="str">
        <f>IF(G44=C44,"ok",IF(C44="","--","Not ok"))</f>
        <v>ok</v>
      </c>
    </row>
    <row r="45" spans="2:8" x14ac:dyDescent="0.25">
      <c r="B45" s="157"/>
      <c r="C45" s="5" t="str">
        <f t="shared" ref="C45:C47" si="6">RIGHT(D45,8)</f>
        <v>d Moritz</v>
      </c>
      <c r="D45" s="22" t="s">
        <v>7</v>
      </c>
      <c r="E45" s="22"/>
      <c r="F45" s="22"/>
      <c r="G45" s="18" t="s">
        <v>1461</v>
      </c>
      <c r="H45" s="6" t="str">
        <f t="shared" ref="H45:H47" si="7">IF(G45=C45,"ok",IF(C45="","--","Not ok"))</f>
        <v>ok</v>
      </c>
    </row>
    <row r="46" spans="2:8" x14ac:dyDescent="0.25">
      <c r="B46" s="157"/>
      <c r="C46" s="5" t="str">
        <f t="shared" si="6"/>
        <v>u Müller</v>
      </c>
      <c r="D46" s="22" t="s">
        <v>287</v>
      </c>
      <c r="E46" s="22"/>
      <c r="F46" s="22"/>
      <c r="G46" s="18" t="s">
        <v>1462</v>
      </c>
      <c r="H46" s="6" t="str">
        <f t="shared" si="7"/>
        <v>ok</v>
      </c>
    </row>
    <row r="47" spans="2:8" x14ac:dyDescent="0.25">
      <c r="B47" s="158"/>
      <c r="C47" s="5" t="str">
        <f t="shared" si="6"/>
        <v>ter (ZH)</v>
      </c>
      <c r="D47" s="22" t="s">
        <v>286</v>
      </c>
      <c r="E47" s="22"/>
      <c r="F47" s="22"/>
      <c r="G47" s="18" t="s">
        <v>1463</v>
      </c>
      <c r="H47" s="6" t="str">
        <f t="shared" si="7"/>
        <v>ok</v>
      </c>
    </row>
    <row r="50" spans="2:8" x14ac:dyDescent="0.25">
      <c r="B50" s="2" t="s">
        <v>282</v>
      </c>
      <c r="C50" s="2" t="s">
        <v>281</v>
      </c>
      <c r="D50" s="21" t="s">
        <v>317</v>
      </c>
      <c r="E50" s="21"/>
      <c r="F50" s="21"/>
      <c r="G50" s="19" t="s">
        <v>10</v>
      </c>
      <c r="H50" s="3" t="s">
        <v>5</v>
      </c>
    </row>
    <row r="51" spans="2:8" x14ac:dyDescent="0.25">
      <c r="B51" s="156" t="s">
        <v>298</v>
      </c>
      <c r="C51" s="5" t="str">
        <f>UPPER(D51)</f>
        <v>8855 WANGEN (SZ)</v>
      </c>
      <c r="D51" s="22" t="s">
        <v>285</v>
      </c>
      <c r="E51" s="22"/>
      <c r="F51" s="22"/>
      <c r="G51" s="18" t="s">
        <v>299</v>
      </c>
      <c r="H51" s="6" t="str">
        <f>IF(G51=C51,"ok",IF(C51="","--","Not ok"))</f>
        <v>ok</v>
      </c>
    </row>
    <row r="52" spans="2:8" x14ac:dyDescent="0.25">
      <c r="B52" s="157"/>
      <c r="C52" s="5" t="str">
        <f t="shared" ref="C52:C54" si="8">UPPER(D52)</f>
        <v>MAX UND MORITZ</v>
      </c>
      <c r="D52" s="22" t="s">
        <v>7</v>
      </c>
      <c r="E52" s="22"/>
      <c r="F52" s="22"/>
      <c r="G52" s="18" t="s">
        <v>300</v>
      </c>
      <c r="H52" s="6" t="str">
        <f t="shared" ref="H52:H54" si="9">IF(G52=C52,"ok",IF(C52="","--","Not ok"))</f>
        <v>ok</v>
      </c>
    </row>
    <row r="53" spans="2:8" x14ac:dyDescent="0.25">
      <c r="B53" s="157"/>
      <c r="C53" s="5" t="str">
        <f t="shared" si="8"/>
        <v>SEHR GEEHRTE FRAU MÜLLER</v>
      </c>
      <c r="D53" s="22" t="s">
        <v>287</v>
      </c>
      <c r="E53" s="22"/>
      <c r="F53" s="22"/>
      <c r="G53" s="18" t="s">
        <v>301</v>
      </c>
      <c r="H53" s="6" t="str">
        <f t="shared" si="9"/>
        <v>ok</v>
      </c>
    </row>
    <row r="54" spans="2:8" x14ac:dyDescent="0.25">
      <c r="B54" s="158"/>
      <c r="C54" s="5" t="str">
        <f t="shared" si="8"/>
        <v>BERUFSSCHULE USTER (ZH)</v>
      </c>
      <c r="D54" s="22" t="s">
        <v>286</v>
      </c>
      <c r="E54" s="22"/>
      <c r="F54" s="22"/>
      <c r="G54" s="18" t="s">
        <v>302</v>
      </c>
      <c r="H54" s="6" t="str">
        <f t="shared" si="9"/>
        <v>ok</v>
      </c>
    </row>
    <row r="57" spans="2:8" x14ac:dyDescent="0.25">
      <c r="B57" s="2" t="s">
        <v>282</v>
      </c>
      <c r="C57" s="2" t="s">
        <v>281</v>
      </c>
      <c r="D57" s="21" t="s">
        <v>317</v>
      </c>
      <c r="E57" s="21"/>
      <c r="F57" s="21"/>
      <c r="G57" s="19" t="s">
        <v>10</v>
      </c>
      <c r="H57" s="3" t="s">
        <v>5</v>
      </c>
    </row>
    <row r="58" spans="2:8" x14ac:dyDescent="0.25">
      <c r="B58" s="156" t="s">
        <v>303</v>
      </c>
      <c r="C58" s="5" t="str">
        <f>LOWER(D58)</f>
        <v>8855 wangen (sz)</v>
      </c>
      <c r="D58" s="22" t="s">
        <v>285</v>
      </c>
      <c r="E58" s="22"/>
      <c r="F58" s="22"/>
      <c r="G58" s="18" t="s">
        <v>304</v>
      </c>
      <c r="H58" s="6" t="str">
        <f>IF(G58=C58,"ok",IF(C58="","--","Not ok"))</f>
        <v>ok</v>
      </c>
    </row>
    <row r="59" spans="2:8" x14ac:dyDescent="0.25">
      <c r="B59" s="157"/>
      <c r="C59" s="5" t="str">
        <f t="shared" ref="C59:C61" si="10">LOWER(D59)</f>
        <v>max und moritz</v>
      </c>
      <c r="D59" s="22" t="s">
        <v>7</v>
      </c>
      <c r="E59" s="22"/>
      <c r="F59" s="22"/>
      <c r="G59" s="18" t="s">
        <v>305</v>
      </c>
      <c r="H59" s="6" t="str">
        <f t="shared" ref="H59:H61" si="11">IF(G59=C59,"ok",IF(C59="","--","Not ok"))</f>
        <v>ok</v>
      </c>
    </row>
    <row r="60" spans="2:8" x14ac:dyDescent="0.25">
      <c r="B60" s="157"/>
      <c r="C60" s="5" t="str">
        <f t="shared" si="10"/>
        <v>sehr geehrte frau müller</v>
      </c>
      <c r="D60" s="22" t="s">
        <v>287</v>
      </c>
      <c r="E60" s="22"/>
      <c r="F60" s="22"/>
      <c r="G60" s="18" t="s">
        <v>306</v>
      </c>
      <c r="H60" s="6" t="str">
        <f t="shared" si="11"/>
        <v>ok</v>
      </c>
    </row>
    <row r="61" spans="2:8" x14ac:dyDescent="0.25">
      <c r="B61" s="158"/>
      <c r="C61" s="5" t="str">
        <f t="shared" si="10"/>
        <v>berufsschule uster (zh)</v>
      </c>
      <c r="D61" s="22" t="s">
        <v>286</v>
      </c>
      <c r="E61" s="22"/>
      <c r="F61" s="22"/>
      <c r="G61" s="18" t="s">
        <v>307</v>
      </c>
      <c r="H61" s="6" t="str">
        <f t="shared" si="11"/>
        <v>ok</v>
      </c>
    </row>
    <row r="64" spans="2:8" x14ac:dyDescent="0.25">
      <c r="B64" s="2" t="s">
        <v>282</v>
      </c>
      <c r="C64" s="2" t="s">
        <v>281</v>
      </c>
      <c r="D64" s="21" t="s">
        <v>317</v>
      </c>
      <c r="E64" s="21"/>
      <c r="F64" s="21"/>
      <c r="G64" s="19" t="s">
        <v>10</v>
      </c>
      <c r="H64" s="3" t="s">
        <v>5</v>
      </c>
    </row>
    <row r="65" spans="2:8" x14ac:dyDescent="0.25">
      <c r="B65" s="156" t="s">
        <v>308</v>
      </c>
      <c r="C65" s="5" t="str">
        <f>PROPER(D65)</f>
        <v>8855 Wangen (Sz)</v>
      </c>
      <c r="D65" s="22" t="s">
        <v>285</v>
      </c>
      <c r="E65" s="22"/>
      <c r="F65" s="22"/>
      <c r="G65" s="18" t="s">
        <v>309</v>
      </c>
      <c r="H65" s="6" t="str">
        <f>IF(G65=C65,"ok",IF(C65="","--","Not ok"))</f>
        <v>ok</v>
      </c>
    </row>
    <row r="66" spans="2:8" x14ac:dyDescent="0.25">
      <c r="B66" s="157"/>
      <c r="C66" s="5" t="str">
        <f t="shared" ref="C66:C68" si="12">PROPER(D66)</f>
        <v>Max Und Moritz</v>
      </c>
      <c r="D66" s="22" t="s">
        <v>7</v>
      </c>
      <c r="E66" s="22"/>
      <c r="F66" s="22"/>
      <c r="G66" s="18" t="s">
        <v>310</v>
      </c>
      <c r="H66" s="6" t="str">
        <f t="shared" ref="H66:H68" si="13">IF(G66=C66,"ok",IF(C66="","--","Not ok"))</f>
        <v>ok</v>
      </c>
    </row>
    <row r="67" spans="2:8" x14ac:dyDescent="0.25">
      <c r="B67" s="157"/>
      <c r="C67" s="5" t="str">
        <f t="shared" si="12"/>
        <v>Sehr Geehrte Frau Müller</v>
      </c>
      <c r="D67" s="22" t="s">
        <v>287</v>
      </c>
      <c r="E67" s="22"/>
      <c r="F67" s="22"/>
      <c r="G67" s="18" t="s">
        <v>311</v>
      </c>
      <c r="H67" s="6" t="str">
        <f t="shared" si="13"/>
        <v>ok</v>
      </c>
    </row>
    <row r="68" spans="2:8" x14ac:dyDescent="0.25">
      <c r="B68" s="158"/>
      <c r="C68" s="5" t="str">
        <f t="shared" si="12"/>
        <v>Berufsschule Uster (Zh)</v>
      </c>
      <c r="D68" s="22" t="s">
        <v>286</v>
      </c>
      <c r="E68" s="22"/>
      <c r="F68" s="22"/>
      <c r="G68" s="18" t="s">
        <v>312</v>
      </c>
      <c r="H68" s="6" t="str">
        <f t="shared" si="13"/>
        <v>ok</v>
      </c>
    </row>
    <row r="71" spans="2:8" x14ac:dyDescent="0.25">
      <c r="B71" s="2" t="s">
        <v>282</v>
      </c>
      <c r="C71" s="2" t="s">
        <v>281</v>
      </c>
      <c r="D71" s="21" t="s">
        <v>317</v>
      </c>
      <c r="E71" s="21"/>
      <c r="F71" s="21"/>
      <c r="G71" s="19" t="s">
        <v>10</v>
      </c>
      <c r="H71" s="3" t="s">
        <v>5</v>
      </c>
    </row>
    <row r="72" spans="2:8" x14ac:dyDescent="0.25">
      <c r="B72" s="156" t="s">
        <v>313</v>
      </c>
      <c r="C72" s="5" t="str">
        <f>MID(D72,5,3)</f>
        <v xml:space="preserve"> Wa</v>
      </c>
      <c r="D72" s="22" t="s">
        <v>285</v>
      </c>
      <c r="E72" s="22"/>
      <c r="F72" s="22"/>
      <c r="G72" s="18" t="s">
        <v>314</v>
      </c>
      <c r="H72" s="6" t="str">
        <f>IF(G72=C72,"ok",IF(C72="","--","Not ok"))</f>
        <v>ok</v>
      </c>
    </row>
    <row r="73" spans="2:8" x14ac:dyDescent="0.25">
      <c r="B73" s="157"/>
      <c r="C73" s="5" t="str">
        <f t="shared" ref="C73:C75" si="14">MID(D73,5,3)</f>
        <v>und</v>
      </c>
      <c r="D73" s="22" t="s">
        <v>7</v>
      </c>
      <c r="E73" s="22"/>
      <c r="F73" s="22"/>
      <c r="G73" s="18" t="s">
        <v>290</v>
      </c>
      <c r="H73" s="6" t="str">
        <f t="shared" ref="H73:H75" si="15">IF(G73=C73,"ok",IF(C73="","--","Not ok"))</f>
        <v>ok</v>
      </c>
    </row>
    <row r="74" spans="2:8" x14ac:dyDescent="0.25">
      <c r="B74" s="157"/>
      <c r="C74" s="5" t="str">
        <f t="shared" si="14"/>
        <v xml:space="preserve"> ge</v>
      </c>
      <c r="D74" s="22" t="s">
        <v>287</v>
      </c>
      <c r="E74" s="22"/>
      <c r="F74" s="22"/>
      <c r="G74" s="18" t="s">
        <v>315</v>
      </c>
      <c r="H74" s="6" t="str">
        <f t="shared" si="15"/>
        <v>ok</v>
      </c>
    </row>
    <row r="75" spans="2:8" x14ac:dyDescent="0.25">
      <c r="B75" s="158"/>
      <c r="C75" s="5" t="str">
        <f t="shared" si="14"/>
        <v>fss</v>
      </c>
      <c r="D75" s="22" t="s">
        <v>286</v>
      </c>
      <c r="E75" s="22"/>
      <c r="F75" s="22"/>
      <c r="G75" s="18" t="s">
        <v>316</v>
      </c>
      <c r="H75" s="6" t="str">
        <f t="shared" si="15"/>
        <v>ok</v>
      </c>
    </row>
    <row r="78" spans="2:8" x14ac:dyDescent="0.25">
      <c r="B78" s="2" t="s">
        <v>282</v>
      </c>
      <c r="C78" s="2" t="s">
        <v>281</v>
      </c>
      <c r="D78" s="21" t="s">
        <v>317</v>
      </c>
      <c r="E78" s="21"/>
      <c r="F78" s="21"/>
      <c r="G78" s="19" t="s">
        <v>10</v>
      </c>
      <c r="H78" s="3" t="s">
        <v>5</v>
      </c>
    </row>
    <row r="79" spans="2:8" x14ac:dyDescent="0.25">
      <c r="B79" s="156" t="s">
        <v>318</v>
      </c>
      <c r="C79" s="5">
        <f>LEN(D79)</f>
        <v>16</v>
      </c>
      <c r="D79" s="22" t="s">
        <v>285</v>
      </c>
      <c r="E79" s="22"/>
      <c r="F79" s="22"/>
      <c r="G79" s="18">
        <v>16</v>
      </c>
      <c r="H79" s="6" t="str">
        <f>IF(G79=C79,"ok",IF(C79="","--","Not ok"))</f>
        <v>ok</v>
      </c>
    </row>
    <row r="80" spans="2:8" x14ac:dyDescent="0.25">
      <c r="B80" s="157"/>
      <c r="C80" s="5">
        <f t="shared" ref="C80:C82" si="16">LEN(D80)</f>
        <v>14</v>
      </c>
      <c r="D80" s="22" t="s">
        <v>7</v>
      </c>
      <c r="E80" s="22"/>
      <c r="F80" s="22"/>
      <c r="G80" s="18">
        <v>14</v>
      </c>
      <c r="H80" s="6" t="str">
        <f t="shared" ref="H80:H82" si="17">IF(G80=C80,"ok",IF(C80="","--","Not ok"))</f>
        <v>ok</v>
      </c>
    </row>
    <row r="81" spans="2:8" x14ac:dyDescent="0.25">
      <c r="B81" s="157"/>
      <c r="C81" s="5">
        <f t="shared" si="16"/>
        <v>24</v>
      </c>
      <c r="D81" s="22" t="s">
        <v>287</v>
      </c>
      <c r="E81" s="22"/>
      <c r="F81" s="22"/>
      <c r="G81" s="18">
        <v>24</v>
      </c>
      <c r="H81" s="6" t="str">
        <f t="shared" si="17"/>
        <v>ok</v>
      </c>
    </row>
    <row r="82" spans="2:8" x14ac:dyDescent="0.25">
      <c r="B82" s="158"/>
      <c r="C82" s="5">
        <f t="shared" si="16"/>
        <v>23</v>
      </c>
      <c r="D82" s="22" t="s">
        <v>286</v>
      </c>
      <c r="E82" s="22"/>
      <c r="F82" s="22"/>
      <c r="G82" s="18">
        <v>23</v>
      </c>
      <c r="H82" s="6" t="str">
        <f t="shared" si="17"/>
        <v>ok</v>
      </c>
    </row>
    <row r="85" spans="2:8" x14ac:dyDescent="0.25">
      <c r="B85" s="2" t="s">
        <v>282</v>
      </c>
      <c r="C85" s="2" t="s">
        <v>281</v>
      </c>
      <c r="D85" s="21" t="s">
        <v>319</v>
      </c>
      <c r="E85" s="21" t="s">
        <v>320</v>
      </c>
      <c r="F85" s="21" t="s">
        <v>322</v>
      </c>
      <c r="G85" s="19" t="s">
        <v>10</v>
      </c>
      <c r="H85" s="3" t="s">
        <v>5</v>
      </c>
    </row>
    <row r="86" spans="2:8" x14ac:dyDescent="0.25">
      <c r="B86" s="156" t="s">
        <v>321</v>
      </c>
      <c r="C86" s="5" t="str">
        <f>CONCATENATE(D86,"-",E86,"-",F86)</f>
        <v>8855-Wangen-SZ</v>
      </c>
      <c r="D86" s="22">
        <v>8855</v>
      </c>
      <c r="E86" s="22" t="s">
        <v>32</v>
      </c>
      <c r="F86" s="22" t="s">
        <v>323</v>
      </c>
      <c r="G86" s="18" t="s">
        <v>331</v>
      </c>
      <c r="H86" s="6" t="str">
        <f>IF(G86=C86,"ok",IF(C86="","--","Not ok"))</f>
        <v>ok</v>
      </c>
    </row>
    <row r="87" spans="2:8" x14ac:dyDescent="0.25">
      <c r="B87" s="157"/>
      <c r="C87" s="5" t="str">
        <f t="shared" ref="C87:C89" si="18">CONCATENATE(D87,"-",E87,"-",F87)</f>
        <v>Walter-Max-Rothlin</v>
      </c>
      <c r="D87" s="22" t="s">
        <v>216</v>
      </c>
      <c r="E87" s="22" t="s">
        <v>324</v>
      </c>
      <c r="F87" s="22" t="s">
        <v>325</v>
      </c>
      <c r="G87" s="18" t="s">
        <v>332</v>
      </c>
      <c r="H87" s="6" t="str">
        <f t="shared" ref="H87:H89" si="19">IF(G87=C87,"ok",IF(C87="","--","Not ok"))</f>
        <v>ok</v>
      </c>
    </row>
    <row r="88" spans="2:8" x14ac:dyDescent="0.25">
      <c r="B88" s="157"/>
      <c r="C88" s="5" t="str">
        <f t="shared" si="18"/>
        <v>Audi-R8-Turbo</v>
      </c>
      <c r="D88" s="22" t="s">
        <v>326</v>
      </c>
      <c r="E88" s="22" t="s">
        <v>327</v>
      </c>
      <c r="F88" s="22" t="s">
        <v>328</v>
      </c>
      <c r="G88" s="18" t="s">
        <v>333</v>
      </c>
      <c r="H88" s="6" t="str">
        <f t="shared" si="19"/>
        <v>ok</v>
      </c>
    </row>
    <row r="89" spans="2:8" x14ac:dyDescent="0.25">
      <c r="B89" s="158"/>
      <c r="C89" s="5" t="str">
        <f t="shared" si="18"/>
        <v>CH58-12345-UBS</v>
      </c>
      <c r="D89" s="22" t="s">
        <v>329</v>
      </c>
      <c r="E89" s="22">
        <v>12345</v>
      </c>
      <c r="F89" s="22" t="s">
        <v>330</v>
      </c>
      <c r="G89" s="18" t="s">
        <v>334</v>
      </c>
      <c r="H89" s="6" t="str">
        <f t="shared" si="19"/>
        <v>ok</v>
      </c>
    </row>
    <row r="92" spans="2:8" x14ac:dyDescent="0.25">
      <c r="B92" s="2" t="s">
        <v>282</v>
      </c>
      <c r="C92" s="2" t="s">
        <v>281</v>
      </c>
      <c r="D92" s="21" t="s">
        <v>319</v>
      </c>
      <c r="E92" s="21"/>
      <c r="F92" s="21"/>
      <c r="G92" s="19" t="s">
        <v>10</v>
      </c>
      <c r="H92" s="3" t="s">
        <v>5</v>
      </c>
    </row>
    <row r="93" spans="2:8" x14ac:dyDescent="0.25">
      <c r="B93" s="156" t="s">
        <v>336</v>
      </c>
      <c r="C93" s="5" t="str">
        <f>TRIM(D93)</f>
        <v>8855</v>
      </c>
      <c r="D93" s="87" t="s">
        <v>338</v>
      </c>
      <c r="E93" s="22"/>
      <c r="F93" s="22"/>
      <c r="G93" s="18" t="s">
        <v>341</v>
      </c>
      <c r="H93" s="6" t="str">
        <f>IF(G93=C93,"ok",IF(C93="","--","Not ok"))</f>
        <v>ok</v>
      </c>
    </row>
    <row r="94" spans="2:8" x14ac:dyDescent="0.25">
      <c r="B94" s="157"/>
      <c r="C94" s="5" t="str">
        <f t="shared" ref="C94:C96" si="20">TRIM(D94)</f>
        <v>Walter Rothlin</v>
      </c>
      <c r="D94" s="22" t="s">
        <v>335</v>
      </c>
      <c r="E94" s="22"/>
      <c r="F94" s="22"/>
      <c r="G94" s="18" t="s">
        <v>342</v>
      </c>
      <c r="H94" s="6" t="str">
        <f t="shared" ref="H94:H96" si="21">IF(G94=C94,"ok",IF(C94="","--","Not ok"))</f>
        <v>ok</v>
      </c>
    </row>
    <row r="95" spans="2:8" x14ac:dyDescent="0.25">
      <c r="B95" s="157"/>
      <c r="C95" s="5" t="str">
        <f t="shared" si="20"/>
        <v>Audi R8 Turbo</v>
      </c>
      <c r="D95" s="22" t="s">
        <v>339</v>
      </c>
      <c r="E95" s="22"/>
      <c r="F95" s="22"/>
      <c r="G95" s="18" t="s">
        <v>343</v>
      </c>
      <c r="H95" s="6" t="str">
        <f t="shared" si="21"/>
        <v>ok</v>
      </c>
    </row>
    <row r="96" spans="2:8" x14ac:dyDescent="0.25">
      <c r="B96" s="158"/>
      <c r="C96" s="5" t="str">
        <f t="shared" si="20"/>
        <v>CH 58</v>
      </c>
      <c r="D96" s="22" t="s">
        <v>340</v>
      </c>
      <c r="E96" s="22"/>
      <c r="F96" s="22"/>
      <c r="G96" s="18" t="s">
        <v>344</v>
      </c>
      <c r="H96" s="6" t="str">
        <f t="shared" si="21"/>
        <v>ok</v>
      </c>
    </row>
    <row r="99" spans="2:8" x14ac:dyDescent="0.25">
      <c r="B99" s="2" t="s">
        <v>282</v>
      </c>
      <c r="C99" s="2" t="s">
        <v>281</v>
      </c>
      <c r="D99" s="21" t="s">
        <v>319</v>
      </c>
      <c r="E99" s="21"/>
      <c r="F99" s="21"/>
      <c r="G99" s="19" t="s">
        <v>10</v>
      </c>
      <c r="H99" s="3" t="s">
        <v>5</v>
      </c>
    </row>
    <row r="100" spans="2:8" x14ac:dyDescent="0.25">
      <c r="B100" s="156" t="s">
        <v>350</v>
      </c>
      <c r="C100" s="5" t="str">
        <f>IF(LEN(D100)&gt;12,"ok","nok")</f>
        <v>nok</v>
      </c>
      <c r="D100" s="87" t="s">
        <v>337</v>
      </c>
      <c r="E100" s="22"/>
      <c r="F100" s="22"/>
      <c r="G100" s="18" t="s">
        <v>351</v>
      </c>
      <c r="H100" s="6" t="str">
        <f>IF(G100=C100,"ok",IF(C100="","--","Not ok"))</f>
        <v>ok</v>
      </c>
    </row>
    <row r="101" spans="2:8" x14ac:dyDescent="0.25">
      <c r="B101" s="157"/>
      <c r="C101" s="5" t="str">
        <f t="shared" ref="C101:C103" si="22">IF(LEN(D101)&gt;12,"ok","nok")</f>
        <v>ok</v>
      </c>
      <c r="D101" s="22" t="s">
        <v>335</v>
      </c>
      <c r="E101" s="22"/>
      <c r="F101" s="22"/>
      <c r="G101" s="18" t="s">
        <v>352</v>
      </c>
      <c r="H101" s="6" t="str">
        <f t="shared" ref="H101:H103" si="23">IF(G101=C101,"ok",IF(C101="","--","Not ok"))</f>
        <v>ok</v>
      </c>
    </row>
    <row r="102" spans="2:8" x14ac:dyDescent="0.25">
      <c r="B102" s="157"/>
      <c r="C102" s="5" t="str">
        <f t="shared" si="22"/>
        <v>ok</v>
      </c>
      <c r="D102" s="22" t="s">
        <v>339</v>
      </c>
      <c r="E102" s="22"/>
      <c r="F102" s="22"/>
      <c r="G102" s="18" t="s">
        <v>352</v>
      </c>
      <c r="H102" s="6" t="str">
        <f t="shared" si="23"/>
        <v>ok</v>
      </c>
    </row>
    <row r="103" spans="2:8" x14ac:dyDescent="0.25">
      <c r="B103" s="158"/>
      <c r="C103" s="5" t="str">
        <f t="shared" si="22"/>
        <v>nok</v>
      </c>
      <c r="D103" s="22" t="s">
        <v>340</v>
      </c>
      <c r="E103" s="22"/>
      <c r="F103" s="22"/>
      <c r="G103" s="18" t="s">
        <v>351</v>
      </c>
      <c r="H103" s="6" t="str">
        <f t="shared" si="23"/>
        <v>ok</v>
      </c>
    </row>
    <row r="106" spans="2:8" x14ac:dyDescent="0.25">
      <c r="B106" s="2" t="s">
        <v>345</v>
      </c>
      <c r="C106" s="2" t="s">
        <v>281</v>
      </c>
      <c r="D106" s="21" t="s">
        <v>19</v>
      </c>
      <c r="E106" s="21"/>
      <c r="F106" s="21"/>
      <c r="G106" s="19" t="s">
        <v>10</v>
      </c>
      <c r="H106" s="3" t="s">
        <v>5</v>
      </c>
    </row>
    <row r="107" spans="2:8" x14ac:dyDescent="0.25">
      <c r="B107" s="156" t="s">
        <v>289</v>
      </c>
      <c r="C107" s="5" t="str">
        <f>MID(D107,FIND(" ",D107),FIND(" ",D107,FIND(" ",D107)+1)-FIND(" ",D107))</f>
        <v xml:space="preserve"> Wangen</v>
      </c>
      <c r="D107" s="22" t="s">
        <v>285</v>
      </c>
      <c r="E107" s="22"/>
      <c r="F107" s="22"/>
      <c r="G107" s="18" t="s">
        <v>346</v>
      </c>
      <c r="H107" s="6" t="str">
        <f>IF(G107=C107,"ok",IF(C107="","--","Not ok"))</f>
        <v>ok</v>
      </c>
    </row>
    <row r="108" spans="2:8" x14ac:dyDescent="0.25">
      <c r="B108" s="157"/>
      <c r="C108" s="5" t="str">
        <f t="shared" ref="C108:C110" si="24">MID(D108,FIND(" ",D108),FIND(" ",D108,FIND(" ",D108)+1)-FIND(" ",D108))</f>
        <v xml:space="preserve"> und</v>
      </c>
      <c r="D108" s="22" t="s">
        <v>7</v>
      </c>
      <c r="E108" s="22"/>
      <c r="F108" s="22"/>
      <c r="G108" s="18" t="s">
        <v>347</v>
      </c>
      <c r="H108" s="6" t="str">
        <f t="shared" ref="H108:H110" si="25">IF(G108=C108,"ok",IF(C108="","--","Not ok"))</f>
        <v>ok</v>
      </c>
    </row>
    <row r="109" spans="2:8" x14ac:dyDescent="0.25">
      <c r="B109" s="157"/>
      <c r="C109" s="5" t="str">
        <f t="shared" si="24"/>
        <v xml:space="preserve"> geehrte</v>
      </c>
      <c r="D109" s="22" t="s">
        <v>287</v>
      </c>
      <c r="E109" s="22"/>
      <c r="F109" s="22"/>
      <c r="G109" s="18" t="s">
        <v>348</v>
      </c>
      <c r="H109" s="6" t="str">
        <f t="shared" si="25"/>
        <v>ok</v>
      </c>
    </row>
    <row r="110" spans="2:8" x14ac:dyDescent="0.25">
      <c r="B110" s="158"/>
      <c r="C110" s="5" t="str">
        <f t="shared" si="24"/>
        <v xml:space="preserve"> Uster</v>
      </c>
      <c r="D110" s="22" t="s">
        <v>286</v>
      </c>
      <c r="E110" s="22"/>
      <c r="F110" s="22"/>
      <c r="G110" s="18" t="s">
        <v>349</v>
      </c>
      <c r="H110" s="6" t="str">
        <f t="shared" si="25"/>
        <v>ok</v>
      </c>
    </row>
  </sheetData>
  <mergeCells count="13">
    <mergeCell ref="B23:B26"/>
    <mergeCell ref="B30:B33"/>
    <mergeCell ref="B107:B110"/>
    <mergeCell ref="B37:B40"/>
    <mergeCell ref="B44:B47"/>
    <mergeCell ref="B51:B54"/>
    <mergeCell ref="B58:B61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106" priority="56" operator="equal">
      <formula>"Not ok"</formula>
    </cfRule>
    <cfRule type="cellIs" dxfId="105" priority="57" operator="equal">
      <formula>"ok"</formula>
    </cfRule>
  </conditionalFormatting>
  <conditionalFormatting sqref="G7">
    <cfRule type="cellIs" dxfId="104" priority="27" stopIfTrue="1" operator="equal">
      <formula>"Not defined"</formula>
    </cfRule>
    <cfRule type="cellIs" dxfId="103" priority="28" stopIfTrue="1" operator="greaterThan">
      <formula>5.7</formula>
    </cfRule>
    <cfRule type="cellIs" dxfId="102" priority="29" stopIfTrue="1" operator="greaterThan">
      <formula>5</formula>
    </cfRule>
    <cfRule type="cellIs" dxfId="101" priority="30" stopIfTrue="1" operator="greaterThan">
      <formula>4.5</formula>
    </cfRule>
    <cfRule type="cellIs" dxfId="100" priority="31" stopIfTrue="1" operator="greaterThanOrEqual">
      <formula>4</formula>
    </cfRule>
    <cfRule type="cellIs" dxfId="99" priority="32" stopIfTrue="1" operator="greaterThanOrEqual">
      <formula>3</formula>
    </cfRule>
    <cfRule type="cellIs" dxfId="98" priority="33" stopIfTrue="1" operator="greaterThanOrEqual">
      <formula>1</formula>
    </cfRule>
  </conditionalFormatting>
  <conditionalFormatting sqref="H30:H33">
    <cfRule type="cellIs" dxfId="97" priority="25" operator="equal">
      <formula>"Not ok"</formula>
    </cfRule>
    <cfRule type="cellIs" dxfId="96" priority="26" operator="equal">
      <formula>"ok"</formula>
    </cfRule>
  </conditionalFormatting>
  <conditionalFormatting sqref="H107:H110">
    <cfRule type="cellIs" dxfId="95" priority="23" operator="equal">
      <formula>"Not ok"</formula>
    </cfRule>
    <cfRule type="cellIs" dxfId="94" priority="24" operator="equal">
      <formula>"ok"</formula>
    </cfRule>
  </conditionalFormatting>
  <conditionalFormatting sqref="H37:H40">
    <cfRule type="cellIs" dxfId="93" priority="19" operator="equal">
      <formula>"Not ok"</formula>
    </cfRule>
    <cfRule type="cellIs" dxfId="92" priority="20" operator="equal">
      <formula>"ok"</formula>
    </cfRule>
  </conditionalFormatting>
  <conditionalFormatting sqref="H44:H47">
    <cfRule type="cellIs" dxfId="91" priority="17" operator="equal">
      <formula>"Not ok"</formula>
    </cfRule>
    <cfRule type="cellIs" dxfId="90" priority="18" operator="equal">
      <formula>"ok"</formula>
    </cfRule>
  </conditionalFormatting>
  <conditionalFormatting sqref="H51:H54">
    <cfRule type="cellIs" dxfId="89" priority="15" operator="equal">
      <formula>"Not ok"</formula>
    </cfRule>
    <cfRule type="cellIs" dxfId="88" priority="16" operator="equal">
      <formula>"ok"</formula>
    </cfRule>
  </conditionalFormatting>
  <conditionalFormatting sqref="H58:H61">
    <cfRule type="cellIs" dxfId="87" priority="13" operator="equal">
      <formula>"Not ok"</formula>
    </cfRule>
    <cfRule type="cellIs" dxfId="86" priority="14" operator="equal">
      <formula>"ok"</formula>
    </cfRule>
  </conditionalFormatting>
  <conditionalFormatting sqref="H65:H68">
    <cfRule type="cellIs" dxfId="85" priority="11" operator="equal">
      <formula>"Not ok"</formula>
    </cfRule>
    <cfRule type="cellIs" dxfId="84" priority="12" operator="equal">
      <formula>"ok"</formula>
    </cfRule>
  </conditionalFormatting>
  <conditionalFormatting sqref="H72:H75">
    <cfRule type="cellIs" dxfId="83" priority="9" operator="equal">
      <formula>"Not ok"</formula>
    </cfRule>
    <cfRule type="cellIs" dxfId="82" priority="10" operator="equal">
      <formula>"ok"</formula>
    </cfRule>
  </conditionalFormatting>
  <conditionalFormatting sqref="H79:H82">
    <cfRule type="cellIs" dxfId="81" priority="7" operator="equal">
      <formula>"Not ok"</formula>
    </cfRule>
    <cfRule type="cellIs" dxfId="80" priority="8" operator="equal">
      <formula>"ok"</formula>
    </cfRule>
  </conditionalFormatting>
  <conditionalFormatting sqref="H86:H89">
    <cfRule type="cellIs" dxfId="79" priority="5" operator="equal">
      <formula>"Not ok"</formula>
    </cfRule>
    <cfRule type="cellIs" dxfId="78" priority="6" operator="equal">
      <formula>"ok"</formula>
    </cfRule>
  </conditionalFormatting>
  <conditionalFormatting sqref="H93:H96">
    <cfRule type="cellIs" dxfId="77" priority="3" operator="equal">
      <formula>"Not ok"</formula>
    </cfRule>
    <cfRule type="cellIs" dxfId="76" priority="4" operator="equal">
      <formula>"ok"</formula>
    </cfRule>
  </conditionalFormatting>
  <conditionalFormatting sqref="H100:H103">
    <cfRule type="cellIs" dxfId="75" priority="1" operator="equal">
      <formula>"Not ok"</formula>
    </cfRule>
    <cfRule type="cellIs" dxfId="74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N11" sqref="N11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88" t="s">
        <v>1321</v>
      </c>
    </row>
    <row r="9" spans="2:23" ht="15.75" thickBot="1" x14ac:dyDescent="0.3"/>
    <row r="10" spans="2:23" x14ac:dyDescent="0.25">
      <c r="B10" s="113" t="s">
        <v>355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4" t="s">
        <v>356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106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106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106</v>
      </c>
      <c r="W20" s="108"/>
    </row>
    <row r="21" spans="16:23" x14ac:dyDescent="0.25">
      <c r="P21" s="105"/>
      <c r="Q21" s="107" t="s">
        <v>1287</v>
      </c>
      <c r="R21" s="107"/>
      <c r="S21" s="107"/>
      <c r="T21" s="107"/>
      <c r="U21" s="107"/>
      <c r="V21" s="107" t="s">
        <v>106</v>
      </c>
      <c r="W21" s="108"/>
    </row>
    <row r="22" spans="16:23" x14ac:dyDescent="0.25">
      <c r="P22" s="105"/>
      <c r="Q22" s="107" t="s">
        <v>1288</v>
      </c>
      <c r="R22" s="107"/>
      <c r="S22" s="107"/>
      <c r="T22" s="107"/>
      <c r="U22" s="107"/>
      <c r="V22" s="107" t="s">
        <v>115</v>
      </c>
      <c r="W22" s="108"/>
    </row>
    <row r="23" spans="16:23" x14ac:dyDescent="0.25">
      <c r="P23" s="105"/>
      <c r="Q23" s="107" t="s">
        <v>1279</v>
      </c>
      <c r="R23" s="107"/>
      <c r="S23" s="107"/>
      <c r="T23" s="107"/>
      <c r="U23" s="107"/>
      <c r="V23" s="107" t="s">
        <v>115</v>
      </c>
      <c r="W23" s="108"/>
    </row>
    <row r="24" spans="16:23" x14ac:dyDescent="0.25">
      <c r="P24" s="105"/>
      <c r="Q24" s="107" t="s">
        <v>1289</v>
      </c>
      <c r="R24" s="107"/>
      <c r="S24" s="107"/>
      <c r="T24" s="107"/>
      <c r="U24" s="107"/>
      <c r="V24" s="107" t="s">
        <v>115</v>
      </c>
      <c r="W24" s="108"/>
    </row>
    <row r="25" spans="16:23" x14ac:dyDescent="0.25">
      <c r="P25" s="105"/>
      <c r="Q25" s="107"/>
      <c r="R25" s="107"/>
      <c r="S25" s="107"/>
      <c r="T25" s="107"/>
      <c r="U25" s="107" t="s">
        <v>1285</v>
      </c>
      <c r="V25" s="107">
        <f>COUNTIF(V18:V24,"&lt;&gt; ")</f>
        <v>7</v>
      </c>
      <c r="W25" s="108"/>
    </row>
    <row r="26" spans="16:23" ht="15.75" thickBot="1" x14ac:dyDescent="0.3">
      <c r="P26" s="105"/>
      <c r="Q26" s="107"/>
      <c r="R26" s="107"/>
      <c r="S26" s="107"/>
      <c r="T26" s="107"/>
      <c r="U26" s="109" t="s">
        <v>1286</v>
      </c>
      <c r="V26" s="107">
        <f>COUNTIF(V18:V24,"=Ja")</f>
        <v>4</v>
      </c>
      <c r="W26" s="108"/>
    </row>
    <row r="27" spans="16:23" ht="15.75" thickBot="1" x14ac:dyDescent="0.3">
      <c r="P27" s="105"/>
      <c r="Q27" s="107"/>
      <c r="R27" s="107"/>
      <c r="S27" s="107"/>
      <c r="T27" s="107"/>
      <c r="U27" s="115" t="s">
        <v>16</v>
      </c>
      <c r="V27" s="116">
        <f>(5/V25)*V26+1</f>
        <v>3.8571428571428572</v>
      </c>
      <c r="W27" s="108"/>
    </row>
    <row r="28" spans="16:23" x14ac:dyDescent="0.25">
      <c r="P28" s="105"/>
      <c r="Q28" s="107"/>
      <c r="R28" s="107"/>
      <c r="S28" s="107"/>
      <c r="T28" s="107"/>
      <c r="U28" s="107"/>
      <c r="V28" s="107"/>
      <c r="W28" s="108"/>
    </row>
    <row r="29" spans="16:23" ht="15.75" thickBot="1" x14ac:dyDescent="0.3">
      <c r="P29" s="110"/>
      <c r="Q29" s="111"/>
      <c r="R29" s="111"/>
      <c r="S29" s="111"/>
      <c r="T29" s="111"/>
      <c r="U29" s="111"/>
      <c r="V29" s="111"/>
      <c r="W29" s="11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C000"/>
  </sheetPr>
  <dimension ref="B2:W29"/>
  <sheetViews>
    <sheetView workbookViewId="0">
      <selection activeCell="O6" sqref="O6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88" t="str">
        <f>Potenzen!B2</f>
        <v>M100: Grafische Datenauswertung (Potenzen)</v>
      </c>
    </row>
    <row r="9" spans="2:23" ht="15.75" thickBot="1" x14ac:dyDescent="0.3"/>
    <row r="10" spans="2:23" x14ac:dyDescent="0.25">
      <c r="B10" s="113" t="s">
        <v>355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4" t="s">
        <v>356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106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106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106</v>
      </c>
      <c r="W20" s="108"/>
    </row>
    <row r="21" spans="16:23" x14ac:dyDescent="0.25">
      <c r="P21" s="105"/>
      <c r="Q21" s="107" t="s">
        <v>1287</v>
      </c>
      <c r="R21" s="107"/>
      <c r="S21" s="107"/>
      <c r="T21" s="107"/>
      <c r="U21" s="107"/>
      <c r="V21" s="107" t="s">
        <v>106</v>
      </c>
      <c r="W21" s="108"/>
    </row>
    <row r="22" spans="16:23" x14ac:dyDescent="0.25">
      <c r="P22" s="105"/>
      <c r="Q22" s="107" t="s">
        <v>1288</v>
      </c>
      <c r="R22" s="107"/>
      <c r="S22" s="107"/>
      <c r="T22" s="107"/>
      <c r="U22" s="107"/>
      <c r="V22" s="107" t="s">
        <v>106</v>
      </c>
      <c r="W22" s="108"/>
    </row>
    <row r="23" spans="16:23" x14ac:dyDescent="0.25">
      <c r="P23" s="105"/>
      <c r="Q23" s="107" t="s">
        <v>1279</v>
      </c>
      <c r="R23" s="107"/>
      <c r="S23" s="107"/>
      <c r="T23" s="107"/>
      <c r="U23" s="107"/>
      <c r="V23" s="107" t="s">
        <v>106</v>
      </c>
      <c r="W23" s="108"/>
    </row>
    <row r="24" spans="16:23" x14ac:dyDescent="0.25">
      <c r="P24" s="105"/>
      <c r="Q24" s="107" t="s">
        <v>1289</v>
      </c>
      <c r="R24" s="107"/>
      <c r="S24" s="107"/>
      <c r="T24" s="107"/>
      <c r="U24" s="107"/>
      <c r="V24" s="107" t="s">
        <v>106</v>
      </c>
      <c r="W24" s="108"/>
    </row>
    <row r="25" spans="16:23" x14ac:dyDescent="0.25">
      <c r="P25" s="105"/>
      <c r="Q25" s="107"/>
      <c r="R25" s="107"/>
      <c r="S25" s="107"/>
      <c r="T25" s="107"/>
      <c r="U25" s="107" t="s">
        <v>1285</v>
      </c>
      <c r="V25" s="107">
        <f>COUNTIF(V18:V24,"&lt;&gt; ")</f>
        <v>7</v>
      </c>
      <c r="W25" s="108"/>
    </row>
    <row r="26" spans="16:23" ht="15.75" thickBot="1" x14ac:dyDescent="0.3">
      <c r="P26" s="105"/>
      <c r="Q26" s="107"/>
      <c r="R26" s="107"/>
      <c r="S26" s="107"/>
      <c r="T26" s="107"/>
      <c r="U26" s="109" t="s">
        <v>1286</v>
      </c>
      <c r="V26" s="107">
        <f>COUNTIF(V18:V24,"=Ja")</f>
        <v>7</v>
      </c>
      <c r="W26" s="108"/>
    </row>
    <row r="27" spans="16:23" ht="15.75" thickBot="1" x14ac:dyDescent="0.3">
      <c r="P27" s="105"/>
      <c r="Q27" s="107"/>
      <c r="R27" s="107"/>
      <c r="S27" s="107"/>
      <c r="T27" s="107"/>
      <c r="U27" s="115" t="s">
        <v>16</v>
      </c>
      <c r="V27" s="116">
        <f>(5/V25)*V26+1</f>
        <v>6</v>
      </c>
      <c r="W27" s="108"/>
    </row>
    <row r="28" spans="16:23" x14ac:dyDescent="0.25">
      <c r="P28" s="105"/>
      <c r="Q28" s="107"/>
      <c r="R28" s="107"/>
      <c r="S28" s="107"/>
      <c r="T28" s="107"/>
      <c r="U28" s="107"/>
      <c r="V28" s="107"/>
      <c r="W28" s="108"/>
    </row>
    <row r="29" spans="16:23" ht="15.75" thickBot="1" x14ac:dyDescent="0.3">
      <c r="P29" s="110"/>
      <c r="Q29" s="111"/>
      <c r="R29" s="111"/>
      <c r="S29" s="111"/>
      <c r="T29" s="111"/>
      <c r="U29" s="111"/>
      <c r="V29" s="111"/>
      <c r="W29" s="11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/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88" t="s">
        <v>1322</v>
      </c>
    </row>
    <row r="8" spans="2:23" ht="15.75" thickBot="1" x14ac:dyDescent="0.3"/>
    <row r="9" spans="2:23" ht="15.75" thickBot="1" x14ac:dyDescent="0.3">
      <c r="C9" s="94" t="s">
        <v>359</v>
      </c>
      <c r="D9" s="95">
        <v>2</v>
      </c>
    </row>
    <row r="10" spans="2:23" ht="15.75" thickBot="1" x14ac:dyDescent="0.3">
      <c r="B10" s="89" t="s">
        <v>355</v>
      </c>
      <c r="C10" s="92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0" t="s">
        <v>357</v>
      </c>
      <c r="C11" s="43">
        <f t="shared" ref="C11:W11" si="1">0.5*C10^2 - 3*C10-5</f>
        <v>22.5</v>
      </c>
      <c r="D11" s="43">
        <f t="shared" si="1"/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3">
        <f t="shared" si="1"/>
        <v>502.5</v>
      </c>
    </row>
    <row r="12" spans="2:23" ht="15.75" thickBot="1" x14ac:dyDescent="0.3">
      <c r="B12" s="91" t="s">
        <v>358</v>
      </c>
      <c r="C12" s="50">
        <f t="shared" ref="C12:W12" si="2">C10^2 - 10*C10 - 8</f>
        <v>67</v>
      </c>
      <c r="D12" s="27">
        <f t="shared" si="2"/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106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106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106</v>
      </c>
      <c r="W20" s="108"/>
    </row>
    <row r="21" spans="16:23" x14ac:dyDescent="0.25">
      <c r="P21" s="105"/>
      <c r="Q21" s="107" t="s">
        <v>1276</v>
      </c>
      <c r="R21" s="107"/>
      <c r="S21" s="107"/>
      <c r="T21" s="107"/>
      <c r="U21" s="107"/>
      <c r="V21" s="107" t="s">
        <v>106</v>
      </c>
      <c r="W21" s="108"/>
    </row>
    <row r="22" spans="16:23" x14ac:dyDescent="0.25">
      <c r="P22" s="105"/>
      <c r="Q22" s="107" t="s">
        <v>1277</v>
      </c>
      <c r="R22" s="107"/>
      <c r="S22" s="107"/>
      <c r="T22" s="107"/>
      <c r="U22" s="107"/>
      <c r="V22" s="107" t="s">
        <v>115</v>
      </c>
      <c r="W22" s="108"/>
    </row>
    <row r="23" spans="16:23" x14ac:dyDescent="0.25">
      <c r="P23" s="105"/>
      <c r="Q23" s="107" t="s">
        <v>1278</v>
      </c>
      <c r="R23" s="107"/>
      <c r="S23" s="107"/>
      <c r="T23" s="107"/>
      <c r="U23" s="107"/>
      <c r="V23" s="107" t="s">
        <v>115</v>
      </c>
      <c r="W23" s="108"/>
    </row>
    <row r="24" spans="16:23" x14ac:dyDescent="0.25">
      <c r="P24" s="105"/>
      <c r="Q24" s="107" t="s">
        <v>1279</v>
      </c>
      <c r="R24" s="107"/>
      <c r="S24" s="107"/>
      <c r="T24" s="107"/>
      <c r="U24" s="107"/>
      <c r="V24" s="107" t="s">
        <v>115</v>
      </c>
      <c r="W24" s="108"/>
    </row>
    <row r="25" spans="16:23" x14ac:dyDescent="0.25">
      <c r="P25" s="105"/>
      <c r="Q25" s="107" t="s">
        <v>1280</v>
      </c>
      <c r="R25" s="107"/>
      <c r="S25" s="107"/>
      <c r="T25" s="107"/>
      <c r="U25" s="107"/>
      <c r="V25" s="107" t="s">
        <v>115</v>
      </c>
      <c r="W25" s="108"/>
    </row>
    <row r="26" spans="16:23" x14ac:dyDescent="0.25">
      <c r="P26" s="105"/>
      <c r="Q26" s="107" t="s">
        <v>1281</v>
      </c>
      <c r="R26" s="107"/>
      <c r="S26" s="107"/>
      <c r="T26" s="107"/>
      <c r="U26" s="107"/>
      <c r="V26" s="107" t="s">
        <v>115</v>
      </c>
      <c r="W26" s="108"/>
    </row>
    <row r="27" spans="16:23" x14ac:dyDescent="0.25">
      <c r="P27" s="105"/>
      <c r="Q27" s="107" t="s">
        <v>1282</v>
      </c>
      <c r="R27" s="107"/>
      <c r="S27" s="107"/>
      <c r="T27" s="107"/>
      <c r="U27" s="107"/>
      <c r="V27" s="107" t="s">
        <v>115</v>
      </c>
      <c r="W27" s="108"/>
    </row>
    <row r="28" spans="16:23" x14ac:dyDescent="0.25">
      <c r="P28" s="105"/>
      <c r="Q28" s="107" t="s">
        <v>1283</v>
      </c>
      <c r="R28" s="107"/>
      <c r="S28" s="107"/>
      <c r="T28" s="107"/>
      <c r="U28" s="107"/>
      <c r="V28" s="107" t="s">
        <v>115</v>
      </c>
      <c r="W28" s="108"/>
    </row>
    <row r="29" spans="16:23" x14ac:dyDescent="0.25">
      <c r="P29" s="105"/>
      <c r="Q29" s="107"/>
      <c r="R29" s="107"/>
      <c r="S29" s="107"/>
      <c r="T29" s="107"/>
      <c r="U29" s="107" t="s">
        <v>1285</v>
      </c>
      <c r="V29" s="107">
        <f>COUNTIF(V18:V28,"&lt;&gt; ")</f>
        <v>11</v>
      </c>
      <c r="W29" s="108"/>
    </row>
    <row r="30" spans="16:23" ht="15.75" thickBot="1" x14ac:dyDescent="0.3">
      <c r="P30" s="105"/>
      <c r="Q30" s="107"/>
      <c r="R30" s="107"/>
      <c r="S30" s="107"/>
      <c r="T30" s="107"/>
      <c r="U30" s="109" t="s">
        <v>1286</v>
      </c>
      <c r="V30" s="107">
        <f>COUNTIF(V18:V28,"=Ja")</f>
        <v>4</v>
      </c>
      <c r="W30" s="108"/>
    </row>
    <row r="31" spans="16:23" ht="15.75" thickBot="1" x14ac:dyDescent="0.3">
      <c r="P31" s="105"/>
      <c r="Q31" s="107"/>
      <c r="R31" s="107"/>
      <c r="S31" s="107"/>
      <c r="T31" s="107"/>
      <c r="U31" s="115" t="s">
        <v>16</v>
      </c>
      <c r="V31" s="116">
        <f>(5/V29)*V30+1</f>
        <v>2.8181818181818183</v>
      </c>
      <c r="W31" s="108"/>
    </row>
    <row r="32" spans="16:23" x14ac:dyDescent="0.25">
      <c r="P32" s="105"/>
      <c r="Q32" s="107"/>
      <c r="R32" s="107"/>
      <c r="S32" s="107"/>
      <c r="T32" s="107"/>
      <c r="U32" s="107"/>
      <c r="V32" s="107"/>
      <c r="W32" s="108"/>
    </row>
    <row r="33" spans="16:23" ht="15.75" thickBot="1" x14ac:dyDescent="0.3">
      <c r="P33" s="110"/>
      <c r="Q33" s="111"/>
      <c r="R33" s="111"/>
      <c r="S33" s="111"/>
      <c r="T33" s="111"/>
      <c r="U33" s="111"/>
      <c r="V33" s="111"/>
      <c r="W33" s="11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rgb="FFFFC000"/>
  </sheetPr>
  <dimension ref="B1:W33"/>
  <sheetViews>
    <sheetView workbookViewId="0">
      <selection activeCell="C13" sqref="C13"/>
    </sheetView>
  </sheetViews>
  <sheetFormatPr baseColWidth="10" defaultRowHeight="15" x14ac:dyDescent="0.25"/>
  <cols>
    <col min="2" max="2" width="18.42578125" customWidth="1"/>
  </cols>
  <sheetData>
    <row r="1" spans="2:23" ht="23.25" customHeight="1" x14ac:dyDescent="0.25"/>
    <row r="2" spans="2:23" ht="18.75" x14ac:dyDescent="0.3">
      <c r="B2" s="88" t="str">
        <f>QuadratischeFunktion!$B$2</f>
        <v>M100: Grafische Datenauswertung (Quadratische Funktion)</v>
      </c>
    </row>
    <row r="8" spans="2:23" ht="15.75" thickBot="1" x14ac:dyDescent="0.3"/>
    <row r="9" spans="2:23" ht="15.75" thickBot="1" x14ac:dyDescent="0.3">
      <c r="C9" s="94" t="s">
        <v>359</v>
      </c>
      <c r="D9" s="95">
        <v>2</v>
      </c>
    </row>
    <row r="10" spans="2:23" ht="15.75" thickBot="1" x14ac:dyDescent="0.3">
      <c r="B10" s="89" t="s">
        <v>355</v>
      </c>
      <c r="C10" s="92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0" t="s">
        <v>357</v>
      </c>
      <c r="C11" s="43">
        <f>0.5*C10^2 - 3*C10-5</f>
        <v>22.5</v>
      </c>
      <c r="D11" s="43">
        <f t="shared" ref="D11:W11" si="1">0.5*D10^2 - 3*D10-5</f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3">
        <f t="shared" si="1"/>
        <v>502.5</v>
      </c>
    </row>
    <row r="12" spans="2:23" ht="15.75" thickBot="1" x14ac:dyDescent="0.3">
      <c r="B12" s="91" t="s">
        <v>358</v>
      </c>
      <c r="C12" s="50">
        <f>C10^2 - 10*C10 - 8</f>
        <v>67</v>
      </c>
      <c r="D12" s="27">
        <f t="shared" ref="D12:W12" si="2">D10^2 - 10*D10 - 8</f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115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115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115</v>
      </c>
      <c r="W20" s="108"/>
    </row>
    <row r="21" spans="16:23" x14ac:dyDescent="0.25">
      <c r="P21" s="105"/>
      <c r="Q21" s="107" t="s">
        <v>1276</v>
      </c>
      <c r="R21" s="107"/>
      <c r="S21" s="107"/>
      <c r="T21" s="107"/>
      <c r="U21" s="107"/>
      <c r="V21" s="107" t="s">
        <v>115</v>
      </c>
      <c r="W21" s="108"/>
    </row>
    <row r="22" spans="16:23" x14ac:dyDescent="0.25">
      <c r="P22" s="105"/>
      <c r="Q22" s="107" t="s">
        <v>1277</v>
      </c>
      <c r="R22" s="107"/>
      <c r="S22" s="107"/>
      <c r="T22" s="107"/>
      <c r="U22" s="107"/>
      <c r="V22" s="107" t="s">
        <v>115</v>
      </c>
      <c r="W22" s="108"/>
    </row>
    <row r="23" spans="16:23" x14ac:dyDescent="0.25">
      <c r="P23" s="105"/>
      <c r="Q23" s="107" t="s">
        <v>1278</v>
      </c>
      <c r="R23" s="107"/>
      <c r="S23" s="107"/>
      <c r="T23" s="107"/>
      <c r="U23" s="107"/>
      <c r="V23" s="107" t="s">
        <v>115</v>
      </c>
      <c r="W23" s="108"/>
    </row>
    <row r="24" spans="16:23" x14ac:dyDescent="0.25">
      <c r="P24" s="105"/>
      <c r="Q24" s="107" t="s">
        <v>1279</v>
      </c>
      <c r="R24" s="107"/>
      <c r="S24" s="107"/>
      <c r="T24" s="107"/>
      <c r="U24" s="107"/>
      <c r="V24" s="107" t="s">
        <v>115</v>
      </c>
      <c r="W24" s="108"/>
    </row>
    <row r="25" spans="16:23" x14ac:dyDescent="0.25">
      <c r="P25" s="105"/>
      <c r="Q25" s="107" t="s">
        <v>1280</v>
      </c>
      <c r="R25" s="107"/>
      <c r="S25" s="107"/>
      <c r="T25" s="107"/>
      <c r="U25" s="107"/>
      <c r="V25" s="107" t="s">
        <v>115</v>
      </c>
      <c r="W25" s="108"/>
    </row>
    <row r="26" spans="16:23" x14ac:dyDescent="0.25">
      <c r="P26" s="105"/>
      <c r="Q26" s="107" t="s">
        <v>1281</v>
      </c>
      <c r="R26" s="107"/>
      <c r="S26" s="107"/>
      <c r="T26" s="107"/>
      <c r="U26" s="107"/>
      <c r="V26" s="107" t="s">
        <v>115</v>
      </c>
      <c r="W26" s="108"/>
    </row>
    <row r="27" spans="16:23" x14ac:dyDescent="0.25">
      <c r="P27" s="105"/>
      <c r="Q27" s="107" t="s">
        <v>1282</v>
      </c>
      <c r="R27" s="107"/>
      <c r="S27" s="107"/>
      <c r="T27" s="107"/>
      <c r="U27" s="107"/>
      <c r="V27" s="107" t="s">
        <v>115</v>
      </c>
      <c r="W27" s="108"/>
    </row>
    <row r="28" spans="16:23" x14ac:dyDescent="0.25">
      <c r="P28" s="105"/>
      <c r="Q28" s="107" t="s">
        <v>1283</v>
      </c>
      <c r="R28" s="107"/>
      <c r="S28" s="107"/>
      <c r="T28" s="107"/>
      <c r="U28" s="107"/>
      <c r="V28" s="107" t="s">
        <v>115</v>
      </c>
      <c r="W28" s="108"/>
    </row>
    <row r="29" spans="16:23" x14ac:dyDescent="0.25">
      <c r="P29" s="105"/>
      <c r="Q29" s="107"/>
      <c r="R29" s="107"/>
      <c r="S29" s="107"/>
      <c r="T29" s="107"/>
      <c r="U29" s="107" t="s">
        <v>1285</v>
      </c>
      <c r="V29" s="107">
        <f>COUNTIF(V18:V28,"&lt;&gt; ")</f>
        <v>11</v>
      </c>
      <c r="W29" s="108"/>
    </row>
    <row r="30" spans="16:23" ht="15.75" thickBot="1" x14ac:dyDescent="0.3">
      <c r="P30" s="105"/>
      <c r="Q30" s="107"/>
      <c r="R30" s="107"/>
      <c r="S30" s="107"/>
      <c r="T30" s="107"/>
      <c r="U30" s="109" t="s">
        <v>1286</v>
      </c>
      <c r="V30" s="107">
        <f>COUNTIF(V18:V28,"=Ja")</f>
        <v>0</v>
      </c>
      <c r="W30" s="108"/>
    </row>
    <row r="31" spans="16:23" ht="15.75" thickBot="1" x14ac:dyDescent="0.3">
      <c r="P31" s="105"/>
      <c r="Q31" s="107"/>
      <c r="R31" s="107"/>
      <c r="S31" s="107"/>
      <c r="T31" s="107"/>
      <c r="U31" s="115" t="s">
        <v>16</v>
      </c>
      <c r="V31" s="116">
        <f>(5/V29)*V30+1</f>
        <v>1</v>
      </c>
      <c r="W31" s="108"/>
    </row>
    <row r="32" spans="16:23" x14ac:dyDescent="0.25">
      <c r="P32" s="105"/>
      <c r="Q32" s="107"/>
      <c r="R32" s="107"/>
      <c r="S32" s="107"/>
      <c r="T32" s="107"/>
      <c r="U32" s="107"/>
      <c r="V32" s="107"/>
      <c r="W32" s="108"/>
    </row>
    <row r="33" spans="16:23" ht="15.75" thickBot="1" x14ac:dyDescent="0.3">
      <c r="P33" s="110"/>
      <c r="Q33" s="111"/>
      <c r="R33" s="111"/>
      <c r="S33" s="111"/>
      <c r="T33" s="111"/>
      <c r="U33" s="111"/>
      <c r="V33" s="111"/>
      <c r="W33" s="11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79"/>
  <sheetViews>
    <sheetView zoomScale="70" zoomScaleNormal="70" workbookViewId="0">
      <selection activeCell="A22" sqref="A22:J279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52"/>
    </row>
    <row r="2" spans="1:19" ht="18.75" x14ac:dyDescent="0.3">
      <c r="B2" s="88" t="s">
        <v>1325</v>
      </c>
      <c r="L2" s="102"/>
      <c r="M2" s="103"/>
      <c r="N2" s="103"/>
      <c r="O2" s="103"/>
      <c r="P2" s="103"/>
      <c r="Q2" s="103"/>
      <c r="R2" s="103"/>
      <c r="S2" s="104"/>
    </row>
    <row r="3" spans="1:19" ht="18.75" x14ac:dyDescent="0.3">
      <c r="L3" s="105"/>
      <c r="M3" s="106" t="s">
        <v>1273</v>
      </c>
      <c r="N3" s="107"/>
      <c r="O3" s="107"/>
      <c r="P3" s="107"/>
      <c r="Q3" s="107"/>
      <c r="R3" s="107"/>
      <c r="S3" s="108"/>
    </row>
    <row r="4" spans="1:19" x14ac:dyDescent="0.25">
      <c r="L4" s="105"/>
      <c r="M4" s="107"/>
      <c r="N4" s="107"/>
      <c r="O4" s="107"/>
      <c r="P4" s="107"/>
      <c r="Q4" s="107"/>
      <c r="R4" s="107"/>
      <c r="S4" s="108"/>
    </row>
    <row r="5" spans="1:19" x14ac:dyDescent="0.25">
      <c r="L5" s="105"/>
      <c r="M5" s="107" t="s">
        <v>1284</v>
      </c>
      <c r="N5" s="107"/>
      <c r="O5" s="107"/>
      <c r="P5" s="107"/>
      <c r="Q5" s="107"/>
      <c r="R5" s="107" t="s">
        <v>106</v>
      </c>
      <c r="S5" s="108"/>
    </row>
    <row r="6" spans="1:19" x14ac:dyDescent="0.25">
      <c r="L6" s="105"/>
      <c r="M6" s="107" t="s">
        <v>1291</v>
      </c>
      <c r="N6" s="107"/>
      <c r="O6" s="107"/>
      <c r="P6" s="107"/>
      <c r="Q6" s="107"/>
      <c r="R6" s="107" t="s">
        <v>106</v>
      </c>
      <c r="S6" s="108"/>
    </row>
    <row r="7" spans="1:19" x14ac:dyDescent="0.25">
      <c r="L7" s="105"/>
      <c r="M7" s="107" t="s">
        <v>1292</v>
      </c>
      <c r="N7" s="107"/>
      <c r="O7" s="107"/>
      <c r="P7" s="107"/>
      <c r="Q7" s="107"/>
      <c r="R7" s="107" t="s">
        <v>115</v>
      </c>
      <c r="S7" s="108"/>
    </row>
    <row r="8" spans="1:19" x14ac:dyDescent="0.25">
      <c r="L8" s="105"/>
      <c r="M8" s="107" t="s">
        <v>1293</v>
      </c>
      <c r="N8" s="107"/>
      <c r="O8" s="107"/>
      <c r="P8" s="107"/>
      <c r="Q8" s="107"/>
      <c r="R8" s="107" t="s">
        <v>115</v>
      </c>
      <c r="S8" s="108"/>
    </row>
    <row r="9" spans="1:19" x14ac:dyDescent="0.25">
      <c r="L9" s="105"/>
      <c r="M9" s="107" t="s">
        <v>1294</v>
      </c>
      <c r="N9" s="107"/>
      <c r="O9" s="107"/>
      <c r="P9" s="107"/>
      <c r="Q9" s="107"/>
      <c r="R9" s="107" t="s">
        <v>115</v>
      </c>
      <c r="S9" s="108"/>
    </row>
    <row r="10" spans="1:19" x14ac:dyDescent="0.25">
      <c r="L10" s="105"/>
      <c r="M10" s="107" t="s">
        <v>1295</v>
      </c>
      <c r="N10" s="107"/>
      <c r="O10" s="107"/>
      <c r="P10" s="107"/>
      <c r="Q10" s="107"/>
      <c r="R10" s="107" t="s">
        <v>106</v>
      </c>
      <c r="S10" s="108"/>
    </row>
    <row r="11" spans="1:19" x14ac:dyDescent="0.25">
      <c r="L11" s="105"/>
      <c r="M11" s="107" t="s">
        <v>1296</v>
      </c>
      <c r="N11" s="107"/>
      <c r="O11" s="107"/>
      <c r="P11" s="107"/>
      <c r="Q11" s="107"/>
      <c r="R11" s="107" t="s">
        <v>106</v>
      </c>
      <c r="S11" s="108"/>
    </row>
    <row r="12" spans="1:19" x14ac:dyDescent="0.25">
      <c r="L12" s="105"/>
      <c r="M12" s="107" t="s">
        <v>1297</v>
      </c>
      <c r="N12" s="107"/>
      <c r="O12" s="107"/>
      <c r="P12" s="107"/>
      <c r="Q12" s="107"/>
      <c r="R12" s="107" t="s">
        <v>106</v>
      </c>
      <c r="S12" s="108"/>
    </row>
    <row r="13" spans="1:19" x14ac:dyDescent="0.25">
      <c r="L13" s="105"/>
      <c r="M13" s="107" t="s">
        <v>1298</v>
      </c>
      <c r="N13" s="107"/>
      <c r="O13" s="107"/>
      <c r="P13" s="107"/>
      <c r="Q13" s="107"/>
      <c r="R13" s="107" t="s">
        <v>106</v>
      </c>
      <c r="S13" s="108"/>
    </row>
    <row r="14" spans="1:19" x14ac:dyDescent="0.25"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1:19" ht="15.75" thickBot="1" x14ac:dyDescent="0.3">
      <c r="L15" s="105"/>
      <c r="M15" s="107"/>
      <c r="N15" s="107"/>
      <c r="O15" s="107"/>
      <c r="P15" s="107"/>
      <c r="Q15" s="109" t="s">
        <v>1286</v>
      </c>
      <c r="R15" s="107">
        <f>COUNTIF(R5:R13,"=Ja")</f>
        <v>6</v>
      </c>
      <c r="S15" s="108"/>
    </row>
    <row r="16" spans="1:19" ht="15.75" thickBot="1" x14ac:dyDescent="0.3">
      <c r="L16" s="105"/>
      <c r="M16" s="107"/>
      <c r="N16" s="107"/>
      <c r="O16" s="107"/>
      <c r="P16" s="107"/>
      <c r="Q16" s="115" t="s">
        <v>16</v>
      </c>
      <c r="R16" s="116">
        <f>(5/R14)*R15+1</f>
        <v>4.3333333333333339</v>
      </c>
      <c r="S16" s="108"/>
    </row>
    <row r="17" spans="1:19" x14ac:dyDescent="0.25">
      <c r="L17" s="105"/>
      <c r="M17" s="107"/>
      <c r="N17" s="107"/>
      <c r="O17" s="107"/>
      <c r="P17" s="107"/>
      <c r="Q17" s="107"/>
      <c r="R17" s="107"/>
      <c r="S17" s="108"/>
    </row>
    <row r="18" spans="1:19" ht="15.75" thickBot="1" x14ac:dyDescent="0.3">
      <c r="L18" s="110"/>
      <c r="M18" s="111"/>
      <c r="N18" s="111"/>
      <c r="O18" s="111"/>
      <c r="P18" s="111"/>
      <c r="Q18" s="111"/>
      <c r="R18" s="111"/>
      <c r="S18" s="112"/>
    </row>
    <row r="21" spans="1:19" ht="15.75" thickBot="1" x14ac:dyDescent="0.3"/>
    <row r="22" spans="1:19" ht="15.75" thickBot="1" x14ac:dyDescent="0.3">
      <c r="A22" s="101" t="s">
        <v>261</v>
      </c>
      <c r="B22" s="31" t="s">
        <v>245</v>
      </c>
      <c r="C22" s="31" t="s">
        <v>23</v>
      </c>
      <c r="D22" s="31" t="s">
        <v>22</v>
      </c>
      <c r="E22" s="31" t="s">
        <v>258</v>
      </c>
      <c r="F22" s="31" t="s">
        <v>28</v>
      </c>
      <c r="G22" s="31" t="s">
        <v>29</v>
      </c>
      <c r="H22" s="31" t="s">
        <v>27</v>
      </c>
      <c r="I22" s="31" t="s">
        <v>360</v>
      </c>
      <c r="J22" s="32" t="s">
        <v>253</v>
      </c>
      <c r="L22" s="117" t="s">
        <v>1299</v>
      </c>
    </row>
    <row r="23" spans="1:19" x14ac:dyDescent="0.25">
      <c r="A23" s="98">
        <v>401</v>
      </c>
      <c r="B23" s="99" t="s">
        <v>132</v>
      </c>
      <c r="C23" s="99" t="s">
        <v>1265</v>
      </c>
      <c r="D23" s="99" t="s">
        <v>1266</v>
      </c>
      <c r="E23" s="99" t="s">
        <v>1262</v>
      </c>
      <c r="F23" s="99">
        <v>8006</v>
      </c>
      <c r="G23" s="99" t="s">
        <v>199</v>
      </c>
      <c r="H23" s="99" t="s">
        <v>31</v>
      </c>
      <c r="I23" s="99" t="s">
        <v>1267</v>
      </c>
      <c r="J23" s="100" t="s">
        <v>1268</v>
      </c>
    </row>
    <row r="24" spans="1:19" x14ac:dyDescent="0.25">
      <c r="A24" s="96">
        <v>400</v>
      </c>
      <c r="B24" s="4" t="s">
        <v>132</v>
      </c>
      <c r="C24" s="4" t="s">
        <v>1260</v>
      </c>
      <c r="D24" s="4" t="s">
        <v>1261</v>
      </c>
      <c r="E24" s="4" t="s">
        <v>1262</v>
      </c>
      <c r="F24" s="4">
        <v>8862</v>
      </c>
      <c r="G24" s="4" t="s">
        <v>445</v>
      </c>
      <c r="H24" s="4" t="s">
        <v>31</v>
      </c>
      <c r="I24" s="4" t="s">
        <v>1263</v>
      </c>
      <c r="J24" s="26" t="s">
        <v>1264</v>
      </c>
    </row>
    <row r="25" spans="1:19" x14ac:dyDescent="0.25">
      <c r="A25" s="96">
        <v>399</v>
      </c>
      <c r="B25" s="4" t="s">
        <v>132</v>
      </c>
      <c r="C25" s="4" t="s">
        <v>472</v>
      </c>
      <c r="D25" s="4" t="s">
        <v>1257</v>
      </c>
      <c r="E25" s="4" t="s">
        <v>1258</v>
      </c>
      <c r="F25" s="4">
        <v>8852</v>
      </c>
      <c r="G25" s="4" t="s">
        <v>110</v>
      </c>
      <c r="H25" s="4" t="s">
        <v>31</v>
      </c>
      <c r="I25" s="4" t="s">
        <v>1259</v>
      </c>
      <c r="J25" s="26" t="s">
        <v>481</v>
      </c>
    </row>
    <row r="26" spans="1:19" x14ac:dyDescent="0.25">
      <c r="A26" s="96">
        <v>397</v>
      </c>
      <c r="B26" s="4" t="s">
        <v>132</v>
      </c>
      <c r="C26" s="4" t="s">
        <v>472</v>
      </c>
      <c r="D26" s="4" t="s">
        <v>1254</v>
      </c>
      <c r="E26" s="4" t="s">
        <v>1255</v>
      </c>
      <c r="F26" s="4">
        <v>8852</v>
      </c>
      <c r="G26" s="4" t="s">
        <v>110</v>
      </c>
      <c r="H26" s="4" t="s">
        <v>31</v>
      </c>
      <c r="I26" s="4" t="s">
        <v>1256</v>
      </c>
      <c r="J26" s="26" t="s">
        <v>481</v>
      </c>
    </row>
    <row r="27" spans="1:19" x14ac:dyDescent="0.25">
      <c r="A27" s="96">
        <v>396</v>
      </c>
      <c r="B27" s="4" t="s">
        <v>132</v>
      </c>
      <c r="C27" s="4" t="s">
        <v>1251</v>
      </c>
      <c r="D27" s="4" t="s">
        <v>1252</v>
      </c>
      <c r="E27" s="4" t="s">
        <v>1245</v>
      </c>
      <c r="F27" s="4">
        <v>8832</v>
      </c>
      <c r="G27" s="4" t="s">
        <v>176</v>
      </c>
      <c r="H27" s="4" t="s">
        <v>31</v>
      </c>
      <c r="I27" s="4" t="s">
        <v>1253</v>
      </c>
      <c r="J27" s="26" t="s">
        <v>1089</v>
      </c>
    </row>
    <row r="28" spans="1:19" x14ac:dyDescent="0.25">
      <c r="A28" s="96">
        <v>395</v>
      </c>
      <c r="B28" s="4" t="s">
        <v>107</v>
      </c>
      <c r="C28" s="4" t="s">
        <v>1247</v>
      </c>
      <c r="D28" s="4" t="s">
        <v>1248</v>
      </c>
      <c r="E28" s="4" t="s">
        <v>1245</v>
      </c>
      <c r="F28" s="4">
        <v>8853</v>
      </c>
      <c r="G28" s="4" t="s">
        <v>117</v>
      </c>
      <c r="H28" s="4" t="s">
        <v>31</v>
      </c>
      <c r="I28" s="4" t="s">
        <v>1249</v>
      </c>
      <c r="J28" s="26" t="s">
        <v>1250</v>
      </c>
    </row>
    <row r="29" spans="1:19" x14ac:dyDescent="0.25">
      <c r="A29" s="96">
        <v>394</v>
      </c>
      <c r="B29" s="4" t="s">
        <v>107</v>
      </c>
      <c r="C29" s="4" t="s">
        <v>701</v>
      </c>
      <c r="D29" s="4" t="s">
        <v>1241</v>
      </c>
      <c r="E29" s="4" t="s">
        <v>1245</v>
      </c>
      <c r="F29" s="4">
        <v>8853</v>
      </c>
      <c r="G29" s="4" t="s">
        <v>117</v>
      </c>
      <c r="H29" s="4" t="s">
        <v>31</v>
      </c>
      <c r="I29" s="4" t="s">
        <v>1246</v>
      </c>
      <c r="J29" s="26"/>
    </row>
    <row r="30" spans="1:19" x14ac:dyDescent="0.25">
      <c r="A30" s="96">
        <v>393</v>
      </c>
      <c r="B30" s="4" t="s">
        <v>132</v>
      </c>
      <c r="C30" s="4" t="s">
        <v>1240</v>
      </c>
      <c r="D30" s="4" t="s">
        <v>1241</v>
      </c>
      <c r="E30" s="4" t="s">
        <v>1242</v>
      </c>
      <c r="F30" s="4">
        <v>8645</v>
      </c>
      <c r="G30" s="4" t="s">
        <v>642</v>
      </c>
      <c r="H30" s="4" t="s">
        <v>31</v>
      </c>
      <c r="I30" s="4" t="s">
        <v>1243</v>
      </c>
      <c r="J30" s="26" t="s">
        <v>1244</v>
      </c>
    </row>
    <row r="31" spans="1:19" x14ac:dyDescent="0.25">
      <c r="A31" s="96">
        <v>392</v>
      </c>
      <c r="B31" s="4" t="s">
        <v>107</v>
      </c>
      <c r="C31" s="4" t="s">
        <v>1235</v>
      </c>
      <c r="D31" s="4" t="s">
        <v>1236</v>
      </c>
      <c r="E31" s="4" t="s">
        <v>1237</v>
      </c>
      <c r="F31" s="4">
        <v>8852</v>
      </c>
      <c r="G31" s="4" t="s">
        <v>110</v>
      </c>
      <c r="H31" s="4" t="s">
        <v>31</v>
      </c>
      <c r="I31" s="4" t="s">
        <v>1238</v>
      </c>
      <c r="J31" s="26" t="s">
        <v>1239</v>
      </c>
    </row>
    <row r="32" spans="1:19" x14ac:dyDescent="0.25">
      <c r="A32" s="96">
        <v>391</v>
      </c>
      <c r="B32" s="4" t="s">
        <v>132</v>
      </c>
      <c r="C32" s="4" t="s">
        <v>821</v>
      </c>
      <c r="D32" s="4" t="s">
        <v>1233</v>
      </c>
      <c r="E32" s="4" t="s">
        <v>1230</v>
      </c>
      <c r="F32" s="4">
        <v>8853</v>
      </c>
      <c r="G32" s="4" t="s">
        <v>117</v>
      </c>
      <c r="H32" s="4" t="s">
        <v>31</v>
      </c>
      <c r="I32" s="4" t="s">
        <v>1234</v>
      </c>
      <c r="J32" s="26" t="s">
        <v>1232</v>
      </c>
    </row>
    <row r="33" spans="1:19" x14ac:dyDescent="0.25">
      <c r="A33" s="96">
        <v>389</v>
      </c>
      <c r="B33" s="4" t="s">
        <v>107</v>
      </c>
      <c r="C33" s="4" t="s">
        <v>1226</v>
      </c>
      <c r="D33" s="4" t="s">
        <v>1227</v>
      </c>
      <c r="E33" s="4" t="s">
        <v>1228</v>
      </c>
      <c r="F33" s="4">
        <v>8853</v>
      </c>
      <c r="G33" s="4" t="s">
        <v>117</v>
      </c>
      <c r="H33" s="4" t="s">
        <v>31</v>
      </c>
      <c r="I33" s="4" t="s">
        <v>1229</v>
      </c>
      <c r="J33" s="26"/>
    </row>
    <row r="34" spans="1:19" x14ac:dyDescent="0.25">
      <c r="A34" s="96">
        <v>390</v>
      </c>
      <c r="B34" s="4" t="s">
        <v>121</v>
      </c>
      <c r="C34" s="4" t="s">
        <v>821</v>
      </c>
      <c r="D34" s="4" t="s">
        <v>1227</v>
      </c>
      <c r="E34" s="4" t="s">
        <v>1230</v>
      </c>
      <c r="F34" s="4">
        <v>8853</v>
      </c>
      <c r="G34" s="4" t="s">
        <v>117</v>
      </c>
      <c r="H34" s="4" t="s">
        <v>31</v>
      </c>
      <c r="I34" s="4" t="s">
        <v>1231</v>
      </c>
      <c r="J34" s="26" t="s">
        <v>1232</v>
      </c>
    </row>
    <row r="35" spans="1:19" x14ac:dyDescent="0.25">
      <c r="A35" s="96">
        <v>388</v>
      </c>
      <c r="B35" s="4" t="s">
        <v>107</v>
      </c>
      <c r="C35" s="4" t="s">
        <v>1010</v>
      </c>
      <c r="D35" s="4" t="s">
        <v>1222</v>
      </c>
      <c r="E35" s="4" t="s">
        <v>1223</v>
      </c>
      <c r="F35" s="4">
        <v>8853</v>
      </c>
      <c r="G35" s="4" t="s">
        <v>117</v>
      </c>
      <c r="H35" s="4" t="s">
        <v>31</v>
      </c>
      <c r="I35" s="4" t="s">
        <v>1224</v>
      </c>
      <c r="J35" s="26" t="s">
        <v>1225</v>
      </c>
    </row>
    <row r="36" spans="1:19" x14ac:dyDescent="0.25">
      <c r="A36" s="96">
        <v>387</v>
      </c>
      <c r="B36" s="4" t="s">
        <v>132</v>
      </c>
      <c r="C36" s="4" t="s">
        <v>1214</v>
      </c>
      <c r="D36" s="4" t="s">
        <v>1219</v>
      </c>
      <c r="E36" s="4" t="s">
        <v>1220</v>
      </c>
      <c r="F36" s="4">
        <v>8852</v>
      </c>
      <c r="G36" s="4" t="s">
        <v>110</v>
      </c>
      <c r="H36" s="4" t="s">
        <v>31</v>
      </c>
      <c r="I36" s="4" t="s">
        <v>1221</v>
      </c>
      <c r="J36" s="26" t="s">
        <v>1218</v>
      </c>
    </row>
    <row r="37" spans="1:19" x14ac:dyDescent="0.25">
      <c r="A37" s="96">
        <v>386</v>
      </c>
      <c r="B37" s="4" t="s">
        <v>121</v>
      </c>
      <c r="C37" s="4" t="s">
        <v>1214</v>
      </c>
      <c r="D37" s="4" t="s">
        <v>1215</v>
      </c>
      <c r="E37" s="4" t="s">
        <v>1216</v>
      </c>
      <c r="F37" s="4">
        <v>8852</v>
      </c>
      <c r="G37" s="4" t="s">
        <v>110</v>
      </c>
      <c r="H37" s="4" t="s">
        <v>31</v>
      </c>
      <c r="I37" s="4" t="s">
        <v>1217</v>
      </c>
      <c r="J37" s="26" t="s">
        <v>1218</v>
      </c>
    </row>
    <row r="38" spans="1:19" x14ac:dyDescent="0.25">
      <c r="A38" s="96">
        <v>385</v>
      </c>
      <c r="B38" s="4" t="s">
        <v>107</v>
      </c>
      <c r="C38" s="4" t="s">
        <v>1210</v>
      </c>
      <c r="D38" s="4" t="s">
        <v>1206</v>
      </c>
      <c r="E38" s="4" t="s">
        <v>1211</v>
      </c>
      <c r="F38" s="4">
        <v>8854</v>
      </c>
      <c r="G38" s="4" t="s">
        <v>145</v>
      </c>
      <c r="H38" s="4" t="s">
        <v>31</v>
      </c>
      <c r="I38" s="4" t="s">
        <v>1212</v>
      </c>
      <c r="J38" s="26" t="s">
        <v>1213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6">
        <v>384</v>
      </c>
      <c r="B39" s="4" t="s">
        <v>132</v>
      </c>
      <c r="C39" s="4" t="s">
        <v>1205</v>
      </c>
      <c r="D39" s="4" t="s">
        <v>1206</v>
      </c>
      <c r="E39" s="4" t="s">
        <v>1199</v>
      </c>
      <c r="F39" s="4">
        <v>8752</v>
      </c>
      <c r="G39" s="4" t="s">
        <v>1207</v>
      </c>
      <c r="H39" s="4" t="s">
        <v>31</v>
      </c>
      <c r="I39" s="4" t="s">
        <v>1208</v>
      </c>
      <c r="J39" s="26" t="s">
        <v>1209</v>
      </c>
      <c r="L39" s="44"/>
      <c r="M39" s="118"/>
      <c r="N39" s="44"/>
      <c r="O39" s="44"/>
      <c r="P39" s="44"/>
      <c r="Q39" s="44"/>
      <c r="R39" s="44"/>
      <c r="S39" s="44"/>
    </row>
    <row r="40" spans="1:19" x14ac:dyDescent="0.25">
      <c r="A40" s="96">
        <v>383</v>
      </c>
      <c r="B40" s="4" t="s">
        <v>107</v>
      </c>
      <c r="C40" s="4" t="s">
        <v>1201</v>
      </c>
      <c r="D40" s="4" t="s">
        <v>1202</v>
      </c>
      <c r="E40" s="4" t="s">
        <v>1199</v>
      </c>
      <c r="F40" s="4">
        <v>8852</v>
      </c>
      <c r="G40" s="4" t="s">
        <v>110</v>
      </c>
      <c r="H40" s="4" t="s">
        <v>31</v>
      </c>
      <c r="I40" s="4" t="s">
        <v>1203</v>
      </c>
      <c r="J40" s="26" t="s">
        <v>1204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6">
        <v>382</v>
      </c>
      <c r="B41" s="4" t="s">
        <v>132</v>
      </c>
      <c r="C41" s="4" t="s">
        <v>390</v>
      </c>
      <c r="D41" s="4" t="s">
        <v>1198</v>
      </c>
      <c r="E41" s="4" t="s">
        <v>1199</v>
      </c>
      <c r="F41" s="4">
        <v>8854</v>
      </c>
      <c r="G41" s="4" t="s">
        <v>145</v>
      </c>
      <c r="H41" s="4" t="s">
        <v>31</v>
      </c>
      <c r="I41" s="4" t="s">
        <v>1200</v>
      </c>
      <c r="J41" s="26" t="s">
        <v>393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6">
        <v>381</v>
      </c>
      <c r="B42" s="4" t="s">
        <v>132</v>
      </c>
      <c r="C42" s="4" t="s">
        <v>1193</v>
      </c>
      <c r="D42" s="4" t="s">
        <v>1194</v>
      </c>
      <c r="E42" s="4" t="s">
        <v>1195</v>
      </c>
      <c r="F42" s="4">
        <v>8853</v>
      </c>
      <c r="G42" s="4" t="s">
        <v>117</v>
      </c>
      <c r="H42" s="4" t="s">
        <v>31</v>
      </c>
      <c r="I42" s="4" t="s">
        <v>1196</v>
      </c>
      <c r="J42" s="26" t="s">
        <v>1197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6">
        <v>379</v>
      </c>
      <c r="B43" s="4" t="s">
        <v>132</v>
      </c>
      <c r="C43" s="4" t="s">
        <v>1123</v>
      </c>
      <c r="D43" s="4" t="s">
        <v>1187</v>
      </c>
      <c r="E43" s="4" t="s">
        <v>1188</v>
      </c>
      <c r="F43" s="4">
        <v>8834</v>
      </c>
      <c r="G43" s="4" t="s">
        <v>656</v>
      </c>
      <c r="H43" s="4" t="s">
        <v>31</v>
      </c>
      <c r="I43" s="4" t="s">
        <v>1189</v>
      </c>
      <c r="J43" s="26" t="s">
        <v>1146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6">
        <v>380</v>
      </c>
      <c r="B44" s="4" t="s">
        <v>107</v>
      </c>
      <c r="C44" s="4" t="s">
        <v>1190</v>
      </c>
      <c r="D44" s="4" t="s">
        <v>1187</v>
      </c>
      <c r="E44" s="4" t="s">
        <v>1191</v>
      </c>
      <c r="F44" s="4">
        <v>8807</v>
      </c>
      <c r="G44" s="4" t="s">
        <v>135</v>
      </c>
      <c r="H44" s="4" t="s">
        <v>31</v>
      </c>
      <c r="I44" s="4" t="s">
        <v>1192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6">
        <v>378</v>
      </c>
      <c r="B45" s="4" t="s">
        <v>132</v>
      </c>
      <c r="C45" s="4" t="s">
        <v>1184</v>
      </c>
      <c r="D45" s="4" t="s">
        <v>1180</v>
      </c>
      <c r="E45" s="4" t="s">
        <v>1185</v>
      </c>
      <c r="F45" s="4">
        <v>8708</v>
      </c>
      <c r="G45" s="4" t="s">
        <v>124</v>
      </c>
      <c r="H45" s="4" t="s">
        <v>31</v>
      </c>
      <c r="I45" s="4" t="s">
        <v>1186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6">
        <v>377</v>
      </c>
      <c r="B46" s="4" t="s">
        <v>132</v>
      </c>
      <c r="C46" s="4" t="s">
        <v>1179</v>
      </c>
      <c r="D46" s="4" t="s">
        <v>1180</v>
      </c>
      <c r="E46" s="4" t="s">
        <v>1181</v>
      </c>
      <c r="F46" s="4">
        <v>8853</v>
      </c>
      <c r="G46" s="4" t="s">
        <v>117</v>
      </c>
      <c r="H46" s="4" t="s">
        <v>31</v>
      </c>
      <c r="I46" s="4" t="s">
        <v>1182</v>
      </c>
      <c r="J46" s="26" t="s">
        <v>1183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6">
        <v>376</v>
      </c>
      <c r="B47" s="4" t="s">
        <v>107</v>
      </c>
      <c r="C47" s="4" t="s">
        <v>1174</v>
      </c>
      <c r="D47" s="4" t="s">
        <v>1175</v>
      </c>
      <c r="E47" s="4" t="s">
        <v>1176</v>
      </c>
      <c r="F47" s="4">
        <v>8807</v>
      </c>
      <c r="G47" s="4" t="s">
        <v>135</v>
      </c>
      <c r="H47" s="4" t="s">
        <v>31</v>
      </c>
      <c r="I47" s="4" t="s">
        <v>1177</v>
      </c>
      <c r="J47" s="26" t="s">
        <v>1178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6">
        <v>375</v>
      </c>
      <c r="B48" s="4" t="s">
        <v>132</v>
      </c>
      <c r="C48" s="4" t="s">
        <v>1169</v>
      </c>
      <c r="D48" s="4" t="s">
        <v>1170</v>
      </c>
      <c r="E48" s="4" t="s">
        <v>1171</v>
      </c>
      <c r="F48" s="4">
        <v>8864</v>
      </c>
      <c r="G48" s="4" t="s">
        <v>819</v>
      </c>
      <c r="H48" s="4" t="s">
        <v>31</v>
      </c>
      <c r="I48" s="4" t="s">
        <v>1172</v>
      </c>
      <c r="J48" s="26" t="s">
        <v>1173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6">
        <v>374</v>
      </c>
      <c r="B49" s="4" t="s">
        <v>107</v>
      </c>
      <c r="C49" s="4" t="s">
        <v>1160</v>
      </c>
      <c r="D49" s="4" t="s">
        <v>1167</v>
      </c>
      <c r="E49" s="4" t="s">
        <v>1165</v>
      </c>
      <c r="F49" s="4">
        <v>7610</v>
      </c>
      <c r="G49" s="4" t="s">
        <v>1162</v>
      </c>
      <c r="H49" s="4" t="s">
        <v>31</v>
      </c>
      <c r="I49" s="4" t="s">
        <v>1168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6">
        <v>373</v>
      </c>
      <c r="B50" s="4" t="s">
        <v>132</v>
      </c>
      <c r="C50" s="4" t="s">
        <v>1160</v>
      </c>
      <c r="D50" s="4" t="s">
        <v>1164</v>
      </c>
      <c r="E50" s="4" t="s">
        <v>1165</v>
      </c>
      <c r="F50" s="4">
        <v>7610</v>
      </c>
      <c r="G50" s="4" t="s">
        <v>1162</v>
      </c>
      <c r="H50" s="4" t="s">
        <v>31</v>
      </c>
      <c r="I50" s="4" t="s">
        <v>1166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6">
        <v>372</v>
      </c>
      <c r="B51" s="4" t="s">
        <v>121</v>
      </c>
      <c r="C51" s="4" t="s">
        <v>1160</v>
      </c>
      <c r="D51" s="4" t="s">
        <v>1147</v>
      </c>
      <c r="E51" s="4" t="s">
        <v>1161</v>
      </c>
      <c r="F51" s="4">
        <v>7610</v>
      </c>
      <c r="G51" s="4" t="s">
        <v>1162</v>
      </c>
      <c r="H51" s="4" t="s">
        <v>31</v>
      </c>
      <c r="I51" s="4" t="s">
        <v>1163</v>
      </c>
      <c r="J51" s="26"/>
      <c r="L51" s="44"/>
      <c r="M51" s="44"/>
      <c r="N51" s="44"/>
      <c r="O51" s="44"/>
      <c r="P51" s="44"/>
      <c r="Q51" s="119"/>
      <c r="R51" s="44"/>
      <c r="S51" s="44"/>
    </row>
    <row r="52" spans="1:19" x14ac:dyDescent="0.25">
      <c r="A52" s="96">
        <v>370</v>
      </c>
      <c r="B52" s="4" t="s">
        <v>121</v>
      </c>
      <c r="C52" s="4" t="s">
        <v>701</v>
      </c>
      <c r="D52" s="4" t="s">
        <v>1147</v>
      </c>
      <c r="E52" s="4" t="s">
        <v>1156</v>
      </c>
      <c r="F52" s="4">
        <v>8854</v>
      </c>
      <c r="G52" s="4" t="s">
        <v>145</v>
      </c>
      <c r="H52" s="4" t="s">
        <v>31</v>
      </c>
      <c r="I52" s="4" t="s">
        <v>1157</v>
      </c>
      <c r="J52" s="26" t="s">
        <v>1158</v>
      </c>
      <c r="L52" s="44"/>
      <c r="M52" s="44"/>
      <c r="N52" s="44"/>
      <c r="O52" s="44"/>
      <c r="P52" s="44"/>
      <c r="Q52" s="119"/>
      <c r="R52" s="120"/>
      <c r="S52" s="44"/>
    </row>
    <row r="53" spans="1:19" x14ac:dyDescent="0.25">
      <c r="A53" s="96">
        <v>371</v>
      </c>
      <c r="B53" s="4" t="s">
        <v>132</v>
      </c>
      <c r="C53" s="4" t="s">
        <v>701</v>
      </c>
      <c r="D53" s="4" t="s">
        <v>1147</v>
      </c>
      <c r="E53" s="4" t="s">
        <v>1159</v>
      </c>
      <c r="F53" s="4">
        <v>8854</v>
      </c>
      <c r="G53" s="4" t="s">
        <v>145</v>
      </c>
      <c r="H53" s="4" t="s">
        <v>31</v>
      </c>
      <c r="I53" s="4" t="s">
        <v>1157</v>
      </c>
      <c r="J53" s="26" t="s">
        <v>1158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6">
        <v>367</v>
      </c>
      <c r="B54" s="4" t="s">
        <v>132</v>
      </c>
      <c r="C54" s="4" t="s">
        <v>1123</v>
      </c>
      <c r="D54" s="4" t="s">
        <v>1147</v>
      </c>
      <c r="E54" s="4" t="s">
        <v>1143</v>
      </c>
      <c r="F54" s="4">
        <v>8834</v>
      </c>
      <c r="G54" s="4" t="s">
        <v>656</v>
      </c>
      <c r="H54" s="4" t="s">
        <v>31</v>
      </c>
      <c r="I54" s="4" t="s">
        <v>1148</v>
      </c>
      <c r="J54" s="26" t="s">
        <v>1146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6">
        <v>368</v>
      </c>
      <c r="B55" s="4" t="s">
        <v>107</v>
      </c>
      <c r="C55" s="4" t="s">
        <v>1149</v>
      </c>
      <c r="D55" s="4" t="s">
        <v>1147</v>
      </c>
      <c r="E55" s="4" t="s">
        <v>1150</v>
      </c>
      <c r="F55" s="4">
        <v>8853</v>
      </c>
      <c r="G55" s="4" t="s">
        <v>117</v>
      </c>
      <c r="H55" s="4" t="s">
        <v>31</v>
      </c>
      <c r="I55" s="4" t="s">
        <v>1151</v>
      </c>
      <c r="J55" s="26"/>
    </row>
    <row r="56" spans="1:19" x14ac:dyDescent="0.25">
      <c r="A56" s="96">
        <v>369</v>
      </c>
      <c r="B56" s="4" t="s">
        <v>107</v>
      </c>
      <c r="C56" s="4" t="s">
        <v>1152</v>
      </c>
      <c r="D56" s="4" t="s">
        <v>1147</v>
      </c>
      <c r="E56" s="4" t="s">
        <v>1153</v>
      </c>
      <c r="F56" s="4">
        <v>8853</v>
      </c>
      <c r="G56" s="4" t="s">
        <v>117</v>
      </c>
      <c r="H56" s="4" t="s">
        <v>31</v>
      </c>
      <c r="I56" s="4" t="s">
        <v>1154</v>
      </c>
      <c r="J56" s="26" t="s">
        <v>1155</v>
      </c>
    </row>
    <row r="57" spans="1:19" x14ac:dyDescent="0.25">
      <c r="A57" s="96">
        <v>366</v>
      </c>
      <c r="B57" s="4" t="s">
        <v>121</v>
      </c>
      <c r="C57" s="4" t="s">
        <v>1123</v>
      </c>
      <c r="D57" s="4" t="s">
        <v>1144</v>
      </c>
      <c r="E57" s="4" t="s">
        <v>1143</v>
      </c>
      <c r="F57" s="4">
        <v>8834</v>
      </c>
      <c r="G57" s="4" t="s">
        <v>656</v>
      </c>
      <c r="H57" s="4" t="s">
        <v>31</v>
      </c>
      <c r="I57" s="4" t="s">
        <v>1145</v>
      </c>
      <c r="J57" s="26" t="s">
        <v>1146</v>
      </c>
    </row>
    <row r="58" spans="1:19" x14ac:dyDescent="0.25">
      <c r="A58" s="96">
        <v>364</v>
      </c>
      <c r="B58" s="4" t="s">
        <v>107</v>
      </c>
      <c r="C58" s="4" t="s">
        <v>1139</v>
      </c>
      <c r="D58" s="4" t="s">
        <v>1140</v>
      </c>
      <c r="E58" s="4" t="s">
        <v>1141</v>
      </c>
      <c r="F58" s="4">
        <v>8853</v>
      </c>
      <c r="G58" s="4" t="s">
        <v>117</v>
      </c>
      <c r="H58" s="4" t="s">
        <v>31</v>
      </c>
      <c r="I58" s="4" t="s">
        <v>1142</v>
      </c>
      <c r="J58" s="26" t="s">
        <v>1134</v>
      </c>
    </row>
    <row r="59" spans="1:19" x14ac:dyDescent="0.25">
      <c r="A59" s="96">
        <v>365</v>
      </c>
      <c r="B59" s="4" t="s">
        <v>132</v>
      </c>
      <c r="C59" s="4" t="s">
        <v>1139</v>
      </c>
      <c r="D59" s="4" t="s">
        <v>1140</v>
      </c>
      <c r="E59" s="4" t="s">
        <v>1143</v>
      </c>
      <c r="F59" s="4">
        <v>8853</v>
      </c>
      <c r="G59" s="4" t="s">
        <v>117</v>
      </c>
      <c r="H59" s="4" t="s">
        <v>31</v>
      </c>
      <c r="I59" s="4" t="s">
        <v>1142</v>
      </c>
      <c r="J59" s="26" t="s">
        <v>1134</v>
      </c>
    </row>
    <row r="60" spans="1:19" x14ac:dyDescent="0.25">
      <c r="A60" s="96">
        <v>363</v>
      </c>
      <c r="B60" s="4" t="s">
        <v>132</v>
      </c>
      <c r="C60" s="4" t="s">
        <v>1135</v>
      </c>
      <c r="D60" s="4" t="s">
        <v>1136</v>
      </c>
      <c r="E60" s="4" t="s">
        <v>1137</v>
      </c>
      <c r="F60" s="4">
        <v>8853</v>
      </c>
      <c r="G60" s="4" t="s">
        <v>117</v>
      </c>
      <c r="H60" s="4" t="s">
        <v>31</v>
      </c>
      <c r="I60" s="4" t="s">
        <v>1138</v>
      </c>
      <c r="J60" s="26" t="s">
        <v>1134</v>
      </c>
    </row>
    <row r="61" spans="1:19" x14ac:dyDescent="0.25">
      <c r="A61" s="96">
        <v>362</v>
      </c>
      <c r="B61" s="4" t="s">
        <v>121</v>
      </c>
      <c r="C61" s="4" t="s">
        <v>1130</v>
      </c>
      <c r="D61" s="4" t="s">
        <v>1131</v>
      </c>
      <c r="E61" s="4" t="s">
        <v>1132</v>
      </c>
      <c r="F61" s="4">
        <v>8853</v>
      </c>
      <c r="G61" s="4" t="s">
        <v>117</v>
      </c>
      <c r="H61" s="4" t="s">
        <v>31</v>
      </c>
      <c r="I61" s="4" t="s">
        <v>1133</v>
      </c>
      <c r="J61" s="26" t="s">
        <v>1134</v>
      </c>
    </row>
    <row r="62" spans="1:19" x14ac:dyDescent="0.25">
      <c r="A62" s="96">
        <v>361</v>
      </c>
      <c r="B62" s="4" t="s">
        <v>132</v>
      </c>
      <c r="C62" s="4" t="s">
        <v>1123</v>
      </c>
      <c r="D62" s="4" t="s">
        <v>1128</v>
      </c>
      <c r="E62" s="4" t="s">
        <v>1125</v>
      </c>
      <c r="F62" s="4">
        <v>8716</v>
      </c>
      <c r="G62" s="4" t="s">
        <v>1126</v>
      </c>
      <c r="H62" s="4" t="s">
        <v>31</v>
      </c>
      <c r="I62" s="4" t="s">
        <v>1129</v>
      </c>
      <c r="J62" s="26"/>
    </row>
    <row r="63" spans="1:19" x14ac:dyDescent="0.25">
      <c r="A63" s="96">
        <v>360</v>
      </c>
      <c r="B63" s="4" t="s">
        <v>121</v>
      </c>
      <c r="C63" s="4" t="s">
        <v>1123</v>
      </c>
      <c r="D63" s="4" t="s">
        <v>1124</v>
      </c>
      <c r="E63" s="4" t="s">
        <v>1125</v>
      </c>
      <c r="F63" s="4">
        <v>8716</v>
      </c>
      <c r="G63" s="4" t="s">
        <v>1126</v>
      </c>
      <c r="H63" s="4" t="s">
        <v>31</v>
      </c>
      <c r="I63" s="4" t="s">
        <v>1127</v>
      </c>
      <c r="J63" s="26"/>
    </row>
    <row r="64" spans="1:19" x14ac:dyDescent="0.25">
      <c r="A64" s="96">
        <v>359</v>
      </c>
      <c r="B64" s="4" t="s">
        <v>132</v>
      </c>
      <c r="C64" s="4" t="s">
        <v>1118</v>
      </c>
      <c r="D64" s="4" t="s">
        <v>1119</v>
      </c>
      <c r="E64" s="4" t="s">
        <v>1120</v>
      </c>
      <c r="F64" s="4">
        <v>8854</v>
      </c>
      <c r="G64" s="4" t="s">
        <v>145</v>
      </c>
      <c r="H64" s="4" t="s">
        <v>31</v>
      </c>
      <c r="I64" s="4" t="s">
        <v>1121</v>
      </c>
      <c r="J64" s="26" t="s">
        <v>1122</v>
      </c>
    </row>
    <row r="65" spans="1:10" x14ac:dyDescent="0.25">
      <c r="A65" s="96">
        <v>358</v>
      </c>
      <c r="B65" s="4" t="s">
        <v>132</v>
      </c>
      <c r="C65" s="4" t="s">
        <v>192</v>
      </c>
      <c r="D65" s="4" t="s">
        <v>1114</v>
      </c>
      <c r="E65" s="4" t="s">
        <v>1115</v>
      </c>
      <c r="F65" s="4">
        <v>8854</v>
      </c>
      <c r="G65" s="4" t="s">
        <v>145</v>
      </c>
      <c r="H65" s="4" t="s">
        <v>31</v>
      </c>
      <c r="I65" s="4" t="s">
        <v>1116</v>
      </c>
      <c r="J65" s="26" t="s">
        <v>1117</v>
      </c>
    </row>
    <row r="66" spans="1:10" x14ac:dyDescent="0.25">
      <c r="A66" s="96">
        <v>357</v>
      </c>
      <c r="B66" s="4" t="s">
        <v>107</v>
      </c>
      <c r="C66" s="4" t="s">
        <v>1109</v>
      </c>
      <c r="D66" s="4" t="s">
        <v>1110</v>
      </c>
      <c r="E66" s="4" t="s">
        <v>1111</v>
      </c>
      <c r="F66" s="4">
        <v>8854</v>
      </c>
      <c r="G66" s="4" t="s">
        <v>145</v>
      </c>
      <c r="H66" s="4" t="s">
        <v>31</v>
      </c>
      <c r="I66" s="4" t="s">
        <v>1112</v>
      </c>
      <c r="J66" s="26" t="s">
        <v>1113</v>
      </c>
    </row>
    <row r="67" spans="1:10" x14ac:dyDescent="0.25">
      <c r="A67" s="96">
        <v>356</v>
      </c>
      <c r="B67" s="4" t="s">
        <v>107</v>
      </c>
      <c r="C67" s="4" t="s">
        <v>1105</v>
      </c>
      <c r="D67" s="4" t="s">
        <v>143</v>
      </c>
      <c r="E67" s="4" t="s">
        <v>1106</v>
      </c>
      <c r="F67" s="4">
        <v>8853</v>
      </c>
      <c r="G67" s="4" t="s">
        <v>734</v>
      </c>
      <c r="H67" s="4" t="s">
        <v>31</v>
      </c>
      <c r="I67" s="4" t="s">
        <v>1107</v>
      </c>
      <c r="J67" s="26" t="s">
        <v>1108</v>
      </c>
    </row>
    <row r="68" spans="1:10" x14ac:dyDescent="0.25">
      <c r="A68" s="96">
        <v>353</v>
      </c>
      <c r="B68" s="4" t="s">
        <v>132</v>
      </c>
      <c r="C68" s="4" t="s">
        <v>1093</v>
      </c>
      <c r="D68" s="4" t="s">
        <v>1094</v>
      </c>
      <c r="E68" s="4" t="s">
        <v>1095</v>
      </c>
      <c r="F68" s="4">
        <v>8047</v>
      </c>
      <c r="G68" s="4" t="s">
        <v>199</v>
      </c>
      <c r="H68" s="4" t="s">
        <v>31</v>
      </c>
      <c r="I68" s="4" t="s">
        <v>1096</v>
      </c>
      <c r="J68" s="26" t="s">
        <v>1097</v>
      </c>
    </row>
    <row r="69" spans="1:10" x14ac:dyDescent="0.25">
      <c r="A69" s="96">
        <v>354</v>
      </c>
      <c r="B69" s="4" t="s">
        <v>121</v>
      </c>
      <c r="C69" s="4" t="s">
        <v>1052</v>
      </c>
      <c r="D69" s="4" t="s">
        <v>1094</v>
      </c>
      <c r="E69" s="4" t="s">
        <v>1098</v>
      </c>
      <c r="F69" s="4">
        <v>8832</v>
      </c>
      <c r="G69" s="4" t="s">
        <v>960</v>
      </c>
      <c r="H69" s="4" t="s">
        <v>31</v>
      </c>
      <c r="I69" s="4" t="s">
        <v>1099</v>
      </c>
      <c r="J69" s="26" t="s">
        <v>1100</v>
      </c>
    </row>
    <row r="70" spans="1:10" x14ac:dyDescent="0.25">
      <c r="A70" s="96">
        <v>355</v>
      </c>
      <c r="B70" s="4" t="s">
        <v>132</v>
      </c>
      <c r="C70" s="4" t="s">
        <v>1101</v>
      </c>
      <c r="D70" s="4" t="s">
        <v>1094</v>
      </c>
      <c r="E70" s="4" t="s">
        <v>1098</v>
      </c>
      <c r="F70" s="4">
        <v>8700</v>
      </c>
      <c r="G70" s="4" t="s">
        <v>1102</v>
      </c>
      <c r="H70" s="4" t="s">
        <v>31</v>
      </c>
      <c r="I70" s="4" t="s">
        <v>1103</v>
      </c>
      <c r="J70" s="26" t="s">
        <v>1104</v>
      </c>
    </row>
    <row r="71" spans="1:10" x14ac:dyDescent="0.25">
      <c r="A71" s="96">
        <v>352</v>
      </c>
      <c r="B71" s="4" t="s">
        <v>121</v>
      </c>
      <c r="C71" s="4" t="s">
        <v>717</v>
      </c>
      <c r="D71" s="4" t="s">
        <v>1090</v>
      </c>
      <c r="E71" s="4" t="s">
        <v>1091</v>
      </c>
      <c r="F71" s="4">
        <v>8853</v>
      </c>
      <c r="G71" s="4" t="s">
        <v>117</v>
      </c>
      <c r="H71" s="4" t="s">
        <v>31</v>
      </c>
      <c r="I71" s="4" t="s">
        <v>1092</v>
      </c>
      <c r="J71" s="26" t="s">
        <v>721</v>
      </c>
    </row>
    <row r="72" spans="1:10" x14ac:dyDescent="0.25">
      <c r="A72" s="96">
        <v>351</v>
      </c>
      <c r="B72" s="4" t="s">
        <v>107</v>
      </c>
      <c r="C72" s="4" t="s">
        <v>147</v>
      </c>
      <c r="D72" s="4" t="s">
        <v>1081</v>
      </c>
      <c r="E72" s="4" t="s">
        <v>1087</v>
      </c>
      <c r="F72" s="4">
        <v>8832</v>
      </c>
      <c r="G72" s="4" t="s">
        <v>176</v>
      </c>
      <c r="H72" s="4" t="s">
        <v>31</v>
      </c>
      <c r="I72" s="4" t="s">
        <v>1088</v>
      </c>
      <c r="J72" s="26" t="s">
        <v>1089</v>
      </c>
    </row>
    <row r="73" spans="1:10" x14ac:dyDescent="0.25">
      <c r="A73" s="96">
        <v>348</v>
      </c>
      <c r="B73" s="4" t="s">
        <v>132</v>
      </c>
      <c r="C73" s="4" t="s">
        <v>727</v>
      </c>
      <c r="D73" s="4" t="s">
        <v>1081</v>
      </c>
      <c r="E73" s="4" t="s">
        <v>1065</v>
      </c>
      <c r="F73" s="4">
        <v>8808</v>
      </c>
      <c r="G73" s="4" t="s">
        <v>210</v>
      </c>
      <c r="H73" s="4" t="s">
        <v>31</v>
      </c>
      <c r="I73" s="4" t="s">
        <v>1082</v>
      </c>
      <c r="J73" s="26" t="s">
        <v>730</v>
      </c>
    </row>
    <row r="74" spans="1:10" x14ac:dyDescent="0.25">
      <c r="A74" s="96">
        <v>350</v>
      </c>
      <c r="B74" s="4" t="s">
        <v>107</v>
      </c>
      <c r="C74" s="4" t="s">
        <v>1083</v>
      </c>
      <c r="D74" s="4" t="s">
        <v>1081</v>
      </c>
      <c r="E74" s="4" t="s">
        <v>1084</v>
      </c>
      <c r="F74" s="4">
        <v>8863</v>
      </c>
      <c r="G74" s="4" t="s">
        <v>140</v>
      </c>
      <c r="H74" s="4" t="s">
        <v>31</v>
      </c>
      <c r="I74" s="4" t="s">
        <v>1085</v>
      </c>
      <c r="J74" s="26" t="s">
        <v>1086</v>
      </c>
    </row>
    <row r="75" spans="1:10" x14ac:dyDescent="0.25">
      <c r="A75" s="96">
        <v>344</v>
      </c>
      <c r="B75" s="4" t="s">
        <v>107</v>
      </c>
      <c r="C75" s="4" t="s">
        <v>927</v>
      </c>
      <c r="D75" s="4" t="s">
        <v>1073</v>
      </c>
      <c r="E75" s="4" t="s">
        <v>1065</v>
      </c>
      <c r="F75" s="4">
        <v>8854</v>
      </c>
      <c r="G75" s="4" t="s">
        <v>145</v>
      </c>
      <c r="H75" s="4" t="s">
        <v>31</v>
      </c>
      <c r="I75" s="4" t="s">
        <v>1074</v>
      </c>
      <c r="J75" s="26" t="s">
        <v>1075</v>
      </c>
    </row>
    <row r="76" spans="1:10" x14ac:dyDescent="0.25">
      <c r="A76" s="96">
        <v>346</v>
      </c>
      <c r="B76" s="4" t="s">
        <v>107</v>
      </c>
      <c r="C76" s="4" t="s">
        <v>1076</v>
      </c>
      <c r="D76" s="4" t="s">
        <v>1073</v>
      </c>
      <c r="E76" s="4" t="s">
        <v>1065</v>
      </c>
      <c r="F76" s="4">
        <v>8808</v>
      </c>
      <c r="G76" s="4" t="s">
        <v>210</v>
      </c>
      <c r="H76" s="4" t="s">
        <v>31</v>
      </c>
      <c r="I76" s="4" t="s">
        <v>1077</v>
      </c>
      <c r="J76" s="26" t="s">
        <v>1078</v>
      </c>
    </row>
    <row r="77" spans="1:10" x14ac:dyDescent="0.25">
      <c r="A77" s="96">
        <v>347</v>
      </c>
      <c r="B77" s="4" t="s">
        <v>107</v>
      </c>
      <c r="C77" s="4" t="s">
        <v>1079</v>
      </c>
      <c r="D77" s="4" t="s">
        <v>1073</v>
      </c>
      <c r="E77" s="4" t="s">
        <v>1065</v>
      </c>
      <c r="F77" s="4">
        <v>8853</v>
      </c>
      <c r="G77" s="4" t="s">
        <v>117</v>
      </c>
      <c r="H77" s="4" t="s">
        <v>31</v>
      </c>
      <c r="I77" s="4" t="s">
        <v>1080</v>
      </c>
      <c r="J77" s="26"/>
    </row>
    <row r="78" spans="1:10" x14ac:dyDescent="0.25">
      <c r="A78" s="96">
        <v>343</v>
      </c>
      <c r="B78" s="4" t="s">
        <v>107</v>
      </c>
      <c r="C78" s="4" t="s">
        <v>1069</v>
      </c>
      <c r="D78" s="4" t="s">
        <v>1070</v>
      </c>
      <c r="E78" s="4" t="s">
        <v>1065</v>
      </c>
      <c r="F78" s="4">
        <v>8863</v>
      </c>
      <c r="G78" s="4" t="s">
        <v>140</v>
      </c>
      <c r="H78" s="4" t="s">
        <v>31</v>
      </c>
      <c r="I78" s="4" t="s">
        <v>1071</v>
      </c>
      <c r="J78" s="26" t="s">
        <v>1072</v>
      </c>
    </row>
    <row r="79" spans="1:10" x14ac:dyDescent="0.25">
      <c r="A79" s="96">
        <v>342</v>
      </c>
      <c r="B79" s="4" t="s">
        <v>107</v>
      </c>
      <c r="C79" s="4" t="s">
        <v>385</v>
      </c>
      <c r="D79" s="4" t="s">
        <v>1064</v>
      </c>
      <c r="E79" s="4" t="s">
        <v>1065</v>
      </c>
      <c r="F79" s="4">
        <v>8825</v>
      </c>
      <c r="G79" s="4" t="s">
        <v>1066</v>
      </c>
      <c r="H79" s="4" t="s">
        <v>31</v>
      </c>
      <c r="I79" s="4" t="s">
        <v>1067</v>
      </c>
      <c r="J79" s="26" t="s">
        <v>1068</v>
      </c>
    </row>
    <row r="80" spans="1:10" x14ac:dyDescent="0.25">
      <c r="A80" s="96">
        <v>341</v>
      </c>
      <c r="B80" s="4" t="s">
        <v>107</v>
      </c>
      <c r="C80" s="4" t="s">
        <v>1059</v>
      </c>
      <c r="D80" s="4" t="s">
        <v>1060</v>
      </c>
      <c r="E80" s="4" t="s">
        <v>1061</v>
      </c>
      <c r="F80" s="4">
        <v>8853</v>
      </c>
      <c r="G80" s="4" t="s">
        <v>117</v>
      </c>
      <c r="H80" s="4" t="s">
        <v>31</v>
      </c>
      <c r="I80" s="4" t="s">
        <v>1062</v>
      </c>
      <c r="J80" s="26" t="s">
        <v>1063</v>
      </c>
    </row>
    <row r="81" spans="1:10" x14ac:dyDescent="0.25">
      <c r="A81" s="96">
        <v>338</v>
      </c>
      <c r="B81" s="4" t="s">
        <v>107</v>
      </c>
      <c r="C81" s="4" t="s">
        <v>385</v>
      </c>
      <c r="D81" s="4" t="s">
        <v>1056</v>
      </c>
      <c r="E81" s="4" t="s">
        <v>1057</v>
      </c>
      <c r="F81" s="4">
        <v>8855</v>
      </c>
      <c r="G81" s="4" t="s">
        <v>32</v>
      </c>
      <c r="H81" s="4" t="s">
        <v>31</v>
      </c>
      <c r="I81" s="4" t="s">
        <v>1058</v>
      </c>
      <c r="J81" s="26"/>
    </row>
    <row r="82" spans="1:10" x14ac:dyDescent="0.25">
      <c r="A82" s="96">
        <v>336</v>
      </c>
      <c r="B82" s="4" t="s">
        <v>107</v>
      </c>
      <c r="C82" s="4" t="s">
        <v>1052</v>
      </c>
      <c r="D82" s="4" t="s">
        <v>1053</v>
      </c>
      <c r="E82" s="4" t="s">
        <v>1054</v>
      </c>
      <c r="F82" s="4">
        <v>8832</v>
      </c>
      <c r="G82" s="4" t="s">
        <v>960</v>
      </c>
      <c r="H82" s="4" t="s">
        <v>31</v>
      </c>
      <c r="I82" s="4" t="s">
        <v>1055</v>
      </c>
      <c r="J82" s="26"/>
    </row>
    <row r="83" spans="1:10" x14ac:dyDescent="0.25">
      <c r="A83" s="96">
        <v>331</v>
      </c>
      <c r="B83" s="4" t="s">
        <v>132</v>
      </c>
      <c r="C83" s="4" t="s">
        <v>1047</v>
      </c>
      <c r="D83" s="4" t="s">
        <v>1048</v>
      </c>
      <c r="E83" s="4" t="s">
        <v>1049</v>
      </c>
      <c r="F83" s="4">
        <v>7310</v>
      </c>
      <c r="G83" s="4" t="s">
        <v>1050</v>
      </c>
      <c r="H83" s="4" t="s">
        <v>31</v>
      </c>
      <c r="I83" s="4" t="s">
        <v>1051</v>
      </c>
      <c r="J83" s="26"/>
    </row>
    <row r="84" spans="1:10" x14ac:dyDescent="0.25">
      <c r="A84" s="96">
        <v>329</v>
      </c>
      <c r="B84" s="4" t="s">
        <v>107</v>
      </c>
      <c r="C84" s="4" t="s">
        <v>1039</v>
      </c>
      <c r="D84" s="4" t="s">
        <v>1040</v>
      </c>
      <c r="E84" s="4" t="s">
        <v>1041</v>
      </c>
      <c r="F84" s="4">
        <v>8856</v>
      </c>
      <c r="G84" s="4" t="s">
        <v>734</v>
      </c>
      <c r="H84" s="4" t="s">
        <v>31</v>
      </c>
      <c r="I84" s="4" t="s">
        <v>1042</v>
      </c>
      <c r="J84" s="26" t="s">
        <v>1043</v>
      </c>
    </row>
    <row r="85" spans="1:10" x14ac:dyDescent="0.25">
      <c r="A85" s="96">
        <v>330</v>
      </c>
      <c r="B85" s="4" t="s">
        <v>132</v>
      </c>
      <c r="C85" s="4" t="s">
        <v>1044</v>
      </c>
      <c r="D85" s="4" t="s">
        <v>1040</v>
      </c>
      <c r="E85" s="4" t="s">
        <v>1041</v>
      </c>
      <c r="F85" s="4">
        <v>8853</v>
      </c>
      <c r="G85" s="4" t="s">
        <v>117</v>
      </c>
      <c r="H85" s="4" t="s">
        <v>31</v>
      </c>
      <c r="I85" s="4" t="s">
        <v>1045</v>
      </c>
      <c r="J85" s="26" t="s">
        <v>1046</v>
      </c>
    </row>
    <row r="86" spans="1:10" x14ac:dyDescent="0.25">
      <c r="A86" s="96">
        <v>328</v>
      </c>
      <c r="B86" s="4" t="s">
        <v>132</v>
      </c>
      <c r="C86" s="4" t="s">
        <v>1034</v>
      </c>
      <c r="D86" s="4" t="s">
        <v>1035</v>
      </c>
      <c r="E86" s="4" t="s">
        <v>1036</v>
      </c>
      <c r="F86" s="4">
        <v>78655</v>
      </c>
      <c r="G86" s="4" t="s">
        <v>1037</v>
      </c>
      <c r="H86" s="4" t="s">
        <v>33</v>
      </c>
      <c r="I86" s="4" t="s">
        <v>1038</v>
      </c>
      <c r="J86" s="26"/>
    </row>
    <row r="87" spans="1:10" x14ac:dyDescent="0.25">
      <c r="A87" s="96">
        <v>327</v>
      </c>
      <c r="B87" s="4" t="s">
        <v>107</v>
      </c>
      <c r="C87" s="4" t="s">
        <v>1029</v>
      </c>
      <c r="D87" s="4" t="s">
        <v>1030</v>
      </c>
      <c r="E87" s="4" t="s">
        <v>1031</v>
      </c>
      <c r="F87" s="4">
        <v>8852</v>
      </c>
      <c r="G87" s="4" t="s">
        <v>110</v>
      </c>
      <c r="H87" s="4" t="s">
        <v>31</v>
      </c>
      <c r="I87" s="4" t="s">
        <v>1032</v>
      </c>
      <c r="J87" s="26" t="s">
        <v>1033</v>
      </c>
    </row>
    <row r="88" spans="1:10" x14ac:dyDescent="0.25">
      <c r="A88" s="96">
        <v>326</v>
      </c>
      <c r="B88" s="4" t="s">
        <v>107</v>
      </c>
      <c r="C88" s="4" t="s">
        <v>113</v>
      </c>
      <c r="D88" s="4" t="s">
        <v>1025</v>
      </c>
      <c r="E88" s="4" t="s">
        <v>1026</v>
      </c>
      <c r="F88" s="4">
        <v>8853</v>
      </c>
      <c r="G88" s="4" t="s">
        <v>117</v>
      </c>
      <c r="H88" s="4" t="s">
        <v>31</v>
      </c>
      <c r="I88" s="4" t="s">
        <v>1027</v>
      </c>
      <c r="J88" s="26" t="s">
        <v>1028</v>
      </c>
    </row>
    <row r="89" spans="1:10" x14ac:dyDescent="0.25">
      <c r="A89" s="96">
        <v>325</v>
      </c>
      <c r="B89" s="4" t="s">
        <v>132</v>
      </c>
      <c r="C89" s="4" t="s">
        <v>1019</v>
      </c>
      <c r="D89" s="4" t="s">
        <v>1020</v>
      </c>
      <c r="E89" s="4" t="s">
        <v>1021</v>
      </c>
      <c r="F89" s="4">
        <v>8857</v>
      </c>
      <c r="G89" s="4" t="s">
        <v>1022</v>
      </c>
      <c r="H89" s="4" t="s">
        <v>31</v>
      </c>
      <c r="I89" s="4" t="s">
        <v>1023</v>
      </c>
      <c r="J89" s="26" t="s">
        <v>1024</v>
      </c>
    </row>
    <row r="90" spans="1:10" x14ac:dyDescent="0.25">
      <c r="A90" s="96">
        <v>322</v>
      </c>
      <c r="B90" s="4" t="s">
        <v>132</v>
      </c>
      <c r="C90" s="4" t="s">
        <v>1014</v>
      </c>
      <c r="D90" s="4" t="s">
        <v>1015</v>
      </c>
      <c r="E90" s="4" t="s">
        <v>1016</v>
      </c>
      <c r="F90" s="4">
        <v>8853</v>
      </c>
      <c r="G90" s="4" t="s">
        <v>117</v>
      </c>
      <c r="H90" s="4" t="s">
        <v>31</v>
      </c>
      <c r="I90" s="4" t="s">
        <v>1017</v>
      </c>
      <c r="J90" s="26" t="s">
        <v>1018</v>
      </c>
    </row>
    <row r="91" spans="1:10" x14ac:dyDescent="0.25">
      <c r="A91" s="96">
        <v>320</v>
      </c>
      <c r="B91" s="4" t="s">
        <v>107</v>
      </c>
      <c r="C91" s="4" t="s">
        <v>1010</v>
      </c>
      <c r="D91" s="4" t="s">
        <v>1011</v>
      </c>
      <c r="E91" s="4" t="s">
        <v>1012</v>
      </c>
      <c r="F91" s="4">
        <v>8853</v>
      </c>
      <c r="G91" s="4" t="s">
        <v>117</v>
      </c>
      <c r="H91" s="4" t="s">
        <v>31</v>
      </c>
      <c r="I91" s="4" t="s">
        <v>1013</v>
      </c>
      <c r="J91" s="26"/>
    </row>
    <row r="92" spans="1:10" x14ac:dyDescent="0.25">
      <c r="A92" s="96">
        <v>319</v>
      </c>
      <c r="B92" s="4" t="s">
        <v>107</v>
      </c>
      <c r="C92" s="4" t="s">
        <v>1005</v>
      </c>
      <c r="D92" s="4" t="s">
        <v>1006</v>
      </c>
      <c r="E92" s="4" t="s">
        <v>1007</v>
      </c>
      <c r="F92" s="4">
        <v>8807</v>
      </c>
      <c r="G92" s="4" t="s">
        <v>135</v>
      </c>
      <c r="H92" s="4" t="s">
        <v>31</v>
      </c>
      <c r="I92" s="4" t="s">
        <v>1008</v>
      </c>
      <c r="J92" s="26" t="s">
        <v>1009</v>
      </c>
    </row>
    <row r="93" spans="1:10" x14ac:dyDescent="0.25">
      <c r="A93" s="96">
        <v>211</v>
      </c>
      <c r="B93" s="4" t="s">
        <v>107</v>
      </c>
      <c r="C93" s="4" t="s">
        <v>737</v>
      </c>
      <c r="D93" s="4" t="s">
        <v>738</v>
      </c>
      <c r="E93" s="4" t="s">
        <v>739</v>
      </c>
      <c r="F93" s="4">
        <v>8808</v>
      </c>
      <c r="G93" s="4" t="s">
        <v>210</v>
      </c>
      <c r="H93" s="4" t="s">
        <v>31</v>
      </c>
      <c r="I93" s="4" t="s">
        <v>740</v>
      </c>
      <c r="J93" s="26" t="s">
        <v>741</v>
      </c>
    </row>
    <row r="94" spans="1:10" x14ac:dyDescent="0.25">
      <c r="A94" s="96">
        <v>317</v>
      </c>
      <c r="B94" s="4" t="s">
        <v>107</v>
      </c>
      <c r="C94" s="4" t="s">
        <v>1001</v>
      </c>
      <c r="D94" s="4" t="s">
        <v>738</v>
      </c>
      <c r="E94" s="4" t="s">
        <v>1002</v>
      </c>
      <c r="F94" s="4">
        <v>8808</v>
      </c>
      <c r="G94" s="4" t="s">
        <v>210</v>
      </c>
      <c r="H94" s="4" t="s">
        <v>31</v>
      </c>
      <c r="I94" s="4" t="s">
        <v>1003</v>
      </c>
      <c r="J94" s="26" t="s">
        <v>1004</v>
      </c>
    </row>
    <row r="95" spans="1:10" x14ac:dyDescent="0.25">
      <c r="A95" s="96">
        <v>314</v>
      </c>
      <c r="B95" s="4" t="s">
        <v>107</v>
      </c>
      <c r="C95" s="4" t="s">
        <v>988</v>
      </c>
      <c r="D95" s="4" t="s">
        <v>989</v>
      </c>
      <c r="E95" s="4" t="s">
        <v>990</v>
      </c>
      <c r="F95" s="4">
        <v>8640</v>
      </c>
      <c r="G95" s="4" t="s">
        <v>991</v>
      </c>
      <c r="H95" s="4" t="s">
        <v>31</v>
      </c>
      <c r="I95" s="4" t="s">
        <v>992</v>
      </c>
      <c r="J95" s="26" t="s">
        <v>993</v>
      </c>
    </row>
    <row r="96" spans="1:10" x14ac:dyDescent="0.25">
      <c r="A96" s="96">
        <v>316</v>
      </c>
      <c r="B96" s="4" t="s">
        <v>107</v>
      </c>
      <c r="C96" s="4" t="s">
        <v>997</v>
      </c>
      <c r="D96" s="4" t="s">
        <v>989</v>
      </c>
      <c r="E96" s="4" t="s">
        <v>998</v>
      </c>
      <c r="F96" s="4">
        <v>8853</v>
      </c>
      <c r="G96" s="4" t="s">
        <v>117</v>
      </c>
      <c r="H96" s="4" t="s">
        <v>31</v>
      </c>
      <c r="I96" s="4" t="s">
        <v>999</v>
      </c>
      <c r="J96" s="26" t="s">
        <v>1000</v>
      </c>
    </row>
    <row r="97" spans="1:10" x14ac:dyDescent="0.25">
      <c r="A97" s="96">
        <v>315</v>
      </c>
      <c r="B97" s="4" t="s">
        <v>107</v>
      </c>
      <c r="C97" s="4" t="s">
        <v>385</v>
      </c>
      <c r="D97" s="4" t="s">
        <v>989</v>
      </c>
      <c r="E97" s="4" t="s">
        <v>994</v>
      </c>
      <c r="F97" s="4">
        <v>8852</v>
      </c>
      <c r="G97" s="4" t="s">
        <v>110</v>
      </c>
      <c r="H97" s="4" t="s">
        <v>31</v>
      </c>
      <c r="I97" s="4" t="s">
        <v>995</v>
      </c>
      <c r="J97" s="26" t="s">
        <v>996</v>
      </c>
    </row>
    <row r="98" spans="1:10" x14ac:dyDescent="0.25">
      <c r="A98" s="96">
        <v>313</v>
      </c>
      <c r="B98" s="4" t="s">
        <v>132</v>
      </c>
      <c r="C98" s="4" t="s">
        <v>808</v>
      </c>
      <c r="D98" s="4" t="s">
        <v>985</v>
      </c>
      <c r="E98" s="4" t="s">
        <v>986</v>
      </c>
      <c r="F98" s="4">
        <v>8855</v>
      </c>
      <c r="G98" s="4" t="s">
        <v>32</v>
      </c>
      <c r="H98" s="4" t="s">
        <v>31</v>
      </c>
      <c r="I98" s="4" t="s">
        <v>987</v>
      </c>
      <c r="J98" s="26" t="s">
        <v>811</v>
      </c>
    </row>
    <row r="99" spans="1:10" x14ac:dyDescent="0.25">
      <c r="A99" s="96">
        <v>312</v>
      </c>
      <c r="B99" s="4" t="s">
        <v>132</v>
      </c>
      <c r="C99" s="4" t="s">
        <v>808</v>
      </c>
      <c r="D99" s="4" t="s">
        <v>982</v>
      </c>
      <c r="E99" s="4" t="s">
        <v>983</v>
      </c>
      <c r="F99" s="4">
        <v>8855</v>
      </c>
      <c r="G99" s="4" t="s">
        <v>32</v>
      </c>
      <c r="H99" s="4" t="s">
        <v>31</v>
      </c>
      <c r="I99" s="4" t="s">
        <v>984</v>
      </c>
      <c r="J99" s="26" t="s">
        <v>811</v>
      </c>
    </row>
    <row r="100" spans="1:10" x14ac:dyDescent="0.25">
      <c r="A100" s="96">
        <v>308</v>
      </c>
      <c r="B100" s="4" t="s">
        <v>107</v>
      </c>
      <c r="C100" s="4" t="s">
        <v>978</v>
      </c>
      <c r="D100" s="4" t="s">
        <v>6</v>
      </c>
      <c r="E100" s="4" t="s">
        <v>979</v>
      </c>
      <c r="F100" s="4">
        <v>8864</v>
      </c>
      <c r="G100" s="4" t="s">
        <v>819</v>
      </c>
      <c r="H100" s="4" t="s">
        <v>31</v>
      </c>
      <c r="I100" s="4" t="s">
        <v>980</v>
      </c>
      <c r="J100" s="26" t="s">
        <v>981</v>
      </c>
    </row>
    <row r="101" spans="1:10" x14ac:dyDescent="0.25">
      <c r="A101" s="96">
        <v>306</v>
      </c>
      <c r="B101" s="4" t="s">
        <v>121</v>
      </c>
      <c r="C101" s="4" t="s">
        <v>390</v>
      </c>
      <c r="D101" s="4" t="s">
        <v>975</v>
      </c>
      <c r="E101" s="4" t="s">
        <v>976</v>
      </c>
      <c r="F101" s="4">
        <v>8311</v>
      </c>
      <c r="G101" s="4" t="s">
        <v>972</v>
      </c>
      <c r="H101" s="4" t="s">
        <v>31</v>
      </c>
      <c r="I101" s="4" t="s">
        <v>977</v>
      </c>
      <c r="J101" s="26" t="s">
        <v>974</v>
      </c>
    </row>
    <row r="102" spans="1:10" x14ac:dyDescent="0.25">
      <c r="A102" s="96">
        <v>305</v>
      </c>
      <c r="B102" s="4" t="s">
        <v>132</v>
      </c>
      <c r="C102" s="4" t="s">
        <v>969</v>
      </c>
      <c r="D102" s="4" t="s">
        <v>970</v>
      </c>
      <c r="E102" s="4" t="s">
        <v>971</v>
      </c>
      <c r="F102" s="4">
        <v>8311</v>
      </c>
      <c r="G102" s="4" t="s">
        <v>972</v>
      </c>
      <c r="H102" s="4" t="s">
        <v>31</v>
      </c>
      <c r="I102" s="4" t="s">
        <v>973</v>
      </c>
      <c r="J102" s="26" t="s">
        <v>974</v>
      </c>
    </row>
    <row r="103" spans="1:10" x14ac:dyDescent="0.25">
      <c r="A103" s="96">
        <v>304</v>
      </c>
      <c r="B103" s="4" t="s">
        <v>132</v>
      </c>
      <c r="C103" s="4" t="s">
        <v>963</v>
      </c>
      <c r="D103" s="4" t="s">
        <v>964</v>
      </c>
      <c r="E103" s="4" t="s">
        <v>965</v>
      </c>
      <c r="F103" s="4">
        <v>8868</v>
      </c>
      <c r="G103" s="4" t="s">
        <v>966</v>
      </c>
      <c r="H103" s="4" t="s">
        <v>31</v>
      </c>
      <c r="I103" s="4" t="s">
        <v>967</v>
      </c>
      <c r="J103" s="26" t="s">
        <v>968</v>
      </c>
    </row>
    <row r="104" spans="1:10" x14ac:dyDescent="0.25">
      <c r="A104" s="96">
        <v>303</v>
      </c>
      <c r="B104" s="4" t="s">
        <v>132</v>
      </c>
      <c r="C104" s="4" t="s">
        <v>957</v>
      </c>
      <c r="D104" s="4" t="s">
        <v>958</v>
      </c>
      <c r="E104" s="4" t="s">
        <v>959</v>
      </c>
      <c r="F104" s="4">
        <v>8832</v>
      </c>
      <c r="G104" s="4" t="s">
        <v>960</v>
      </c>
      <c r="H104" s="4" t="s">
        <v>31</v>
      </c>
      <c r="I104" s="4" t="s">
        <v>961</v>
      </c>
      <c r="J104" s="26" t="s">
        <v>962</v>
      </c>
    </row>
    <row r="105" spans="1:10" x14ac:dyDescent="0.25">
      <c r="A105" s="96">
        <v>302</v>
      </c>
      <c r="B105" s="4" t="s">
        <v>107</v>
      </c>
      <c r="C105" s="4" t="s">
        <v>952</v>
      </c>
      <c r="D105" s="4" t="s">
        <v>953</v>
      </c>
      <c r="E105" s="4" t="s">
        <v>954</v>
      </c>
      <c r="F105" s="4">
        <v>8834</v>
      </c>
      <c r="G105" s="4" t="s">
        <v>656</v>
      </c>
      <c r="H105" s="4" t="s">
        <v>31</v>
      </c>
      <c r="I105" s="4" t="s">
        <v>955</v>
      </c>
      <c r="J105" s="26" t="s">
        <v>956</v>
      </c>
    </row>
    <row r="106" spans="1:10" x14ac:dyDescent="0.25">
      <c r="A106" s="96">
        <v>301</v>
      </c>
      <c r="B106" s="4" t="s">
        <v>107</v>
      </c>
      <c r="C106" s="4" t="s">
        <v>947</v>
      </c>
      <c r="D106" s="4" t="s">
        <v>948</v>
      </c>
      <c r="E106" s="4" t="s">
        <v>949</v>
      </c>
      <c r="F106" s="4">
        <v>8864</v>
      </c>
      <c r="G106" s="4" t="s">
        <v>819</v>
      </c>
      <c r="H106" s="4" t="s">
        <v>31</v>
      </c>
      <c r="I106" s="4" t="s">
        <v>950</v>
      </c>
      <c r="J106" s="26" t="s">
        <v>951</v>
      </c>
    </row>
    <row r="107" spans="1:10" x14ac:dyDescent="0.25">
      <c r="A107" s="96">
        <v>300</v>
      </c>
      <c r="B107" s="4" t="s">
        <v>132</v>
      </c>
      <c r="C107" s="4" t="s">
        <v>942</v>
      </c>
      <c r="D107" s="4" t="s">
        <v>943</v>
      </c>
      <c r="E107" s="4" t="s">
        <v>944</v>
      </c>
      <c r="F107" s="4">
        <v>8853</v>
      </c>
      <c r="G107" s="4" t="s">
        <v>117</v>
      </c>
      <c r="H107" s="4" t="s">
        <v>31</v>
      </c>
      <c r="I107" s="4" t="s">
        <v>945</v>
      </c>
      <c r="J107" s="26" t="s">
        <v>946</v>
      </c>
    </row>
    <row r="108" spans="1:10" x14ac:dyDescent="0.25">
      <c r="A108" s="96">
        <v>299</v>
      </c>
      <c r="B108" s="4" t="s">
        <v>132</v>
      </c>
      <c r="C108" s="4" t="s">
        <v>937</v>
      </c>
      <c r="D108" s="4" t="s">
        <v>938</v>
      </c>
      <c r="E108" s="4" t="s">
        <v>939</v>
      </c>
      <c r="F108" s="4">
        <v>8854</v>
      </c>
      <c r="G108" s="4" t="s">
        <v>485</v>
      </c>
      <c r="H108" s="4" t="s">
        <v>31</v>
      </c>
      <c r="I108" s="4" t="s">
        <v>940</v>
      </c>
      <c r="J108" s="26" t="s">
        <v>941</v>
      </c>
    </row>
    <row r="109" spans="1:10" x14ac:dyDescent="0.25">
      <c r="A109" s="96">
        <v>296</v>
      </c>
      <c r="B109" s="4" t="s">
        <v>121</v>
      </c>
      <c r="C109" s="4" t="s">
        <v>931</v>
      </c>
      <c r="D109" s="4" t="s">
        <v>197</v>
      </c>
      <c r="E109" s="4" t="s">
        <v>932</v>
      </c>
      <c r="F109" s="4">
        <v>8853</v>
      </c>
      <c r="G109" s="4" t="s">
        <v>117</v>
      </c>
      <c r="H109" s="4" t="s">
        <v>31</v>
      </c>
      <c r="I109" s="4" t="s">
        <v>933</v>
      </c>
      <c r="J109" s="26" t="s">
        <v>934</v>
      </c>
    </row>
    <row r="110" spans="1:10" x14ac:dyDescent="0.25">
      <c r="A110" s="96">
        <v>297</v>
      </c>
      <c r="B110" s="4" t="s">
        <v>107</v>
      </c>
      <c r="C110" s="4" t="s">
        <v>935</v>
      </c>
      <c r="D110" s="4" t="s">
        <v>197</v>
      </c>
      <c r="E110" s="4" t="s">
        <v>932</v>
      </c>
      <c r="F110" s="4">
        <v>8853</v>
      </c>
      <c r="G110" s="4" t="s">
        <v>117</v>
      </c>
      <c r="H110" s="4" t="s">
        <v>31</v>
      </c>
      <c r="I110" s="4" t="s">
        <v>936</v>
      </c>
      <c r="J110" s="26" t="s">
        <v>934</v>
      </c>
    </row>
    <row r="111" spans="1:10" x14ac:dyDescent="0.25">
      <c r="A111" s="96">
        <v>295</v>
      </c>
      <c r="B111" s="4" t="s">
        <v>107</v>
      </c>
      <c r="C111" s="4" t="s">
        <v>927</v>
      </c>
      <c r="D111" s="4" t="s">
        <v>928</v>
      </c>
      <c r="E111" s="4" t="s">
        <v>921</v>
      </c>
      <c r="F111" s="4">
        <v>8852</v>
      </c>
      <c r="G111" s="4" t="s">
        <v>110</v>
      </c>
      <c r="H111" s="4" t="s">
        <v>31</v>
      </c>
      <c r="I111" s="4" t="s">
        <v>929</v>
      </c>
      <c r="J111" s="26" t="s">
        <v>930</v>
      </c>
    </row>
    <row r="112" spans="1:10" x14ac:dyDescent="0.25">
      <c r="A112" s="96">
        <v>294</v>
      </c>
      <c r="B112" s="4" t="s">
        <v>132</v>
      </c>
      <c r="C112" s="4" t="s">
        <v>923</v>
      </c>
      <c r="D112" s="4" t="s">
        <v>924</v>
      </c>
      <c r="E112" s="4" t="s">
        <v>921</v>
      </c>
      <c r="F112" s="4">
        <v>8853</v>
      </c>
      <c r="G112" s="4" t="s">
        <v>117</v>
      </c>
      <c r="H112" s="4" t="s">
        <v>31</v>
      </c>
      <c r="I112" s="4" t="s">
        <v>925</v>
      </c>
      <c r="J112" s="26" t="s">
        <v>926</v>
      </c>
    </row>
    <row r="113" spans="1:10" x14ac:dyDescent="0.25">
      <c r="A113" s="96">
        <v>293</v>
      </c>
      <c r="B113" s="4" t="s">
        <v>107</v>
      </c>
      <c r="C113" s="4" t="s">
        <v>223</v>
      </c>
      <c r="D113" s="4" t="s">
        <v>920</v>
      </c>
      <c r="E113" s="4" t="s">
        <v>921</v>
      </c>
      <c r="F113" s="4">
        <v>8852</v>
      </c>
      <c r="G113" s="4" t="s">
        <v>110</v>
      </c>
      <c r="H113" s="4" t="s">
        <v>31</v>
      </c>
      <c r="I113" s="4" t="s">
        <v>922</v>
      </c>
      <c r="J113" s="26"/>
    </row>
    <row r="114" spans="1:10" x14ac:dyDescent="0.25">
      <c r="A114" s="96">
        <v>292</v>
      </c>
      <c r="B114" s="4" t="s">
        <v>121</v>
      </c>
      <c r="C114" s="4" t="s">
        <v>912</v>
      </c>
      <c r="D114" s="4" t="s">
        <v>917</v>
      </c>
      <c r="E114" s="4" t="s">
        <v>918</v>
      </c>
      <c r="F114" s="4">
        <v>8645</v>
      </c>
      <c r="G114" s="4" t="s">
        <v>914</v>
      </c>
      <c r="H114" s="4" t="s">
        <v>31</v>
      </c>
      <c r="I114" s="4" t="s">
        <v>919</v>
      </c>
      <c r="J114" s="26" t="s">
        <v>916</v>
      </c>
    </row>
    <row r="115" spans="1:10" x14ac:dyDescent="0.25">
      <c r="A115" s="96">
        <v>291</v>
      </c>
      <c r="B115" s="4" t="s">
        <v>132</v>
      </c>
      <c r="C115" s="4" t="s">
        <v>912</v>
      </c>
      <c r="D115" s="4" t="s">
        <v>913</v>
      </c>
      <c r="E115" s="4" t="s">
        <v>908</v>
      </c>
      <c r="F115" s="4">
        <v>8645</v>
      </c>
      <c r="G115" s="4" t="s">
        <v>914</v>
      </c>
      <c r="H115" s="4" t="s">
        <v>31</v>
      </c>
      <c r="I115" s="4" t="s">
        <v>915</v>
      </c>
      <c r="J115" s="26" t="s">
        <v>916</v>
      </c>
    </row>
    <row r="116" spans="1:10" x14ac:dyDescent="0.25">
      <c r="A116" s="96">
        <v>284</v>
      </c>
      <c r="B116" s="4" t="s">
        <v>107</v>
      </c>
      <c r="C116" s="4" t="s">
        <v>902</v>
      </c>
      <c r="D116" s="4" t="s">
        <v>903</v>
      </c>
      <c r="E116" s="4" t="s">
        <v>904</v>
      </c>
      <c r="F116" s="4">
        <v>8855</v>
      </c>
      <c r="G116" s="4" t="s">
        <v>32</v>
      </c>
      <c r="H116" s="4" t="s">
        <v>31</v>
      </c>
      <c r="I116" s="4" t="s">
        <v>905</v>
      </c>
      <c r="J116" s="26" t="s">
        <v>906</v>
      </c>
    </row>
    <row r="117" spans="1:10" x14ac:dyDescent="0.25">
      <c r="A117" s="96">
        <v>285</v>
      </c>
      <c r="B117" s="4" t="s">
        <v>132</v>
      </c>
      <c r="C117" s="4" t="s">
        <v>907</v>
      </c>
      <c r="D117" s="4" t="s">
        <v>903</v>
      </c>
      <c r="E117" s="4" t="s">
        <v>908</v>
      </c>
      <c r="F117" s="4">
        <v>8867</v>
      </c>
      <c r="G117" s="4" t="s">
        <v>909</v>
      </c>
      <c r="H117" s="4" t="s">
        <v>31</v>
      </c>
      <c r="I117" s="4" t="s">
        <v>910</v>
      </c>
      <c r="J117" s="26" t="s">
        <v>911</v>
      </c>
    </row>
    <row r="118" spans="1:10" x14ac:dyDescent="0.25">
      <c r="A118" s="96">
        <v>280</v>
      </c>
      <c r="B118" s="4" t="s">
        <v>107</v>
      </c>
      <c r="C118" s="4" t="s">
        <v>143</v>
      </c>
      <c r="D118" s="4" t="s">
        <v>896</v>
      </c>
      <c r="E118" s="4" t="s">
        <v>897</v>
      </c>
      <c r="F118" s="4">
        <v>8854</v>
      </c>
      <c r="G118" s="4" t="s">
        <v>145</v>
      </c>
      <c r="H118" s="4" t="s">
        <v>31</v>
      </c>
      <c r="I118" s="4" t="s">
        <v>898</v>
      </c>
      <c r="J118" s="26" t="s">
        <v>899</v>
      </c>
    </row>
    <row r="119" spans="1:10" x14ac:dyDescent="0.25">
      <c r="A119" s="96">
        <v>282</v>
      </c>
      <c r="B119" s="4" t="s">
        <v>132</v>
      </c>
      <c r="C119" s="4" t="s">
        <v>870</v>
      </c>
      <c r="D119" s="4" t="s">
        <v>896</v>
      </c>
      <c r="E119" s="4" t="s">
        <v>900</v>
      </c>
      <c r="F119" s="4">
        <v>8852</v>
      </c>
      <c r="G119" s="4" t="s">
        <v>110</v>
      </c>
      <c r="H119" s="4" t="s">
        <v>31</v>
      </c>
      <c r="I119" s="4" t="s">
        <v>901</v>
      </c>
      <c r="J119" s="26" t="s">
        <v>873</v>
      </c>
    </row>
    <row r="120" spans="1:10" x14ac:dyDescent="0.25">
      <c r="A120" s="96">
        <v>279</v>
      </c>
      <c r="B120" s="4" t="s">
        <v>132</v>
      </c>
      <c r="C120" s="4" t="s">
        <v>892</v>
      </c>
      <c r="D120" s="4" t="s">
        <v>893</v>
      </c>
      <c r="E120" s="4" t="s">
        <v>889</v>
      </c>
      <c r="F120" s="4">
        <v>8852</v>
      </c>
      <c r="G120" s="4" t="s">
        <v>110</v>
      </c>
      <c r="H120" s="4" t="s">
        <v>31</v>
      </c>
      <c r="I120" s="4" t="s">
        <v>894</v>
      </c>
      <c r="J120" s="26" t="s">
        <v>895</v>
      </c>
    </row>
    <row r="121" spans="1:10" x14ac:dyDescent="0.25">
      <c r="A121" s="96">
        <v>278</v>
      </c>
      <c r="B121" s="4" t="s">
        <v>107</v>
      </c>
      <c r="C121" s="4" t="s">
        <v>402</v>
      </c>
      <c r="D121" s="4" t="s">
        <v>885</v>
      </c>
      <c r="E121" s="4" t="s">
        <v>889</v>
      </c>
      <c r="F121" s="4">
        <v>8856</v>
      </c>
      <c r="G121" s="4" t="s">
        <v>734</v>
      </c>
      <c r="H121" s="4" t="s">
        <v>31</v>
      </c>
      <c r="I121" s="4" t="s">
        <v>890</v>
      </c>
      <c r="J121" s="26" t="s">
        <v>891</v>
      </c>
    </row>
    <row r="122" spans="1:10" x14ac:dyDescent="0.25">
      <c r="A122" s="96">
        <v>277</v>
      </c>
      <c r="B122" s="4" t="s">
        <v>132</v>
      </c>
      <c r="C122" s="4" t="s">
        <v>884</v>
      </c>
      <c r="D122" s="4" t="s">
        <v>885</v>
      </c>
      <c r="E122" s="4" t="s">
        <v>864</v>
      </c>
      <c r="F122" s="4">
        <v>8873</v>
      </c>
      <c r="G122" s="4" t="s">
        <v>886</v>
      </c>
      <c r="H122" s="4" t="s">
        <v>31</v>
      </c>
      <c r="I122" s="4" t="s">
        <v>887</v>
      </c>
      <c r="J122" s="26" t="s">
        <v>888</v>
      </c>
    </row>
    <row r="123" spans="1:10" x14ac:dyDescent="0.25">
      <c r="A123" s="96">
        <v>276</v>
      </c>
      <c r="B123" s="4" t="s">
        <v>107</v>
      </c>
      <c r="C123" s="4" t="s">
        <v>880</v>
      </c>
      <c r="D123" s="4" t="s">
        <v>881</v>
      </c>
      <c r="E123" s="4" t="s">
        <v>864</v>
      </c>
      <c r="F123" s="4">
        <v>8832</v>
      </c>
      <c r="G123" s="4" t="s">
        <v>176</v>
      </c>
      <c r="H123" s="4" t="s">
        <v>31</v>
      </c>
      <c r="I123" s="4" t="s">
        <v>882</v>
      </c>
      <c r="J123" s="26" t="s">
        <v>883</v>
      </c>
    </row>
    <row r="124" spans="1:10" x14ac:dyDescent="0.25">
      <c r="A124" s="96">
        <v>275</v>
      </c>
      <c r="B124" s="4" t="s">
        <v>132</v>
      </c>
      <c r="C124" s="4" t="s">
        <v>708</v>
      </c>
      <c r="D124" s="4" t="s">
        <v>878</v>
      </c>
      <c r="E124" s="4" t="s">
        <v>864</v>
      </c>
      <c r="F124" s="4">
        <v>8853</v>
      </c>
      <c r="G124" s="4" t="s">
        <v>117</v>
      </c>
      <c r="H124" s="4" t="s">
        <v>31</v>
      </c>
      <c r="I124" s="4" t="s">
        <v>879</v>
      </c>
      <c r="J124" s="26" t="s">
        <v>712</v>
      </c>
    </row>
    <row r="125" spans="1:10" x14ac:dyDescent="0.25">
      <c r="A125" s="96">
        <v>274</v>
      </c>
      <c r="B125" s="4" t="s">
        <v>107</v>
      </c>
      <c r="C125" s="4" t="s">
        <v>874</v>
      </c>
      <c r="D125" s="4" t="s">
        <v>875</v>
      </c>
      <c r="E125" s="4" t="s">
        <v>864</v>
      </c>
      <c r="F125" s="4">
        <v>8006</v>
      </c>
      <c r="G125" s="4" t="s">
        <v>199</v>
      </c>
      <c r="H125" s="4" t="s">
        <v>31</v>
      </c>
      <c r="I125" s="4" t="s">
        <v>876</v>
      </c>
      <c r="J125" s="26" t="s">
        <v>877</v>
      </c>
    </row>
    <row r="126" spans="1:10" x14ac:dyDescent="0.25">
      <c r="A126" s="96">
        <v>273</v>
      </c>
      <c r="B126" s="4" t="s">
        <v>121</v>
      </c>
      <c r="C126" s="4" t="s">
        <v>870</v>
      </c>
      <c r="D126" s="4" t="s">
        <v>871</v>
      </c>
      <c r="E126" s="4" t="s">
        <v>864</v>
      </c>
      <c r="F126" s="4">
        <v>8852</v>
      </c>
      <c r="G126" s="4" t="s">
        <v>110</v>
      </c>
      <c r="H126" s="4" t="s">
        <v>31</v>
      </c>
      <c r="I126" s="4" t="s">
        <v>872</v>
      </c>
      <c r="J126" s="26" t="s">
        <v>873</v>
      </c>
    </row>
    <row r="127" spans="1:10" x14ac:dyDescent="0.25">
      <c r="A127" s="96">
        <v>271</v>
      </c>
      <c r="B127" s="4" t="s">
        <v>107</v>
      </c>
      <c r="C127" s="4" t="s">
        <v>866</v>
      </c>
      <c r="D127" s="4" t="s">
        <v>867</v>
      </c>
      <c r="E127" s="4" t="s">
        <v>864</v>
      </c>
      <c r="F127" s="4">
        <v>8863</v>
      </c>
      <c r="G127" s="4" t="s">
        <v>140</v>
      </c>
      <c r="H127" s="4" t="s">
        <v>31</v>
      </c>
      <c r="I127" s="4" t="s">
        <v>868</v>
      </c>
      <c r="J127" s="26" t="s">
        <v>869</v>
      </c>
    </row>
    <row r="128" spans="1:10" x14ac:dyDescent="0.25">
      <c r="A128" s="96">
        <v>269</v>
      </c>
      <c r="B128" s="4" t="s">
        <v>107</v>
      </c>
      <c r="C128" s="4" t="s">
        <v>518</v>
      </c>
      <c r="D128" s="4" t="s">
        <v>863</v>
      </c>
      <c r="E128" s="4" t="s">
        <v>864</v>
      </c>
      <c r="F128" s="4">
        <v>8853</v>
      </c>
      <c r="G128" s="4" t="s">
        <v>117</v>
      </c>
      <c r="H128" s="4" t="s">
        <v>31</v>
      </c>
      <c r="I128" s="4" t="s">
        <v>865</v>
      </c>
      <c r="J128" s="26" t="s">
        <v>527</v>
      </c>
    </row>
    <row r="129" spans="1:10" x14ac:dyDescent="0.25">
      <c r="A129" s="96">
        <v>268</v>
      </c>
      <c r="B129" s="4" t="s">
        <v>107</v>
      </c>
      <c r="C129" s="4" t="s">
        <v>518</v>
      </c>
      <c r="D129" s="4" t="s">
        <v>860</v>
      </c>
      <c r="E129" s="4" t="s">
        <v>861</v>
      </c>
      <c r="F129" s="4">
        <v>8853</v>
      </c>
      <c r="G129" s="4" t="s">
        <v>117</v>
      </c>
      <c r="H129" s="4" t="s">
        <v>31</v>
      </c>
      <c r="I129" s="4" t="s">
        <v>862</v>
      </c>
      <c r="J129" s="26" t="s">
        <v>527</v>
      </c>
    </row>
    <row r="130" spans="1:10" x14ac:dyDescent="0.25">
      <c r="A130" s="96">
        <v>267</v>
      </c>
      <c r="B130" s="4" t="s">
        <v>107</v>
      </c>
      <c r="C130" s="4" t="s">
        <v>845</v>
      </c>
      <c r="D130" s="4" t="s">
        <v>857</v>
      </c>
      <c r="E130" s="4" t="s">
        <v>858</v>
      </c>
      <c r="F130" s="4">
        <v>8853</v>
      </c>
      <c r="G130" s="4" t="s">
        <v>117</v>
      </c>
      <c r="H130" s="4" t="s">
        <v>31</v>
      </c>
      <c r="I130" s="4" t="s">
        <v>859</v>
      </c>
      <c r="J130" s="26" t="s">
        <v>849</v>
      </c>
    </row>
    <row r="131" spans="1:10" x14ac:dyDescent="0.25">
      <c r="A131" s="96">
        <v>266</v>
      </c>
      <c r="B131" s="4" t="s">
        <v>107</v>
      </c>
      <c r="C131" s="4" t="s">
        <v>845</v>
      </c>
      <c r="D131" s="4" t="s">
        <v>854</v>
      </c>
      <c r="E131" s="4" t="s">
        <v>855</v>
      </c>
      <c r="F131" s="4">
        <v>8853</v>
      </c>
      <c r="G131" s="4" t="s">
        <v>117</v>
      </c>
      <c r="H131" s="4" t="s">
        <v>31</v>
      </c>
      <c r="I131" s="4" t="s">
        <v>856</v>
      </c>
      <c r="J131" s="26" t="s">
        <v>849</v>
      </c>
    </row>
    <row r="132" spans="1:10" x14ac:dyDescent="0.25">
      <c r="A132" s="96">
        <v>265</v>
      </c>
      <c r="B132" s="4" t="s">
        <v>132</v>
      </c>
      <c r="C132" s="4" t="s">
        <v>850</v>
      </c>
      <c r="D132" s="4" t="s">
        <v>851</v>
      </c>
      <c r="E132" s="4" t="s">
        <v>852</v>
      </c>
      <c r="F132" s="4">
        <v>8853</v>
      </c>
      <c r="G132" s="4" t="s">
        <v>117</v>
      </c>
      <c r="H132" s="4" t="s">
        <v>31</v>
      </c>
      <c r="I132" s="4" t="s">
        <v>853</v>
      </c>
      <c r="J132" s="26" t="s">
        <v>849</v>
      </c>
    </row>
    <row r="133" spans="1:10" x14ac:dyDescent="0.25">
      <c r="A133" s="96">
        <v>264</v>
      </c>
      <c r="B133" s="4" t="s">
        <v>121</v>
      </c>
      <c r="C133" s="4" t="s">
        <v>845</v>
      </c>
      <c r="D133" s="4" t="s">
        <v>846</v>
      </c>
      <c r="E133" s="4" t="s">
        <v>847</v>
      </c>
      <c r="F133" s="4">
        <v>8853</v>
      </c>
      <c r="G133" s="4" t="s">
        <v>117</v>
      </c>
      <c r="H133" s="4" t="s">
        <v>31</v>
      </c>
      <c r="I133" s="4" t="s">
        <v>848</v>
      </c>
      <c r="J133" s="26" t="s">
        <v>849</v>
      </c>
    </row>
    <row r="134" spans="1:10" x14ac:dyDescent="0.25">
      <c r="A134" s="96">
        <v>263</v>
      </c>
      <c r="B134" s="4" t="s">
        <v>107</v>
      </c>
      <c r="C134" s="4" t="s">
        <v>839</v>
      </c>
      <c r="D134" s="4" t="s">
        <v>840</v>
      </c>
      <c r="E134" s="4" t="s">
        <v>841</v>
      </c>
      <c r="F134" s="4">
        <v>8810</v>
      </c>
      <c r="G134" s="4" t="s">
        <v>842</v>
      </c>
      <c r="H134" s="4" t="s">
        <v>31</v>
      </c>
      <c r="I134" s="4" t="s">
        <v>843</v>
      </c>
      <c r="J134" s="26" t="s">
        <v>844</v>
      </c>
    </row>
    <row r="135" spans="1:10" x14ac:dyDescent="0.25">
      <c r="A135" s="96">
        <v>244</v>
      </c>
      <c r="B135" s="4" t="s">
        <v>107</v>
      </c>
      <c r="C135" s="4" t="s">
        <v>812</v>
      </c>
      <c r="D135" s="4" t="s">
        <v>813</v>
      </c>
      <c r="E135" s="4" t="s">
        <v>814</v>
      </c>
      <c r="F135" s="4">
        <v>8854</v>
      </c>
      <c r="G135" s="4" t="s">
        <v>145</v>
      </c>
      <c r="H135" s="4" t="s">
        <v>31</v>
      </c>
      <c r="I135" s="4" t="s">
        <v>815</v>
      </c>
      <c r="J135" s="26" t="s">
        <v>816</v>
      </c>
    </row>
    <row r="136" spans="1:10" x14ac:dyDescent="0.25">
      <c r="A136" s="96">
        <v>248</v>
      </c>
      <c r="B136" s="4" t="s">
        <v>107</v>
      </c>
      <c r="C136" s="4" t="s">
        <v>821</v>
      </c>
      <c r="D136" s="4" t="s">
        <v>813</v>
      </c>
      <c r="E136" s="4" t="s">
        <v>822</v>
      </c>
      <c r="F136" s="4">
        <v>8854</v>
      </c>
      <c r="G136" s="4" t="s">
        <v>145</v>
      </c>
      <c r="H136" s="4" t="s">
        <v>31</v>
      </c>
      <c r="I136" s="4" t="s">
        <v>823</v>
      </c>
      <c r="J136" s="26" t="s">
        <v>824</v>
      </c>
    </row>
    <row r="137" spans="1:10" x14ac:dyDescent="0.25">
      <c r="A137" s="96">
        <v>247</v>
      </c>
      <c r="B137" s="4" t="s">
        <v>132</v>
      </c>
      <c r="C137" s="4" t="s">
        <v>817</v>
      </c>
      <c r="D137" s="4" t="s">
        <v>813</v>
      </c>
      <c r="E137" s="4" t="s">
        <v>818</v>
      </c>
      <c r="F137" s="4">
        <v>8864</v>
      </c>
      <c r="G137" s="4" t="s">
        <v>819</v>
      </c>
      <c r="H137" s="4" t="s">
        <v>31</v>
      </c>
      <c r="I137" s="4" t="s">
        <v>820</v>
      </c>
      <c r="J137" s="26"/>
    </row>
    <row r="138" spans="1:10" x14ac:dyDescent="0.25">
      <c r="A138" s="96">
        <v>250</v>
      </c>
      <c r="B138" s="4" t="s">
        <v>132</v>
      </c>
      <c r="C138" s="4" t="s">
        <v>825</v>
      </c>
      <c r="D138" s="4" t="s">
        <v>813</v>
      </c>
      <c r="E138" s="4" t="s">
        <v>826</v>
      </c>
      <c r="F138" s="4">
        <v>8853</v>
      </c>
      <c r="G138" s="4" t="s">
        <v>117</v>
      </c>
      <c r="H138" s="4" t="s">
        <v>31</v>
      </c>
      <c r="I138" s="4" t="s">
        <v>827</v>
      </c>
      <c r="J138" s="26" t="s">
        <v>498</v>
      </c>
    </row>
    <row r="139" spans="1:10" x14ac:dyDescent="0.25">
      <c r="A139" s="96">
        <v>252</v>
      </c>
      <c r="B139" s="4" t="s">
        <v>132</v>
      </c>
      <c r="C139" s="4" t="s">
        <v>620</v>
      </c>
      <c r="D139" s="4" t="s">
        <v>813</v>
      </c>
      <c r="E139" s="4" t="s">
        <v>828</v>
      </c>
      <c r="F139" s="4">
        <v>8853</v>
      </c>
      <c r="G139" s="4" t="s">
        <v>117</v>
      </c>
      <c r="H139" s="4" t="s">
        <v>31</v>
      </c>
      <c r="I139" s="4" t="s">
        <v>829</v>
      </c>
      <c r="J139" s="26" t="s">
        <v>830</v>
      </c>
    </row>
    <row r="140" spans="1:10" x14ac:dyDescent="0.25">
      <c r="A140" s="96">
        <v>255</v>
      </c>
      <c r="B140" s="4" t="s">
        <v>132</v>
      </c>
      <c r="C140" s="4" t="s">
        <v>708</v>
      </c>
      <c r="D140" s="4" t="s">
        <v>813</v>
      </c>
      <c r="E140" s="4" t="s">
        <v>831</v>
      </c>
      <c r="F140" s="4">
        <v>8853</v>
      </c>
      <c r="G140" s="4" t="s">
        <v>117</v>
      </c>
      <c r="H140" s="4" t="s">
        <v>31</v>
      </c>
      <c r="I140" s="4" t="s">
        <v>832</v>
      </c>
      <c r="J140" s="26"/>
    </row>
    <row r="141" spans="1:10" x14ac:dyDescent="0.25">
      <c r="A141" s="96">
        <v>256</v>
      </c>
      <c r="B141" s="4" t="s">
        <v>107</v>
      </c>
      <c r="C141" s="4" t="s">
        <v>708</v>
      </c>
      <c r="D141" s="4" t="s">
        <v>813</v>
      </c>
      <c r="E141" s="4" t="s">
        <v>833</v>
      </c>
      <c r="F141" s="4">
        <v>8853</v>
      </c>
      <c r="G141" s="4" t="s">
        <v>117</v>
      </c>
      <c r="H141" s="4" t="s">
        <v>31</v>
      </c>
      <c r="I141" s="4" t="s">
        <v>832</v>
      </c>
      <c r="J141" s="26"/>
    </row>
    <row r="142" spans="1:10" x14ac:dyDescent="0.25">
      <c r="A142" s="96">
        <v>257</v>
      </c>
      <c r="B142" s="4" t="s">
        <v>132</v>
      </c>
      <c r="C142" s="4" t="s">
        <v>147</v>
      </c>
      <c r="D142" s="4" t="s">
        <v>813</v>
      </c>
      <c r="E142" s="4" t="s">
        <v>833</v>
      </c>
      <c r="F142" s="4">
        <v>8853</v>
      </c>
      <c r="G142" s="4" t="s">
        <v>117</v>
      </c>
      <c r="H142" s="4" t="s">
        <v>31</v>
      </c>
      <c r="I142" s="4" t="s">
        <v>834</v>
      </c>
      <c r="J142" s="26" t="s">
        <v>835</v>
      </c>
    </row>
    <row r="143" spans="1:10" x14ac:dyDescent="0.25">
      <c r="A143" s="96">
        <v>258</v>
      </c>
      <c r="B143" s="4" t="s">
        <v>121</v>
      </c>
      <c r="C143" s="4" t="s">
        <v>836</v>
      </c>
      <c r="D143" s="4" t="s">
        <v>813</v>
      </c>
      <c r="E143" s="4" t="s">
        <v>833</v>
      </c>
      <c r="F143" s="4">
        <v>8852</v>
      </c>
      <c r="G143" s="4" t="s">
        <v>110</v>
      </c>
      <c r="H143" s="4" t="s">
        <v>31</v>
      </c>
      <c r="I143" s="4" t="s">
        <v>837</v>
      </c>
      <c r="J143" s="26" t="s">
        <v>838</v>
      </c>
    </row>
    <row r="144" spans="1:10" x14ac:dyDescent="0.25">
      <c r="A144" s="96">
        <v>241</v>
      </c>
      <c r="B144" s="4" t="s">
        <v>107</v>
      </c>
      <c r="C144" s="4" t="s">
        <v>808</v>
      </c>
      <c r="D144" s="4" t="s">
        <v>809</v>
      </c>
      <c r="E144" s="4" t="s">
        <v>799</v>
      </c>
      <c r="F144" s="4">
        <v>8855</v>
      </c>
      <c r="G144" s="4" t="s">
        <v>32</v>
      </c>
      <c r="H144" s="4" t="s">
        <v>31</v>
      </c>
      <c r="I144" s="4" t="s">
        <v>810</v>
      </c>
      <c r="J144" s="26" t="s">
        <v>811</v>
      </c>
    </row>
    <row r="145" spans="1:10" x14ac:dyDescent="0.25">
      <c r="A145" s="96">
        <v>240</v>
      </c>
      <c r="B145" s="4" t="s">
        <v>132</v>
      </c>
      <c r="C145" s="4" t="s">
        <v>806</v>
      </c>
      <c r="D145" s="4" t="s">
        <v>803</v>
      </c>
      <c r="E145" s="4" t="s">
        <v>799</v>
      </c>
      <c r="F145" s="4">
        <v>8853</v>
      </c>
      <c r="G145" s="4" t="s">
        <v>117</v>
      </c>
      <c r="H145" s="4" t="s">
        <v>31</v>
      </c>
      <c r="I145" s="4" t="s">
        <v>807</v>
      </c>
      <c r="J145" s="26"/>
    </row>
    <row r="146" spans="1:10" x14ac:dyDescent="0.25">
      <c r="A146" s="96">
        <v>239</v>
      </c>
      <c r="B146" s="4" t="s">
        <v>107</v>
      </c>
      <c r="C146" s="4" t="s">
        <v>802</v>
      </c>
      <c r="D146" s="4" t="s">
        <v>803</v>
      </c>
      <c r="E146" s="4" t="s">
        <v>799</v>
      </c>
      <c r="F146" s="4">
        <v>8807</v>
      </c>
      <c r="G146" s="4" t="s">
        <v>135</v>
      </c>
      <c r="H146" s="4" t="s">
        <v>31</v>
      </c>
      <c r="I146" s="4" t="s">
        <v>804</v>
      </c>
      <c r="J146" s="26" t="s">
        <v>805</v>
      </c>
    </row>
    <row r="147" spans="1:10" x14ac:dyDescent="0.25">
      <c r="A147" s="96">
        <v>238</v>
      </c>
      <c r="B147" s="4" t="s">
        <v>132</v>
      </c>
      <c r="C147" s="4" t="s">
        <v>797</v>
      </c>
      <c r="D147" s="4" t="s">
        <v>798</v>
      </c>
      <c r="E147" s="4" t="s">
        <v>799</v>
      </c>
      <c r="F147" s="4">
        <v>8853</v>
      </c>
      <c r="G147" s="4" t="s">
        <v>117</v>
      </c>
      <c r="H147" s="4" t="s">
        <v>31</v>
      </c>
      <c r="I147" s="4" t="s">
        <v>800</v>
      </c>
      <c r="J147" s="26" t="s">
        <v>801</v>
      </c>
    </row>
    <row r="148" spans="1:10" x14ac:dyDescent="0.25">
      <c r="A148" s="96">
        <v>234</v>
      </c>
      <c r="B148" s="4" t="s">
        <v>107</v>
      </c>
      <c r="C148" s="4" t="s">
        <v>788</v>
      </c>
      <c r="D148" s="4" t="s">
        <v>793</v>
      </c>
      <c r="E148" s="4" t="s">
        <v>794</v>
      </c>
      <c r="F148" s="4">
        <v>8852</v>
      </c>
      <c r="G148" s="4" t="s">
        <v>110</v>
      </c>
      <c r="H148" s="4" t="s">
        <v>31</v>
      </c>
      <c r="I148" s="4" t="s">
        <v>795</v>
      </c>
      <c r="J148" s="26" t="s">
        <v>796</v>
      </c>
    </row>
    <row r="149" spans="1:10" x14ac:dyDescent="0.25">
      <c r="A149" s="96">
        <v>233</v>
      </c>
      <c r="B149" s="4" t="s">
        <v>132</v>
      </c>
      <c r="C149" s="4" t="s">
        <v>788</v>
      </c>
      <c r="D149" s="4" t="s">
        <v>789</v>
      </c>
      <c r="E149" s="4" t="s">
        <v>790</v>
      </c>
      <c r="F149" s="4">
        <v>8853</v>
      </c>
      <c r="G149" s="4" t="s">
        <v>117</v>
      </c>
      <c r="H149" s="4" t="s">
        <v>31</v>
      </c>
      <c r="I149" s="4" t="s">
        <v>791</v>
      </c>
      <c r="J149" s="26" t="s">
        <v>792</v>
      </c>
    </row>
    <row r="150" spans="1:10" x14ac:dyDescent="0.25">
      <c r="A150" s="96">
        <v>232</v>
      </c>
      <c r="B150" s="4" t="s">
        <v>107</v>
      </c>
      <c r="C150" s="4" t="s">
        <v>778</v>
      </c>
      <c r="D150" s="4" t="s">
        <v>785</v>
      </c>
      <c r="E150" s="4" t="s">
        <v>786</v>
      </c>
      <c r="F150" s="4">
        <v>8853</v>
      </c>
      <c r="G150" s="4" t="s">
        <v>117</v>
      </c>
      <c r="H150" s="4" t="s">
        <v>31</v>
      </c>
      <c r="I150" s="4" t="s">
        <v>787</v>
      </c>
      <c r="J150" s="26" t="s">
        <v>781</v>
      </c>
    </row>
    <row r="151" spans="1:10" x14ac:dyDescent="0.25">
      <c r="A151" s="96">
        <v>231</v>
      </c>
      <c r="B151" s="4" t="s">
        <v>121</v>
      </c>
      <c r="C151" s="4" t="s">
        <v>778</v>
      </c>
      <c r="D151" s="4" t="s">
        <v>782</v>
      </c>
      <c r="E151" s="4" t="s">
        <v>783</v>
      </c>
      <c r="F151" s="4">
        <v>8853</v>
      </c>
      <c r="G151" s="4" t="s">
        <v>117</v>
      </c>
      <c r="H151" s="4" t="s">
        <v>31</v>
      </c>
      <c r="I151" s="4" t="s">
        <v>784</v>
      </c>
      <c r="J151" s="26" t="s">
        <v>781</v>
      </c>
    </row>
    <row r="152" spans="1:10" x14ac:dyDescent="0.25">
      <c r="A152" s="96">
        <v>228</v>
      </c>
      <c r="B152" s="4" t="s">
        <v>121</v>
      </c>
      <c r="C152" s="4" t="s">
        <v>773</v>
      </c>
      <c r="D152" s="4" t="s">
        <v>766</v>
      </c>
      <c r="E152" s="4" t="s">
        <v>774</v>
      </c>
      <c r="F152" s="4">
        <v>8834</v>
      </c>
      <c r="G152" s="4" t="s">
        <v>656</v>
      </c>
      <c r="H152" s="4" t="s">
        <v>31</v>
      </c>
      <c r="I152" s="4" t="s">
        <v>775</v>
      </c>
      <c r="J152" s="26" t="s">
        <v>776</v>
      </c>
    </row>
    <row r="153" spans="1:10" x14ac:dyDescent="0.25">
      <c r="A153" s="96">
        <v>229</v>
      </c>
      <c r="B153" s="4" t="s">
        <v>132</v>
      </c>
      <c r="C153" s="4" t="s">
        <v>773</v>
      </c>
      <c r="D153" s="4" t="s">
        <v>766</v>
      </c>
      <c r="E153" s="4" t="s">
        <v>777</v>
      </c>
      <c r="F153" s="4">
        <v>8834</v>
      </c>
      <c r="G153" s="4" t="s">
        <v>656</v>
      </c>
      <c r="H153" s="4" t="s">
        <v>31</v>
      </c>
      <c r="I153" s="4" t="s">
        <v>775</v>
      </c>
      <c r="J153" s="26" t="s">
        <v>776</v>
      </c>
    </row>
    <row r="154" spans="1:10" x14ac:dyDescent="0.25">
      <c r="A154" s="96">
        <v>226</v>
      </c>
      <c r="B154" s="4" t="s">
        <v>606</v>
      </c>
      <c r="C154" s="4" t="s">
        <v>765</v>
      </c>
      <c r="D154" s="4" t="s">
        <v>766</v>
      </c>
      <c r="E154" s="4" t="s">
        <v>767</v>
      </c>
      <c r="F154" s="4">
        <v>8853</v>
      </c>
      <c r="G154" s="4" t="s">
        <v>117</v>
      </c>
      <c r="H154" s="4" t="s">
        <v>31</v>
      </c>
      <c r="I154" s="4" t="s">
        <v>768</v>
      </c>
      <c r="J154" s="26"/>
    </row>
    <row r="155" spans="1:10" x14ac:dyDescent="0.25">
      <c r="A155" s="96">
        <v>230</v>
      </c>
      <c r="B155" s="4" t="s">
        <v>132</v>
      </c>
      <c r="C155" s="4" t="s">
        <v>778</v>
      </c>
      <c r="D155" s="4" t="s">
        <v>766</v>
      </c>
      <c r="E155" s="4" t="s">
        <v>779</v>
      </c>
      <c r="F155" s="4">
        <v>8853</v>
      </c>
      <c r="G155" s="4" t="s">
        <v>117</v>
      </c>
      <c r="H155" s="4" t="s">
        <v>31</v>
      </c>
      <c r="I155" s="4" t="s">
        <v>780</v>
      </c>
      <c r="J155" s="26" t="s">
        <v>781</v>
      </c>
    </row>
    <row r="156" spans="1:10" x14ac:dyDescent="0.25">
      <c r="A156" s="96">
        <v>227</v>
      </c>
      <c r="B156" s="4" t="s">
        <v>132</v>
      </c>
      <c r="C156" s="4" t="s">
        <v>769</v>
      </c>
      <c r="D156" s="4" t="s">
        <v>766</v>
      </c>
      <c r="E156" s="4" t="s">
        <v>770</v>
      </c>
      <c r="F156" s="4">
        <v>8854</v>
      </c>
      <c r="G156" s="4" t="s">
        <v>485</v>
      </c>
      <c r="H156" s="4" t="s">
        <v>31</v>
      </c>
      <c r="I156" s="4" t="s">
        <v>771</v>
      </c>
      <c r="J156" s="26" t="s">
        <v>772</v>
      </c>
    </row>
    <row r="157" spans="1:10" x14ac:dyDescent="0.25">
      <c r="A157" s="96">
        <v>220</v>
      </c>
      <c r="B157" s="4" t="s">
        <v>107</v>
      </c>
      <c r="C157" s="4" t="s">
        <v>756</v>
      </c>
      <c r="D157" s="4" t="s">
        <v>757</v>
      </c>
      <c r="E157" s="4" t="s">
        <v>758</v>
      </c>
      <c r="F157" s="4">
        <v>8853</v>
      </c>
      <c r="G157" s="4" t="s">
        <v>117</v>
      </c>
      <c r="H157" s="4" t="s">
        <v>31</v>
      </c>
      <c r="I157" s="4" t="s">
        <v>759</v>
      </c>
      <c r="J157" s="26" t="s">
        <v>760</v>
      </c>
    </row>
    <row r="158" spans="1:10" x14ac:dyDescent="0.25">
      <c r="A158" s="96">
        <v>223</v>
      </c>
      <c r="B158" s="4" t="s">
        <v>121</v>
      </c>
      <c r="C158" s="4" t="s">
        <v>761</v>
      </c>
      <c r="D158" s="4" t="s">
        <v>757</v>
      </c>
      <c r="E158" s="4" t="s">
        <v>762</v>
      </c>
      <c r="F158" s="4">
        <v>8852</v>
      </c>
      <c r="G158" s="4" t="s">
        <v>110</v>
      </c>
      <c r="H158" s="4" t="s">
        <v>31</v>
      </c>
      <c r="I158" s="4" t="s">
        <v>763</v>
      </c>
      <c r="J158" s="26" t="s">
        <v>764</v>
      </c>
    </row>
    <row r="159" spans="1:10" x14ac:dyDescent="0.25">
      <c r="A159" s="96">
        <v>214</v>
      </c>
      <c r="B159" s="4" t="s">
        <v>606</v>
      </c>
      <c r="C159" s="4" t="s">
        <v>752</v>
      </c>
      <c r="D159" s="4" t="s">
        <v>753</v>
      </c>
      <c r="E159" s="4" t="s">
        <v>754</v>
      </c>
      <c r="F159" s="4">
        <v>8854</v>
      </c>
      <c r="G159" s="4" t="s">
        <v>145</v>
      </c>
      <c r="H159" s="4" t="s">
        <v>31</v>
      </c>
      <c r="I159" s="4" t="s">
        <v>755</v>
      </c>
      <c r="J159" s="26"/>
    </row>
    <row r="160" spans="1:10" x14ac:dyDescent="0.25">
      <c r="A160" s="96">
        <v>213</v>
      </c>
      <c r="B160" s="4" t="s">
        <v>107</v>
      </c>
      <c r="C160" s="4" t="s">
        <v>747</v>
      </c>
      <c r="D160" s="4" t="s">
        <v>748</v>
      </c>
      <c r="E160" s="4" t="s">
        <v>749</v>
      </c>
      <c r="F160" s="4">
        <v>8806</v>
      </c>
      <c r="G160" s="4" t="s">
        <v>599</v>
      </c>
      <c r="H160" s="4" t="s">
        <v>31</v>
      </c>
      <c r="I160" s="4" t="s">
        <v>750</v>
      </c>
      <c r="J160" s="26" t="s">
        <v>751</v>
      </c>
    </row>
    <row r="161" spans="1:10" x14ac:dyDescent="0.25">
      <c r="A161" s="96">
        <v>212</v>
      </c>
      <c r="B161" s="4" t="s">
        <v>132</v>
      </c>
      <c r="C161" s="4" t="s">
        <v>742</v>
      </c>
      <c r="D161" s="4" t="s">
        <v>743</v>
      </c>
      <c r="E161" s="4" t="s">
        <v>744</v>
      </c>
      <c r="F161" s="4">
        <v>8853</v>
      </c>
      <c r="G161" s="4" t="s">
        <v>117</v>
      </c>
      <c r="H161" s="4" t="s">
        <v>31</v>
      </c>
      <c r="I161" s="4" t="s">
        <v>745</v>
      </c>
      <c r="J161" s="26" t="s">
        <v>746</v>
      </c>
    </row>
    <row r="162" spans="1:10" x14ac:dyDescent="0.25">
      <c r="A162" s="96">
        <v>210</v>
      </c>
      <c r="B162" s="4" t="s">
        <v>132</v>
      </c>
      <c r="C162" s="4" t="s">
        <v>731</v>
      </c>
      <c r="D162" s="4" t="s">
        <v>732</v>
      </c>
      <c r="E162" s="4" t="s">
        <v>733</v>
      </c>
      <c r="F162" s="4">
        <v>8856</v>
      </c>
      <c r="G162" s="4" t="s">
        <v>734</v>
      </c>
      <c r="H162" s="4" t="s">
        <v>31</v>
      </c>
      <c r="I162" s="4" t="s">
        <v>735</v>
      </c>
      <c r="J162" s="26" t="s">
        <v>736</v>
      </c>
    </row>
    <row r="163" spans="1:10" x14ac:dyDescent="0.25">
      <c r="A163" s="96">
        <v>209</v>
      </c>
      <c r="B163" s="4" t="s">
        <v>121</v>
      </c>
      <c r="C163" s="4" t="s">
        <v>727</v>
      </c>
      <c r="D163" s="4" t="s">
        <v>728</v>
      </c>
      <c r="E163" s="4" t="s">
        <v>724</v>
      </c>
      <c r="F163" s="4">
        <v>8808</v>
      </c>
      <c r="G163" s="4" t="s">
        <v>210</v>
      </c>
      <c r="H163" s="4" t="s">
        <v>31</v>
      </c>
      <c r="I163" s="4" t="s">
        <v>729</v>
      </c>
      <c r="J163" s="26" t="s">
        <v>730</v>
      </c>
    </row>
    <row r="164" spans="1:10" x14ac:dyDescent="0.25">
      <c r="A164" s="96">
        <v>208</v>
      </c>
      <c r="B164" s="4" t="s">
        <v>132</v>
      </c>
      <c r="C164" s="4" t="s">
        <v>722</v>
      </c>
      <c r="D164" s="4" t="s">
        <v>723</v>
      </c>
      <c r="E164" s="4" t="s">
        <v>724</v>
      </c>
      <c r="F164" s="4">
        <v>8853</v>
      </c>
      <c r="G164" s="4" t="s">
        <v>117</v>
      </c>
      <c r="H164" s="4" t="s">
        <v>31</v>
      </c>
      <c r="I164" s="4" t="s">
        <v>725</v>
      </c>
      <c r="J164" s="26" t="s">
        <v>726</v>
      </c>
    </row>
    <row r="165" spans="1:10" x14ac:dyDescent="0.25">
      <c r="A165" s="96">
        <v>204</v>
      </c>
      <c r="B165" s="4" t="s">
        <v>132</v>
      </c>
      <c r="C165" s="4" t="s">
        <v>717</v>
      </c>
      <c r="D165" s="4" t="s">
        <v>718</v>
      </c>
      <c r="E165" s="4" t="s">
        <v>719</v>
      </c>
      <c r="F165" s="4">
        <v>8853</v>
      </c>
      <c r="G165" s="4" t="s">
        <v>117</v>
      </c>
      <c r="H165" s="4" t="s">
        <v>31</v>
      </c>
      <c r="I165" s="4" t="s">
        <v>720</v>
      </c>
      <c r="J165" s="26" t="s">
        <v>721</v>
      </c>
    </row>
    <row r="166" spans="1:10" x14ac:dyDescent="0.25">
      <c r="A166" s="96">
        <v>203</v>
      </c>
      <c r="B166" s="4" t="s">
        <v>132</v>
      </c>
      <c r="C166" s="4" t="s">
        <v>713</v>
      </c>
      <c r="D166" s="4" t="s">
        <v>714</v>
      </c>
      <c r="E166" s="4" t="s">
        <v>710</v>
      </c>
      <c r="F166" s="4">
        <v>8832</v>
      </c>
      <c r="G166" s="4" t="s">
        <v>176</v>
      </c>
      <c r="H166" s="4" t="s">
        <v>31</v>
      </c>
      <c r="I166" s="4" t="s">
        <v>715</v>
      </c>
      <c r="J166" s="26" t="s">
        <v>716</v>
      </c>
    </row>
    <row r="167" spans="1:10" x14ac:dyDescent="0.25">
      <c r="A167" s="96">
        <v>402</v>
      </c>
      <c r="B167" s="4" t="s">
        <v>132</v>
      </c>
      <c r="C167" s="4" t="s">
        <v>223</v>
      </c>
      <c r="D167" s="4" t="s">
        <v>1269</v>
      </c>
      <c r="E167" s="4" t="s">
        <v>1270</v>
      </c>
      <c r="F167" s="4">
        <v>8004</v>
      </c>
      <c r="G167" s="4" t="s">
        <v>199</v>
      </c>
      <c r="H167" s="4" t="s">
        <v>31</v>
      </c>
      <c r="I167" s="4" t="s">
        <v>1271</v>
      </c>
      <c r="J167" s="26" t="s">
        <v>1272</v>
      </c>
    </row>
    <row r="168" spans="1:10" x14ac:dyDescent="0.25">
      <c r="A168" s="96">
        <v>202</v>
      </c>
      <c r="B168" s="4" t="s">
        <v>121</v>
      </c>
      <c r="C168" s="4" t="s">
        <v>708</v>
      </c>
      <c r="D168" s="4" t="s">
        <v>709</v>
      </c>
      <c r="E168" s="4" t="s">
        <v>710</v>
      </c>
      <c r="F168" s="4">
        <v>8853</v>
      </c>
      <c r="G168" s="4" t="s">
        <v>117</v>
      </c>
      <c r="H168" s="4" t="s">
        <v>31</v>
      </c>
      <c r="I168" s="4" t="s">
        <v>711</v>
      </c>
      <c r="J168" s="26" t="s">
        <v>712</v>
      </c>
    </row>
    <row r="169" spans="1:10" x14ac:dyDescent="0.25">
      <c r="A169" s="96">
        <v>199</v>
      </c>
      <c r="B169" s="4" t="s">
        <v>107</v>
      </c>
      <c r="C169" s="4" t="s">
        <v>701</v>
      </c>
      <c r="D169" s="4" t="s">
        <v>705</v>
      </c>
      <c r="E169" s="4" t="s">
        <v>697</v>
      </c>
      <c r="F169" s="4">
        <v>8853</v>
      </c>
      <c r="G169" s="4" t="s">
        <v>117</v>
      </c>
      <c r="H169" s="4" t="s">
        <v>31</v>
      </c>
      <c r="I169" s="4" t="s">
        <v>706</v>
      </c>
      <c r="J169" s="26" t="s">
        <v>707</v>
      </c>
    </row>
    <row r="170" spans="1:10" x14ac:dyDescent="0.25">
      <c r="A170" s="96">
        <v>198</v>
      </c>
      <c r="B170" s="4" t="s">
        <v>132</v>
      </c>
      <c r="C170" s="4" t="s">
        <v>701</v>
      </c>
      <c r="D170" s="4" t="s">
        <v>696</v>
      </c>
      <c r="E170" s="4" t="s">
        <v>697</v>
      </c>
      <c r="F170" s="4">
        <v>8832</v>
      </c>
      <c r="G170" s="4" t="s">
        <v>702</v>
      </c>
      <c r="H170" s="4" t="s">
        <v>31</v>
      </c>
      <c r="I170" s="4" t="s">
        <v>703</v>
      </c>
      <c r="J170" s="26" t="s">
        <v>704</v>
      </c>
    </row>
    <row r="171" spans="1:10" x14ac:dyDescent="0.25">
      <c r="A171" s="96">
        <v>196</v>
      </c>
      <c r="B171" s="4" t="s">
        <v>132</v>
      </c>
      <c r="C171" s="4" t="s">
        <v>695</v>
      </c>
      <c r="D171" s="4" t="s">
        <v>696</v>
      </c>
      <c r="E171" s="4" t="s">
        <v>697</v>
      </c>
      <c r="F171" s="4">
        <v>8858</v>
      </c>
      <c r="G171" s="4" t="s">
        <v>698</v>
      </c>
      <c r="H171" s="4" t="s">
        <v>31</v>
      </c>
      <c r="I171" s="4" t="s">
        <v>699</v>
      </c>
      <c r="J171" s="26" t="s">
        <v>700</v>
      </c>
    </row>
    <row r="172" spans="1:10" x14ac:dyDescent="0.25">
      <c r="A172" s="96">
        <v>194</v>
      </c>
      <c r="B172" s="4" t="s">
        <v>121</v>
      </c>
      <c r="C172" s="4" t="s">
        <v>691</v>
      </c>
      <c r="D172" s="4" t="s">
        <v>687</v>
      </c>
      <c r="E172" s="4" t="s">
        <v>688</v>
      </c>
      <c r="F172" s="4">
        <v>8855</v>
      </c>
      <c r="G172" s="4" t="s">
        <v>32</v>
      </c>
      <c r="H172" s="4" t="s">
        <v>31</v>
      </c>
      <c r="I172" s="4" t="s">
        <v>692</v>
      </c>
      <c r="J172" s="26" t="s">
        <v>693</v>
      </c>
    </row>
    <row r="173" spans="1:10" x14ac:dyDescent="0.25">
      <c r="A173" s="96">
        <v>195</v>
      </c>
      <c r="B173" s="4" t="s">
        <v>132</v>
      </c>
      <c r="C173" s="4" t="s">
        <v>691</v>
      </c>
      <c r="D173" s="4" t="s">
        <v>687</v>
      </c>
      <c r="E173" s="4" t="s">
        <v>694</v>
      </c>
      <c r="F173" s="4">
        <v>8855</v>
      </c>
      <c r="G173" s="4" t="s">
        <v>32</v>
      </c>
      <c r="H173" s="4" t="s">
        <v>31</v>
      </c>
      <c r="I173" s="4" t="s">
        <v>692</v>
      </c>
      <c r="J173" s="26" t="s">
        <v>693</v>
      </c>
    </row>
    <row r="174" spans="1:10" x14ac:dyDescent="0.25">
      <c r="A174" s="96">
        <v>193</v>
      </c>
      <c r="B174" s="4" t="s">
        <v>107</v>
      </c>
      <c r="C174" s="4" t="s">
        <v>686</v>
      </c>
      <c r="D174" s="4" t="s">
        <v>687</v>
      </c>
      <c r="E174" s="4" t="s">
        <v>688</v>
      </c>
      <c r="F174" s="4">
        <v>8853</v>
      </c>
      <c r="G174" s="4" t="s">
        <v>117</v>
      </c>
      <c r="H174" s="4" t="s">
        <v>31</v>
      </c>
      <c r="I174" s="4" t="s">
        <v>689</v>
      </c>
      <c r="J174" s="26" t="s">
        <v>690</v>
      </c>
    </row>
    <row r="175" spans="1:10" x14ac:dyDescent="0.25">
      <c r="A175" s="96">
        <v>189</v>
      </c>
      <c r="B175" s="4" t="s">
        <v>132</v>
      </c>
      <c r="C175" s="4" t="s">
        <v>678</v>
      </c>
      <c r="D175" s="4" t="s">
        <v>226</v>
      </c>
      <c r="E175" s="4" t="s">
        <v>679</v>
      </c>
      <c r="F175" s="4">
        <v>8854</v>
      </c>
      <c r="G175" s="4" t="s">
        <v>485</v>
      </c>
      <c r="H175" s="4" t="s">
        <v>31</v>
      </c>
      <c r="I175" s="4" t="s">
        <v>680</v>
      </c>
      <c r="J175" s="26" t="s">
        <v>681</v>
      </c>
    </row>
    <row r="176" spans="1:10" x14ac:dyDescent="0.25">
      <c r="A176" s="96">
        <v>190</v>
      </c>
      <c r="B176" s="4" t="s">
        <v>107</v>
      </c>
      <c r="C176" s="4" t="s">
        <v>682</v>
      </c>
      <c r="D176" s="4" t="s">
        <v>226</v>
      </c>
      <c r="E176" s="4" t="s">
        <v>683</v>
      </c>
      <c r="F176" s="4">
        <v>77781</v>
      </c>
      <c r="G176" s="4" t="s">
        <v>684</v>
      </c>
      <c r="H176" s="4" t="s">
        <v>33</v>
      </c>
      <c r="I176" s="4" t="s">
        <v>685</v>
      </c>
      <c r="J176" s="26"/>
    </row>
    <row r="177" spans="1:10" x14ac:dyDescent="0.25">
      <c r="A177" s="96">
        <v>188</v>
      </c>
      <c r="B177" s="4" t="s">
        <v>107</v>
      </c>
      <c r="C177" s="4" t="s">
        <v>674</v>
      </c>
      <c r="D177" s="4" t="s">
        <v>675</v>
      </c>
      <c r="E177" s="4" t="s">
        <v>676</v>
      </c>
      <c r="F177" s="4">
        <v>8853</v>
      </c>
      <c r="G177" s="4" t="s">
        <v>117</v>
      </c>
      <c r="H177" s="4" t="s">
        <v>31</v>
      </c>
      <c r="I177" s="4" t="s">
        <v>677</v>
      </c>
      <c r="J177" s="26" t="s">
        <v>644</v>
      </c>
    </row>
    <row r="178" spans="1:10" x14ac:dyDescent="0.25">
      <c r="A178" s="96">
        <v>185</v>
      </c>
      <c r="B178" s="4" t="s">
        <v>107</v>
      </c>
      <c r="C178" s="4" t="s">
        <v>669</v>
      </c>
      <c r="D178" s="4" t="s">
        <v>670</v>
      </c>
      <c r="E178" s="4" t="s">
        <v>671</v>
      </c>
      <c r="F178" s="4">
        <v>8854</v>
      </c>
      <c r="G178" s="4" t="s">
        <v>485</v>
      </c>
      <c r="H178" s="4" t="s">
        <v>31</v>
      </c>
      <c r="I178" s="4" t="s">
        <v>672</v>
      </c>
      <c r="J178" s="26" t="s">
        <v>673</v>
      </c>
    </row>
    <row r="179" spans="1:10" x14ac:dyDescent="0.25">
      <c r="A179" s="96">
        <v>184</v>
      </c>
      <c r="B179" s="4" t="s">
        <v>107</v>
      </c>
      <c r="C179" s="4" t="s">
        <v>664</v>
      </c>
      <c r="D179" s="4" t="s">
        <v>665</v>
      </c>
      <c r="E179" s="4" t="s">
        <v>666</v>
      </c>
      <c r="F179" s="4">
        <v>8855</v>
      </c>
      <c r="G179" s="4" t="s">
        <v>32</v>
      </c>
      <c r="H179" s="4" t="s">
        <v>31</v>
      </c>
      <c r="I179" s="4" t="s">
        <v>667</v>
      </c>
      <c r="J179" s="26" t="s">
        <v>668</v>
      </c>
    </row>
    <row r="180" spans="1:10" x14ac:dyDescent="0.25">
      <c r="A180" s="96">
        <v>183</v>
      </c>
      <c r="B180" s="4" t="s">
        <v>132</v>
      </c>
      <c r="C180" s="4" t="s">
        <v>659</v>
      </c>
      <c r="D180" s="4" t="s">
        <v>660</v>
      </c>
      <c r="E180" s="4" t="s">
        <v>661</v>
      </c>
      <c r="F180" s="4">
        <v>8808</v>
      </c>
      <c r="G180" s="4" t="s">
        <v>210</v>
      </c>
      <c r="H180" s="4" t="s">
        <v>31</v>
      </c>
      <c r="I180" s="4" t="s">
        <v>662</v>
      </c>
      <c r="J180" s="26" t="s">
        <v>663</v>
      </c>
    </row>
    <row r="181" spans="1:10" x14ac:dyDescent="0.25">
      <c r="A181" s="96">
        <v>182</v>
      </c>
      <c r="B181" s="4" t="s">
        <v>132</v>
      </c>
      <c r="C181" s="4" t="s">
        <v>654</v>
      </c>
      <c r="D181" s="4" t="s">
        <v>655</v>
      </c>
      <c r="E181" s="4" t="s">
        <v>651</v>
      </c>
      <c r="F181" s="4">
        <v>8834</v>
      </c>
      <c r="G181" s="4" t="s">
        <v>656</v>
      </c>
      <c r="H181" s="4" t="s">
        <v>31</v>
      </c>
      <c r="I181" s="4" t="s">
        <v>657</v>
      </c>
      <c r="J181" s="26" t="s">
        <v>658</v>
      </c>
    </row>
    <row r="182" spans="1:10" x14ac:dyDescent="0.25">
      <c r="A182" s="96">
        <v>180</v>
      </c>
      <c r="B182" s="4" t="s">
        <v>132</v>
      </c>
      <c r="C182" s="4" t="s">
        <v>649</v>
      </c>
      <c r="D182" s="4" t="s">
        <v>650</v>
      </c>
      <c r="E182" s="4" t="s">
        <v>651</v>
      </c>
      <c r="F182" s="4">
        <v>8862</v>
      </c>
      <c r="G182" s="4" t="s">
        <v>445</v>
      </c>
      <c r="H182" s="4" t="s">
        <v>31</v>
      </c>
      <c r="I182" s="4" t="s">
        <v>652</v>
      </c>
      <c r="J182" s="26" t="s">
        <v>653</v>
      </c>
    </row>
    <row r="183" spans="1:10" x14ac:dyDescent="0.25">
      <c r="A183" s="96">
        <v>178</v>
      </c>
      <c r="B183" s="4" t="s">
        <v>107</v>
      </c>
      <c r="C183" s="4" t="s">
        <v>639</v>
      </c>
      <c r="D183" s="4" t="s">
        <v>645</v>
      </c>
      <c r="E183" s="4" t="s">
        <v>646</v>
      </c>
      <c r="F183" s="4">
        <v>8808</v>
      </c>
      <c r="G183" s="4" t="s">
        <v>210</v>
      </c>
      <c r="H183" s="4" t="s">
        <v>31</v>
      </c>
      <c r="I183" s="4" t="s">
        <v>647</v>
      </c>
      <c r="J183" s="26" t="s">
        <v>648</v>
      </c>
    </row>
    <row r="184" spans="1:10" x14ac:dyDescent="0.25">
      <c r="A184" s="96">
        <v>177</v>
      </c>
      <c r="B184" s="4" t="s">
        <v>107</v>
      </c>
      <c r="C184" s="4" t="s">
        <v>639</v>
      </c>
      <c r="D184" s="4" t="s">
        <v>640</v>
      </c>
      <c r="E184" s="4" t="s">
        <v>641</v>
      </c>
      <c r="F184" s="4">
        <v>8645</v>
      </c>
      <c r="G184" s="4" t="s">
        <v>642</v>
      </c>
      <c r="H184" s="4" t="s">
        <v>31</v>
      </c>
      <c r="I184" s="4" t="s">
        <v>643</v>
      </c>
      <c r="J184" s="26" t="s">
        <v>644</v>
      </c>
    </row>
    <row r="185" spans="1:10" x14ac:dyDescent="0.25">
      <c r="A185" s="96">
        <v>170</v>
      </c>
      <c r="B185" s="4" t="s">
        <v>107</v>
      </c>
      <c r="C185" s="4" t="s">
        <v>325</v>
      </c>
      <c r="D185" s="4" t="s">
        <v>628</v>
      </c>
      <c r="E185" s="4" t="s">
        <v>633</v>
      </c>
      <c r="F185" s="4">
        <v>8855</v>
      </c>
      <c r="G185" s="4" t="s">
        <v>32</v>
      </c>
      <c r="H185" s="4" t="s">
        <v>31</v>
      </c>
      <c r="I185" s="4" t="s">
        <v>637</v>
      </c>
      <c r="J185" s="26" t="s">
        <v>638</v>
      </c>
    </row>
    <row r="186" spans="1:10" x14ac:dyDescent="0.25">
      <c r="A186" s="96">
        <v>169</v>
      </c>
      <c r="B186" s="4" t="s">
        <v>132</v>
      </c>
      <c r="C186" s="4" t="s">
        <v>632</v>
      </c>
      <c r="D186" s="4" t="s">
        <v>628</v>
      </c>
      <c r="E186" s="4" t="s">
        <v>633</v>
      </c>
      <c r="F186" s="4">
        <v>8808</v>
      </c>
      <c r="G186" s="4" t="s">
        <v>634</v>
      </c>
      <c r="H186" s="4" t="s">
        <v>31</v>
      </c>
      <c r="I186" s="4" t="s">
        <v>635</v>
      </c>
      <c r="J186" s="26" t="s">
        <v>636</v>
      </c>
    </row>
    <row r="187" spans="1:10" x14ac:dyDescent="0.25">
      <c r="A187" s="96">
        <v>168</v>
      </c>
      <c r="B187" s="4" t="s">
        <v>107</v>
      </c>
      <c r="C187" s="4" t="s">
        <v>627</v>
      </c>
      <c r="D187" s="4" t="s">
        <v>628</v>
      </c>
      <c r="E187" s="4" t="s">
        <v>629</v>
      </c>
      <c r="F187" s="4">
        <v>8808</v>
      </c>
      <c r="G187" s="4" t="s">
        <v>210</v>
      </c>
      <c r="H187" s="4" t="s">
        <v>31</v>
      </c>
      <c r="I187" s="4" t="s">
        <v>630</v>
      </c>
      <c r="J187" s="26" t="s">
        <v>631</v>
      </c>
    </row>
    <row r="188" spans="1:10" x14ac:dyDescent="0.25">
      <c r="A188" s="96">
        <v>166</v>
      </c>
      <c r="B188" s="4" t="s">
        <v>107</v>
      </c>
      <c r="C188" s="4" t="s">
        <v>620</v>
      </c>
      <c r="D188" s="4" t="s">
        <v>624</v>
      </c>
      <c r="E188" s="4" t="s">
        <v>621</v>
      </c>
      <c r="F188" s="4">
        <v>8853</v>
      </c>
      <c r="G188" s="4" t="s">
        <v>117</v>
      </c>
      <c r="H188" s="4" t="s">
        <v>31</v>
      </c>
      <c r="I188" s="4" t="s">
        <v>625</v>
      </c>
      <c r="J188" s="26" t="s">
        <v>626</v>
      </c>
    </row>
    <row r="189" spans="1:10" x14ac:dyDescent="0.25">
      <c r="A189" s="96">
        <v>165</v>
      </c>
      <c r="B189" s="4" t="s">
        <v>107</v>
      </c>
      <c r="C189" s="4" t="s">
        <v>620</v>
      </c>
      <c r="D189" s="4" t="s">
        <v>616</v>
      </c>
      <c r="E189" s="4" t="s">
        <v>621</v>
      </c>
      <c r="F189" s="4">
        <v>8853</v>
      </c>
      <c r="G189" s="4" t="s">
        <v>117</v>
      </c>
      <c r="H189" s="4" t="s">
        <v>31</v>
      </c>
      <c r="I189" s="4" t="s">
        <v>622</v>
      </c>
      <c r="J189" s="26" t="s">
        <v>623</v>
      </c>
    </row>
    <row r="190" spans="1:10" x14ac:dyDescent="0.25">
      <c r="A190" s="96">
        <v>161</v>
      </c>
      <c r="B190" s="4" t="s">
        <v>107</v>
      </c>
      <c r="C190" s="4" t="s">
        <v>615</v>
      </c>
      <c r="D190" s="4" t="s">
        <v>616</v>
      </c>
      <c r="E190" s="4" t="s">
        <v>612</v>
      </c>
      <c r="F190" s="4">
        <v>8715</v>
      </c>
      <c r="G190" s="4" t="s">
        <v>617</v>
      </c>
      <c r="H190" s="4" t="s">
        <v>31</v>
      </c>
      <c r="I190" s="4" t="s">
        <v>618</v>
      </c>
      <c r="J190" s="26" t="s">
        <v>619</v>
      </c>
    </row>
    <row r="191" spans="1:10" x14ac:dyDescent="0.25">
      <c r="A191" s="96">
        <v>159</v>
      </c>
      <c r="B191" s="4" t="s">
        <v>132</v>
      </c>
      <c r="C191" s="4" t="s">
        <v>611</v>
      </c>
      <c r="D191" s="4" t="s">
        <v>608</v>
      </c>
      <c r="E191" s="4" t="s">
        <v>612</v>
      </c>
      <c r="F191" s="4">
        <v>8853</v>
      </c>
      <c r="G191" s="4" t="s">
        <v>117</v>
      </c>
      <c r="H191" s="4" t="s">
        <v>31</v>
      </c>
      <c r="I191" s="4" t="s">
        <v>613</v>
      </c>
      <c r="J191" s="26" t="s">
        <v>614</v>
      </c>
    </row>
    <row r="192" spans="1:10" x14ac:dyDescent="0.25">
      <c r="A192" s="96">
        <v>158</v>
      </c>
      <c r="B192" s="4" t="s">
        <v>606</v>
      </c>
      <c r="C192" s="4" t="s">
        <v>607</v>
      </c>
      <c r="D192" s="4" t="s">
        <v>608</v>
      </c>
      <c r="E192" s="4" t="s">
        <v>598</v>
      </c>
      <c r="F192" s="4">
        <v>3001</v>
      </c>
      <c r="G192" s="4" t="s">
        <v>609</v>
      </c>
      <c r="H192" s="4" t="s">
        <v>31</v>
      </c>
      <c r="I192" s="4" t="s">
        <v>610</v>
      </c>
      <c r="J192" s="26"/>
    </row>
    <row r="193" spans="1:10" x14ac:dyDescent="0.25">
      <c r="A193" s="96">
        <v>156</v>
      </c>
      <c r="B193" s="4" t="s">
        <v>132</v>
      </c>
      <c r="C193" s="4" t="s">
        <v>232</v>
      </c>
      <c r="D193" s="4" t="s">
        <v>603</v>
      </c>
      <c r="E193" s="4" t="s">
        <v>598</v>
      </c>
      <c r="F193" s="4">
        <v>8808</v>
      </c>
      <c r="G193" s="4" t="s">
        <v>210</v>
      </c>
      <c r="H193" s="4" t="s">
        <v>31</v>
      </c>
      <c r="I193" s="4" t="s">
        <v>604</v>
      </c>
      <c r="J193" s="26" t="s">
        <v>605</v>
      </c>
    </row>
    <row r="194" spans="1:10" x14ac:dyDescent="0.25">
      <c r="A194" s="96">
        <v>155</v>
      </c>
      <c r="B194" s="4" t="s">
        <v>132</v>
      </c>
      <c r="C194" s="4" t="s">
        <v>232</v>
      </c>
      <c r="D194" s="4" t="s">
        <v>601</v>
      </c>
      <c r="E194" s="4" t="s">
        <v>598</v>
      </c>
      <c r="F194" s="4">
        <v>8806</v>
      </c>
      <c r="G194" s="4" t="s">
        <v>599</v>
      </c>
      <c r="H194" s="4" t="s">
        <v>31</v>
      </c>
      <c r="I194" s="4" t="s">
        <v>602</v>
      </c>
      <c r="J194" s="26"/>
    </row>
    <row r="195" spans="1:10" x14ac:dyDescent="0.25">
      <c r="A195" s="96">
        <v>154</v>
      </c>
      <c r="B195" s="4" t="s">
        <v>121</v>
      </c>
      <c r="C195" s="4" t="s">
        <v>232</v>
      </c>
      <c r="D195" s="4" t="s">
        <v>597</v>
      </c>
      <c r="E195" s="4" t="s">
        <v>598</v>
      </c>
      <c r="F195" s="4">
        <v>8806</v>
      </c>
      <c r="G195" s="4" t="s">
        <v>599</v>
      </c>
      <c r="H195" s="4" t="s">
        <v>31</v>
      </c>
      <c r="I195" s="4" t="s">
        <v>600</v>
      </c>
      <c r="J195" s="26"/>
    </row>
    <row r="196" spans="1:10" x14ac:dyDescent="0.25">
      <c r="A196" s="96">
        <v>153</v>
      </c>
      <c r="B196" s="4" t="s">
        <v>107</v>
      </c>
      <c r="C196" s="4" t="s">
        <v>232</v>
      </c>
      <c r="D196" s="4" t="s">
        <v>593</v>
      </c>
      <c r="E196" s="4" t="s">
        <v>582</v>
      </c>
      <c r="F196" s="4">
        <v>8718</v>
      </c>
      <c r="G196" s="4" t="s">
        <v>594</v>
      </c>
      <c r="H196" s="4" t="s">
        <v>31</v>
      </c>
      <c r="I196" s="4" t="s">
        <v>595</v>
      </c>
      <c r="J196" s="26" t="s">
        <v>596</v>
      </c>
    </row>
    <row r="197" spans="1:10" x14ac:dyDescent="0.25">
      <c r="A197" s="96">
        <v>151</v>
      </c>
      <c r="B197" s="4" t="s">
        <v>132</v>
      </c>
      <c r="C197" s="4" t="s">
        <v>590</v>
      </c>
      <c r="D197" s="4" t="s">
        <v>591</v>
      </c>
      <c r="E197" s="4" t="s">
        <v>582</v>
      </c>
      <c r="F197" s="4">
        <v>8853</v>
      </c>
      <c r="G197" s="4" t="s">
        <v>117</v>
      </c>
      <c r="H197" s="4" t="s">
        <v>31</v>
      </c>
      <c r="I197" s="4" t="s">
        <v>592</v>
      </c>
      <c r="J197" s="26" t="s">
        <v>425</v>
      </c>
    </row>
    <row r="198" spans="1:10" x14ac:dyDescent="0.25">
      <c r="A198" s="96">
        <v>149</v>
      </c>
      <c r="B198" s="4" t="s">
        <v>132</v>
      </c>
      <c r="C198" s="4" t="s">
        <v>586</v>
      </c>
      <c r="D198" s="4" t="s">
        <v>587</v>
      </c>
      <c r="E198" s="4" t="s">
        <v>582</v>
      </c>
      <c r="F198" s="4">
        <v>8854</v>
      </c>
      <c r="G198" s="4" t="s">
        <v>145</v>
      </c>
      <c r="H198" s="4" t="s">
        <v>31</v>
      </c>
      <c r="I198" s="4" t="s">
        <v>588</v>
      </c>
      <c r="J198" s="26" t="s">
        <v>589</v>
      </c>
    </row>
    <row r="199" spans="1:10" x14ac:dyDescent="0.25">
      <c r="A199" s="96">
        <v>148</v>
      </c>
      <c r="B199" s="4" t="s">
        <v>107</v>
      </c>
      <c r="C199" s="4" t="s">
        <v>581</v>
      </c>
      <c r="D199" s="4" t="s">
        <v>8</v>
      </c>
      <c r="E199" s="4" t="s">
        <v>582</v>
      </c>
      <c r="F199" s="4">
        <v>6103</v>
      </c>
      <c r="G199" s="4" t="s">
        <v>583</v>
      </c>
      <c r="H199" s="4" t="s">
        <v>31</v>
      </c>
      <c r="I199" s="4" t="s">
        <v>584</v>
      </c>
      <c r="J199" s="26" t="s">
        <v>585</v>
      </c>
    </row>
    <row r="200" spans="1:10" x14ac:dyDescent="0.25">
      <c r="A200" s="96">
        <v>147</v>
      </c>
      <c r="B200" s="4" t="s">
        <v>107</v>
      </c>
      <c r="C200" s="4" t="s">
        <v>223</v>
      </c>
      <c r="D200" s="4" t="s">
        <v>577</v>
      </c>
      <c r="E200" s="4" t="s">
        <v>578</v>
      </c>
      <c r="F200" s="4">
        <v>8862</v>
      </c>
      <c r="G200" s="4" t="s">
        <v>445</v>
      </c>
      <c r="H200" s="4" t="s">
        <v>31</v>
      </c>
      <c r="I200" s="4" t="s">
        <v>579</v>
      </c>
      <c r="J200" s="26" t="s">
        <v>580</v>
      </c>
    </row>
    <row r="201" spans="1:10" x14ac:dyDescent="0.25">
      <c r="A201" s="96">
        <v>146</v>
      </c>
      <c r="B201" s="4" t="s">
        <v>107</v>
      </c>
      <c r="C201" s="4" t="s">
        <v>572</v>
      </c>
      <c r="D201" s="4" t="s">
        <v>573</v>
      </c>
      <c r="E201" s="4" t="s">
        <v>574</v>
      </c>
      <c r="F201" s="4">
        <v>8853</v>
      </c>
      <c r="G201" s="4" t="s">
        <v>117</v>
      </c>
      <c r="H201" s="4" t="s">
        <v>31</v>
      </c>
      <c r="I201" s="4" t="s">
        <v>575</v>
      </c>
      <c r="J201" s="26" t="s">
        <v>576</v>
      </c>
    </row>
    <row r="202" spans="1:10" x14ac:dyDescent="0.25">
      <c r="A202" s="96">
        <v>140</v>
      </c>
      <c r="B202" s="4" t="s">
        <v>107</v>
      </c>
      <c r="C202" s="4" t="s">
        <v>113</v>
      </c>
      <c r="D202" s="4" t="s">
        <v>569</v>
      </c>
      <c r="E202" s="4" t="s">
        <v>570</v>
      </c>
      <c r="F202" s="4">
        <v>8852</v>
      </c>
      <c r="G202" s="4" t="s">
        <v>110</v>
      </c>
      <c r="H202" s="4" t="s">
        <v>31</v>
      </c>
      <c r="I202" s="4" t="s">
        <v>571</v>
      </c>
      <c r="J202" s="26"/>
    </row>
    <row r="203" spans="1:10" x14ac:dyDescent="0.25">
      <c r="A203" s="96">
        <v>137</v>
      </c>
      <c r="B203" s="4" t="s">
        <v>107</v>
      </c>
      <c r="C203" s="4" t="s">
        <v>113</v>
      </c>
      <c r="D203" s="4" t="s">
        <v>112</v>
      </c>
      <c r="E203" s="4" t="s">
        <v>111</v>
      </c>
      <c r="F203" s="4">
        <v>8852</v>
      </c>
      <c r="G203" s="4" t="s">
        <v>110</v>
      </c>
      <c r="H203" s="4" t="s">
        <v>31</v>
      </c>
      <c r="I203" s="4" t="s">
        <v>109</v>
      </c>
      <c r="J203" s="26" t="s">
        <v>108</v>
      </c>
    </row>
    <row r="204" spans="1:10" x14ac:dyDescent="0.25">
      <c r="A204" s="96">
        <v>135</v>
      </c>
      <c r="B204" s="4" t="s">
        <v>107</v>
      </c>
      <c r="C204" s="4" t="s">
        <v>567</v>
      </c>
      <c r="D204" s="4" t="s">
        <v>119</v>
      </c>
      <c r="E204" s="4" t="s">
        <v>118</v>
      </c>
      <c r="F204" s="4">
        <v>8853</v>
      </c>
      <c r="G204" s="4" t="s">
        <v>117</v>
      </c>
      <c r="H204" s="4" t="s">
        <v>31</v>
      </c>
      <c r="I204" s="4" t="s">
        <v>568</v>
      </c>
      <c r="J204" s="26" t="s">
        <v>116</v>
      </c>
    </row>
    <row r="205" spans="1:10" x14ac:dyDescent="0.25">
      <c r="A205" s="96">
        <v>133</v>
      </c>
      <c r="B205" s="4" t="s">
        <v>107</v>
      </c>
      <c r="C205" s="4" t="s">
        <v>127</v>
      </c>
      <c r="D205" s="4" t="s">
        <v>566</v>
      </c>
      <c r="E205" s="4" t="s">
        <v>130</v>
      </c>
      <c r="F205" s="4">
        <v>8708</v>
      </c>
      <c r="G205" s="4" t="s">
        <v>124</v>
      </c>
      <c r="H205" s="4" t="s">
        <v>31</v>
      </c>
      <c r="I205" s="4" t="s">
        <v>128</v>
      </c>
      <c r="J205" s="26" t="s">
        <v>122</v>
      </c>
    </row>
    <row r="206" spans="1:10" x14ac:dyDescent="0.25">
      <c r="A206" s="96">
        <v>134</v>
      </c>
      <c r="B206" s="4" t="s">
        <v>121</v>
      </c>
      <c r="C206" s="4" t="s">
        <v>127</v>
      </c>
      <c r="D206" s="4" t="s">
        <v>566</v>
      </c>
      <c r="E206" s="4" t="s">
        <v>125</v>
      </c>
      <c r="F206" s="4">
        <v>8708</v>
      </c>
      <c r="G206" s="4" t="s">
        <v>124</v>
      </c>
      <c r="H206" s="4" t="s">
        <v>31</v>
      </c>
      <c r="I206" s="4" t="s">
        <v>128</v>
      </c>
      <c r="J206" s="26" t="s">
        <v>122</v>
      </c>
    </row>
    <row r="207" spans="1:10" x14ac:dyDescent="0.25">
      <c r="A207" s="96">
        <v>132</v>
      </c>
      <c r="B207" s="4" t="s">
        <v>132</v>
      </c>
      <c r="C207" s="4" t="s">
        <v>138</v>
      </c>
      <c r="D207" s="4" t="s">
        <v>566</v>
      </c>
      <c r="E207" s="4" t="s">
        <v>136</v>
      </c>
      <c r="F207" s="4">
        <v>8807</v>
      </c>
      <c r="G207" s="4" t="s">
        <v>135</v>
      </c>
      <c r="H207" s="4" t="s">
        <v>31</v>
      </c>
      <c r="I207" s="4" t="s">
        <v>134</v>
      </c>
      <c r="J207" s="26" t="s">
        <v>133</v>
      </c>
    </row>
    <row r="208" spans="1:10" x14ac:dyDescent="0.25">
      <c r="A208" s="96">
        <v>128</v>
      </c>
      <c r="B208" s="4" t="s">
        <v>132</v>
      </c>
      <c r="C208" s="4" t="s">
        <v>563</v>
      </c>
      <c r="D208" s="4" t="s">
        <v>564</v>
      </c>
      <c r="E208" s="4" t="s">
        <v>141</v>
      </c>
      <c r="F208" s="4">
        <v>8863</v>
      </c>
      <c r="G208" s="4" t="s">
        <v>140</v>
      </c>
      <c r="H208" s="4" t="s">
        <v>31</v>
      </c>
      <c r="I208" s="4" t="s">
        <v>565</v>
      </c>
      <c r="J208" s="26" t="s">
        <v>139</v>
      </c>
    </row>
    <row r="209" spans="1:10" x14ac:dyDescent="0.25">
      <c r="A209" s="96">
        <v>131</v>
      </c>
      <c r="B209" s="4" t="s">
        <v>132</v>
      </c>
      <c r="C209" s="4" t="s">
        <v>147</v>
      </c>
      <c r="D209" s="4" t="s">
        <v>131</v>
      </c>
      <c r="E209" s="4" t="s">
        <v>141</v>
      </c>
      <c r="F209" s="4">
        <v>8854</v>
      </c>
      <c r="G209" s="4" t="s">
        <v>145</v>
      </c>
      <c r="H209" s="4" t="s">
        <v>31</v>
      </c>
      <c r="I209" s="4" t="s">
        <v>562</v>
      </c>
      <c r="J209" s="26" t="s">
        <v>144</v>
      </c>
    </row>
    <row r="210" spans="1:10" x14ac:dyDescent="0.25">
      <c r="A210" s="96">
        <v>129</v>
      </c>
      <c r="B210" s="4" t="s">
        <v>132</v>
      </c>
      <c r="C210" s="4" t="s">
        <v>147</v>
      </c>
      <c r="D210" s="4" t="s">
        <v>560</v>
      </c>
      <c r="E210" s="4" t="s">
        <v>149</v>
      </c>
      <c r="F210" s="4">
        <v>8853</v>
      </c>
      <c r="G210" s="4" t="s">
        <v>117</v>
      </c>
      <c r="H210" s="4" t="s">
        <v>31</v>
      </c>
      <c r="I210" s="4" t="s">
        <v>561</v>
      </c>
      <c r="J210" s="26" t="s">
        <v>148</v>
      </c>
    </row>
    <row r="211" spans="1:10" x14ac:dyDescent="0.25">
      <c r="A211" s="96">
        <v>126</v>
      </c>
      <c r="B211" s="4" t="s">
        <v>132</v>
      </c>
      <c r="C211" s="4" t="s">
        <v>154</v>
      </c>
      <c r="D211" s="4" t="s">
        <v>150</v>
      </c>
      <c r="E211" s="4" t="s">
        <v>149</v>
      </c>
      <c r="F211" s="4">
        <v>8634</v>
      </c>
      <c r="G211" s="4" t="s">
        <v>153</v>
      </c>
      <c r="H211" s="4" t="s">
        <v>31</v>
      </c>
      <c r="I211" s="4" t="s">
        <v>152</v>
      </c>
      <c r="J211" s="26" t="s">
        <v>151</v>
      </c>
    </row>
    <row r="212" spans="1:10" x14ac:dyDescent="0.25">
      <c r="A212" s="96">
        <v>122</v>
      </c>
      <c r="B212" s="4" t="s">
        <v>132</v>
      </c>
      <c r="C212" s="4" t="s">
        <v>160</v>
      </c>
      <c r="D212" s="4" t="s">
        <v>559</v>
      </c>
      <c r="E212" s="4" t="s">
        <v>158</v>
      </c>
      <c r="F212" s="4">
        <v>8808</v>
      </c>
      <c r="G212" s="4" t="s">
        <v>210</v>
      </c>
      <c r="H212" s="4" t="s">
        <v>31</v>
      </c>
      <c r="I212" s="4" t="s">
        <v>156</v>
      </c>
      <c r="J212" s="26" t="s">
        <v>155</v>
      </c>
    </row>
    <row r="213" spans="1:10" x14ac:dyDescent="0.25">
      <c r="A213" s="96">
        <v>121</v>
      </c>
      <c r="B213" s="4" t="s">
        <v>107</v>
      </c>
      <c r="C213" s="4" t="s">
        <v>164</v>
      </c>
      <c r="D213" s="4" t="s">
        <v>163</v>
      </c>
      <c r="E213" s="4" t="s">
        <v>162</v>
      </c>
      <c r="F213" s="4">
        <v>8853</v>
      </c>
      <c r="G213" s="4" t="s">
        <v>117</v>
      </c>
      <c r="H213" s="4" t="s">
        <v>31</v>
      </c>
      <c r="I213" s="4" t="s">
        <v>558</v>
      </c>
      <c r="J213" s="26" t="s">
        <v>161</v>
      </c>
    </row>
    <row r="214" spans="1:10" x14ac:dyDescent="0.25">
      <c r="A214" s="96">
        <v>118</v>
      </c>
      <c r="B214" s="4" t="s">
        <v>132</v>
      </c>
      <c r="C214" s="4" t="s">
        <v>173</v>
      </c>
      <c r="D214" s="4" t="s">
        <v>555</v>
      </c>
      <c r="E214" s="4" t="s">
        <v>167</v>
      </c>
      <c r="F214" s="4">
        <v>8855</v>
      </c>
      <c r="G214" s="4" t="s">
        <v>171</v>
      </c>
      <c r="H214" s="4" t="s">
        <v>31</v>
      </c>
      <c r="I214" s="4" t="s">
        <v>556</v>
      </c>
      <c r="J214" s="26" t="s">
        <v>169</v>
      </c>
    </row>
    <row r="215" spans="1:10" x14ac:dyDescent="0.25">
      <c r="A215" s="96">
        <v>120</v>
      </c>
      <c r="B215" s="4" t="s">
        <v>132</v>
      </c>
      <c r="C215" s="4" t="s">
        <v>93</v>
      </c>
      <c r="D215" s="4" t="s">
        <v>555</v>
      </c>
      <c r="E215" s="4" t="s">
        <v>167</v>
      </c>
      <c r="F215" s="4">
        <v>8807</v>
      </c>
      <c r="G215" s="4" t="s">
        <v>135</v>
      </c>
      <c r="H215" s="4" t="s">
        <v>31</v>
      </c>
      <c r="I215" s="4" t="s">
        <v>557</v>
      </c>
      <c r="J215" s="26" t="s">
        <v>165</v>
      </c>
    </row>
    <row r="216" spans="1:10" x14ac:dyDescent="0.25">
      <c r="A216" s="96">
        <v>117</v>
      </c>
      <c r="B216" s="4" t="s">
        <v>132</v>
      </c>
      <c r="C216" s="4" t="s">
        <v>179</v>
      </c>
      <c r="D216" s="4" t="s">
        <v>554</v>
      </c>
      <c r="E216" s="4" t="s">
        <v>177</v>
      </c>
      <c r="F216" s="4">
        <v>8832</v>
      </c>
      <c r="G216" s="4" t="s">
        <v>176</v>
      </c>
      <c r="H216" s="4" t="s">
        <v>31</v>
      </c>
      <c r="I216" s="4" t="s">
        <v>175</v>
      </c>
      <c r="J216" s="26" t="s">
        <v>174</v>
      </c>
    </row>
    <row r="217" spans="1:10" x14ac:dyDescent="0.25">
      <c r="A217" s="96">
        <v>116</v>
      </c>
      <c r="B217" s="4" t="s">
        <v>107</v>
      </c>
      <c r="C217" s="4" t="s">
        <v>184</v>
      </c>
      <c r="D217" s="4" t="s">
        <v>183</v>
      </c>
      <c r="E217" s="4" t="s">
        <v>182</v>
      </c>
      <c r="F217" s="4">
        <v>78713</v>
      </c>
      <c r="G217" s="4" t="s">
        <v>181</v>
      </c>
      <c r="H217" s="4" t="s">
        <v>33</v>
      </c>
      <c r="I217" s="4" t="s">
        <v>553</v>
      </c>
      <c r="J217" s="26" t="s">
        <v>180</v>
      </c>
    </row>
    <row r="218" spans="1:10" x14ac:dyDescent="0.25">
      <c r="A218" s="96">
        <v>113</v>
      </c>
      <c r="B218" s="4" t="s">
        <v>132</v>
      </c>
      <c r="C218" s="4" t="s">
        <v>188</v>
      </c>
      <c r="D218" s="4" t="s">
        <v>552</v>
      </c>
      <c r="E218" s="4" t="s">
        <v>186</v>
      </c>
      <c r="F218" s="4">
        <v>8853</v>
      </c>
      <c r="G218" s="4" t="s">
        <v>117</v>
      </c>
      <c r="H218" s="4" t="s">
        <v>31</v>
      </c>
      <c r="I218" s="4" t="s">
        <v>185</v>
      </c>
      <c r="J218" s="26" t="s">
        <v>161</v>
      </c>
    </row>
    <row r="219" spans="1:10" x14ac:dyDescent="0.25">
      <c r="A219" s="96">
        <v>110</v>
      </c>
      <c r="B219" s="4" t="s">
        <v>132</v>
      </c>
      <c r="C219" s="4" t="s">
        <v>192</v>
      </c>
      <c r="D219" s="4" t="s">
        <v>178</v>
      </c>
      <c r="E219" s="4" t="s">
        <v>194</v>
      </c>
      <c r="F219" s="4">
        <v>8853</v>
      </c>
      <c r="G219" s="4" t="s">
        <v>117</v>
      </c>
      <c r="H219" s="4" t="s">
        <v>31</v>
      </c>
      <c r="I219" s="4" t="s">
        <v>193</v>
      </c>
      <c r="J219" s="26" t="s">
        <v>189</v>
      </c>
    </row>
    <row r="220" spans="1:10" x14ac:dyDescent="0.25">
      <c r="A220" s="96">
        <v>112</v>
      </c>
      <c r="B220" s="4" t="s">
        <v>121</v>
      </c>
      <c r="C220" s="4" t="s">
        <v>192</v>
      </c>
      <c r="D220" s="4" t="s">
        <v>178</v>
      </c>
      <c r="E220" s="4" t="s">
        <v>190</v>
      </c>
      <c r="F220" s="4">
        <v>8853</v>
      </c>
      <c r="G220" s="4" t="s">
        <v>117</v>
      </c>
      <c r="H220" s="4" t="s">
        <v>31</v>
      </c>
      <c r="I220" s="4" t="s">
        <v>193</v>
      </c>
      <c r="J220" s="26" t="s">
        <v>189</v>
      </c>
    </row>
    <row r="221" spans="1:10" x14ac:dyDescent="0.25">
      <c r="A221" s="96">
        <v>109</v>
      </c>
      <c r="B221" s="4" t="s">
        <v>107</v>
      </c>
      <c r="C221" s="4" t="s">
        <v>192</v>
      </c>
      <c r="D221" s="4" t="s">
        <v>551</v>
      </c>
      <c r="E221" s="4" t="s">
        <v>196</v>
      </c>
      <c r="F221" s="4">
        <v>8853</v>
      </c>
      <c r="G221" s="4" t="s">
        <v>117</v>
      </c>
      <c r="H221" s="4" t="s">
        <v>31</v>
      </c>
      <c r="I221" s="4" t="s">
        <v>195</v>
      </c>
      <c r="J221" s="26" t="s">
        <v>189</v>
      </c>
    </row>
    <row r="222" spans="1:10" x14ac:dyDescent="0.25">
      <c r="A222" s="96">
        <v>106</v>
      </c>
      <c r="B222" s="4" t="s">
        <v>132</v>
      </c>
      <c r="C222" s="4" t="s">
        <v>202</v>
      </c>
      <c r="D222" s="4" t="s">
        <v>549</v>
      </c>
      <c r="E222" s="4" t="s">
        <v>200</v>
      </c>
      <c r="F222" s="4">
        <v>8045</v>
      </c>
      <c r="G222" s="4" t="s">
        <v>199</v>
      </c>
      <c r="H222" s="4" t="s">
        <v>31</v>
      </c>
      <c r="I222" s="4" t="s">
        <v>550</v>
      </c>
      <c r="J222" s="26" t="s">
        <v>198</v>
      </c>
    </row>
    <row r="223" spans="1:10" x14ac:dyDescent="0.25">
      <c r="A223" s="96">
        <v>105</v>
      </c>
      <c r="B223" s="4" t="s">
        <v>132</v>
      </c>
      <c r="C223" s="4" t="s">
        <v>207</v>
      </c>
      <c r="D223" s="4" t="s">
        <v>548</v>
      </c>
      <c r="E223" s="4" t="s">
        <v>205</v>
      </c>
      <c r="F223" s="4">
        <v>8854</v>
      </c>
      <c r="G223" s="4" t="s">
        <v>145</v>
      </c>
      <c r="H223" s="4" t="s">
        <v>31</v>
      </c>
      <c r="I223" s="4" t="s">
        <v>204</v>
      </c>
      <c r="J223" s="26" t="s">
        <v>203</v>
      </c>
    </row>
    <row r="224" spans="1:10" x14ac:dyDescent="0.25">
      <c r="A224" s="96">
        <v>102</v>
      </c>
      <c r="B224" s="4" t="s">
        <v>132</v>
      </c>
      <c r="C224" s="4" t="s">
        <v>213</v>
      </c>
      <c r="D224" s="4" t="s">
        <v>212</v>
      </c>
      <c r="E224" s="4" t="s">
        <v>211</v>
      </c>
      <c r="F224" s="4">
        <v>8808</v>
      </c>
      <c r="G224" s="4" t="s">
        <v>210</v>
      </c>
      <c r="H224" s="4" t="s">
        <v>31</v>
      </c>
      <c r="I224" s="4" t="s">
        <v>209</v>
      </c>
      <c r="J224" s="26" t="s">
        <v>208</v>
      </c>
    </row>
    <row r="225" spans="1:10" x14ac:dyDescent="0.25">
      <c r="A225" s="96">
        <v>100</v>
      </c>
      <c r="B225" s="4" t="s">
        <v>107</v>
      </c>
      <c r="C225" s="4" t="s">
        <v>217</v>
      </c>
      <c r="D225" s="4" t="s">
        <v>546</v>
      </c>
      <c r="E225" s="4" t="s">
        <v>215</v>
      </c>
      <c r="F225" s="4">
        <v>78713</v>
      </c>
      <c r="G225" s="4" t="s">
        <v>181</v>
      </c>
      <c r="H225" s="4" t="s">
        <v>33</v>
      </c>
      <c r="I225" s="4" t="s">
        <v>547</v>
      </c>
      <c r="J225" s="26" t="s">
        <v>214</v>
      </c>
    </row>
    <row r="226" spans="1:10" x14ac:dyDescent="0.25">
      <c r="A226" s="96">
        <v>93</v>
      </c>
      <c r="B226" s="4" t="s">
        <v>121</v>
      </c>
      <c r="C226" s="4" t="s">
        <v>237</v>
      </c>
      <c r="D226" s="4" t="s">
        <v>541</v>
      </c>
      <c r="E226" s="4" t="s">
        <v>230</v>
      </c>
      <c r="F226" s="4">
        <v>8853</v>
      </c>
      <c r="G226" s="4" t="s">
        <v>117</v>
      </c>
      <c r="H226" s="4" t="s">
        <v>31</v>
      </c>
      <c r="I226" s="4" t="s">
        <v>229</v>
      </c>
      <c r="J226" s="26" t="s">
        <v>228</v>
      </c>
    </row>
    <row r="227" spans="1:10" x14ac:dyDescent="0.25">
      <c r="A227" s="96">
        <v>97</v>
      </c>
      <c r="B227" s="4" t="s">
        <v>132</v>
      </c>
      <c r="C227" s="4" t="s">
        <v>542</v>
      </c>
      <c r="D227" s="4" t="s">
        <v>541</v>
      </c>
      <c r="E227" s="4" t="s">
        <v>225</v>
      </c>
      <c r="F227" s="4">
        <v>8853</v>
      </c>
      <c r="G227" s="4" t="s">
        <v>117</v>
      </c>
      <c r="H227" s="4" t="s">
        <v>31</v>
      </c>
      <c r="I227" s="4" t="s">
        <v>543</v>
      </c>
      <c r="J227" s="26" t="s">
        <v>224</v>
      </c>
    </row>
    <row r="228" spans="1:10" x14ac:dyDescent="0.25">
      <c r="A228" s="96">
        <v>98</v>
      </c>
      <c r="B228" s="4" t="s">
        <v>132</v>
      </c>
      <c r="C228" s="4" t="s">
        <v>544</v>
      </c>
      <c r="D228" s="4" t="s">
        <v>541</v>
      </c>
      <c r="E228" s="4" t="s">
        <v>221</v>
      </c>
      <c r="F228" s="4">
        <v>53175</v>
      </c>
      <c r="G228" s="4" t="s">
        <v>220</v>
      </c>
      <c r="H228" s="4" t="s">
        <v>33</v>
      </c>
      <c r="I228" s="4" t="s">
        <v>545</v>
      </c>
      <c r="J228" s="26"/>
    </row>
    <row r="229" spans="1:10" x14ac:dyDescent="0.25">
      <c r="A229" s="96">
        <v>94</v>
      </c>
      <c r="B229" s="4" t="s">
        <v>121</v>
      </c>
      <c r="C229" s="4" t="s">
        <v>237</v>
      </c>
      <c r="D229" s="4" t="s">
        <v>236</v>
      </c>
      <c r="E229" s="4" t="s">
        <v>235</v>
      </c>
      <c r="F229" s="4">
        <v>8853</v>
      </c>
      <c r="G229" s="4" t="s">
        <v>117</v>
      </c>
      <c r="H229" s="4" t="s">
        <v>31</v>
      </c>
      <c r="I229" s="4" t="s">
        <v>234</v>
      </c>
      <c r="J229" s="26" t="s">
        <v>233</v>
      </c>
    </row>
    <row r="230" spans="1:10" x14ac:dyDescent="0.25">
      <c r="A230" s="96">
        <v>91</v>
      </c>
      <c r="B230" s="4" t="s">
        <v>132</v>
      </c>
      <c r="C230" s="4" t="s">
        <v>237</v>
      </c>
      <c r="D230" s="4" t="s">
        <v>538</v>
      </c>
      <c r="E230" s="4" t="s">
        <v>539</v>
      </c>
      <c r="F230" s="4">
        <v>8853</v>
      </c>
      <c r="G230" s="4" t="s">
        <v>117</v>
      </c>
      <c r="H230" s="4" t="s">
        <v>31</v>
      </c>
      <c r="I230" s="4" t="s">
        <v>540</v>
      </c>
      <c r="J230" s="26" t="s">
        <v>228</v>
      </c>
    </row>
    <row r="231" spans="1:10" x14ac:dyDescent="0.25">
      <c r="A231" s="96">
        <v>90</v>
      </c>
      <c r="B231" s="4" t="s">
        <v>132</v>
      </c>
      <c r="C231" s="4" t="s">
        <v>237</v>
      </c>
      <c r="D231" s="4" t="s">
        <v>535</v>
      </c>
      <c r="E231" s="4" t="s">
        <v>536</v>
      </c>
      <c r="F231" s="4">
        <v>8853</v>
      </c>
      <c r="G231" s="4" t="s">
        <v>117</v>
      </c>
      <c r="H231" s="4" t="s">
        <v>31</v>
      </c>
      <c r="I231" s="4" t="s">
        <v>537</v>
      </c>
      <c r="J231" s="26" t="s">
        <v>233</v>
      </c>
    </row>
    <row r="232" spans="1:10" x14ac:dyDescent="0.25">
      <c r="A232" s="96">
        <v>89</v>
      </c>
      <c r="B232" s="4" t="s">
        <v>107</v>
      </c>
      <c r="C232" s="4" t="s">
        <v>237</v>
      </c>
      <c r="D232" s="4" t="s">
        <v>532</v>
      </c>
      <c r="E232" s="4" t="s">
        <v>533</v>
      </c>
      <c r="F232" s="4">
        <v>8853</v>
      </c>
      <c r="G232" s="4" t="s">
        <v>117</v>
      </c>
      <c r="H232" s="4" t="s">
        <v>31</v>
      </c>
      <c r="I232" s="4" t="s">
        <v>534</v>
      </c>
      <c r="J232" s="26" t="s">
        <v>233</v>
      </c>
    </row>
    <row r="233" spans="1:10" x14ac:dyDescent="0.25">
      <c r="A233" s="96">
        <v>88</v>
      </c>
      <c r="B233" s="4" t="s">
        <v>132</v>
      </c>
      <c r="C233" s="4" t="s">
        <v>237</v>
      </c>
      <c r="D233" s="4" t="s">
        <v>528</v>
      </c>
      <c r="E233" s="4" t="s">
        <v>525</v>
      </c>
      <c r="F233" s="4">
        <v>8737</v>
      </c>
      <c r="G233" s="4" t="s">
        <v>529</v>
      </c>
      <c r="H233" s="4" t="s">
        <v>31</v>
      </c>
      <c r="I233" s="4" t="s">
        <v>530</v>
      </c>
      <c r="J233" s="26" t="s">
        <v>531</v>
      </c>
    </row>
    <row r="234" spans="1:10" x14ac:dyDescent="0.25">
      <c r="A234" s="96">
        <v>86</v>
      </c>
      <c r="B234" s="4" t="s">
        <v>121</v>
      </c>
      <c r="C234" s="4" t="s">
        <v>523</v>
      </c>
      <c r="D234" s="4" t="s">
        <v>524</v>
      </c>
      <c r="E234" s="4" t="s">
        <v>525</v>
      </c>
      <c r="F234" s="4">
        <v>8853</v>
      </c>
      <c r="G234" s="4" t="s">
        <v>117</v>
      </c>
      <c r="H234" s="4" t="s">
        <v>31</v>
      </c>
      <c r="I234" s="4" t="s">
        <v>526</v>
      </c>
      <c r="J234" s="26" t="s">
        <v>527</v>
      </c>
    </row>
    <row r="235" spans="1:10" x14ac:dyDescent="0.25">
      <c r="A235" s="96">
        <v>87</v>
      </c>
      <c r="B235" s="4" t="s">
        <v>107</v>
      </c>
      <c r="C235" s="4" t="s">
        <v>518</v>
      </c>
      <c r="D235" s="4" t="s">
        <v>519</v>
      </c>
      <c r="E235" s="4" t="s">
        <v>520</v>
      </c>
      <c r="F235" s="4">
        <v>8854</v>
      </c>
      <c r="G235" s="4" t="s">
        <v>145</v>
      </c>
      <c r="H235" s="4" t="s">
        <v>31</v>
      </c>
      <c r="I235" s="4" t="s">
        <v>521</v>
      </c>
      <c r="J235" s="26" t="s">
        <v>522</v>
      </c>
    </row>
    <row r="236" spans="1:10" x14ac:dyDescent="0.25">
      <c r="A236" s="96">
        <v>79</v>
      </c>
      <c r="B236" s="4" t="s">
        <v>132</v>
      </c>
      <c r="C236" s="4" t="s">
        <v>510</v>
      </c>
      <c r="D236" s="4" t="s">
        <v>515</v>
      </c>
      <c r="E236" s="4" t="s">
        <v>516</v>
      </c>
      <c r="F236" s="4">
        <v>8853</v>
      </c>
      <c r="G236" s="4" t="s">
        <v>117</v>
      </c>
      <c r="H236" s="4" t="s">
        <v>31</v>
      </c>
      <c r="I236" s="4" t="s">
        <v>517</v>
      </c>
      <c r="J236" s="26" t="s">
        <v>514</v>
      </c>
    </row>
    <row r="237" spans="1:10" x14ac:dyDescent="0.25">
      <c r="A237" s="96">
        <v>78</v>
      </c>
      <c r="B237" s="4" t="s">
        <v>121</v>
      </c>
      <c r="C237" s="4" t="s">
        <v>510</v>
      </c>
      <c r="D237" s="4" t="s">
        <v>511</v>
      </c>
      <c r="E237" s="4" t="s">
        <v>512</v>
      </c>
      <c r="F237" s="4">
        <v>8853</v>
      </c>
      <c r="G237" s="4" t="s">
        <v>117</v>
      </c>
      <c r="H237" s="4" t="s">
        <v>31</v>
      </c>
      <c r="I237" s="4" t="s">
        <v>513</v>
      </c>
      <c r="J237" s="26" t="s">
        <v>514</v>
      </c>
    </row>
    <row r="238" spans="1:10" x14ac:dyDescent="0.25">
      <c r="A238" s="96">
        <v>74</v>
      </c>
      <c r="B238" s="4" t="s">
        <v>132</v>
      </c>
      <c r="C238" s="4" t="s">
        <v>503</v>
      </c>
      <c r="D238" s="4" t="s">
        <v>507</v>
      </c>
      <c r="E238" s="4" t="s">
        <v>496</v>
      </c>
      <c r="F238" s="4">
        <v>8853</v>
      </c>
      <c r="G238" s="4" t="s">
        <v>117</v>
      </c>
      <c r="H238" s="4" t="s">
        <v>31</v>
      </c>
      <c r="I238" s="4" t="s">
        <v>508</v>
      </c>
      <c r="J238" s="26" t="s">
        <v>509</v>
      </c>
    </row>
    <row r="239" spans="1:10" x14ac:dyDescent="0.25">
      <c r="A239" s="96">
        <v>71</v>
      </c>
      <c r="B239" s="4" t="s">
        <v>107</v>
      </c>
      <c r="C239" s="4" t="s">
        <v>503</v>
      </c>
      <c r="D239" s="4" t="s">
        <v>504</v>
      </c>
      <c r="E239" s="4" t="s">
        <v>496</v>
      </c>
      <c r="F239" s="4">
        <v>8854</v>
      </c>
      <c r="G239" s="4" t="s">
        <v>145</v>
      </c>
      <c r="H239" s="4" t="s">
        <v>31</v>
      </c>
      <c r="I239" s="4" t="s">
        <v>505</v>
      </c>
      <c r="J239" s="26" t="s">
        <v>506</v>
      </c>
    </row>
    <row r="240" spans="1:10" x14ac:dyDescent="0.25">
      <c r="A240" s="96">
        <v>69</v>
      </c>
      <c r="B240" s="4" t="s">
        <v>132</v>
      </c>
      <c r="C240" s="4" t="s">
        <v>499</v>
      </c>
      <c r="D240" s="4" t="s">
        <v>500</v>
      </c>
      <c r="E240" s="4" t="s">
        <v>496</v>
      </c>
      <c r="F240" s="4">
        <v>8853</v>
      </c>
      <c r="G240" s="4" t="s">
        <v>117</v>
      </c>
      <c r="H240" s="4" t="s">
        <v>31</v>
      </c>
      <c r="I240" s="4" t="s">
        <v>501</v>
      </c>
      <c r="J240" s="26" t="s">
        <v>502</v>
      </c>
    </row>
    <row r="241" spans="1:10" x14ac:dyDescent="0.25">
      <c r="A241" s="96">
        <v>68</v>
      </c>
      <c r="B241" s="4" t="s">
        <v>107</v>
      </c>
      <c r="C241" s="4" t="s">
        <v>494</v>
      </c>
      <c r="D241" s="4" t="s">
        <v>495</v>
      </c>
      <c r="E241" s="4" t="s">
        <v>496</v>
      </c>
      <c r="F241" s="4">
        <v>8853</v>
      </c>
      <c r="G241" s="4" t="s">
        <v>117</v>
      </c>
      <c r="H241" s="4" t="s">
        <v>31</v>
      </c>
      <c r="I241" s="4" t="s">
        <v>497</v>
      </c>
      <c r="J241" s="26" t="s">
        <v>498</v>
      </c>
    </row>
    <row r="242" spans="1:10" x14ac:dyDescent="0.25">
      <c r="A242" s="96">
        <v>62</v>
      </c>
      <c r="B242" s="4" t="s">
        <v>132</v>
      </c>
      <c r="C242" s="4" t="s">
        <v>488</v>
      </c>
      <c r="D242" s="4" t="s">
        <v>492</v>
      </c>
      <c r="E242" s="4" t="s">
        <v>489</v>
      </c>
      <c r="F242" s="4">
        <v>8832</v>
      </c>
      <c r="G242" s="4" t="s">
        <v>176</v>
      </c>
      <c r="H242" s="4" t="s">
        <v>31</v>
      </c>
      <c r="I242" s="4" t="s">
        <v>493</v>
      </c>
      <c r="J242" s="26" t="s">
        <v>491</v>
      </c>
    </row>
    <row r="243" spans="1:10" x14ac:dyDescent="0.25">
      <c r="A243" s="96">
        <v>61</v>
      </c>
      <c r="B243" s="4" t="s">
        <v>121</v>
      </c>
      <c r="C243" s="4" t="s">
        <v>488</v>
      </c>
      <c r="D243" s="4" t="s">
        <v>483</v>
      </c>
      <c r="E243" s="4" t="s">
        <v>489</v>
      </c>
      <c r="F243" s="4">
        <v>8832</v>
      </c>
      <c r="G243" s="4" t="s">
        <v>176</v>
      </c>
      <c r="H243" s="4" t="s">
        <v>31</v>
      </c>
      <c r="I243" s="4" t="s">
        <v>490</v>
      </c>
      <c r="J243" s="26" t="s">
        <v>491</v>
      </c>
    </row>
    <row r="244" spans="1:10" x14ac:dyDescent="0.25">
      <c r="A244" s="96">
        <v>59</v>
      </c>
      <c r="B244" s="4" t="s">
        <v>107</v>
      </c>
      <c r="C244" s="4" t="s">
        <v>482</v>
      </c>
      <c r="D244" s="4" t="s">
        <v>483</v>
      </c>
      <c r="E244" s="4" t="s">
        <v>484</v>
      </c>
      <c r="F244" s="4">
        <v>8854</v>
      </c>
      <c r="G244" s="4" t="s">
        <v>485</v>
      </c>
      <c r="H244" s="4" t="s">
        <v>31</v>
      </c>
      <c r="I244" s="4" t="s">
        <v>486</v>
      </c>
      <c r="J244" s="26" t="s">
        <v>487</v>
      </c>
    </row>
    <row r="245" spans="1:10" x14ac:dyDescent="0.25">
      <c r="A245" s="96">
        <v>54</v>
      </c>
      <c r="B245" s="4" t="s">
        <v>132</v>
      </c>
      <c r="C245" s="4" t="s">
        <v>472</v>
      </c>
      <c r="D245" s="4" t="s">
        <v>477</v>
      </c>
      <c r="E245" s="4" t="s">
        <v>478</v>
      </c>
      <c r="F245" s="4">
        <v>8852</v>
      </c>
      <c r="G245" s="4" t="s">
        <v>110</v>
      </c>
      <c r="H245" s="4" t="s">
        <v>31</v>
      </c>
      <c r="I245" s="4" t="s">
        <v>479</v>
      </c>
      <c r="J245" s="26" t="s">
        <v>476</v>
      </c>
    </row>
    <row r="246" spans="1:10" x14ac:dyDescent="0.25">
      <c r="A246" s="96">
        <v>55</v>
      </c>
      <c r="B246" s="4" t="s">
        <v>121</v>
      </c>
      <c r="C246" s="4" t="s">
        <v>472</v>
      </c>
      <c r="D246" s="4" t="s">
        <v>477</v>
      </c>
      <c r="E246" s="4" t="s">
        <v>480</v>
      </c>
      <c r="F246" s="4">
        <v>8852</v>
      </c>
      <c r="G246" s="4" t="s">
        <v>110</v>
      </c>
      <c r="H246" s="4" t="s">
        <v>31</v>
      </c>
      <c r="I246" s="4" t="s">
        <v>479</v>
      </c>
      <c r="J246" s="26" t="s">
        <v>481</v>
      </c>
    </row>
    <row r="247" spans="1:10" x14ac:dyDescent="0.25">
      <c r="A247" s="96">
        <v>52</v>
      </c>
      <c r="B247" s="4" t="s">
        <v>121</v>
      </c>
      <c r="C247" s="4" t="s">
        <v>472</v>
      </c>
      <c r="D247" s="4" t="s">
        <v>473</v>
      </c>
      <c r="E247" s="4" t="s">
        <v>474</v>
      </c>
      <c r="F247" s="4">
        <v>8852</v>
      </c>
      <c r="G247" s="4" t="s">
        <v>110</v>
      </c>
      <c r="H247" s="4" t="s">
        <v>31</v>
      </c>
      <c r="I247" s="4" t="s">
        <v>475</v>
      </c>
      <c r="J247" s="26" t="s">
        <v>476</v>
      </c>
    </row>
    <row r="248" spans="1:10" x14ac:dyDescent="0.25">
      <c r="A248" s="96">
        <v>50</v>
      </c>
      <c r="B248" s="4" t="s">
        <v>107</v>
      </c>
      <c r="C248" s="4" t="s">
        <v>467</v>
      </c>
      <c r="D248" s="4" t="s">
        <v>468</v>
      </c>
      <c r="E248" s="4" t="s">
        <v>469</v>
      </c>
      <c r="F248" s="4">
        <v>8853</v>
      </c>
      <c r="G248" s="4" t="s">
        <v>117</v>
      </c>
      <c r="H248" s="4" t="s">
        <v>31</v>
      </c>
      <c r="I248" s="4" t="s">
        <v>470</v>
      </c>
      <c r="J248" s="26" t="s">
        <v>471</v>
      </c>
    </row>
    <row r="249" spans="1:10" x14ac:dyDescent="0.25">
      <c r="A249" s="96">
        <v>42</v>
      </c>
      <c r="B249" s="4" t="s">
        <v>132</v>
      </c>
      <c r="C249" s="4" t="s">
        <v>455</v>
      </c>
      <c r="D249" s="4" t="s">
        <v>459</v>
      </c>
      <c r="E249" s="4" t="s">
        <v>460</v>
      </c>
      <c r="F249" s="4">
        <v>8853</v>
      </c>
      <c r="G249" s="4" t="s">
        <v>117</v>
      </c>
      <c r="H249" s="4" t="s">
        <v>31</v>
      </c>
      <c r="I249" s="4" t="s">
        <v>461</v>
      </c>
      <c r="J249" s="26" t="s">
        <v>462</v>
      </c>
    </row>
    <row r="250" spans="1:10" x14ac:dyDescent="0.25">
      <c r="A250" s="96">
        <v>45</v>
      </c>
      <c r="B250" s="4" t="s">
        <v>107</v>
      </c>
      <c r="C250" s="4" t="s">
        <v>463</v>
      </c>
      <c r="D250" s="4" t="s">
        <v>459</v>
      </c>
      <c r="E250" s="4" t="s">
        <v>464</v>
      </c>
      <c r="F250" s="4">
        <v>8853</v>
      </c>
      <c r="G250" s="4" t="s">
        <v>117</v>
      </c>
      <c r="H250" s="4" t="s">
        <v>31</v>
      </c>
      <c r="I250" s="4" t="s">
        <v>465</v>
      </c>
      <c r="J250" s="26" t="s">
        <v>466</v>
      </c>
    </row>
    <row r="251" spans="1:10" x14ac:dyDescent="0.25">
      <c r="A251" s="96">
        <v>36</v>
      </c>
      <c r="B251" s="4" t="s">
        <v>121</v>
      </c>
      <c r="C251" s="4" t="s">
        <v>448</v>
      </c>
      <c r="D251" s="4" t="s">
        <v>449</v>
      </c>
      <c r="E251" s="4" t="s">
        <v>450</v>
      </c>
      <c r="F251" s="4">
        <v>8853</v>
      </c>
      <c r="G251" s="4" t="s">
        <v>117</v>
      </c>
      <c r="H251" s="4" t="s">
        <v>31</v>
      </c>
      <c r="I251" s="4" t="s">
        <v>451</v>
      </c>
      <c r="J251" s="26" t="s">
        <v>452</v>
      </c>
    </row>
    <row r="252" spans="1:10" x14ac:dyDescent="0.25">
      <c r="A252" s="96">
        <v>37</v>
      </c>
      <c r="B252" s="4" t="s">
        <v>132</v>
      </c>
      <c r="C252" s="4" t="s">
        <v>448</v>
      </c>
      <c r="D252" s="4" t="s">
        <v>449</v>
      </c>
      <c r="E252" s="4" t="s">
        <v>453</v>
      </c>
      <c r="F252" s="4">
        <v>8853</v>
      </c>
      <c r="G252" s="4" t="s">
        <v>117</v>
      </c>
      <c r="H252" s="4" t="s">
        <v>31</v>
      </c>
      <c r="I252" s="4" t="s">
        <v>451</v>
      </c>
      <c r="J252" s="26" t="s">
        <v>454</v>
      </c>
    </row>
    <row r="253" spans="1:10" x14ac:dyDescent="0.25">
      <c r="A253" s="96">
        <v>41</v>
      </c>
      <c r="B253" s="4" t="s">
        <v>107</v>
      </c>
      <c r="C253" s="4" t="s">
        <v>455</v>
      </c>
      <c r="D253" s="4" t="s">
        <v>449</v>
      </c>
      <c r="E253" s="4" t="s">
        <v>456</v>
      </c>
      <c r="F253" s="4">
        <v>8841</v>
      </c>
      <c r="G253" s="4" t="s">
        <v>457</v>
      </c>
      <c r="H253" s="4" t="s">
        <v>31</v>
      </c>
      <c r="I253" s="4" t="s">
        <v>458</v>
      </c>
      <c r="J253" s="26"/>
    </row>
    <row r="254" spans="1:10" x14ac:dyDescent="0.25">
      <c r="A254" s="96">
        <v>35</v>
      </c>
      <c r="B254" s="4" t="s">
        <v>132</v>
      </c>
      <c r="C254" s="4" t="s">
        <v>442</v>
      </c>
      <c r="D254" s="4" t="s">
        <v>443</v>
      </c>
      <c r="E254" s="4" t="s">
        <v>444</v>
      </c>
      <c r="F254" s="4">
        <v>8862</v>
      </c>
      <c r="G254" s="4" t="s">
        <v>445</v>
      </c>
      <c r="H254" s="4" t="s">
        <v>31</v>
      </c>
      <c r="I254" s="4" t="s">
        <v>446</v>
      </c>
      <c r="J254" s="26" t="s">
        <v>447</v>
      </c>
    </row>
    <row r="255" spans="1:10" x14ac:dyDescent="0.25">
      <c r="A255" s="96">
        <v>33</v>
      </c>
      <c r="B255" s="4" t="s">
        <v>132</v>
      </c>
      <c r="C255" s="4" t="s">
        <v>143</v>
      </c>
      <c r="D255" s="4" t="s">
        <v>438</v>
      </c>
      <c r="E255" s="4" t="s">
        <v>435</v>
      </c>
      <c r="F255" s="4">
        <v>8808</v>
      </c>
      <c r="G255" s="4" t="s">
        <v>210</v>
      </c>
      <c r="H255" s="4" t="s">
        <v>31</v>
      </c>
      <c r="I255" s="4" t="s">
        <v>439</v>
      </c>
      <c r="J255" s="26" t="s">
        <v>440</v>
      </c>
    </row>
    <row r="256" spans="1:10" x14ac:dyDescent="0.25">
      <c r="A256" s="96">
        <v>34</v>
      </c>
      <c r="B256" s="4" t="s">
        <v>121</v>
      </c>
      <c r="C256" s="4" t="s">
        <v>143</v>
      </c>
      <c r="D256" s="4" t="s">
        <v>438</v>
      </c>
      <c r="E256" s="4" t="s">
        <v>441</v>
      </c>
      <c r="F256" s="4">
        <v>8808</v>
      </c>
      <c r="G256" s="4" t="s">
        <v>210</v>
      </c>
      <c r="H256" s="4" t="s">
        <v>31</v>
      </c>
      <c r="I256" s="4" t="s">
        <v>439</v>
      </c>
      <c r="J256" s="26" t="s">
        <v>440</v>
      </c>
    </row>
    <row r="257" spans="1:10" x14ac:dyDescent="0.25">
      <c r="A257" s="96">
        <v>32</v>
      </c>
      <c r="B257" s="4" t="s">
        <v>132</v>
      </c>
      <c r="C257" s="4" t="s">
        <v>143</v>
      </c>
      <c r="D257" s="4" t="s">
        <v>434</v>
      </c>
      <c r="E257" s="4" t="s">
        <v>435</v>
      </c>
      <c r="F257" s="4">
        <v>8853</v>
      </c>
      <c r="G257" s="4" t="s">
        <v>117</v>
      </c>
      <c r="H257" s="4" t="s">
        <v>31</v>
      </c>
      <c r="I257" s="4" t="s">
        <v>436</v>
      </c>
      <c r="J257" s="26" t="s">
        <v>437</v>
      </c>
    </row>
    <row r="258" spans="1:10" x14ac:dyDescent="0.25">
      <c r="A258" s="96">
        <v>31</v>
      </c>
      <c r="B258" s="4" t="s">
        <v>121</v>
      </c>
      <c r="C258" s="4" t="s">
        <v>426</v>
      </c>
      <c r="D258" s="4" t="s">
        <v>431</v>
      </c>
      <c r="E258" s="4" t="s">
        <v>432</v>
      </c>
      <c r="F258" s="4">
        <v>8854</v>
      </c>
      <c r="G258" s="4" t="s">
        <v>145</v>
      </c>
      <c r="H258" s="4" t="s">
        <v>31</v>
      </c>
      <c r="I258" s="4" t="s">
        <v>433</v>
      </c>
      <c r="J258" s="26" t="s">
        <v>430</v>
      </c>
    </row>
    <row r="259" spans="1:10" x14ac:dyDescent="0.25">
      <c r="A259" s="96">
        <v>30</v>
      </c>
      <c r="B259" s="4" t="s">
        <v>132</v>
      </c>
      <c r="C259" s="4" t="s">
        <v>426</v>
      </c>
      <c r="D259" s="4" t="s">
        <v>427</v>
      </c>
      <c r="E259" s="4" t="s">
        <v>428</v>
      </c>
      <c r="F259" s="4">
        <v>8854</v>
      </c>
      <c r="G259" s="4" t="s">
        <v>145</v>
      </c>
      <c r="H259" s="4" t="s">
        <v>31</v>
      </c>
      <c r="I259" s="4" t="s">
        <v>429</v>
      </c>
      <c r="J259" s="26" t="s">
        <v>430</v>
      </c>
    </row>
    <row r="260" spans="1:10" x14ac:dyDescent="0.25">
      <c r="A260" s="96">
        <v>29</v>
      </c>
      <c r="B260" s="4" t="s">
        <v>107</v>
      </c>
      <c r="C260" s="4" t="s">
        <v>421</v>
      </c>
      <c r="D260" s="4" t="s">
        <v>422</v>
      </c>
      <c r="E260" s="4" t="s">
        <v>423</v>
      </c>
      <c r="F260" s="4">
        <v>8853</v>
      </c>
      <c r="G260" s="4" t="s">
        <v>117</v>
      </c>
      <c r="H260" s="4" t="s">
        <v>31</v>
      </c>
      <c r="I260" s="4" t="s">
        <v>424</v>
      </c>
      <c r="J260" s="26" t="s">
        <v>425</v>
      </c>
    </row>
    <row r="261" spans="1:10" x14ac:dyDescent="0.25">
      <c r="A261" s="96">
        <v>28</v>
      </c>
      <c r="B261" s="4" t="s">
        <v>132</v>
      </c>
      <c r="C261" s="4" t="s">
        <v>416</v>
      </c>
      <c r="D261" s="4" t="s">
        <v>419</v>
      </c>
      <c r="E261" s="4" t="s">
        <v>417</v>
      </c>
      <c r="F261" s="4">
        <v>8853</v>
      </c>
      <c r="G261" s="4" t="s">
        <v>117</v>
      </c>
      <c r="H261" s="4" t="s">
        <v>31</v>
      </c>
      <c r="I261" s="4" t="s">
        <v>420</v>
      </c>
      <c r="J261" s="26" t="s">
        <v>189</v>
      </c>
    </row>
    <row r="262" spans="1:10" x14ac:dyDescent="0.25">
      <c r="A262" s="96">
        <v>24</v>
      </c>
      <c r="B262" s="4" t="s">
        <v>107</v>
      </c>
      <c r="C262" s="4" t="s">
        <v>407</v>
      </c>
      <c r="D262" s="4" t="s">
        <v>216</v>
      </c>
      <c r="E262" s="4" t="s">
        <v>408</v>
      </c>
      <c r="F262" s="4">
        <v>8240</v>
      </c>
      <c r="G262" s="4" t="s">
        <v>409</v>
      </c>
      <c r="H262" s="4" t="s">
        <v>31</v>
      </c>
      <c r="I262" s="4" t="s">
        <v>410</v>
      </c>
      <c r="J262" s="26" t="s">
        <v>411</v>
      </c>
    </row>
    <row r="263" spans="1:10" x14ac:dyDescent="0.25">
      <c r="A263" s="96">
        <v>11</v>
      </c>
      <c r="B263" s="4" t="s">
        <v>132</v>
      </c>
      <c r="C263" s="4" t="s">
        <v>381</v>
      </c>
      <c r="D263" s="4" t="s">
        <v>216</v>
      </c>
      <c r="E263" s="4" t="s">
        <v>382</v>
      </c>
      <c r="F263" s="4">
        <v>8854</v>
      </c>
      <c r="G263" s="4" t="s">
        <v>145</v>
      </c>
      <c r="H263" s="4" t="s">
        <v>31</v>
      </c>
      <c r="I263" s="4" t="s">
        <v>383</v>
      </c>
      <c r="J263" s="26" t="s">
        <v>384</v>
      </c>
    </row>
    <row r="264" spans="1:10" x14ac:dyDescent="0.25">
      <c r="A264" s="96">
        <v>15</v>
      </c>
      <c r="B264" s="4" t="s">
        <v>107</v>
      </c>
      <c r="C264" s="4" t="s">
        <v>390</v>
      </c>
      <c r="D264" s="4" t="s">
        <v>216</v>
      </c>
      <c r="E264" s="4" t="s">
        <v>391</v>
      </c>
      <c r="F264" s="4">
        <v>8854</v>
      </c>
      <c r="G264" s="4" t="s">
        <v>145</v>
      </c>
      <c r="H264" s="4" t="s">
        <v>31</v>
      </c>
      <c r="I264" s="4" t="s">
        <v>392</v>
      </c>
      <c r="J264" s="26" t="s">
        <v>393</v>
      </c>
    </row>
    <row r="265" spans="1:10" x14ac:dyDescent="0.25">
      <c r="A265" s="96">
        <v>22</v>
      </c>
      <c r="B265" s="4" t="s">
        <v>132</v>
      </c>
      <c r="C265" s="4" t="s">
        <v>402</v>
      </c>
      <c r="D265" s="4" t="s">
        <v>216</v>
      </c>
      <c r="E265" s="4" t="s">
        <v>403</v>
      </c>
      <c r="F265" s="4">
        <v>8854</v>
      </c>
      <c r="G265" s="4" t="s">
        <v>145</v>
      </c>
      <c r="H265" s="4" t="s">
        <v>31</v>
      </c>
      <c r="I265" s="4" t="s">
        <v>404</v>
      </c>
      <c r="J265" s="26" t="s">
        <v>405</v>
      </c>
    </row>
    <row r="266" spans="1:10" x14ac:dyDescent="0.25">
      <c r="A266" s="96">
        <v>17</v>
      </c>
      <c r="B266" s="4" t="s">
        <v>107</v>
      </c>
      <c r="C266" s="4" t="s">
        <v>394</v>
      </c>
      <c r="D266" s="4" t="s">
        <v>216</v>
      </c>
      <c r="E266" s="4" t="s">
        <v>395</v>
      </c>
      <c r="F266" s="4">
        <v>8853</v>
      </c>
      <c r="G266" s="4" t="s">
        <v>117</v>
      </c>
      <c r="H266" s="4" t="s">
        <v>31</v>
      </c>
      <c r="I266" s="4" t="s">
        <v>396</v>
      </c>
      <c r="J266" s="26" t="s">
        <v>397</v>
      </c>
    </row>
    <row r="267" spans="1:10" x14ac:dyDescent="0.25">
      <c r="A267" s="96">
        <v>20</v>
      </c>
      <c r="B267" s="4" t="s">
        <v>107</v>
      </c>
      <c r="C267" s="4" t="s">
        <v>398</v>
      </c>
      <c r="D267" s="4" t="s">
        <v>216</v>
      </c>
      <c r="E267" s="4" t="s">
        <v>399</v>
      </c>
      <c r="F267" s="4">
        <v>8853</v>
      </c>
      <c r="G267" s="4" t="s">
        <v>117</v>
      </c>
      <c r="H267" s="4" t="s">
        <v>31</v>
      </c>
      <c r="I267" s="4" t="s">
        <v>400</v>
      </c>
      <c r="J267" s="26" t="s">
        <v>401</v>
      </c>
    </row>
    <row r="268" spans="1:10" x14ac:dyDescent="0.25">
      <c r="A268" s="96">
        <v>23</v>
      </c>
      <c r="B268" s="4" t="s">
        <v>107</v>
      </c>
      <c r="C268" s="4" t="s">
        <v>402</v>
      </c>
      <c r="D268" s="4" t="s">
        <v>216</v>
      </c>
      <c r="E268" s="4" t="s">
        <v>403</v>
      </c>
      <c r="F268" s="4">
        <v>8853</v>
      </c>
      <c r="G268" s="4" t="s">
        <v>117</v>
      </c>
      <c r="H268" s="4" t="s">
        <v>31</v>
      </c>
      <c r="I268" s="4" t="s">
        <v>404</v>
      </c>
      <c r="J268" s="26" t="s">
        <v>406</v>
      </c>
    </row>
    <row r="269" spans="1:10" x14ac:dyDescent="0.25">
      <c r="A269" s="96">
        <v>25</v>
      </c>
      <c r="B269" s="4" t="s">
        <v>132</v>
      </c>
      <c r="C269" s="4" t="s">
        <v>412</v>
      </c>
      <c r="D269" s="4" t="s">
        <v>216</v>
      </c>
      <c r="E269" s="4" t="s">
        <v>413</v>
      </c>
      <c r="F269" s="4">
        <v>8853</v>
      </c>
      <c r="G269" s="4" t="s">
        <v>117</v>
      </c>
      <c r="H269" s="4" t="s">
        <v>31</v>
      </c>
      <c r="I269" s="4" t="s">
        <v>414</v>
      </c>
      <c r="J269" s="26" t="s">
        <v>415</v>
      </c>
    </row>
    <row r="270" spans="1:10" x14ac:dyDescent="0.25">
      <c r="A270" s="96">
        <v>27</v>
      </c>
      <c r="B270" s="4" t="s">
        <v>107</v>
      </c>
      <c r="C270" s="4" t="s">
        <v>416</v>
      </c>
      <c r="D270" s="4" t="s">
        <v>216</v>
      </c>
      <c r="E270" s="4" t="s">
        <v>417</v>
      </c>
      <c r="F270" s="4">
        <v>8853</v>
      </c>
      <c r="G270" s="4" t="s">
        <v>117</v>
      </c>
      <c r="H270" s="4" t="s">
        <v>31</v>
      </c>
      <c r="I270" s="4" t="s">
        <v>418</v>
      </c>
      <c r="J270" s="26" t="s">
        <v>189</v>
      </c>
    </row>
    <row r="271" spans="1:10" x14ac:dyDescent="0.25">
      <c r="A271" s="96">
        <v>14</v>
      </c>
      <c r="B271" s="4" t="s">
        <v>107</v>
      </c>
      <c r="C271" s="4" t="s">
        <v>385</v>
      </c>
      <c r="D271" s="4" t="s">
        <v>216</v>
      </c>
      <c r="E271" s="4" t="s">
        <v>386</v>
      </c>
      <c r="F271" s="4">
        <v>6410</v>
      </c>
      <c r="G271" s="4" t="s">
        <v>387</v>
      </c>
      <c r="H271" s="4" t="s">
        <v>31</v>
      </c>
      <c r="I271" s="4" t="s">
        <v>388</v>
      </c>
      <c r="J271" s="26" t="s">
        <v>389</v>
      </c>
    </row>
    <row r="272" spans="1:10" x14ac:dyDescent="0.25">
      <c r="A272" s="96">
        <v>10</v>
      </c>
      <c r="B272" s="4" t="s">
        <v>107</v>
      </c>
      <c r="C272" s="4" t="s">
        <v>377</v>
      </c>
      <c r="D272" s="4" t="s">
        <v>216</v>
      </c>
      <c r="E272" s="4" t="s">
        <v>378</v>
      </c>
      <c r="F272" s="4">
        <v>8852</v>
      </c>
      <c r="G272" s="4" t="s">
        <v>110</v>
      </c>
      <c r="H272" s="4" t="s">
        <v>31</v>
      </c>
      <c r="I272" s="4" t="s">
        <v>379</v>
      </c>
      <c r="J272" s="26" t="s">
        <v>380</v>
      </c>
    </row>
    <row r="273" spans="1:10" x14ac:dyDescent="0.25">
      <c r="A273" s="96">
        <v>7</v>
      </c>
      <c r="B273" s="4" t="s">
        <v>132</v>
      </c>
      <c r="C273" s="4" t="s">
        <v>368</v>
      </c>
      <c r="D273" s="4" t="s">
        <v>375</v>
      </c>
      <c r="E273" s="4" t="s">
        <v>370</v>
      </c>
      <c r="F273" s="4">
        <v>8853</v>
      </c>
      <c r="G273" s="4" t="s">
        <v>117</v>
      </c>
      <c r="H273" s="4" t="s">
        <v>31</v>
      </c>
      <c r="I273" s="4" t="s">
        <v>376</v>
      </c>
      <c r="J273" s="26" t="s">
        <v>372</v>
      </c>
    </row>
    <row r="274" spans="1:10" x14ac:dyDescent="0.25">
      <c r="A274" s="96">
        <v>8</v>
      </c>
      <c r="B274" s="4" t="s">
        <v>107</v>
      </c>
      <c r="C274" s="4" t="s">
        <v>368</v>
      </c>
      <c r="D274" s="4" t="s">
        <v>375</v>
      </c>
      <c r="E274" s="4" t="s">
        <v>370</v>
      </c>
      <c r="F274" s="4">
        <v>8853</v>
      </c>
      <c r="G274" s="4" t="s">
        <v>117</v>
      </c>
      <c r="H274" s="4" t="s">
        <v>31</v>
      </c>
      <c r="I274" s="4" t="s">
        <v>376</v>
      </c>
      <c r="J274" s="26" t="s">
        <v>372</v>
      </c>
    </row>
    <row r="275" spans="1:10" x14ac:dyDescent="0.25">
      <c r="A275" s="96">
        <v>9</v>
      </c>
      <c r="B275" s="4" t="s">
        <v>107</v>
      </c>
      <c r="C275" s="4" t="s">
        <v>368</v>
      </c>
      <c r="D275" s="4" t="s">
        <v>375</v>
      </c>
      <c r="E275" s="4" t="s">
        <v>370</v>
      </c>
      <c r="F275" s="4">
        <v>8853</v>
      </c>
      <c r="G275" s="4" t="s">
        <v>117</v>
      </c>
      <c r="H275" s="4" t="s">
        <v>31</v>
      </c>
      <c r="I275" s="4" t="s">
        <v>376</v>
      </c>
      <c r="J275" s="26" t="s">
        <v>372</v>
      </c>
    </row>
    <row r="276" spans="1:10" x14ac:dyDescent="0.25">
      <c r="A276" s="96">
        <v>6</v>
      </c>
      <c r="B276" s="4" t="s">
        <v>121</v>
      </c>
      <c r="C276" s="4" t="s">
        <v>368</v>
      </c>
      <c r="D276" s="4" t="s">
        <v>373</v>
      </c>
      <c r="E276" s="4" t="s">
        <v>370</v>
      </c>
      <c r="F276" s="4">
        <v>8853</v>
      </c>
      <c r="G276" s="4" t="s">
        <v>117</v>
      </c>
      <c r="H276" s="4" t="s">
        <v>31</v>
      </c>
      <c r="I276" s="4" t="s">
        <v>374</v>
      </c>
      <c r="J276" s="26" t="s">
        <v>372</v>
      </c>
    </row>
    <row r="277" spans="1:10" x14ac:dyDescent="0.25">
      <c r="A277" s="96">
        <v>5</v>
      </c>
      <c r="B277" s="4" t="s">
        <v>121</v>
      </c>
      <c r="C277" s="4" t="s">
        <v>368</v>
      </c>
      <c r="D277" s="4" t="s">
        <v>369</v>
      </c>
      <c r="E277" s="4" t="s">
        <v>370</v>
      </c>
      <c r="F277" s="4">
        <v>8853</v>
      </c>
      <c r="G277" s="4" t="s">
        <v>117</v>
      </c>
      <c r="H277" s="4" t="s">
        <v>31</v>
      </c>
      <c r="I277" s="4" t="s">
        <v>371</v>
      </c>
      <c r="J277" s="26" t="s">
        <v>372</v>
      </c>
    </row>
    <row r="278" spans="1:10" x14ac:dyDescent="0.25">
      <c r="A278" s="96">
        <v>4</v>
      </c>
      <c r="B278" s="4" t="s">
        <v>132</v>
      </c>
      <c r="C278" s="4" t="s">
        <v>361</v>
      </c>
      <c r="D278" s="4" t="s">
        <v>365</v>
      </c>
      <c r="E278" s="4" t="s">
        <v>366</v>
      </c>
      <c r="F278" s="4">
        <v>8852</v>
      </c>
      <c r="G278" s="4" t="s">
        <v>110</v>
      </c>
      <c r="H278" s="4" t="s">
        <v>31</v>
      </c>
      <c r="I278" s="4" t="s">
        <v>367</v>
      </c>
      <c r="J278" s="26"/>
    </row>
    <row r="279" spans="1:10" ht="15.75" thickBot="1" x14ac:dyDescent="0.3">
      <c r="A279" s="97">
        <v>3</v>
      </c>
      <c r="B279" s="27" t="s">
        <v>121</v>
      </c>
      <c r="C279" s="27" t="s">
        <v>361</v>
      </c>
      <c r="D279" s="27" t="s">
        <v>362</v>
      </c>
      <c r="E279" s="27" t="s">
        <v>363</v>
      </c>
      <c r="F279" s="27">
        <v>8852</v>
      </c>
      <c r="G279" s="27" t="s">
        <v>110</v>
      </c>
      <c r="H279" s="27" t="s">
        <v>31</v>
      </c>
      <c r="I279" s="27" t="s">
        <v>364</v>
      </c>
      <c r="J279" s="28"/>
    </row>
  </sheetData>
  <autoFilter ref="A22:J279"/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C000"/>
  </sheetPr>
  <dimension ref="A1:S279"/>
  <sheetViews>
    <sheetView zoomScale="70" zoomScaleNormal="70" workbookViewId="0">
      <selection activeCell="I1" sqref="I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0.75" customHeight="1" thickBot="1" x14ac:dyDescent="0.3">
      <c r="A1" s="52"/>
    </row>
    <row r="2" spans="1:19" ht="18.75" x14ac:dyDescent="0.3">
      <c r="B2" s="88" t="str">
        <f>TXT_Daten!B2</f>
        <v>M100: Datenaufbereiten (laden und Text--&gt;Spalten)</v>
      </c>
      <c r="L2" s="102"/>
      <c r="M2" s="103"/>
      <c r="N2" s="103"/>
      <c r="O2" s="103"/>
      <c r="P2" s="103"/>
      <c r="Q2" s="103"/>
      <c r="R2" s="103"/>
      <c r="S2" s="104"/>
    </row>
    <row r="3" spans="1:19" ht="18.75" x14ac:dyDescent="0.3">
      <c r="L3" s="105"/>
      <c r="M3" s="106" t="s">
        <v>1273</v>
      </c>
      <c r="N3" s="107"/>
      <c r="O3" s="107"/>
      <c r="P3" s="107"/>
      <c r="Q3" s="107"/>
      <c r="R3" s="107"/>
      <c r="S3" s="108"/>
    </row>
    <row r="4" spans="1:19" x14ac:dyDescent="0.25">
      <c r="L4" s="105"/>
      <c r="M4" s="107"/>
      <c r="N4" s="107"/>
      <c r="O4" s="107"/>
      <c r="P4" s="107"/>
      <c r="Q4" s="107"/>
      <c r="R4" s="107"/>
      <c r="S4" s="108"/>
    </row>
    <row r="5" spans="1:19" x14ac:dyDescent="0.25">
      <c r="L5" s="105"/>
      <c r="M5" s="107" t="s">
        <v>1284</v>
      </c>
      <c r="N5" s="107"/>
      <c r="O5" s="107"/>
      <c r="P5" s="107"/>
      <c r="Q5" s="107"/>
      <c r="R5" s="107" t="s">
        <v>106</v>
      </c>
      <c r="S5" s="108"/>
    </row>
    <row r="6" spans="1:19" x14ac:dyDescent="0.25">
      <c r="L6" s="105"/>
      <c r="M6" s="107" t="s">
        <v>1291</v>
      </c>
      <c r="N6" s="107"/>
      <c r="O6" s="107"/>
      <c r="P6" s="107"/>
      <c r="Q6" s="107"/>
      <c r="R6" s="107" t="s">
        <v>106</v>
      </c>
      <c r="S6" s="108"/>
    </row>
    <row r="7" spans="1:19" x14ac:dyDescent="0.25">
      <c r="L7" s="105"/>
      <c r="M7" s="107" t="s">
        <v>1292</v>
      </c>
      <c r="N7" s="107"/>
      <c r="O7" s="107"/>
      <c r="P7" s="107"/>
      <c r="Q7" s="107"/>
      <c r="R7" s="107" t="s">
        <v>106</v>
      </c>
      <c r="S7" s="108"/>
    </row>
    <row r="8" spans="1:19" x14ac:dyDescent="0.25">
      <c r="L8" s="105"/>
      <c r="M8" s="107" t="s">
        <v>1293</v>
      </c>
      <c r="N8" s="107"/>
      <c r="O8" s="107"/>
      <c r="P8" s="107"/>
      <c r="Q8" s="107"/>
      <c r="R8" s="107" t="s">
        <v>106</v>
      </c>
      <c r="S8" s="108"/>
    </row>
    <row r="9" spans="1:19" x14ac:dyDescent="0.25">
      <c r="L9" s="105"/>
      <c r="M9" s="107" t="s">
        <v>1294</v>
      </c>
      <c r="N9" s="107"/>
      <c r="O9" s="107"/>
      <c r="P9" s="107"/>
      <c r="Q9" s="107"/>
      <c r="R9" s="107" t="s">
        <v>106</v>
      </c>
      <c r="S9" s="108"/>
    </row>
    <row r="10" spans="1:19" x14ac:dyDescent="0.25">
      <c r="L10" s="105"/>
      <c r="M10" s="107" t="s">
        <v>1295</v>
      </c>
      <c r="N10" s="107"/>
      <c r="O10" s="107"/>
      <c r="P10" s="107"/>
      <c r="Q10" s="107"/>
      <c r="R10" s="107" t="s">
        <v>106</v>
      </c>
      <c r="S10" s="108"/>
    </row>
    <row r="11" spans="1:19" x14ac:dyDescent="0.25">
      <c r="L11" s="105"/>
      <c r="M11" s="107" t="s">
        <v>1296</v>
      </c>
      <c r="N11" s="107"/>
      <c r="O11" s="107"/>
      <c r="P11" s="107"/>
      <c r="Q11" s="107"/>
      <c r="R11" s="107" t="s">
        <v>106</v>
      </c>
      <c r="S11" s="108"/>
    </row>
    <row r="12" spans="1:19" x14ac:dyDescent="0.25">
      <c r="L12" s="105"/>
      <c r="M12" s="107" t="s">
        <v>1297</v>
      </c>
      <c r="N12" s="107"/>
      <c r="O12" s="107"/>
      <c r="P12" s="107"/>
      <c r="Q12" s="107"/>
      <c r="R12" s="107" t="s">
        <v>106</v>
      </c>
      <c r="S12" s="108"/>
    </row>
    <row r="13" spans="1:19" x14ac:dyDescent="0.25">
      <c r="L13" s="105"/>
      <c r="M13" s="107" t="s">
        <v>1298</v>
      </c>
      <c r="N13" s="107"/>
      <c r="O13" s="107"/>
      <c r="P13" s="107"/>
      <c r="Q13" s="107"/>
      <c r="R13" s="107" t="s">
        <v>106</v>
      </c>
      <c r="S13" s="108"/>
    </row>
    <row r="14" spans="1:19" x14ac:dyDescent="0.25"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1:19" ht="15.75" thickBot="1" x14ac:dyDescent="0.3">
      <c r="L15" s="105"/>
      <c r="M15" s="107"/>
      <c r="N15" s="107"/>
      <c r="O15" s="107"/>
      <c r="P15" s="107"/>
      <c r="Q15" s="109" t="s">
        <v>1286</v>
      </c>
      <c r="R15" s="107">
        <f>COUNTIF(R5:R13,"=Ja")</f>
        <v>9</v>
      </c>
      <c r="S15" s="108"/>
    </row>
    <row r="16" spans="1:19" ht="15.75" thickBot="1" x14ac:dyDescent="0.3">
      <c r="L16" s="105"/>
      <c r="M16" s="107"/>
      <c r="N16" s="107"/>
      <c r="O16" s="107"/>
      <c r="P16" s="107"/>
      <c r="Q16" s="115" t="s">
        <v>16</v>
      </c>
      <c r="R16" s="116">
        <f>(5/R14)*R15+1</f>
        <v>6</v>
      </c>
      <c r="S16" s="108"/>
    </row>
    <row r="17" spans="1:19" x14ac:dyDescent="0.25">
      <c r="L17" s="105"/>
      <c r="M17" s="107"/>
      <c r="N17" s="107"/>
      <c r="O17" s="107"/>
      <c r="P17" s="107"/>
      <c r="Q17" s="107"/>
      <c r="R17" s="107"/>
      <c r="S17" s="108"/>
    </row>
    <row r="18" spans="1:19" ht="15.75" thickBot="1" x14ac:dyDescent="0.3">
      <c r="L18" s="110"/>
      <c r="M18" s="111"/>
      <c r="N18" s="111"/>
      <c r="O18" s="111"/>
      <c r="P18" s="111"/>
      <c r="Q18" s="111"/>
      <c r="R18" s="111"/>
      <c r="S18" s="112"/>
    </row>
    <row r="21" spans="1:19" ht="15.75" thickBot="1" x14ac:dyDescent="0.3"/>
    <row r="22" spans="1:19" ht="15.75" thickBot="1" x14ac:dyDescent="0.3">
      <c r="A22" s="101" t="s">
        <v>261</v>
      </c>
      <c r="B22" s="31" t="s">
        <v>245</v>
      </c>
      <c r="C22" s="31" t="s">
        <v>23</v>
      </c>
      <c r="D22" s="31" t="s">
        <v>22</v>
      </c>
      <c r="E22" s="31" t="s">
        <v>258</v>
      </c>
      <c r="F22" s="31" t="s">
        <v>28</v>
      </c>
      <c r="G22" s="31" t="s">
        <v>29</v>
      </c>
      <c r="H22" s="31" t="s">
        <v>27</v>
      </c>
      <c r="I22" s="31" t="s">
        <v>360</v>
      </c>
      <c r="J22" s="32" t="s">
        <v>253</v>
      </c>
      <c r="L22" s="117" t="s">
        <v>1299</v>
      </c>
    </row>
    <row r="23" spans="1:19" x14ac:dyDescent="0.25">
      <c r="A23" s="98">
        <v>401</v>
      </c>
      <c r="B23" s="99" t="s">
        <v>132</v>
      </c>
      <c r="C23" s="99" t="s">
        <v>1265</v>
      </c>
      <c r="D23" s="99" t="s">
        <v>1266</v>
      </c>
      <c r="E23" s="99" t="s">
        <v>1262</v>
      </c>
      <c r="F23" s="99">
        <v>8006</v>
      </c>
      <c r="G23" s="99" t="s">
        <v>199</v>
      </c>
      <c r="H23" s="99" t="s">
        <v>31</v>
      </c>
      <c r="I23" s="99" t="s">
        <v>1267</v>
      </c>
      <c r="J23" s="100" t="s">
        <v>1268</v>
      </c>
    </row>
    <row r="24" spans="1:19" x14ac:dyDescent="0.25">
      <c r="A24" s="96">
        <v>400</v>
      </c>
      <c r="B24" s="4" t="s">
        <v>132</v>
      </c>
      <c r="C24" s="4" t="s">
        <v>1260</v>
      </c>
      <c r="D24" s="4" t="s">
        <v>1261</v>
      </c>
      <c r="E24" s="4" t="s">
        <v>1262</v>
      </c>
      <c r="F24" s="4">
        <v>8862</v>
      </c>
      <c r="G24" s="4" t="s">
        <v>445</v>
      </c>
      <c r="H24" s="4" t="s">
        <v>31</v>
      </c>
      <c r="I24" s="4" t="s">
        <v>1263</v>
      </c>
      <c r="J24" s="26" t="s">
        <v>1264</v>
      </c>
    </row>
    <row r="25" spans="1:19" x14ac:dyDescent="0.25">
      <c r="A25" s="96">
        <v>399</v>
      </c>
      <c r="B25" s="4" t="s">
        <v>132</v>
      </c>
      <c r="C25" s="4" t="s">
        <v>472</v>
      </c>
      <c r="D25" s="4" t="s">
        <v>1257</v>
      </c>
      <c r="E25" s="4" t="s">
        <v>1258</v>
      </c>
      <c r="F25" s="4">
        <v>8852</v>
      </c>
      <c r="G25" s="4" t="s">
        <v>110</v>
      </c>
      <c r="H25" s="4" t="s">
        <v>31</v>
      </c>
      <c r="I25" s="4" t="s">
        <v>1259</v>
      </c>
      <c r="J25" s="26" t="s">
        <v>481</v>
      </c>
    </row>
    <row r="26" spans="1:19" x14ac:dyDescent="0.25">
      <c r="A26" s="96">
        <v>397</v>
      </c>
      <c r="B26" s="4" t="s">
        <v>132</v>
      </c>
      <c r="C26" s="4" t="s">
        <v>472</v>
      </c>
      <c r="D26" s="4" t="s">
        <v>1254</v>
      </c>
      <c r="E26" s="4" t="s">
        <v>1255</v>
      </c>
      <c r="F26" s="4">
        <v>8852</v>
      </c>
      <c r="G26" s="4" t="s">
        <v>110</v>
      </c>
      <c r="H26" s="4" t="s">
        <v>31</v>
      </c>
      <c r="I26" s="4" t="s">
        <v>1256</v>
      </c>
      <c r="J26" s="26" t="s">
        <v>481</v>
      </c>
    </row>
    <row r="27" spans="1:19" x14ac:dyDescent="0.25">
      <c r="A27" s="96">
        <v>396</v>
      </c>
      <c r="B27" s="4" t="s">
        <v>132</v>
      </c>
      <c r="C27" s="4" t="s">
        <v>1251</v>
      </c>
      <c r="D27" s="4" t="s">
        <v>1252</v>
      </c>
      <c r="E27" s="4" t="s">
        <v>1245</v>
      </c>
      <c r="F27" s="4">
        <v>8832</v>
      </c>
      <c r="G27" s="4" t="s">
        <v>176</v>
      </c>
      <c r="H27" s="4" t="s">
        <v>31</v>
      </c>
      <c r="I27" s="4" t="s">
        <v>1253</v>
      </c>
      <c r="J27" s="26" t="s">
        <v>1089</v>
      </c>
    </row>
    <row r="28" spans="1:19" x14ac:dyDescent="0.25">
      <c r="A28" s="96">
        <v>395</v>
      </c>
      <c r="B28" s="4" t="s">
        <v>107</v>
      </c>
      <c r="C28" s="4" t="s">
        <v>1247</v>
      </c>
      <c r="D28" s="4" t="s">
        <v>1248</v>
      </c>
      <c r="E28" s="4" t="s">
        <v>1245</v>
      </c>
      <c r="F28" s="4">
        <v>8853</v>
      </c>
      <c r="G28" s="4" t="s">
        <v>117</v>
      </c>
      <c r="H28" s="4" t="s">
        <v>31</v>
      </c>
      <c r="I28" s="4" t="s">
        <v>1249</v>
      </c>
      <c r="J28" s="26" t="s">
        <v>1250</v>
      </c>
    </row>
    <row r="29" spans="1:19" x14ac:dyDescent="0.25">
      <c r="A29" s="96">
        <v>394</v>
      </c>
      <c r="B29" s="4" t="s">
        <v>107</v>
      </c>
      <c r="C29" s="4" t="s">
        <v>701</v>
      </c>
      <c r="D29" s="4" t="s">
        <v>1241</v>
      </c>
      <c r="E29" s="4" t="s">
        <v>1245</v>
      </c>
      <c r="F29" s="4">
        <v>8853</v>
      </c>
      <c r="G29" s="4" t="s">
        <v>117</v>
      </c>
      <c r="H29" s="4" t="s">
        <v>31</v>
      </c>
      <c r="I29" s="4" t="s">
        <v>1246</v>
      </c>
      <c r="J29" s="26"/>
    </row>
    <row r="30" spans="1:19" x14ac:dyDescent="0.25">
      <c r="A30" s="96">
        <v>393</v>
      </c>
      <c r="B30" s="4" t="s">
        <v>132</v>
      </c>
      <c r="C30" s="4" t="s">
        <v>1240</v>
      </c>
      <c r="D30" s="4" t="s">
        <v>1241</v>
      </c>
      <c r="E30" s="4" t="s">
        <v>1242</v>
      </c>
      <c r="F30" s="4">
        <v>8645</v>
      </c>
      <c r="G30" s="4" t="s">
        <v>642</v>
      </c>
      <c r="H30" s="4" t="s">
        <v>31</v>
      </c>
      <c r="I30" s="4" t="s">
        <v>1243</v>
      </c>
      <c r="J30" s="26" t="s">
        <v>1244</v>
      </c>
    </row>
    <row r="31" spans="1:19" x14ac:dyDescent="0.25">
      <c r="A31" s="96">
        <v>392</v>
      </c>
      <c r="B31" s="4" t="s">
        <v>107</v>
      </c>
      <c r="C31" s="4" t="s">
        <v>1235</v>
      </c>
      <c r="D31" s="4" t="s">
        <v>1236</v>
      </c>
      <c r="E31" s="4" t="s">
        <v>1237</v>
      </c>
      <c r="F31" s="4">
        <v>8852</v>
      </c>
      <c r="G31" s="4" t="s">
        <v>110</v>
      </c>
      <c r="H31" s="4" t="s">
        <v>31</v>
      </c>
      <c r="I31" s="4" t="s">
        <v>1238</v>
      </c>
      <c r="J31" s="26" t="s">
        <v>1239</v>
      </c>
    </row>
    <row r="32" spans="1:19" x14ac:dyDescent="0.25">
      <c r="A32" s="96">
        <v>391</v>
      </c>
      <c r="B32" s="4" t="s">
        <v>132</v>
      </c>
      <c r="C32" s="4" t="s">
        <v>821</v>
      </c>
      <c r="D32" s="4" t="s">
        <v>1233</v>
      </c>
      <c r="E32" s="4" t="s">
        <v>1230</v>
      </c>
      <c r="F32" s="4">
        <v>8853</v>
      </c>
      <c r="G32" s="4" t="s">
        <v>117</v>
      </c>
      <c r="H32" s="4" t="s">
        <v>31</v>
      </c>
      <c r="I32" s="4" t="s">
        <v>1234</v>
      </c>
      <c r="J32" s="26" t="s">
        <v>1232</v>
      </c>
    </row>
    <row r="33" spans="1:19" x14ac:dyDescent="0.25">
      <c r="A33" s="96">
        <v>389</v>
      </c>
      <c r="B33" s="4" t="s">
        <v>107</v>
      </c>
      <c r="C33" s="4" t="s">
        <v>1226</v>
      </c>
      <c r="D33" s="4" t="s">
        <v>1227</v>
      </c>
      <c r="E33" s="4" t="s">
        <v>1228</v>
      </c>
      <c r="F33" s="4">
        <v>8853</v>
      </c>
      <c r="G33" s="4" t="s">
        <v>117</v>
      </c>
      <c r="H33" s="4" t="s">
        <v>31</v>
      </c>
      <c r="I33" s="4" t="s">
        <v>1229</v>
      </c>
      <c r="J33" s="26"/>
    </row>
    <row r="34" spans="1:19" x14ac:dyDescent="0.25">
      <c r="A34" s="96">
        <v>390</v>
      </c>
      <c r="B34" s="4" t="s">
        <v>121</v>
      </c>
      <c r="C34" s="4" t="s">
        <v>821</v>
      </c>
      <c r="D34" s="4" t="s">
        <v>1227</v>
      </c>
      <c r="E34" s="4" t="s">
        <v>1230</v>
      </c>
      <c r="F34" s="4">
        <v>8853</v>
      </c>
      <c r="G34" s="4" t="s">
        <v>117</v>
      </c>
      <c r="H34" s="4" t="s">
        <v>31</v>
      </c>
      <c r="I34" s="4" t="s">
        <v>1231</v>
      </c>
      <c r="J34" s="26" t="s">
        <v>1232</v>
      </c>
    </row>
    <row r="35" spans="1:19" x14ac:dyDescent="0.25">
      <c r="A35" s="96">
        <v>388</v>
      </c>
      <c r="B35" s="4" t="s">
        <v>107</v>
      </c>
      <c r="C35" s="4" t="s">
        <v>1010</v>
      </c>
      <c r="D35" s="4" t="s">
        <v>1222</v>
      </c>
      <c r="E35" s="4" t="s">
        <v>1223</v>
      </c>
      <c r="F35" s="4">
        <v>8853</v>
      </c>
      <c r="G35" s="4" t="s">
        <v>117</v>
      </c>
      <c r="H35" s="4" t="s">
        <v>31</v>
      </c>
      <c r="I35" s="4" t="s">
        <v>1224</v>
      </c>
      <c r="J35" s="26" t="s">
        <v>1225</v>
      </c>
    </row>
    <row r="36" spans="1:19" x14ac:dyDescent="0.25">
      <c r="A36" s="96">
        <v>387</v>
      </c>
      <c r="B36" s="4" t="s">
        <v>132</v>
      </c>
      <c r="C36" s="4" t="s">
        <v>1214</v>
      </c>
      <c r="D36" s="4" t="s">
        <v>1219</v>
      </c>
      <c r="E36" s="4" t="s">
        <v>1220</v>
      </c>
      <c r="F36" s="4">
        <v>8852</v>
      </c>
      <c r="G36" s="4" t="s">
        <v>110</v>
      </c>
      <c r="H36" s="4" t="s">
        <v>31</v>
      </c>
      <c r="I36" s="4" t="s">
        <v>1221</v>
      </c>
      <c r="J36" s="26" t="s">
        <v>1218</v>
      </c>
    </row>
    <row r="37" spans="1:19" x14ac:dyDescent="0.25">
      <c r="A37" s="96">
        <v>386</v>
      </c>
      <c r="B37" s="4" t="s">
        <v>121</v>
      </c>
      <c r="C37" s="4" t="s">
        <v>1214</v>
      </c>
      <c r="D37" s="4" t="s">
        <v>1215</v>
      </c>
      <c r="E37" s="4" t="s">
        <v>1216</v>
      </c>
      <c r="F37" s="4">
        <v>8852</v>
      </c>
      <c r="G37" s="4" t="s">
        <v>110</v>
      </c>
      <c r="H37" s="4" t="s">
        <v>31</v>
      </c>
      <c r="I37" s="4" t="s">
        <v>1217</v>
      </c>
      <c r="J37" s="26" t="s">
        <v>1218</v>
      </c>
    </row>
    <row r="38" spans="1:19" x14ac:dyDescent="0.25">
      <c r="A38" s="96">
        <v>385</v>
      </c>
      <c r="B38" s="4" t="s">
        <v>107</v>
      </c>
      <c r="C38" s="4" t="s">
        <v>1210</v>
      </c>
      <c r="D38" s="4" t="s">
        <v>1206</v>
      </c>
      <c r="E38" s="4" t="s">
        <v>1211</v>
      </c>
      <c r="F38" s="4">
        <v>8854</v>
      </c>
      <c r="G38" s="4" t="s">
        <v>145</v>
      </c>
      <c r="H38" s="4" t="s">
        <v>31</v>
      </c>
      <c r="I38" s="4" t="s">
        <v>1212</v>
      </c>
      <c r="J38" s="26" t="s">
        <v>1213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6">
        <v>384</v>
      </c>
      <c r="B39" s="4" t="s">
        <v>132</v>
      </c>
      <c r="C39" s="4" t="s">
        <v>1205</v>
      </c>
      <c r="D39" s="4" t="s">
        <v>1206</v>
      </c>
      <c r="E39" s="4" t="s">
        <v>1199</v>
      </c>
      <c r="F39" s="4">
        <v>8752</v>
      </c>
      <c r="G39" s="4" t="s">
        <v>1207</v>
      </c>
      <c r="H39" s="4" t="s">
        <v>31</v>
      </c>
      <c r="I39" s="4" t="s">
        <v>1208</v>
      </c>
      <c r="J39" s="26" t="s">
        <v>1209</v>
      </c>
      <c r="L39" s="44"/>
      <c r="M39" s="118"/>
      <c r="N39" s="44"/>
      <c r="O39" s="44"/>
      <c r="P39" s="44"/>
      <c r="Q39" s="44"/>
      <c r="R39" s="44"/>
      <c r="S39" s="44"/>
    </row>
    <row r="40" spans="1:19" x14ac:dyDescent="0.25">
      <c r="A40" s="96">
        <v>383</v>
      </c>
      <c r="B40" s="4" t="s">
        <v>107</v>
      </c>
      <c r="C40" s="4" t="s">
        <v>1201</v>
      </c>
      <c r="D40" s="4" t="s">
        <v>1202</v>
      </c>
      <c r="E40" s="4" t="s">
        <v>1199</v>
      </c>
      <c r="F40" s="4">
        <v>8852</v>
      </c>
      <c r="G40" s="4" t="s">
        <v>110</v>
      </c>
      <c r="H40" s="4" t="s">
        <v>31</v>
      </c>
      <c r="I40" s="4" t="s">
        <v>1203</v>
      </c>
      <c r="J40" s="26" t="s">
        <v>1204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6">
        <v>382</v>
      </c>
      <c r="B41" s="4" t="s">
        <v>132</v>
      </c>
      <c r="C41" s="4" t="s">
        <v>390</v>
      </c>
      <c r="D41" s="4" t="s">
        <v>1198</v>
      </c>
      <c r="E41" s="4" t="s">
        <v>1199</v>
      </c>
      <c r="F41" s="4">
        <v>8854</v>
      </c>
      <c r="G41" s="4" t="s">
        <v>145</v>
      </c>
      <c r="H41" s="4" t="s">
        <v>31</v>
      </c>
      <c r="I41" s="4" t="s">
        <v>1200</v>
      </c>
      <c r="J41" s="26" t="s">
        <v>393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6">
        <v>381</v>
      </c>
      <c r="B42" s="4" t="s">
        <v>132</v>
      </c>
      <c r="C42" s="4" t="s">
        <v>1193</v>
      </c>
      <c r="D42" s="4" t="s">
        <v>1194</v>
      </c>
      <c r="E42" s="4" t="s">
        <v>1195</v>
      </c>
      <c r="F42" s="4">
        <v>8853</v>
      </c>
      <c r="G42" s="4" t="s">
        <v>117</v>
      </c>
      <c r="H42" s="4" t="s">
        <v>31</v>
      </c>
      <c r="I42" s="4" t="s">
        <v>1196</v>
      </c>
      <c r="J42" s="26" t="s">
        <v>1197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6">
        <v>379</v>
      </c>
      <c r="B43" s="4" t="s">
        <v>132</v>
      </c>
      <c r="C43" s="4" t="s">
        <v>1123</v>
      </c>
      <c r="D43" s="4" t="s">
        <v>1187</v>
      </c>
      <c r="E43" s="4" t="s">
        <v>1188</v>
      </c>
      <c r="F43" s="4">
        <v>8834</v>
      </c>
      <c r="G43" s="4" t="s">
        <v>656</v>
      </c>
      <c r="H43" s="4" t="s">
        <v>31</v>
      </c>
      <c r="I43" s="4" t="s">
        <v>1189</v>
      </c>
      <c r="J43" s="26" t="s">
        <v>1146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6">
        <v>380</v>
      </c>
      <c r="B44" s="4" t="s">
        <v>107</v>
      </c>
      <c r="C44" s="4" t="s">
        <v>1190</v>
      </c>
      <c r="D44" s="4" t="s">
        <v>1187</v>
      </c>
      <c r="E44" s="4" t="s">
        <v>1191</v>
      </c>
      <c r="F44" s="4">
        <v>8807</v>
      </c>
      <c r="G44" s="4" t="s">
        <v>135</v>
      </c>
      <c r="H44" s="4" t="s">
        <v>31</v>
      </c>
      <c r="I44" s="4" t="s">
        <v>1192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6">
        <v>378</v>
      </c>
      <c r="B45" s="4" t="s">
        <v>132</v>
      </c>
      <c r="C45" s="4" t="s">
        <v>1184</v>
      </c>
      <c r="D45" s="4" t="s">
        <v>1180</v>
      </c>
      <c r="E45" s="4" t="s">
        <v>1185</v>
      </c>
      <c r="F45" s="4">
        <v>8708</v>
      </c>
      <c r="G45" s="4" t="s">
        <v>124</v>
      </c>
      <c r="H45" s="4" t="s">
        <v>31</v>
      </c>
      <c r="I45" s="4" t="s">
        <v>1186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6">
        <v>377</v>
      </c>
      <c r="B46" s="4" t="s">
        <v>132</v>
      </c>
      <c r="C46" s="4" t="s">
        <v>1179</v>
      </c>
      <c r="D46" s="4" t="s">
        <v>1180</v>
      </c>
      <c r="E46" s="4" t="s">
        <v>1181</v>
      </c>
      <c r="F46" s="4">
        <v>8853</v>
      </c>
      <c r="G46" s="4" t="s">
        <v>117</v>
      </c>
      <c r="H46" s="4" t="s">
        <v>31</v>
      </c>
      <c r="I46" s="4" t="s">
        <v>1182</v>
      </c>
      <c r="J46" s="26" t="s">
        <v>1183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6">
        <v>376</v>
      </c>
      <c r="B47" s="4" t="s">
        <v>107</v>
      </c>
      <c r="C47" s="4" t="s">
        <v>1174</v>
      </c>
      <c r="D47" s="4" t="s">
        <v>1175</v>
      </c>
      <c r="E47" s="4" t="s">
        <v>1176</v>
      </c>
      <c r="F47" s="4">
        <v>8807</v>
      </c>
      <c r="G47" s="4" t="s">
        <v>135</v>
      </c>
      <c r="H47" s="4" t="s">
        <v>31</v>
      </c>
      <c r="I47" s="4" t="s">
        <v>1177</v>
      </c>
      <c r="J47" s="26" t="s">
        <v>1178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6">
        <v>375</v>
      </c>
      <c r="B48" s="4" t="s">
        <v>132</v>
      </c>
      <c r="C48" s="4" t="s">
        <v>1169</v>
      </c>
      <c r="D48" s="4" t="s">
        <v>1170</v>
      </c>
      <c r="E48" s="4" t="s">
        <v>1171</v>
      </c>
      <c r="F48" s="4">
        <v>8864</v>
      </c>
      <c r="G48" s="4" t="s">
        <v>819</v>
      </c>
      <c r="H48" s="4" t="s">
        <v>31</v>
      </c>
      <c r="I48" s="4" t="s">
        <v>1172</v>
      </c>
      <c r="J48" s="26" t="s">
        <v>1173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6">
        <v>374</v>
      </c>
      <c r="B49" s="4" t="s">
        <v>107</v>
      </c>
      <c r="C49" s="4" t="s">
        <v>1160</v>
      </c>
      <c r="D49" s="4" t="s">
        <v>1167</v>
      </c>
      <c r="E49" s="4" t="s">
        <v>1165</v>
      </c>
      <c r="F49" s="4">
        <v>7610</v>
      </c>
      <c r="G49" s="4" t="s">
        <v>1162</v>
      </c>
      <c r="H49" s="4" t="s">
        <v>31</v>
      </c>
      <c r="I49" s="4" t="s">
        <v>1168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6">
        <v>373</v>
      </c>
      <c r="B50" s="4" t="s">
        <v>132</v>
      </c>
      <c r="C50" s="4" t="s">
        <v>1160</v>
      </c>
      <c r="D50" s="4" t="s">
        <v>1164</v>
      </c>
      <c r="E50" s="4" t="s">
        <v>1165</v>
      </c>
      <c r="F50" s="4">
        <v>7610</v>
      </c>
      <c r="G50" s="4" t="s">
        <v>1162</v>
      </c>
      <c r="H50" s="4" t="s">
        <v>31</v>
      </c>
      <c r="I50" s="4" t="s">
        <v>1166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6">
        <v>372</v>
      </c>
      <c r="B51" s="4" t="s">
        <v>121</v>
      </c>
      <c r="C51" s="4" t="s">
        <v>1160</v>
      </c>
      <c r="D51" s="4" t="s">
        <v>1147</v>
      </c>
      <c r="E51" s="4" t="s">
        <v>1161</v>
      </c>
      <c r="F51" s="4">
        <v>7610</v>
      </c>
      <c r="G51" s="4" t="s">
        <v>1162</v>
      </c>
      <c r="H51" s="4" t="s">
        <v>31</v>
      </c>
      <c r="I51" s="4" t="s">
        <v>1163</v>
      </c>
      <c r="J51" s="26"/>
      <c r="L51" s="44"/>
      <c r="M51" s="44"/>
      <c r="N51" s="44"/>
      <c r="O51" s="44"/>
      <c r="P51" s="44"/>
      <c r="Q51" s="119"/>
      <c r="R51" s="44"/>
      <c r="S51" s="44"/>
    </row>
    <row r="52" spans="1:19" x14ac:dyDescent="0.25">
      <c r="A52" s="96">
        <v>370</v>
      </c>
      <c r="B52" s="4" t="s">
        <v>121</v>
      </c>
      <c r="C52" s="4" t="s">
        <v>701</v>
      </c>
      <c r="D52" s="4" t="s">
        <v>1147</v>
      </c>
      <c r="E52" s="4" t="s">
        <v>1156</v>
      </c>
      <c r="F52" s="4">
        <v>8854</v>
      </c>
      <c r="G52" s="4" t="s">
        <v>145</v>
      </c>
      <c r="H52" s="4" t="s">
        <v>31</v>
      </c>
      <c r="I52" s="4" t="s">
        <v>1157</v>
      </c>
      <c r="J52" s="26" t="s">
        <v>1158</v>
      </c>
      <c r="L52" s="44"/>
      <c r="M52" s="44"/>
      <c r="N52" s="44"/>
      <c r="O52" s="44"/>
      <c r="P52" s="44"/>
      <c r="Q52" s="119"/>
      <c r="R52" s="120"/>
      <c r="S52" s="44"/>
    </row>
    <row r="53" spans="1:19" x14ac:dyDescent="0.25">
      <c r="A53" s="96">
        <v>371</v>
      </c>
      <c r="B53" s="4" t="s">
        <v>132</v>
      </c>
      <c r="C53" s="4" t="s">
        <v>701</v>
      </c>
      <c r="D53" s="4" t="s">
        <v>1147</v>
      </c>
      <c r="E53" s="4" t="s">
        <v>1159</v>
      </c>
      <c r="F53" s="4">
        <v>8854</v>
      </c>
      <c r="G53" s="4" t="s">
        <v>145</v>
      </c>
      <c r="H53" s="4" t="s">
        <v>31</v>
      </c>
      <c r="I53" s="4" t="s">
        <v>1157</v>
      </c>
      <c r="J53" s="26" t="s">
        <v>1158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6">
        <v>367</v>
      </c>
      <c r="B54" s="4" t="s">
        <v>132</v>
      </c>
      <c r="C54" s="4" t="s">
        <v>1123</v>
      </c>
      <c r="D54" s="4" t="s">
        <v>1147</v>
      </c>
      <c r="E54" s="4" t="s">
        <v>1143</v>
      </c>
      <c r="F54" s="4">
        <v>8834</v>
      </c>
      <c r="G54" s="4" t="s">
        <v>656</v>
      </c>
      <c r="H54" s="4" t="s">
        <v>31</v>
      </c>
      <c r="I54" s="4" t="s">
        <v>1148</v>
      </c>
      <c r="J54" s="26" t="s">
        <v>1146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6">
        <v>368</v>
      </c>
      <c r="B55" s="4" t="s">
        <v>107</v>
      </c>
      <c r="C55" s="4" t="s">
        <v>1149</v>
      </c>
      <c r="D55" s="4" t="s">
        <v>1147</v>
      </c>
      <c r="E55" s="4" t="s">
        <v>1150</v>
      </c>
      <c r="F55" s="4">
        <v>8853</v>
      </c>
      <c r="G55" s="4" t="s">
        <v>117</v>
      </c>
      <c r="H55" s="4" t="s">
        <v>31</v>
      </c>
      <c r="I55" s="4" t="s">
        <v>1151</v>
      </c>
      <c r="J55" s="26"/>
    </row>
    <row r="56" spans="1:19" x14ac:dyDescent="0.25">
      <c r="A56" s="96">
        <v>369</v>
      </c>
      <c r="B56" s="4" t="s">
        <v>107</v>
      </c>
      <c r="C56" s="4" t="s">
        <v>1152</v>
      </c>
      <c r="D56" s="4" t="s">
        <v>1147</v>
      </c>
      <c r="E56" s="4" t="s">
        <v>1153</v>
      </c>
      <c r="F56" s="4">
        <v>8853</v>
      </c>
      <c r="G56" s="4" t="s">
        <v>117</v>
      </c>
      <c r="H56" s="4" t="s">
        <v>31</v>
      </c>
      <c r="I56" s="4" t="s">
        <v>1154</v>
      </c>
      <c r="J56" s="26" t="s">
        <v>1155</v>
      </c>
    </row>
    <row r="57" spans="1:19" x14ac:dyDescent="0.25">
      <c r="A57" s="96">
        <v>366</v>
      </c>
      <c r="B57" s="4" t="s">
        <v>121</v>
      </c>
      <c r="C57" s="4" t="s">
        <v>1123</v>
      </c>
      <c r="D57" s="4" t="s">
        <v>1144</v>
      </c>
      <c r="E57" s="4" t="s">
        <v>1143</v>
      </c>
      <c r="F57" s="4">
        <v>8834</v>
      </c>
      <c r="G57" s="4" t="s">
        <v>656</v>
      </c>
      <c r="H57" s="4" t="s">
        <v>31</v>
      </c>
      <c r="I57" s="4" t="s">
        <v>1145</v>
      </c>
      <c r="J57" s="26" t="s">
        <v>1146</v>
      </c>
    </row>
    <row r="58" spans="1:19" x14ac:dyDescent="0.25">
      <c r="A58" s="96">
        <v>364</v>
      </c>
      <c r="B58" s="4" t="s">
        <v>107</v>
      </c>
      <c r="C58" s="4" t="s">
        <v>1139</v>
      </c>
      <c r="D58" s="4" t="s">
        <v>1140</v>
      </c>
      <c r="E58" s="4" t="s">
        <v>1141</v>
      </c>
      <c r="F58" s="4">
        <v>8853</v>
      </c>
      <c r="G58" s="4" t="s">
        <v>117</v>
      </c>
      <c r="H58" s="4" t="s">
        <v>31</v>
      </c>
      <c r="I58" s="4" t="s">
        <v>1142</v>
      </c>
      <c r="J58" s="26" t="s">
        <v>1134</v>
      </c>
    </row>
    <row r="59" spans="1:19" x14ac:dyDescent="0.25">
      <c r="A59" s="96">
        <v>365</v>
      </c>
      <c r="B59" s="4" t="s">
        <v>132</v>
      </c>
      <c r="C59" s="4" t="s">
        <v>1139</v>
      </c>
      <c r="D59" s="4" t="s">
        <v>1140</v>
      </c>
      <c r="E59" s="4" t="s">
        <v>1143</v>
      </c>
      <c r="F59" s="4">
        <v>8853</v>
      </c>
      <c r="G59" s="4" t="s">
        <v>117</v>
      </c>
      <c r="H59" s="4" t="s">
        <v>31</v>
      </c>
      <c r="I59" s="4" t="s">
        <v>1142</v>
      </c>
      <c r="J59" s="26" t="s">
        <v>1134</v>
      </c>
    </row>
    <row r="60" spans="1:19" x14ac:dyDescent="0.25">
      <c r="A60" s="96">
        <v>363</v>
      </c>
      <c r="B60" s="4" t="s">
        <v>132</v>
      </c>
      <c r="C60" s="4" t="s">
        <v>1135</v>
      </c>
      <c r="D60" s="4" t="s">
        <v>1136</v>
      </c>
      <c r="E60" s="4" t="s">
        <v>1137</v>
      </c>
      <c r="F60" s="4">
        <v>8853</v>
      </c>
      <c r="G60" s="4" t="s">
        <v>117</v>
      </c>
      <c r="H60" s="4" t="s">
        <v>31</v>
      </c>
      <c r="I60" s="4" t="s">
        <v>1138</v>
      </c>
      <c r="J60" s="26" t="s">
        <v>1134</v>
      </c>
    </row>
    <row r="61" spans="1:19" x14ac:dyDescent="0.25">
      <c r="A61" s="96">
        <v>362</v>
      </c>
      <c r="B61" s="4" t="s">
        <v>121</v>
      </c>
      <c r="C61" s="4" t="s">
        <v>1130</v>
      </c>
      <c r="D61" s="4" t="s">
        <v>1131</v>
      </c>
      <c r="E61" s="4" t="s">
        <v>1132</v>
      </c>
      <c r="F61" s="4">
        <v>8853</v>
      </c>
      <c r="G61" s="4" t="s">
        <v>117</v>
      </c>
      <c r="H61" s="4" t="s">
        <v>31</v>
      </c>
      <c r="I61" s="4" t="s">
        <v>1133</v>
      </c>
      <c r="J61" s="26" t="s">
        <v>1134</v>
      </c>
    </row>
    <row r="62" spans="1:19" x14ac:dyDescent="0.25">
      <c r="A62" s="96">
        <v>361</v>
      </c>
      <c r="B62" s="4" t="s">
        <v>132</v>
      </c>
      <c r="C62" s="4" t="s">
        <v>1123</v>
      </c>
      <c r="D62" s="4" t="s">
        <v>1128</v>
      </c>
      <c r="E62" s="4" t="s">
        <v>1125</v>
      </c>
      <c r="F62" s="4">
        <v>8716</v>
      </c>
      <c r="G62" s="4" t="s">
        <v>1126</v>
      </c>
      <c r="H62" s="4" t="s">
        <v>31</v>
      </c>
      <c r="I62" s="4" t="s">
        <v>1129</v>
      </c>
      <c r="J62" s="26"/>
    </row>
    <row r="63" spans="1:19" x14ac:dyDescent="0.25">
      <c r="A63" s="96">
        <v>360</v>
      </c>
      <c r="B63" s="4" t="s">
        <v>121</v>
      </c>
      <c r="C63" s="4" t="s">
        <v>1123</v>
      </c>
      <c r="D63" s="4" t="s">
        <v>1124</v>
      </c>
      <c r="E63" s="4" t="s">
        <v>1125</v>
      </c>
      <c r="F63" s="4">
        <v>8716</v>
      </c>
      <c r="G63" s="4" t="s">
        <v>1126</v>
      </c>
      <c r="H63" s="4" t="s">
        <v>31</v>
      </c>
      <c r="I63" s="4" t="s">
        <v>1127</v>
      </c>
      <c r="J63" s="26"/>
    </row>
    <row r="64" spans="1:19" x14ac:dyDescent="0.25">
      <c r="A64" s="96">
        <v>359</v>
      </c>
      <c r="B64" s="4" t="s">
        <v>132</v>
      </c>
      <c r="C64" s="4" t="s">
        <v>1118</v>
      </c>
      <c r="D64" s="4" t="s">
        <v>1119</v>
      </c>
      <c r="E64" s="4" t="s">
        <v>1120</v>
      </c>
      <c r="F64" s="4">
        <v>8854</v>
      </c>
      <c r="G64" s="4" t="s">
        <v>145</v>
      </c>
      <c r="H64" s="4" t="s">
        <v>31</v>
      </c>
      <c r="I64" s="4" t="s">
        <v>1121</v>
      </c>
      <c r="J64" s="26" t="s">
        <v>1122</v>
      </c>
    </row>
    <row r="65" spans="1:10" x14ac:dyDescent="0.25">
      <c r="A65" s="96">
        <v>358</v>
      </c>
      <c r="B65" s="4" t="s">
        <v>132</v>
      </c>
      <c r="C65" s="4" t="s">
        <v>192</v>
      </c>
      <c r="D65" s="4" t="s">
        <v>1114</v>
      </c>
      <c r="E65" s="4" t="s">
        <v>1115</v>
      </c>
      <c r="F65" s="4">
        <v>8854</v>
      </c>
      <c r="G65" s="4" t="s">
        <v>145</v>
      </c>
      <c r="H65" s="4" t="s">
        <v>31</v>
      </c>
      <c r="I65" s="4" t="s">
        <v>1116</v>
      </c>
      <c r="J65" s="26" t="s">
        <v>1117</v>
      </c>
    </row>
    <row r="66" spans="1:10" x14ac:dyDescent="0.25">
      <c r="A66" s="96">
        <v>357</v>
      </c>
      <c r="B66" s="4" t="s">
        <v>107</v>
      </c>
      <c r="C66" s="4" t="s">
        <v>1109</v>
      </c>
      <c r="D66" s="4" t="s">
        <v>1110</v>
      </c>
      <c r="E66" s="4" t="s">
        <v>1111</v>
      </c>
      <c r="F66" s="4">
        <v>8854</v>
      </c>
      <c r="G66" s="4" t="s">
        <v>145</v>
      </c>
      <c r="H66" s="4" t="s">
        <v>31</v>
      </c>
      <c r="I66" s="4" t="s">
        <v>1112</v>
      </c>
      <c r="J66" s="26" t="s">
        <v>1113</v>
      </c>
    </row>
    <row r="67" spans="1:10" x14ac:dyDescent="0.25">
      <c r="A67" s="96">
        <v>356</v>
      </c>
      <c r="B67" s="4" t="s">
        <v>107</v>
      </c>
      <c r="C67" s="4" t="s">
        <v>1105</v>
      </c>
      <c r="D67" s="4" t="s">
        <v>143</v>
      </c>
      <c r="E67" s="4" t="s">
        <v>1106</v>
      </c>
      <c r="F67" s="4">
        <v>8853</v>
      </c>
      <c r="G67" s="4" t="s">
        <v>734</v>
      </c>
      <c r="H67" s="4" t="s">
        <v>31</v>
      </c>
      <c r="I67" s="4" t="s">
        <v>1107</v>
      </c>
      <c r="J67" s="26" t="s">
        <v>1108</v>
      </c>
    </row>
    <row r="68" spans="1:10" x14ac:dyDescent="0.25">
      <c r="A68" s="96">
        <v>353</v>
      </c>
      <c r="B68" s="4" t="s">
        <v>132</v>
      </c>
      <c r="C68" s="4" t="s">
        <v>1093</v>
      </c>
      <c r="D68" s="4" t="s">
        <v>1094</v>
      </c>
      <c r="E68" s="4" t="s">
        <v>1095</v>
      </c>
      <c r="F68" s="4">
        <v>8047</v>
      </c>
      <c r="G68" s="4" t="s">
        <v>199</v>
      </c>
      <c r="H68" s="4" t="s">
        <v>31</v>
      </c>
      <c r="I68" s="4" t="s">
        <v>1096</v>
      </c>
      <c r="J68" s="26" t="s">
        <v>1097</v>
      </c>
    </row>
    <row r="69" spans="1:10" x14ac:dyDescent="0.25">
      <c r="A69" s="96">
        <v>354</v>
      </c>
      <c r="B69" s="4" t="s">
        <v>121</v>
      </c>
      <c r="C69" s="4" t="s">
        <v>1052</v>
      </c>
      <c r="D69" s="4" t="s">
        <v>1094</v>
      </c>
      <c r="E69" s="4" t="s">
        <v>1098</v>
      </c>
      <c r="F69" s="4">
        <v>8832</v>
      </c>
      <c r="G69" s="4" t="s">
        <v>960</v>
      </c>
      <c r="H69" s="4" t="s">
        <v>31</v>
      </c>
      <c r="I69" s="4" t="s">
        <v>1099</v>
      </c>
      <c r="J69" s="26" t="s">
        <v>1100</v>
      </c>
    </row>
    <row r="70" spans="1:10" x14ac:dyDescent="0.25">
      <c r="A70" s="96">
        <v>355</v>
      </c>
      <c r="B70" s="4" t="s">
        <v>132</v>
      </c>
      <c r="C70" s="4" t="s">
        <v>1101</v>
      </c>
      <c r="D70" s="4" t="s">
        <v>1094</v>
      </c>
      <c r="E70" s="4" t="s">
        <v>1098</v>
      </c>
      <c r="F70" s="4">
        <v>8700</v>
      </c>
      <c r="G70" s="4" t="s">
        <v>1102</v>
      </c>
      <c r="H70" s="4" t="s">
        <v>31</v>
      </c>
      <c r="I70" s="4" t="s">
        <v>1103</v>
      </c>
      <c r="J70" s="26" t="s">
        <v>1104</v>
      </c>
    </row>
    <row r="71" spans="1:10" x14ac:dyDescent="0.25">
      <c r="A71" s="96">
        <v>352</v>
      </c>
      <c r="B71" s="4" t="s">
        <v>121</v>
      </c>
      <c r="C71" s="4" t="s">
        <v>717</v>
      </c>
      <c r="D71" s="4" t="s">
        <v>1090</v>
      </c>
      <c r="E71" s="4" t="s">
        <v>1091</v>
      </c>
      <c r="F71" s="4">
        <v>8853</v>
      </c>
      <c r="G71" s="4" t="s">
        <v>117</v>
      </c>
      <c r="H71" s="4" t="s">
        <v>31</v>
      </c>
      <c r="I71" s="4" t="s">
        <v>1092</v>
      </c>
      <c r="J71" s="26" t="s">
        <v>721</v>
      </c>
    </row>
    <row r="72" spans="1:10" x14ac:dyDescent="0.25">
      <c r="A72" s="96">
        <v>351</v>
      </c>
      <c r="B72" s="4" t="s">
        <v>107</v>
      </c>
      <c r="C72" s="4" t="s">
        <v>147</v>
      </c>
      <c r="D72" s="4" t="s">
        <v>1081</v>
      </c>
      <c r="E72" s="4" t="s">
        <v>1087</v>
      </c>
      <c r="F72" s="4">
        <v>8832</v>
      </c>
      <c r="G72" s="4" t="s">
        <v>176</v>
      </c>
      <c r="H72" s="4" t="s">
        <v>31</v>
      </c>
      <c r="I72" s="4" t="s">
        <v>1088</v>
      </c>
      <c r="J72" s="26" t="s">
        <v>1089</v>
      </c>
    </row>
    <row r="73" spans="1:10" x14ac:dyDescent="0.25">
      <c r="A73" s="96">
        <v>348</v>
      </c>
      <c r="B73" s="4" t="s">
        <v>132</v>
      </c>
      <c r="C73" s="4" t="s">
        <v>727</v>
      </c>
      <c r="D73" s="4" t="s">
        <v>1081</v>
      </c>
      <c r="E73" s="4" t="s">
        <v>1065</v>
      </c>
      <c r="F73" s="4">
        <v>8808</v>
      </c>
      <c r="G73" s="4" t="s">
        <v>210</v>
      </c>
      <c r="H73" s="4" t="s">
        <v>31</v>
      </c>
      <c r="I73" s="4" t="s">
        <v>1082</v>
      </c>
      <c r="J73" s="26" t="s">
        <v>730</v>
      </c>
    </row>
    <row r="74" spans="1:10" x14ac:dyDescent="0.25">
      <c r="A74" s="96">
        <v>350</v>
      </c>
      <c r="B74" s="4" t="s">
        <v>107</v>
      </c>
      <c r="C74" s="4" t="s">
        <v>1083</v>
      </c>
      <c r="D74" s="4" t="s">
        <v>1081</v>
      </c>
      <c r="E74" s="4" t="s">
        <v>1084</v>
      </c>
      <c r="F74" s="4">
        <v>8863</v>
      </c>
      <c r="G74" s="4" t="s">
        <v>140</v>
      </c>
      <c r="H74" s="4" t="s">
        <v>31</v>
      </c>
      <c r="I74" s="4" t="s">
        <v>1085</v>
      </c>
      <c r="J74" s="26" t="s">
        <v>1086</v>
      </c>
    </row>
    <row r="75" spans="1:10" x14ac:dyDescent="0.25">
      <c r="A75" s="96">
        <v>344</v>
      </c>
      <c r="B75" s="4" t="s">
        <v>107</v>
      </c>
      <c r="C75" s="4" t="s">
        <v>927</v>
      </c>
      <c r="D75" s="4" t="s">
        <v>1073</v>
      </c>
      <c r="E75" s="4" t="s">
        <v>1065</v>
      </c>
      <c r="F75" s="4">
        <v>8854</v>
      </c>
      <c r="G75" s="4" t="s">
        <v>145</v>
      </c>
      <c r="H75" s="4" t="s">
        <v>31</v>
      </c>
      <c r="I75" s="4" t="s">
        <v>1074</v>
      </c>
      <c r="J75" s="26" t="s">
        <v>1075</v>
      </c>
    </row>
    <row r="76" spans="1:10" x14ac:dyDescent="0.25">
      <c r="A76" s="96">
        <v>346</v>
      </c>
      <c r="B76" s="4" t="s">
        <v>107</v>
      </c>
      <c r="C76" s="4" t="s">
        <v>1076</v>
      </c>
      <c r="D76" s="4" t="s">
        <v>1073</v>
      </c>
      <c r="E76" s="4" t="s">
        <v>1065</v>
      </c>
      <c r="F76" s="4">
        <v>8808</v>
      </c>
      <c r="G76" s="4" t="s">
        <v>210</v>
      </c>
      <c r="H76" s="4" t="s">
        <v>31</v>
      </c>
      <c r="I76" s="4" t="s">
        <v>1077</v>
      </c>
      <c r="J76" s="26" t="s">
        <v>1078</v>
      </c>
    </row>
    <row r="77" spans="1:10" x14ac:dyDescent="0.25">
      <c r="A77" s="96">
        <v>347</v>
      </c>
      <c r="B77" s="4" t="s">
        <v>107</v>
      </c>
      <c r="C77" s="4" t="s">
        <v>1079</v>
      </c>
      <c r="D77" s="4" t="s">
        <v>1073</v>
      </c>
      <c r="E77" s="4" t="s">
        <v>1065</v>
      </c>
      <c r="F77" s="4">
        <v>8853</v>
      </c>
      <c r="G77" s="4" t="s">
        <v>117</v>
      </c>
      <c r="H77" s="4" t="s">
        <v>31</v>
      </c>
      <c r="I77" s="4" t="s">
        <v>1080</v>
      </c>
      <c r="J77" s="26"/>
    </row>
    <row r="78" spans="1:10" x14ac:dyDescent="0.25">
      <c r="A78" s="96">
        <v>343</v>
      </c>
      <c r="B78" s="4" t="s">
        <v>107</v>
      </c>
      <c r="C78" s="4" t="s">
        <v>1069</v>
      </c>
      <c r="D78" s="4" t="s">
        <v>1070</v>
      </c>
      <c r="E78" s="4" t="s">
        <v>1065</v>
      </c>
      <c r="F78" s="4">
        <v>8863</v>
      </c>
      <c r="G78" s="4" t="s">
        <v>140</v>
      </c>
      <c r="H78" s="4" t="s">
        <v>31</v>
      </c>
      <c r="I78" s="4" t="s">
        <v>1071</v>
      </c>
      <c r="J78" s="26" t="s">
        <v>1072</v>
      </c>
    </row>
    <row r="79" spans="1:10" x14ac:dyDescent="0.25">
      <c r="A79" s="96">
        <v>342</v>
      </c>
      <c r="B79" s="4" t="s">
        <v>107</v>
      </c>
      <c r="C79" s="4" t="s">
        <v>385</v>
      </c>
      <c r="D79" s="4" t="s">
        <v>1064</v>
      </c>
      <c r="E79" s="4" t="s">
        <v>1065</v>
      </c>
      <c r="F79" s="4">
        <v>8825</v>
      </c>
      <c r="G79" s="4" t="s">
        <v>1066</v>
      </c>
      <c r="H79" s="4" t="s">
        <v>31</v>
      </c>
      <c r="I79" s="4" t="s">
        <v>1067</v>
      </c>
      <c r="J79" s="26" t="s">
        <v>1068</v>
      </c>
    </row>
    <row r="80" spans="1:10" x14ac:dyDescent="0.25">
      <c r="A80" s="96">
        <v>341</v>
      </c>
      <c r="B80" s="4" t="s">
        <v>107</v>
      </c>
      <c r="C80" s="4" t="s">
        <v>1059</v>
      </c>
      <c r="D80" s="4" t="s">
        <v>1060</v>
      </c>
      <c r="E80" s="4" t="s">
        <v>1061</v>
      </c>
      <c r="F80" s="4">
        <v>8853</v>
      </c>
      <c r="G80" s="4" t="s">
        <v>117</v>
      </c>
      <c r="H80" s="4" t="s">
        <v>31</v>
      </c>
      <c r="I80" s="4" t="s">
        <v>1062</v>
      </c>
      <c r="J80" s="26" t="s">
        <v>1063</v>
      </c>
    </row>
    <row r="81" spans="1:10" x14ac:dyDescent="0.25">
      <c r="A81" s="96">
        <v>338</v>
      </c>
      <c r="B81" s="4" t="s">
        <v>107</v>
      </c>
      <c r="C81" s="4" t="s">
        <v>385</v>
      </c>
      <c r="D81" s="4" t="s">
        <v>1056</v>
      </c>
      <c r="E81" s="4" t="s">
        <v>1057</v>
      </c>
      <c r="F81" s="4">
        <v>8855</v>
      </c>
      <c r="G81" s="4" t="s">
        <v>32</v>
      </c>
      <c r="H81" s="4" t="s">
        <v>31</v>
      </c>
      <c r="I81" s="4" t="s">
        <v>1058</v>
      </c>
      <c r="J81" s="26"/>
    </row>
    <row r="82" spans="1:10" x14ac:dyDescent="0.25">
      <c r="A82" s="96">
        <v>336</v>
      </c>
      <c r="B82" s="4" t="s">
        <v>107</v>
      </c>
      <c r="C82" s="4" t="s">
        <v>1052</v>
      </c>
      <c r="D82" s="4" t="s">
        <v>1053</v>
      </c>
      <c r="E82" s="4" t="s">
        <v>1054</v>
      </c>
      <c r="F82" s="4">
        <v>8832</v>
      </c>
      <c r="G82" s="4" t="s">
        <v>960</v>
      </c>
      <c r="H82" s="4" t="s">
        <v>31</v>
      </c>
      <c r="I82" s="4" t="s">
        <v>1055</v>
      </c>
      <c r="J82" s="26"/>
    </row>
    <row r="83" spans="1:10" x14ac:dyDescent="0.25">
      <c r="A83" s="96">
        <v>331</v>
      </c>
      <c r="B83" s="4" t="s">
        <v>132</v>
      </c>
      <c r="C83" s="4" t="s">
        <v>1047</v>
      </c>
      <c r="D83" s="4" t="s">
        <v>1048</v>
      </c>
      <c r="E83" s="4" t="s">
        <v>1049</v>
      </c>
      <c r="F83" s="4">
        <v>7310</v>
      </c>
      <c r="G83" s="4" t="s">
        <v>1050</v>
      </c>
      <c r="H83" s="4" t="s">
        <v>31</v>
      </c>
      <c r="I83" s="4" t="s">
        <v>1051</v>
      </c>
      <c r="J83" s="26"/>
    </row>
    <row r="84" spans="1:10" x14ac:dyDescent="0.25">
      <c r="A84" s="96">
        <v>329</v>
      </c>
      <c r="B84" s="4" t="s">
        <v>107</v>
      </c>
      <c r="C84" s="4" t="s">
        <v>1039</v>
      </c>
      <c r="D84" s="4" t="s">
        <v>1040</v>
      </c>
      <c r="E84" s="4" t="s">
        <v>1041</v>
      </c>
      <c r="F84" s="4">
        <v>8856</v>
      </c>
      <c r="G84" s="4" t="s">
        <v>734</v>
      </c>
      <c r="H84" s="4" t="s">
        <v>31</v>
      </c>
      <c r="I84" s="4" t="s">
        <v>1042</v>
      </c>
      <c r="J84" s="26" t="s">
        <v>1043</v>
      </c>
    </row>
    <row r="85" spans="1:10" x14ac:dyDescent="0.25">
      <c r="A85" s="96">
        <v>330</v>
      </c>
      <c r="B85" s="4" t="s">
        <v>132</v>
      </c>
      <c r="C85" s="4" t="s">
        <v>1044</v>
      </c>
      <c r="D85" s="4" t="s">
        <v>1040</v>
      </c>
      <c r="E85" s="4" t="s">
        <v>1041</v>
      </c>
      <c r="F85" s="4">
        <v>8853</v>
      </c>
      <c r="G85" s="4" t="s">
        <v>117</v>
      </c>
      <c r="H85" s="4" t="s">
        <v>31</v>
      </c>
      <c r="I85" s="4" t="s">
        <v>1045</v>
      </c>
      <c r="J85" s="26" t="s">
        <v>1046</v>
      </c>
    </row>
    <row r="86" spans="1:10" x14ac:dyDescent="0.25">
      <c r="A86" s="96">
        <v>328</v>
      </c>
      <c r="B86" s="4" t="s">
        <v>132</v>
      </c>
      <c r="C86" s="4" t="s">
        <v>1034</v>
      </c>
      <c r="D86" s="4" t="s">
        <v>1035</v>
      </c>
      <c r="E86" s="4" t="s">
        <v>1036</v>
      </c>
      <c r="F86" s="4">
        <v>78655</v>
      </c>
      <c r="G86" s="4" t="s">
        <v>1037</v>
      </c>
      <c r="H86" s="4" t="s">
        <v>33</v>
      </c>
      <c r="I86" s="4" t="s">
        <v>1038</v>
      </c>
      <c r="J86" s="26"/>
    </row>
    <row r="87" spans="1:10" x14ac:dyDescent="0.25">
      <c r="A87" s="96">
        <v>327</v>
      </c>
      <c r="B87" s="4" t="s">
        <v>107</v>
      </c>
      <c r="C87" s="4" t="s">
        <v>1029</v>
      </c>
      <c r="D87" s="4" t="s">
        <v>1030</v>
      </c>
      <c r="E87" s="4" t="s">
        <v>1031</v>
      </c>
      <c r="F87" s="4">
        <v>8852</v>
      </c>
      <c r="G87" s="4" t="s">
        <v>110</v>
      </c>
      <c r="H87" s="4" t="s">
        <v>31</v>
      </c>
      <c r="I87" s="4" t="s">
        <v>1032</v>
      </c>
      <c r="J87" s="26" t="s">
        <v>1033</v>
      </c>
    </row>
    <row r="88" spans="1:10" x14ac:dyDescent="0.25">
      <c r="A88" s="96">
        <v>326</v>
      </c>
      <c r="B88" s="4" t="s">
        <v>107</v>
      </c>
      <c r="C88" s="4" t="s">
        <v>113</v>
      </c>
      <c r="D88" s="4" t="s">
        <v>1025</v>
      </c>
      <c r="E88" s="4" t="s">
        <v>1026</v>
      </c>
      <c r="F88" s="4">
        <v>8853</v>
      </c>
      <c r="G88" s="4" t="s">
        <v>117</v>
      </c>
      <c r="H88" s="4" t="s">
        <v>31</v>
      </c>
      <c r="I88" s="4" t="s">
        <v>1027</v>
      </c>
      <c r="J88" s="26" t="s">
        <v>1028</v>
      </c>
    </row>
    <row r="89" spans="1:10" x14ac:dyDescent="0.25">
      <c r="A89" s="96">
        <v>325</v>
      </c>
      <c r="B89" s="4" t="s">
        <v>132</v>
      </c>
      <c r="C89" s="4" t="s">
        <v>1019</v>
      </c>
      <c r="D89" s="4" t="s">
        <v>1020</v>
      </c>
      <c r="E89" s="4" t="s">
        <v>1021</v>
      </c>
      <c r="F89" s="4">
        <v>8857</v>
      </c>
      <c r="G89" s="4" t="s">
        <v>1022</v>
      </c>
      <c r="H89" s="4" t="s">
        <v>31</v>
      </c>
      <c r="I89" s="4" t="s">
        <v>1023</v>
      </c>
      <c r="J89" s="26" t="s">
        <v>1024</v>
      </c>
    </row>
    <row r="90" spans="1:10" x14ac:dyDescent="0.25">
      <c r="A90" s="96">
        <v>322</v>
      </c>
      <c r="B90" s="4" t="s">
        <v>132</v>
      </c>
      <c r="C90" s="4" t="s">
        <v>1014</v>
      </c>
      <c r="D90" s="4" t="s">
        <v>1015</v>
      </c>
      <c r="E90" s="4" t="s">
        <v>1016</v>
      </c>
      <c r="F90" s="4">
        <v>8853</v>
      </c>
      <c r="G90" s="4" t="s">
        <v>117</v>
      </c>
      <c r="H90" s="4" t="s">
        <v>31</v>
      </c>
      <c r="I90" s="4" t="s">
        <v>1017</v>
      </c>
      <c r="J90" s="26" t="s">
        <v>1018</v>
      </c>
    </row>
    <row r="91" spans="1:10" x14ac:dyDescent="0.25">
      <c r="A91" s="96">
        <v>320</v>
      </c>
      <c r="B91" s="4" t="s">
        <v>107</v>
      </c>
      <c r="C91" s="4" t="s">
        <v>1010</v>
      </c>
      <c r="D91" s="4" t="s">
        <v>1011</v>
      </c>
      <c r="E91" s="4" t="s">
        <v>1012</v>
      </c>
      <c r="F91" s="4">
        <v>8853</v>
      </c>
      <c r="G91" s="4" t="s">
        <v>117</v>
      </c>
      <c r="H91" s="4" t="s">
        <v>31</v>
      </c>
      <c r="I91" s="4" t="s">
        <v>1013</v>
      </c>
      <c r="J91" s="26"/>
    </row>
    <row r="92" spans="1:10" x14ac:dyDescent="0.25">
      <c r="A92" s="96">
        <v>319</v>
      </c>
      <c r="B92" s="4" t="s">
        <v>107</v>
      </c>
      <c r="C92" s="4" t="s">
        <v>1005</v>
      </c>
      <c r="D92" s="4" t="s">
        <v>1006</v>
      </c>
      <c r="E92" s="4" t="s">
        <v>1007</v>
      </c>
      <c r="F92" s="4">
        <v>8807</v>
      </c>
      <c r="G92" s="4" t="s">
        <v>135</v>
      </c>
      <c r="H92" s="4" t="s">
        <v>31</v>
      </c>
      <c r="I92" s="4" t="s">
        <v>1008</v>
      </c>
      <c r="J92" s="26" t="s">
        <v>1009</v>
      </c>
    </row>
    <row r="93" spans="1:10" x14ac:dyDescent="0.25">
      <c r="A93" s="96">
        <v>211</v>
      </c>
      <c r="B93" s="4" t="s">
        <v>107</v>
      </c>
      <c r="C93" s="4" t="s">
        <v>737</v>
      </c>
      <c r="D93" s="4" t="s">
        <v>738</v>
      </c>
      <c r="E93" s="4" t="s">
        <v>739</v>
      </c>
      <c r="F93" s="4">
        <v>8808</v>
      </c>
      <c r="G93" s="4" t="s">
        <v>210</v>
      </c>
      <c r="H93" s="4" t="s">
        <v>31</v>
      </c>
      <c r="I93" s="4" t="s">
        <v>740</v>
      </c>
      <c r="J93" s="26" t="s">
        <v>741</v>
      </c>
    </row>
    <row r="94" spans="1:10" x14ac:dyDescent="0.25">
      <c r="A94" s="96">
        <v>317</v>
      </c>
      <c r="B94" s="4" t="s">
        <v>107</v>
      </c>
      <c r="C94" s="4" t="s">
        <v>1001</v>
      </c>
      <c r="D94" s="4" t="s">
        <v>738</v>
      </c>
      <c r="E94" s="4" t="s">
        <v>1002</v>
      </c>
      <c r="F94" s="4">
        <v>8808</v>
      </c>
      <c r="G94" s="4" t="s">
        <v>210</v>
      </c>
      <c r="H94" s="4" t="s">
        <v>31</v>
      </c>
      <c r="I94" s="4" t="s">
        <v>1003</v>
      </c>
      <c r="J94" s="26" t="s">
        <v>1004</v>
      </c>
    </row>
    <row r="95" spans="1:10" x14ac:dyDescent="0.25">
      <c r="A95" s="96">
        <v>314</v>
      </c>
      <c r="B95" s="4" t="s">
        <v>107</v>
      </c>
      <c r="C95" s="4" t="s">
        <v>988</v>
      </c>
      <c r="D95" s="4" t="s">
        <v>989</v>
      </c>
      <c r="E95" s="4" t="s">
        <v>990</v>
      </c>
      <c r="F95" s="4">
        <v>8640</v>
      </c>
      <c r="G95" s="4" t="s">
        <v>991</v>
      </c>
      <c r="H95" s="4" t="s">
        <v>31</v>
      </c>
      <c r="I95" s="4" t="s">
        <v>992</v>
      </c>
      <c r="J95" s="26" t="s">
        <v>993</v>
      </c>
    </row>
    <row r="96" spans="1:10" x14ac:dyDescent="0.25">
      <c r="A96" s="96">
        <v>316</v>
      </c>
      <c r="B96" s="4" t="s">
        <v>107</v>
      </c>
      <c r="C96" s="4" t="s">
        <v>997</v>
      </c>
      <c r="D96" s="4" t="s">
        <v>989</v>
      </c>
      <c r="E96" s="4" t="s">
        <v>998</v>
      </c>
      <c r="F96" s="4">
        <v>8853</v>
      </c>
      <c r="G96" s="4" t="s">
        <v>117</v>
      </c>
      <c r="H96" s="4" t="s">
        <v>31</v>
      </c>
      <c r="I96" s="4" t="s">
        <v>999</v>
      </c>
      <c r="J96" s="26" t="s">
        <v>1000</v>
      </c>
    </row>
    <row r="97" spans="1:10" x14ac:dyDescent="0.25">
      <c r="A97" s="96">
        <v>315</v>
      </c>
      <c r="B97" s="4" t="s">
        <v>107</v>
      </c>
      <c r="C97" s="4" t="s">
        <v>385</v>
      </c>
      <c r="D97" s="4" t="s">
        <v>989</v>
      </c>
      <c r="E97" s="4" t="s">
        <v>994</v>
      </c>
      <c r="F97" s="4">
        <v>8852</v>
      </c>
      <c r="G97" s="4" t="s">
        <v>110</v>
      </c>
      <c r="H97" s="4" t="s">
        <v>31</v>
      </c>
      <c r="I97" s="4" t="s">
        <v>995</v>
      </c>
      <c r="J97" s="26" t="s">
        <v>996</v>
      </c>
    </row>
    <row r="98" spans="1:10" x14ac:dyDescent="0.25">
      <c r="A98" s="96">
        <v>313</v>
      </c>
      <c r="B98" s="4" t="s">
        <v>132</v>
      </c>
      <c r="C98" s="4" t="s">
        <v>808</v>
      </c>
      <c r="D98" s="4" t="s">
        <v>985</v>
      </c>
      <c r="E98" s="4" t="s">
        <v>986</v>
      </c>
      <c r="F98" s="4">
        <v>8855</v>
      </c>
      <c r="G98" s="4" t="s">
        <v>32</v>
      </c>
      <c r="H98" s="4" t="s">
        <v>31</v>
      </c>
      <c r="I98" s="4" t="s">
        <v>987</v>
      </c>
      <c r="J98" s="26" t="s">
        <v>811</v>
      </c>
    </row>
    <row r="99" spans="1:10" x14ac:dyDescent="0.25">
      <c r="A99" s="96">
        <v>312</v>
      </c>
      <c r="B99" s="4" t="s">
        <v>132</v>
      </c>
      <c r="C99" s="4" t="s">
        <v>808</v>
      </c>
      <c r="D99" s="4" t="s">
        <v>982</v>
      </c>
      <c r="E99" s="4" t="s">
        <v>983</v>
      </c>
      <c r="F99" s="4">
        <v>8855</v>
      </c>
      <c r="G99" s="4" t="s">
        <v>32</v>
      </c>
      <c r="H99" s="4" t="s">
        <v>31</v>
      </c>
      <c r="I99" s="4" t="s">
        <v>984</v>
      </c>
      <c r="J99" s="26" t="s">
        <v>811</v>
      </c>
    </row>
    <row r="100" spans="1:10" x14ac:dyDescent="0.25">
      <c r="A100" s="96">
        <v>308</v>
      </c>
      <c r="B100" s="4" t="s">
        <v>107</v>
      </c>
      <c r="C100" s="4" t="s">
        <v>978</v>
      </c>
      <c r="D100" s="4" t="s">
        <v>6</v>
      </c>
      <c r="E100" s="4" t="s">
        <v>979</v>
      </c>
      <c r="F100" s="4">
        <v>8864</v>
      </c>
      <c r="G100" s="4" t="s">
        <v>819</v>
      </c>
      <c r="H100" s="4" t="s">
        <v>31</v>
      </c>
      <c r="I100" s="4" t="s">
        <v>980</v>
      </c>
      <c r="J100" s="26" t="s">
        <v>981</v>
      </c>
    </row>
    <row r="101" spans="1:10" x14ac:dyDescent="0.25">
      <c r="A101" s="96">
        <v>306</v>
      </c>
      <c r="B101" s="4" t="s">
        <v>121</v>
      </c>
      <c r="C101" s="4" t="s">
        <v>390</v>
      </c>
      <c r="D101" s="4" t="s">
        <v>975</v>
      </c>
      <c r="E101" s="4" t="s">
        <v>976</v>
      </c>
      <c r="F101" s="4">
        <v>8311</v>
      </c>
      <c r="G101" s="4" t="s">
        <v>972</v>
      </c>
      <c r="H101" s="4" t="s">
        <v>31</v>
      </c>
      <c r="I101" s="4" t="s">
        <v>977</v>
      </c>
      <c r="J101" s="26" t="s">
        <v>974</v>
      </c>
    </row>
    <row r="102" spans="1:10" x14ac:dyDescent="0.25">
      <c r="A102" s="96">
        <v>305</v>
      </c>
      <c r="B102" s="4" t="s">
        <v>132</v>
      </c>
      <c r="C102" s="4" t="s">
        <v>969</v>
      </c>
      <c r="D102" s="4" t="s">
        <v>970</v>
      </c>
      <c r="E102" s="4" t="s">
        <v>971</v>
      </c>
      <c r="F102" s="4">
        <v>8311</v>
      </c>
      <c r="G102" s="4" t="s">
        <v>972</v>
      </c>
      <c r="H102" s="4" t="s">
        <v>31</v>
      </c>
      <c r="I102" s="4" t="s">
        <v>973</v>
      </c>
      <c r="J102" s="26" t="s">
        <v>974</v>
      </c>
    </row>
    <row r="103" spans="1:10" x14ac:dyDescent="0.25">
      <c r="A103" s="96">
        <v>304</v>
      </c>
      <c r="B103" s="4" t="s">
        <v>132</v>
      </c>
      <c r="C103" s="4" t="s">
        <v>963</v>
      </c>
      <c r="D103" s="4" t="s">
        <v>964</v>
      </c>
      <c r="E103" s="4" t="s">
        <v>965</v>
      </c>
      <c r="F103" s="4">
        <v>8868</v>
      </c>
      <c r="G103" s="4" t="s">
        <v>966</v>
      </c>
      <c r="H103" s="4" t="s">
        <v>31</v>
      </c>
      <c r="I103" s="4" t="s">
        <v>967</v>
      </c>
      <c r="J103" s="26" t="s">
        <v>968</v>
      </c>
    </row>
    <row r="104" spans="1:10" x14ac:dyDescent="0.25">
      <c r="A104" s="96">
        <v>303</v>
      </c>
      <c r="B104" s="4" t="s">
        <v>132</v>
      </c>
      <c r="C104" s="4" t="s">
        <v>957</v>
      </c>
      <c r="D104" s="4" t="s">
        <v>958</v>
      </c>
      <c r="E104" s="4" t="s">
        <v>959</v>
      </c>
      <c r="F104" s="4">
        <v>8832</v>
      </c>
      <c r="G104" s="4" t="s">
        <v>960</v>
      </c>
      <c r="H104" s="4" t="s">
        <v>31</v>
      </c>
      <c r="I104" s="4" t="s">
        <v>961</v>
      </c>
      <c r="J104" s="26" t="s">
        <v>962</v>
      </c>
    </row>
    <row r="105" spans="1:10" x14ac:dyDescent="0.25">
      <c r="A105" s="96">
        <v>302</v>
      </c>
      <c r="B105" s="4" t="s">
        <v>107</v>
      </c>
      <c r="C105" s="4" t="s">
        <v>952</v>
      </c>
      <c r="D105" s="4" t="s">
        <v>953</v>
      </c>
      <c r="E105" s="4" t="s">
        <v>954</v>
      </c>
      <c r="F105" s="4">
        <v>8834</v>
      </c>
      <c r="G105" s="4" t="s">
        <v>656</v>
      </c>
      <c r="H105" s="4" t="s">
        <v>31</v>
      </c>
      <c r="I105" s="4" t="s">
        <v>955</v>
      </c>
      <c r="J105" s="26" t="s">
        <v>956</v>
      </c>
    </row>
    <row r="106" spans="1:10" x14ac:dyDescent="0.25">
      <c r="A106" s="96">
        <v>301</v>
      </c>
      <c r="B106" s="4" t="s">
        <v>107</v>
      </c>
      <c r="C106" s="4" t="s">
        <v>947</v>
      </c>
      <c r="D106" s="4" t="s">
        <v>948</v>
      </c>
      <c r="E106" s="4" t="s">
        <v>949</v>
      </c>
      <c r="F106" s="4">
        <v>8864</v>
      </c>
      <c r="G106" s="4" t="s">
        <v>819</v>
      </c>
      <c r="H106" s="4" t="s">
        <v>31</v>
      </c>
      <c r="I106" s="4" t="s">
        <v>950</v>
      </c>
      <c r="J106" s="26" t="s">
        <v>951</v>
      </c>
    </row>
    <row r="107" spans="1:10" x14ac:dyDescent="0.25">
      <c r="A107" s="96">
        <v>300</v>
      </c>
      <c r="B107" s="4" t="s">
        <v>132</v>
      </c>
      <c r="C107" s="4" t="s">
        <v>942</v>
      </c>
      <c r="D107" s="4" t="s">
        <v>943</v>
      </c>
      <c r="E107" s="4" t="s">
        <v>944</v>
      </c>
      <c r="F107" s="4">
        <v>8853</v>
      </c>
      <c r="G107" s="4" t="s">
        <v>117</v>
      </c>
      <c r="H107" s="4" t="s">
        <v>31</v>
      </c>
      <c r="I107" s="4" t="s">
        <v>945</v>
      </c>
      <c r="J107" s="26" t="s">
        <v>946</v>
      </c>
    </row>
    <row r="108" spans="1:10" x14ac:dyDescent="0.25">
      <c r="A108" s="96">
        <v>299</v>
      </c>
      <c r="B108" s="4" t="s">
        <v>132</v>
      </c>
      <c r="C108" s="4" t="s">
        <v>937</v>
      </c>
      <c r="D108" s="4" t="s">
        <v>938</v>
      </c>
      <c r="E108" s="4" t="s">
        <v>939</v>
      </c>
      <c r="F108" s="4">
        <v>8854</v>
      </c>
      <c r="G108" s="4" t="s">
        <v>485</v>
      </c>
      <c r="H108" s="4" t="s">
        <v>31</v>
      </c>
      <c r="I108" s="4" t="s">
        <v>940</v>
      </c>
      <c r="J108" s="26" t="s">
        <v>941</v>
      </c>
    </row>
    <row r="109" spans="1:10" x14ac:dyDescent="0.25">
      <c r="A109" s="96">
        <v>296</v>
      </c>
      <c r="B109" s="4" t="s">
        <v>121</v>
      </c>
      <c r="C109" s="4" t="s">
        <v>931</v>
      </c>
      <c r="D109" s="4" t="s">
        <v>197</v>
      </c>
      <c r="E109" s="4" t="s">
        <v>932</v>
      </c>
      <c r="F109" s="4">
        <v>8853</v>
      </c>
      <c r="G109" s="4" t="s">
        <v>117</v>
      </c>
      <c r="H109" s="4" t="s">
        <v>31</v>
      </c>
      <c r="I109" s="4" t="s">
        <v>933</v>
      </c>
      <c r="J109" s="26" t="s">
        <v>934</v>
      </c>
    </row>
    <row r="110" spans="1:10" x14ac:dyDescent="0.25">
      <c r="A110" s="96">
        <v>297</v>
      </c>
      <c r="B110" s="4" t="s">
        <v>107</v>
      </c>
      <c r="C110" s="4" t="s">
        <v>935</v>
      </c>
      <c r="D110" s="4" t="s">
        <v>197</v>
      </c>
      <c r="E110" s="4" t="s">
        <v>932</v>
      </c>
      <c r="F110" s="4">
        <v>8853</v>
      </c>
      <c r="G110" s="4" t="s">
        <v>117</v>
      </c>
      <c r="H110" s="4" t="s">
        <v>31</v>
      </c>
      <c r="I110" s="4" t="s">
        <v>936</v>
      </c>
      <c r="J110" s="26" t="s">
        <v>934</v>
      </c>
    </row>
    <row r="111" spans="1:10" x14ac:dyDescent="0.25">
      <c r="A111" s="96">
        <v>295</v>
      </c>
      <c r="B111" s="4" t="s">
        <v>107</v>
      </c>
      <c r="C111" s="4" t="s">
        <v>927</v>
      </c>
      <c r="D111" s="4" t="s">
        <v>928</v>
      </c>
      <c r="E111" s="4" t="s">
        <v>921</v>
      </c>
      <c r="F111" s="4">
        <v>8852</v>
      </c>
      <c r="G111" s="4" t="s">
        <v>110</v>
      </c>
      <c r="H111" s="4" t="s">
        <v>31</v>
      </c>
      <c r="I111" s="4" t="s">
        <v>929</v>
      </c>
      <c r="J111" s="26" t="s">
        <v>930</v>
      </c>
    </row>
    <row r="112" spans="1:10" x14ac:dyDescent="0.25">
      <c r="A112" s="96">
        <v>294</v>
      </c>
      <c r="B112" s="4" t="s">
        <v>132</v>
      </c>
      <c r="C112" s="4" t="s">
        <v>923</v>
      </c>
      <c r="D112" s="4" t="s">
        <v>924</v>
      </c>
      <c r="E112" s="4" t="s">
        <v>921</v>
      </c>
      <c r="F112" s="4">
        <v>8853</v>
      </c>
      <c r="G112" s="4" t="s">
        <v>117</v>
      </c>
      <c r="H112" s="4" t="s">
        <v>31</v>
      </c>
      <c r="I112" s="4" t="s">
        <v>925</v>
      </c>
      <c r="J112" s="26" t="s">
        <v>926</v>
      </c>
    </row>
    <row r="113" spans="1:10" x14ac:dyDescent="0.25">
      <c r="A113" s="96">
        <v>293</v>
      </c>
      <c r="B113" s="4" t="s">
        <v>107</v>
      </c>
      <c r="C113" s="4" t="s">
        <v>223</v>
      </c>
      <c r="D113" s="4" t="s">
        <v>920</v>
      </c>
      <c r="E113" s="4" t="s">
        <v>921</v>
      </c>
      <c r="F113" s="4">
        <v>8852</v>
      </c>
      <c r="G113" s="4" t="s">
        <v>110</v>
      </c>
      <c r="H113" s="4" t="s">
        <v>31</v>
      </c>
      <c r="I113" s="4" t="s">
        <v>922</v>
      </c>
      <c r="J113" s="26"/>
    </row>
    <row r="114" spans="1:10" x14ac:dyDescent="0.25">
      <c r="A114" s="96">
        <v>292</v>
      </c>
      <c r="B114" s="4" t="s">
        <v>121</v>
      </c>
      <c r="C114" s="4" t="s">
        <v>912</v>
      </c>
      <c r="D114" s="4" t="s">
        <v>917</v>
      </c>
      <c r="E114" s="4" t="s">
        <v>918</v>
      </c>
      <c r="F114" s="4">
        <v>8645</v>
      </c>
      <c r="G114" s="4" t="s">
        <v>914</v>
      </c>
      <c r="H114" s="4" t="s">
        <v>31</v>
      </c>
      <c r="I114" s="4" t="s">
        <v>919</v>
      </c>
      <c r="J114" s="26" t="s">
        <v>916</v>
      </c>
    </row>
    <row r="115" spans="1:10" x14ac:dyDescent="0.25">
      <c r="A115" s="96">
        <v>291</v>
      </c>
      <c r="B115" s="4" t="s">
        <v>132</v>
      </c>
      <c r="C115" s="4" t="s">
        <v>912</v>
      </c>
      <c r="D115" s="4" t="s">
        <v>913</v>
      </c>
      <c r="E115" s="4" t="s">
        <v>908</v>
      </c>
      <c r="F115" s="4">
        <v>8645</v>
      </c>
      <c r="G115" s="4" t="s">
        <v>914</v>
      </c>
      <c r="H115" s="4" t="s">
        <v>31</v>
      </c>
      <c r="I115" s="4" t="s">
        <v>915</v>
      </c>
      <c r="J115" s="26" t="s">
        <v>916</v>
      </c>
    </row>
    <row r="116" spans="1:10" x14ac:dyDescent="0.25">
      <c r="A116" s="96">
        <v>284</v>
      </c>
      <c r="B116" s="4" t="s">
        <v>107</v>
      </c>
      <c r="C116" s="4" t="s">
        <v>902</v>
      </c>
      <c r="D116" s="4" t="s">
        <v>903</v>
      </c>
      <c r="E116" s="4" t="s">
        <v>904</v>
      </c>
      <c r="F116" s="4">
        <v>8855</v>
      </c>
      <c r="G116" s="4" t="s">
        <v>32</v>
      </c>
      <c r="H116" s="4" t="s">
        <v>31</v>
      </c>
      <c r="I116" s="4" t="s">
        <v>905</v>
      </c>
      <c r="J116" s="26" t="s">
        <v>906</v>
      </c>
    </row>
    <row r="117" spans="1:10" x14ac:dyDescent="0.25">
      <c r="A117" s="96">
        <v>285</v>
      </c>
      <c r="B117" s="4" t="s">
        <v>132</v>
      </c>
      <c r="C117" s="4" t="s">
        <v>907</v>
      </c>
      <c r="D117" s="4" t="s">
        <v>903</v>
      </c>
      <c r="E117" s="4" t="s">
        <v>908</v>
      </c>
      <c r="F117" s="4">
        <v>8867</v>
      </c>
      <c r="G117" s="4" t="s">
        <v>909</v>
      </c>
      <c r="H117" s="4" t="s">
        <v>31</v>
      </c>
      <c r="I117" s="4" t="s">
        <v>910</v>
      </c>
      <c r="J117" s="26" t="s">
        <v>911</v>
      </c>
    </row>
    <row r="118" spans="1:10" x14ac:dyDescent="0.25">
      <c r="A118" s="96">
        <v>280</v>
      </c>
      <c r="B118" s="4" t="s">
        <v>107</v>
      </c>
      <c r="C118" s="4" t="s">
        <v>143</v>
      </c>
      <c r="D118" s="4" t="s">
        <v>896</v>
      </c>
      <c r="E118" s="4" t="s">
        <v>897</v>
      </c>
      <c r="F118" s="4">
        <v>8854</v>
      </c>
      <c r="G118" s="4" t="s">
        <v>145</v>
      </c>
      <c r="H118" s="4" t="s">
        <v>31</v>
      </c>
      <c r="I118" s="4" t="s">
        <v>898</v>
      </c>
      <c r="J118" s="26" t="s">
        <v>899</v>
      </c>
    </row>
    <row r="119" spans="1:10" x14ac:dyDescent="0.25">
      <c r="A119" s="96">
        <v>282</v>
      </c>
      <c r="B119" s="4" t="s">
        <v>132</v>
      </c>
      <c r="C119" s="4" t="s">
        <v>870</v>
      </c>
      <c r="D119" s="4" t="s">
        <v>896</v>
      </c>
      <c r="E119" s="4" t="s">
        <v>900</v>
      </c>
      <c r="F119" s="4">
        <v>8852</v>
      </c>
      <c r="G119" s="4" t="s">
        <v>110</v>
      </c>
      <c r="H119" s="4" t="s">
        <v>31</v>
      </c>
      <c r="I119" s="4" t="s">
        <v>901</v>
      </c>
      <c r="J119" s="26" t="s">
        <v>873</v>
      </c>
    </row>
    <row r="120" spans="1:10" x14ac:dyDescent="0.25">
      <c r="A120" s="96">
        <v>279</v>
      </c>
      <c r="B120" s="4" t="s">
        <v>132</v>
      </c>
      <c r="C120" s="4" t="s">
        <v>892</v>
      </c>
      <c r="D120" s="4" t="s">
        <v>893</v>
      </c>
      <c r="E120" s="4" t="s">
        <v>889</v>
      </c>
      <c r="F120" s="4">
        <v>8852</v>
      </c>
      <c r="G120" s="4" t="s">
        <v>110</v>
      </c>
      <c r="H120" s="4" t="s">
        <v>31</v>
      </c>
      <c r="I120" s="4" t="s">
        <v>894</v>
      </c>
      <c r="J120" s="26" t="s">
        <v>895</v>
      </c>
    </row>
    <row r="121" spans="1:10" x14ac:dyDescent="0.25">
      <c r="A121" s="96">
        <v>278</v>
      </c>
      <c r="B121" s="4" t="s">
        <v>107</v>
      </c>
      <c r="C121" s="4" t="s">
        <v>402</v>
      </c>
      <c r="D121" s="4" t="s">
        <v>885</v>
      </c>
      <c r="E121" s="4" t="s">
        <v>889</v>
      </c>
      <c r="F121" s="4">
        <v>8856</v>
      </c>
      <c r="G121" s="4" t="s">
        <v>734</v>
      </c>
      <c r="H121" s="4" t="s">
        <v>31</v>
      </c>
      <c r="I121" s="4" t="s">
        <v>890</v>
      </c>
      <c r="J121" s="26" t="s">
        <v>891</v>
      </c>
    </row>
    <row r="122" spans="1:10" x14ac:dyDescent="0.25">
      <c r="A122" s="96">
        <v>277</v>
      </c>
      <c r="B122" s="4" t="s">
        <v>132</v>
      </c>
      <c r="C122" s="4" t="s">
        <v>884</v>
      </c>
      <c r="D122" s="4" t="s">
        <v>885</v>
      </c>
      <c r="E122" s="4" t="s">
        <v>864</v>
      </c>
      <c r="F122" s="4">
        <v>8873</v>
      </c>
      <c r="G122" s="4" t="s">
        <v>886</v>
      </c>
      <c r="H122" s="4" t="s">
        <v>31</v>
      </c>
      <c r="I122" s="4" t="s">
        <v>887</v>
      </c>
      <c r="J122" s="26" t="s">
        <v>888</v>
      </c>
    </row>
    <row r="123" spans="1:10" x14ac:dyDescent="0.25">
      <c r="A123" s="96">
        <v>276</v>
      </c>
      <c r="B123" s="4" t="s">
        <v>107</v>
      </c>
      <c r="C123" s="4" t="s">
        <v>880</v>
      </c>
      <c r="D123" s="4" t="s">
        <v>881</v>
      </c>
      <c r="E123" s="4" t="s">
        <v>864</v>
      </c>
      <c r="F123" s="4">
        <v>8832</v>
      </c>
      <c r="G123" s="4" t="s">
        <v>176</v>
      </c>
      <c r="H123" s="4" t="s">
        <v>31</v>
      </c>
      <c r="I123" s="4" t="s">
        <v>882</v>
      </c>
      <c r="J123" s="26" t="s">
        <v>883</v>
      </c>
    </row>
    <row r="124" spans="1:10" x14ac:dyDescent="0.25">
      <c r="A124" s="96">
        <v>275</v>
      </c>
      <c r="B124" s="4" t="s">
        <v>132</v>
      </c>
      <c r="C124" s="4" t="s">
        <v>708</v>
      </c>
      <c r="D124" s="4" t="s">
        <v>878</v>
      </c>
      <c r="E124" s="4" t="s">
        <v>864</v>
      </c>
      <c r="F124" s="4">
        <v>8853</v>
      </c>
      <c r="G124" s="4" t="s">
        <v>117</v>
      </c>
      <c r="H124" s="4" t="s">
        <v>31</v>
      </c>
      <c r="I124" s="4" t="s">
        <v>879</v>
      </c>
      <c r="J124" s="26" t="s">
        <v>712</v>
      </c>
    </row>
    <row r="125" spans="1:10" x14ac:dyDescent="0.25">
      <c r="A125" s="96">
        <v>274</v>
      </c>
      <c r="B125" s="4" t="s">
        <v>107</v>
      </c>
      <c r="C125" s="4" t="s">
        <v>874</v>
      </c>
      <c r="D125" s="4" t="s">
        <v>875</v>
      </c>
      <c r="E125" s="4" t="s">
        <v>864</v>
      </c>
      <c r="F125" s="4">
        <v>8006</v>
      </c>
      <c r="G125" s="4" t="s">
        <v>199</v>
      </c>
      <c r="H125" s="4" t="s">
        <v>31</v>
      </c>
      <c r="I125" s="4" t="s">
        <v>876</v>
      </c>
      <c r="J125" s="26" t="s">
        <v>877</v>
      </c>
    </row>
    <row r="126" spans="1:10" x14ac:dyDescent="0.25">
      <c r="A126" s="96">
        <v>273</v>
      </c>
      <c r="B126" s="4" t="s">
        <v>121</v>
      </c>
      <c r="C126" s="4" t="s">
        <v>870</v>
      </c>
      <c r="D126" s="4" t="s">
        <v>871</v>
      </c>
      <c r="E126" s="4" t="s">
        <v>864</v>
      </c>
      <c r="F126" s="4">
        <v>8852</v>
      </c>
      <c r="G126" s="4" t="s">
        <v>110</v>
      </c>
      <c r="H126" s="4" t="s">
        <v>31</v>
      </c>
      <c r="I126" s="4" t="s">
        <v>872</v>
      </c>
      <c r="J126" s="26" t="s">
        <v>873</v>
      </c>
    </row>
    <row r="127" spans="1:10" x14ac:dyDescent="0.25">
      <c r="A127" s="96">
        <v>271</v>
      </c>
      <c r="B127" s="4" t="s">
        <v>107</v>
      </c>
      <c r="C127" s="4" t="s">
        <v>866</v>
      </c>
      <c r="D127" s="4" t="s">
        <v>867</v>
      </c>
      <c r="E127" s="4" t="s">
        <v>864</v>
      </c>
      <c r="F127" s="4">
        <v>8863</v>
      </c>
      <c r="G127" s="4" t="s">
        <v>140</v>
      </c>
      <c r="H127" s="4" t="s">
        <v>31</v>
      </c>
      <c r="I127" s="4" t="s">
        <v>868</v>
      </c>
      <c r="J127" s="26" t="s">
        <v>869</v>
      </c>
    </row>
    <row r="128" spans="1:10" x14ac:dyDescent="0.25">
      <c r="A128" s="96">
        <v>269</v>
      </c>
      <c r="B128" s="4" t="s">
        <v>107</v>
      </c>
      <c r="C128" s="4" t="s">
        <v>518</v>
      </c>
      <c r="D128" s="4" t="s">
        <v>863</v>
      </c>
      <c r="E128" s="4" t="s">
        <v>864</v>
      </c>
      <c r="F128" s="4">
        <v>8853</v>
      </c>
      <c r="G128" s="4" t="s">
        <v>117</v>
      </c>
      <c r="H128" s="4" t="s">
        <v>31</v>
      </c>
      <c r="I128" s="4" t="s">
        <v>865</v>
      </c>
      <c r="J128" s="26" t="s">
        <v>527</v>
      </c>
    </row>
    <row r="129" spans="1:10" x14ac:dyDescent="0.25">
      <c r="A129" s="96">
        <v>268</v>
      </c>
      <c r="B129" s="4" t="s">
        <v>107</v>
      </c>
      <c r="C129" s="4" t="s">
        <v>518</v>
      </c>
      <c r="D129" s="4" t="s">
        <v>860</v>
      </c>
      <c r="E129" s="4" t="s">
        <v>861</v>
      </c>
      <c r="F129" s="4">
        <v>8853</v>
      </c>
      <c r="G129" s="4" t="s">
        <v>117</v>
      </c>
      <c r="H129" s="4" t="s">
        <v>31</v>
      </c>
      <c r="I129" s="4" t="s">
        <v>862</v>
      </c>
      <c r="J129" s="26" t="s">
        <v>527</v>
      </c>
    </row>
    <row r="130" spans="1:10" x14ac:dyDescent="0.25">
      <c r="A130" s="96">
        <v>267</v>
      </c>
      <c r="B130" s="4" t="s">
        <v>107</v>
      </c>
      <c r="C130" s="4" t="s">
        <v>845</v>
      </c>
      <c r="D130" s="4" t="s">
        <v>857</v>
      </c>
      <c r="E130" s="4" t="s">
        <v>858</v>
      </c>
      <c r="F130" s="4">
        <v>8853</v>
      </c>
      <c r="G130" s="4" t="s">
        <v>117</v>
      </c>
      <c r="H130" s="4" t="s">
        <v>31</v>
      </c>
      <c r="I130" s="4" t="s">
        <v>859</v>
      </c>
      <c r="J130" s="26" t="s">
        <v>849</v>
      </c>
    </row>
    <row r="131" spans="1:10" x14ac:dyDescent="0.25">
      <c r="A131" s="96">
        <v>266</v>
      </c>
      <c r="B131" s="4" t="s">
        <v>107</v>
      </c>
      <c r="C131" s="4" t="s">
        <v>845</v>
      </c>
      <c r="D131" s="4" t="s">
        <v>854</v>
      </c>
      <c r="E131" s="4" t="s">
        <v>855</v>
      </c>
      <c r="F131" s="4">
        <v>8853</v>
      </c>
      <c r="G131" s="4" t="s">
        <v>117</v>
      </c>
      <c r="H131" s="4" t="s">
        <v>31</v>
      </c>
      <c r="I131" s="4" t="s">
        <v>856</v>
      </c>
      <c r="J131" s="26" t="s">
        <v>849</v>
      </c>
    </row>
    <row r="132" spans="1:10" x14ac:dyDescent="0.25">
      <c r="A132" s="96">
        <v>265</v>
      </c>
      <c r="B132" s="4" t="s">
        <v>132</v>
      </c>
      <c r="C132" s="4" t="s">
        <v>850</v>
      </c>
      <c r="D132" s="4" t="s">
        <v>851</v>
      </c>
      <c r="E132" s="4" t="s">
        <v>852</v>
      </c>
      <c r="F132" s="4">
        <v>8853</v>
      </c>
      <c r="G132" s="4" t="s">
        <v>117</v>
      </c>
      <c r="H132" s="4" t="s">
        <v>31</v>
      </c>
      <c r="I132" s="4" t="s">
        <v>853</v>
      </c>
      <c r="J132" s="26" t="s">
        <v>849</v>
      </c>
    </row>
    <row r="133" spans="1:10" x14ac:dyDescent="0.25">
      <c r="A133" s="96">
        <v>264</v>
      </c>
      <c r="B133" s="4" t="s">
        <v>121</v>
      </c>
      <c r="C133" s="4" t="s">
        <v>845</v>
      </c>
      <c r="D133" s="4" t="s">
        <v>846</v>
      </c>
      <c r="E133" s="4" t="s">
        <v>847</v>
      </c>
      <c r="F133" s="4">
        <v>8853</v>
      </c>
      <c r="G133" s="4" t="s">
        <v>117</v>
      </c>
      <c r="H133" s="4" t="s">
        <v>31</v>
      </c>
      <c r="I133" s="4" t="s">
        <v>848</v>
      </c>
      <c r="J133" s="26" t="s">
        <v>849</v>
      </c>
    </row>
    <row r="134" spans="1:10" x14ac:dyDescent="0.25">
      <c r="A134" s="96">
        <v>263</v>
      </c>
      <c r="B134" s="4" t="s">
        <v>107</v>
      </c>
      <c r="C134" s="4" t="s">
        <v>839</v>
      </c>
      <c r="D134" s="4" t="s">
        <v>840</v>
      </c>
      <c r="E134" s="4" t="s">
        <v>841</v>
      </c>
      <c r="F134" s="4">
        <v>8810</v>
      </c>
      <c r="G134" s="4" t="s">
        <v>842</v>
      </c>
      <c r="H134" s="4" t="s">
        <v>31</v>
      </c>
      <c r="I134" s="4" t="s">
        <v>843</v>
      </c>
      <c r="J134" s="26" t="s">
        <v>844</v>
      </c>
    </row>
    <row r="135" spans="1:10" x14ac:dyDescent="0.25">
      <c r="A135" s="96">
        <v>244</v>
      </c>
      <c r="B135" s="4" t="s">
        <v>107</v>
      </c>
      <c r="C135" s="4" t="s">
        <v>812</v>
      </c>
      <c r="D135" s="4" t="s">
        <v>813</v>
      </c>
      <c r="E135" s="4" t="s">
        <v>814</v>
      </c>
      <c r="F135" s="4">
        <v>8854</v>
      </c>
      <c r="G135" s="4" t="s">
        <v>145</v>
      </c>
      <c r="H135" s="4" t="s">
        <v>31</v>
      </c>
      <c r="I135" s="4" t="s">
        <v>815</v>
      </c>
      <c r="J135" s="26" t="s">
        <v>816</v>
      </c>
    </row>
    <row r="136" spans="1:10" x14ac:dyDescent="0.25">
      <c r="A136" s="96">
        <v>248</v>
      </c>
      <c r="B136" s="4" t="s">
        <v>107</v>
      </c>
      <c r="C136" s="4" t="s">
        <v>821</v>
      </c>
      <c r="D136" s="4" t="s">
        <v>813</v>
      </c>
      <c r="E136" s="4" t="s">
        <v>822</v>
      </c>
      <c r="F136" s="4">
        <v>8854</v>
      </c>
      <c r="G136" s="4" t="s">
        <v>145</v>
      </c>
      <c r="H136" s="4" t="s">
        <v>31</v>
      </c>
      <c r="I136" s="4" t="s">
        <v>823</v>
      </c>
      <c r="J136" s="26" t="s">
        <v>824</v>
      </c>
    </row>
    <row r="137" spans="1:10" x14ac:dyDescent="0.25">
      <c r="A137" s="96">
        <v>247</v>
      </c>
      <c r="B137" s="4" t="s">
        <v>132</v>
      </c>
      <c r="C137" s="4" t="s">
        <v>817</v>
      </c>
      <c r="D137" s="4" t="s">
        <v>813</v>
      </c>
      <c r="E137" s="4" t="s">
        <v>818</v>
      </c>
      <c r="F137" s="4">
        <v>8864</v>
      </c>
      <c r="G137" s="4" t="s">
        <v>819</v>
      </c>
      <c r="H137" s="4" t="s">
        <v>31</v>
      </c>
      <c r="I137" s="4" t="s">
        <v>820</v>
      </c>
      <c r="J137" s="26"/>
    </row>
    <row r="138" spans="1:10" x14ac:dyDescent="0.25">
      <c r="A138" s="96">
        <v>250</v>
      </c>
      <c r="B138" s="4" t="s">
        <v>132</v>
      </c>
      <c r="C138" s="4" t="s">
        <v>825</v>
      </c>
      <c r="D138" s="4" t="s">
        <v>813</v>
      </c>
      <c r="E138" s="4" t="s">
        <v>826</v>
      </c>
      <c r="F138" s="4">
        <v>8853</v>
      </c>
      <c r="G138" s="4" t="s">
        <v>117</v>
      </c>
      <c r="H138" s="4" t="s">
        <v>31</v>
      </c>
      <c r="I138" s="4" t="s">
        <v>827</v>
      </c>
      <c r="J138" s="26" t="s">
        <v>498</v>
      </c>
    </row>
    <row r="139" spans="1:10" x14ac:dyDescent="0.25">
      <c r="A139" s="96">
        <v>252</v>
      </c>
      <c r="B139" s="4" t="s">
        <v>132</v>
      </c>
      <c r="C139" s="4" t="s">
        <v>620</v>
      </c>
      <c r="D139" s="4" t="s">
        <v>813</v>
      </c>
      <c r="E139" s="4" t="s">
        <v>828</v>
      </c>
      <c r="F139" s="4">
        <v>8853</v>
      </c>
      <c r="G139" s="4" t="s">
        <v>117</v>
      </c>
      <c r="H139" s="4" t="s">
        <v>31</v>
      </c>
      <c r="I139" s="4" t="s">
        <v>829</v>
      </c>
      <c r="J139" s="26" t="s">
        <v>830</v>
      </c>
    </row>
    <row r="140" spans="1:10" x14ac:dyDescent="0.25">
      <c r="A140" s="96">
        <v>255</v>
      </c>
      <c r="B140" s="4" t="s">
        <v>132</v>
      </c>
      <c r="C140" s="4" t="s">
        <v>708</v>
      </c>
      <c r="D140" s="4" t="s">
        <v>813</v>
      </c>
      <c r="E140" s="4" t="s">
        <v>831</v>
      </c>
      <c r="F140" s="4">
        <v>8853</v>
      </c>
      <c r="G140" s="4" t="s">
        <v>117</v>
      </c>
      <c r="H140" s="4" t="s">
        <v>31</v>
      </c>
      <c r="I140" s="4" t="s">
        <v>832</v>
      </c>
      <c r="J140" s="26"/>
    </row>
    <row r="141" spans="1:10" x14ac:dyDescent="0.25">
      <c r="A141" s="96">
        <v>256</v>
      </c>
      <c r="B141" s="4" t="s">
        <v>107</v>
      </c>
      <c r="C141" s="4" t="s">
        <v>708</v>
      </c>
      <c r="D141" s="4" t="s">
        <v>813</v>
      </c>
      <c r="E141" s="4" t="s">
        <v>833</v>
      </c>
      <c r="F141" s="4">
        <v>8853</v>
      </c>
      <c r="G141" s="4" t="s">
        <v>117</v>
      </c>
      <c r="H141" s="4" t="s">
        <v>31</v>
      </c>
      <c r="I141" s="4" t="s">
        <v>832</v>
      </c>
      <c r="J141" s="26"/>
    </row>
    <row r="142" spans="1:10" x14ac:dyDescent="0.25">
      <c r="A142" s="96">
        <v>257</v>
      </c>
      <c r="B142" s="4" t="s">
        <v>132</v>
      </c>
      <c r="C142" s="4" t="s">
        <v>147</v>
      </c>
      <c r="D142" s="4" t="s">
        <v>813</v>
      </c>
      <c r="E142" s="4" t="s">
        <v>833</v>
      </c>
      <c r="F142" s="4">
        <v>8853</v>
      </c>
      <c r="G142" s="4" t="s">
        <v>117</v>
      </c>
      <c r="H142" s="4" t="s">
        <v>31</v>
      </c>
      <c r="I142" s="4" t="s">
        <v>834</v>
      </c>
      <c r="J142" s="26" t="s">
        <v>835</v>
      </c>
    </row>
    <row r="143" spans="1:10" x14ac:dyDescent="0.25">
      <c r="A143" s="96">
        <v>258</v>
      </c>
      <c r="B143" s="4" t="s">
        <v>121</v>
      </c>
      <c r="C143" s="4" t="s">
        <v>836</v>
      </c>
      <c r="D143" s="4" t="s">
        <v>813</v>
      </c>
      <c r="E143" s="4" t="s">
        <v>833</v>
      </c>
      <c r="F143" s="4">
        <v>8852</v>
      </c>
      <c r="G143" s="4" t="s">
        <v>110</v>
      </c>
      <c r="H143" s="4" t="s">
        <v>31</v>
      </c>
      <c r="I143" s="4" t="s">
        <v>837</v>
      </c>
      <c r="J143" s="26" t="s">
        <v>838</v>
      </c>
    </row>
    <row r="144" spans="1:10" x14ac:dyDescent="0.25">
      <c r="A144" s="96">
        <v>241</v>
      </c>
      <c r="B144" s="4" t="s">
        <v>107</v>
      </c>
      <c r="C144" s="4" t="s">
        <v>808</v>
      </c>
      <c r="D144" s="4" t="s">
        <v>809</v>
      </c>
      <c r="E144" s="4" t="s">
        <v>799</v>
      </c>
      <c r="F144" s="4">
        <v>8855</v>
      </c>
      <c r="G144" s="4" t="s">
        <v>32</v>
      </c>
      <c r="H144" s="4" t="s">
        <v>31</v>
      </c>
      <c r="I144" s="4" t="s">
        <v>810</v>
      </c>
      <c r="J144" s="26" t="s">
        <v>811</v>
      </c>
    </row>
    <row r="145" spans="1:10" x14ac:dyDescent="0.25">
      <c r="A145" s="96">
        <v>240</v>
      </c>
      <c r="B145" s="4" t="s">
        <v>132</v>
      </c>
      <c r="C145" s="4" t="s">
        <v>806</v>
      </c>
      <c r="D145" s="4" t="s">
        <v>803</v>
      </c>
      <c r="E145" s="4" t="s">
        <v>799</v>
      </c>
      <c r="F145" s="4">
        <v>8853</v>
      </c>
      <c r="G145" s="4" t="s">
        <v>117</v>
      </c>
      <c r="H145" s="4" t="s">
        <v>31</v>
      </c>
      <c r="I145" s="4" t="s">
        <v>807</v>
      </c>
      <c r="J145" s="26"/>
    </row>
    <row r="146" spans="1:10" x14ac:dyDescent="0.25">
      <c r="A146" s="96">
        <v>239</v>
      </c>
      <c r="B146" s="4" t="s">
        <v>107</v>
      </c>
      <c r="C146" s="4" t="s">
        <v>802</v>
      </c>
      <c r="D146" s="4" t="s">
        <v>803</v>
      </c>
      <c r="E146" s="4" t="s">
        <v>799</v>
      </c>
      <c r="F146" s="4">
        <v>8807</v>
      </c>
      <c r="G146" s="4" t="s">
        <v>135</v>
      </c>
      <c r="H146" s="4" t="s">
        <v>31</v>
      </c>
      <c r="I146" s="4" t="s">
        <v>804</v>
      </c>
      <c r="J146" s="26" t="s">
        <v>805</v>
      </c>
    </row>
    <row r="147" spans="1:10" x14ac:dyDescent="0.25">
      <c r="A147" s="96">
        <v>238</v>
      </c>
      <c r="B147" s="4" t="s">
        <v>132</v>
      </c>
      <c r="C147" s="4" t="s">
        <v>797</v>
      </c>
      <c r="D147" s="4" t="s">
        <v>798</v>
      </c>
      <c r="E147" s="4" t="s">
        <v>799</v>
      </c>
      <c r="F147" s="4">
        <v>8853</v>
      </c>
      <c r="G147" s="4" t="s">
        <v>117</v>
      </c>
      <c r="H147" s="4" t="s">
        <v>31</v>
      </c>
      <c r="I147" s="4" t="s">
        <v>800</v>
      </c>
      <c r="J147" s="26" t="s">
        <v>801</v>
      </c>
    </row>
    <row r="148" spans="1:10" x14ac:dyDescent="0.25">
      <c r="A148" s="96">
        <v>234</v>
      </c>
      <c r="B148" s="4" t="s">
        <v>107</v>
      </c>
      <c r="C148" s="4" t="s">
        <v>788</v>
      </c>
      <c r="D148" s="4" t="s">
        <v>793</v>
      </c>
      <c r="E148" s="4" t="s">
        <v>794</v>
      </c>
      <c r="F148" s="4">
        <v>8852</v>
      </c>
      <c r="G148" s="4" t="s">
        <v>110</v>
      </c>
      <c r="H148" s="4" t="s">
        <v>31</v>
      </c>
      <c r="I148" s="4" t="s">
        <v>795</v>
      </c>
      <c r="J148" s="26" t="s">
        <v>796</v>
      </c>
    </row>
    <row r="149" spans="1:10" x14ac:dyDescent="0.25">
      <c r="A149" s="96">
        <v>233</v>
      </c>
      <c r="B149" s="4" t="s">
        <v>132</v>
      </c>
      <c r="C149" s="4" t="s">
        <v>788</v>
      </c>
      <c r="D149" s="4" t="s">
        <v>789</v>
      </c>
      <c r="E149" s="4" t="s">
        <v>790</v>
      </c>
      <c r="F149" s="4">
        <v>8853</v>
      </c>
      <c r="G149" s="4" t="s">
        <v>117</v>
      </c>
      <c r="H149" s="4" t="s">
        <v>31</v>
      </c>
      <c r="I149" s="4" t="s">
        <v>791</v>
      </c>
      <c r="J149" s="26" t="s">
        <v>792</v>
      </c>
    </row>
    <row r="150" spans="1:10" x14ac:dyDescent="0.25">
      <c r="A150" s="96">
        <v>232</v>
      </c>
      <c r="B150" s="4" t="s">
        <v>107</v>
      </c>
      <c r="C150" s="4" t="s">
        <v>778</v>
      </c>
      <c r="D150" s="4" t="s">
        <v>785</v>
      </c>
      <c r="E150" s="4" t="s">
        <v>786</v>
      </c>
      <c r="F150" s="4">
        <v>8853</v>
      </c>
      <c r="G150" s="4" t="s">
        <v>117</v>
      </c>
      <c r="H150" s="4" t="s">
        <v>31</v>
      </c>
      <c r="I150" s="4" t="s">
        <v>787</v>
      </c>
      <c r="J150" s="26" t="s">
        <v>781</v>
      </c>
    </row>
    <row r="151" spans="1:10" x14ac:dyDescent="0.25">
      <c r="A151" s="96">
        <v>231</v>
      </c>
      <c r="B151" s="4" t="s">
        <v>121</v>
      </c>
      <c r="C151" s="4" t="s">
        <v>778</v>
      </c>
      <c r="D151" s="4" t="s">
        <v>782</v>
      </c>
      <c r="E151" s="4" t="s">
        <v>783</v>
      </c>
      <c r="F151" s="4">
        <v>8853</v>
      </c>
      <c r="G151" s="4" t="s">
        <v>117</v>
      </c>
      <c r="H151" s="4" t="s">
        <v>31</v>
      </c>
      <c r="I151" s="4" t="s">
        <v>784</v>
      </c>
      <c r="J151" s="26" t="s">
        <v>781</v>
      </c>
    </row>
    <row r="152" spans="1:10" x14ac:dyDescent="0.25">
      <c r="A152" s="96">
        <v>228</v>
      </c>
      <c r="B152" s="4" t="s">
        <v>121</v>
      </c>
      <c r="C152" s="4" t="s">
        <v>773</v>
      </c>
      <c r="D152" s="4" t="s">
        <v>766</v>
      </c>
      <c r="E152" s="4" t="s">
        <v>774</v>
      </c>
      <c r="F152" s="4">
        <v>8834</v>
      </c>
      <c r="G152" s="4" t="s">
        <v>656</v>
      </c>
      <c r="H152" s="4" t="s">
        <v>31</v>
      </c>
      <c r="I152" s="4" t="s">
        <v>775</v>
      </c>
      <c r="J152" s="26" t="s">
        <v>776</v>
      </c>
    </row>
    <row r="153" spans="1:10" x14ac:dyDescent="0.25">
      <c r="A153" s="96">
        <v>229</v>
      </c>
      <c r="B153" s="4" t="s">
        <v>132</v>
      </c>
      <c r="C153" s="4" t="s">
        <v>773</v>
      </c>
      <c r="D153" s="4" t="s">
        <v>766</v>
      </c>
      <c r="E153" s="4" t="s">
        <v>777</v>
      </c>
      <c r="F153" s="4">
        <v>8834</v>
      </c>
      <c r="G153" s="4" t="s">
        <v>656</v>
      </c>
      <c r="H153" s="4" t="s">
        <v>31</v>
      </c>
      <c r="I153" s="4" t="s">
        <v>775</v>
      </c>
      <c r="J153" s="26" t="s">
        <v>776</v>
      </c>
    </row>
    <row r="154" spans="1:10" x14ac:dyDescent="0.25">
      <c r="A154" s="96">
        <v>226</v>
      </c>
      <c r="B154" s="4" t="s">
        <v>606</v>
      </c>
      <c r="C154" s="4" t="s">
        <v>765</v>
      </c>
      <c r="D154" s="4" t="s">
        <v>766</v>
      </c>
      <c r="E154" s="4" t="s">
        <v>767</v>
      </c>
      <c r="F154" s="4">
        <v>8853</v>
      </c>
      <c r="G154" s="4" t="s">
        <v>117</v>
      </c>
      <c r="H154" s="4" t="s">
        <v>31</v>
      </c>
      <c r="I154" s="4" t="s">
        <v>768</v>
      </c>
      <c r="J154" s="26"/>
    </row>
    <row r="155" spans="1:10" x14ac:dyDescent="0.25">
      <c r="A155" s="96">
        <v>230</v>
      </c>
      <c r="B155" s="4" t="s">
        <v>132</v>
      </c>
      <c r="C155" s="4" t="s">
        <v>778</v>
      </c>
      <c r="D155" s="4" t="s">
        <v>766</v>
      </c>
      <c r="E155" s="4" t="s">
        <v>779</v>
      </c>
      <c r="F155" s="4">
        <v>8853</v>
      </c>
      <c r="G155" s="4" t="s">
        <v>117</v>
      </c>
      <c r="H155" s="4" t="s">
        <v>31</v>
      </c>
      <c r="I155" s="4" t="s">
        <v>780</v>
      </c>
      <c r="J155" s="26" t="s">
        <v>781</v>
      </c>
    </row>
    <row r="156" spans="1:10" x14ac:dyDescent="0.25">
      <c r="A156" s="96">
        <v>227</v>
      </c>
      <c r="B156" s="4" t="s">
        <v>132</v>
      </c>
      <c r="C156" s="4" t="s">
        <v>769</v>
      </c>
      <c r="D156" s="4" t="s">
        <v>766</v>
      </c>
      <c r="E156" s="4" t="s">
        <v>770</v>
      </c>
      <c r="F156" s="4">
        <v>8854</v>
      </c>
      <c r="G156" s="4" t="s">
        <v>485</v>
      </c>
      <c r="H156" s="4" t="s">
        <v>31</v>
      </c>
      <c r="I156" s="4" t="s">
        <v>771</v>
      </c>
      <c r="J156" s="26" t="s">
        <v>772</v>
      </c>
    </row>
    <row r="157" spans="1:10" x14ac:dyDescent="0.25">
      <c r="A157" s="96">
        <v>220</v>
      </c>
      <c r="B157" s="4" t="s">
        <v>107</v>
      </c>
      <c r="C157" s="4" t="s">
        <v>756</v>
      </c>
      <c r="D157" s="4" t="s">
        <v>757</v>
      </c>
      <c r="E157" s="4" t="s">
        <v>758</v>
      </c>
      <c r="F157" s="4">
        <v>8853</v>
      </c>
      <c r="G157" s="4" t="s">
        <v>117</v>
      </c>
      <c r="H157" s="4" t="s">
        <v>31</v>
      </c>
      <c r="I157" s="4" t="s">
        <v>759</v>
      </c>
      <c r="J157" s="26" t="s">
        <v>760</v>
      </c>
    </row>
    <row r="158" spans="1:10" x14ac:dyDescent="0.25">
      <c r="A158" s="96">
        <v>223</v>
      </c>
      <c r="B158" s="4" t="s">
        <v>121</v>
      </c>
      <c r="C158" s="4" t="s">
        <v>761</v>
      </c>
      <c r="D158" s="4" t="s">
        <v>757</v>
      </c>
      <c r="E158" s="4" t="s">
        <v>762</v>
      </c>
      <c r="F158" s="4">
        <v>8852</v>
      </c>
      <c r="G158" s="4" t="s">
        <v>110</v>
      </c>
      <c r="H158" s="4" t="s">
        <v>31</v>
      </c>
      <c r="I158" s="4" t="s">
        <v>763</v>
      </c>
      <c r="J158" s="26" t="s">
        <v>764</v>
      </c>
    </row>
    <row r="159" spans="1:10" x14ac:dyDescent="0.25">
      <c r="A159" s="96">
        <v>214</v>
      </c>
      <c r="B159" s="4" t="s">
        <v>606</v>
      </c>
      <c r="C159" s="4" t="s">
        <v>752</v>
      </c>
      <c r="D159" s="4" t="s">
        <v>753</v>
      </c>
      <c r="E159" s="4" t="s">
        <v>754</v>
      </c>
      <c r="F159" s="4">
        <v>8854</v>
      </c>
      <c r="G159" s="4" t="s">
        <v>145</v>
      </c>
      <c r="H159" s="4" t="s">
        <v>31</v>
      </c>
      <c r="I159" s="4" t="s">
        <v>755</v>
      </c>
      <c r="J159" s="26"/>
    </row>
    <row r="160" spans="1:10" x14ac:dyDescent="0.25">
      <c r="A160" s="96">
        <v>213</v>
      </c>
      <c r="B160" s="4" t="s">
        <v>107</v>
      </c>
      <c r="C160" s="4" t="s">
        <v>747</v>
      </c>
      <c r="D160" s="4" t="s">
        <v>748</v>
      </c>
      <c r="E160" s="4" t="s">
        <v>749</v>
      </c>
      <c r="F160" s="4">
        <v>8806</v>
      </c>
      <c r="G160" s="4" t="s">
        <v>599</v>
      </c>
      <c r="H160" s="4" t="s">
        <v>31</v>
      </c>
      <c r="I160" s="4" t="s">
        <v>750</v>
      </c>
      <c r="J160" s="26" t="s">
        <v>751</v>
      </c>
    </row>
    <row r="161" spans="1:10" x14ac:dyDescent="0.25">
      <c r="A161" s="96">
        <v>212</v>
      </c>
      <c r="B161" s="4" t="s">
        <v>132</v>
      </c>
      <c r="C161" s="4" t="s">
        <v>742</v>
      </c>
      <c r="D161" s="4" t="s">
        <v>743</v>
      </c>
      <c r="E161" s="4" t="s">
        <v>744</v>
      </c>
      <c r="F161" s="4">
        <v>8853</v>
      </c>
      <c r="G161" s="4" t="s">
        <v>117</v>
      </c>
      <c r="H161" s="4" t="s">
        <v>31</v>
      </c>
      <c r="I161" s="4" t="s">
        <v>745</v>
      </c>
      <c r="J161" s="26" t="s">
        <v>746</v>
      </c>
    </row>
    <row r="162" spans="1:10" x14ac:dyDescent="0.25">
      <c r="A162" s="96">
        <v>210</v>
      </c>
      <c r="B162" s="4" t="s">
        <v>132</v>
      </c>
      <c r="C162" s="4" t="s">
        <v>731</v>
      </c>
      <c r="D162" s="4" t="s">
        <v>732</v>
      </c>
      <c r="E162" s="4" t="s">
        <v>733</v>
      </c>
      <c r="F162" s="4">
        <v>8856</v>
      </c>
      <c r="G162" s="4" t="s">
        <v>734</v>
      </c>
      <c r="H162" s="4" t="s">
        <v>31</v>
      </c>
      <c r="I162" s="4" t="s">
        <v>735</v>
      </c>
      <c r="J162" s="26" t="s">
        <v>736</v>
      </c>
    </row>
    <row r="163" spans="1:10" x14ac:dyDescent="0.25">
      <c r="A163" s="96">
        <v>209</v>
      </c>
      <c r="B163" s="4" t="s">
        <v>121</v>
      </c>
      <c r="C163" s="4" t="s">
        <v>727</v>
      </c>
      <c r="D163" s="4" t="s">
        <v>728</v>
      </c>
      <c r="E163" s="4" t="s">
        <v>724</v>
      </c>
      <c r="F163" s="4">
        <v>8808</v>
      </c>
      <c r="G163" s="4" t="s">
        <v>210</v>
      </c>
      <c r="H163" s="4" t="s">
        <v>31</v>
      </c>
      <c r="I163" s="4" t="s">
        <v>729</v>
      </c>
      <c r="J163" s="26" t="s">
        <v>730</v>
      </c>
    </row>
    <row r="164" spans="1:10" x14ac:dyDescent="0.25">
      <c r="A164" s="96">
        <v>208</v>
      </c>
      <c r="B164" s="4" t="s">
        <v>132</v>
      </c>
      <c r="C164" s="4" t="s">
        <v>722</v>
      </c>
      <c r="D164" s="4" t="s">
        <v>723</v>
      </c>
      <c r="E164" s="4" t="s">
        <v>724</v>
      </c>
      <c r="F164" s="4">
        <v>8853</v>
      </c>
      <c r="G164" s="4" t="s">
        <v>117</v>
      </c>
      <c r="H164" s="4" t="s">
        <v>31</v>
      </c>
      <c r="I164" s="4" t="s">
        <v>725</v>
      </c>
      <c r="J164" s="26" t="s">
        <v>726</v>
      </c>
    </row>
    <row r="165" spans="1:10" x14ac:dyDescent="0.25">
      <c r="A165" s="96">
        <v>204</v>
      </c>
      <c r="B165" s="4" t="s">
        <v>132</v>
      </c>
      <c r="C165" s="4" t="s">
        <v>717</v>
      </c>
      <c r="D165" s="4" t="s">
        <v>718</v>
      </c>
      <c r="E165" s="4" t="s">
        <v>719</v>
      </c>
      <c r="F165" s="4">
        <v>8853</v>
      </c>
      <c r="G165" s="4" t="s">
        <v>117</v>
      </c>
      <c r="H165" s="4" t="s">
        <v>31</v>
      </c>
      <c r="I165" s="4" t="s">
        <v>720</v>
      </c>
      <c r="J165" s="26" t="s">
        <v>721</v>
      </c>
    </row>
    <row r="166" spans="1:10" x14ac:dyDescent="0.25">
      <c r="A166" s="96">
        <v>203</v>
      </c>
      <c r="B166" s="4" t="s">
        <v>132</v>
      </c>
      <c r="C166" s="4" t="s">
        <v>713</v>
      </c>
      <c r="D166" s="4" t="s">
        <v>714</v>
      </c>
      <c r="E166" s="4" t="s">
        <v>710</v>
      </c>
      <c r="F166" s="4">
        <v>8832</v>
      </c>
      <c r="G166" s="4" t="s">
        <v>176</v>
      </c>
      <c r="H166" s="4" t="s">
        <v>31</v>
      </c>
      <c r="I166" s="4" t="s">
        <v>715</v>
      </c>
      <c r="J166" s="26" t="s">
        <v>716</v>
      </c>
    </row>
    <row r="167" spans="1:10" x14ac:dyDescent="0.25">
      <c r="A167" s="96">
        <v>402</v>
      </c>
      <c r="B167" s="4" t="s">
        <v>132</v>
      </c>
      <c r="C167" s="4" t="s">
        <v>223</v>
      </c>
      <c r="D167" s="4" t="s">
        <v>1269</v>
      </c>
      <c r="E167" s="4" t="s">
        <v>1270</v>
      </c>
      <c r="F167" s="4">
        <v>8004</v>
      </c>
      <c r="G167" s="4" t="s">
        <v>199</v>
      </c>
      <c r="H167" s="4" t="s">
        <v>31</v>
      </c>
      <c r="I167" s="4" t="s">
        <v>1271</v>
      </c>
      <c r="J167" s="26" t="s">
        <v>1272</v>
      </c>
    </row>
    <row r="168" spans="1:10" x14ac:dyDescent="0.25">
      <c r="A168" s="96">
        <v>202</v>
      </c>
      <c r="B168" s="4" t="s">
        <v>121</v>
      </c>
      <c r="C168" s="4" t="s">
        <v>708</v>
      </c>
      <c r="D168" s="4" t="s">
        <v>709</v>
      </c>
      <c r="E168" s="4" t="s">
        <v>710</v>
      </c>
      <c r="F168" s="4">
        <v>8853</v>
      </c>
      <c r="G168" s="4" t="s">
        <v>117</v>
      </c>
      <c r="H168" s="4" t="s">
        <v>31</v>
      </c>
      <c r="I168" s="4" t="s">
        <v>711</v>
      </c>
      <c r="J168" s="26" t="s">
        <v>712</v>
      </c>
    </row>
    <row r="169" spans="1:10" x14ac:dyDescent="0.25">
      <c r="A169" s="96">
        <v>199</v>
      </c>
      <c r="B169" s="4" t="s">
        <v>107</v>
      </c>
      <c r="C169" s="4" t="s">
        <v>701</v>
      </c>
      <c r="D169" s="4" t="s">
        <v>705</v>
      </c>
      <c r="E169" s="4" t="s">
        <v>697</v>
      </c>
      <c r="F169" s="4">
        <v>8853</v>
      </c>
      <c r="G169" s="4" t="s">
        <v>117</v>
      </c>
      <c r="H169" s="4" t="s">
        <v>31</v>
      </c>
      <c r="I169" s="4" t="s">
        <v>706</v>
      </c>
      <c r="J169" s="26" t="s">
        <v>707</v>
      </c>
    </row>
    <row r="170" spans="1:10" x14ac:dyDescent="0.25">
      <c r="A170" s="96">
        <v>198</v>
      </c>
      <c r="B170" s="4" t="s">
        <v>132</v>
      </c>
      <c r="C170" s="4" t="s">
        <v>701</v>
      </c>
      <c r="D170" s="4" t="s">
        <v>696</v>
      </c>
      <c r="E170" s="4" t="s">
        <v>697</v>
      </c>
      <c r="F170" s="4">
        <v>8832</v>
      </c>
      <c r="G170" s="4" t="s">
        <v>702</v>
      </c>
      <c r="H170" s="4" t="s">
        <v>31</v>
      </c>
      <c r="I170" s="4" t="s">
        <v>703</v>
      </c>
      <c r="J170" s="26" t="s">
        <v>704</v>
      </c>
    </row>
    <row r="171" spans="1:10" x14ac:dyDescent="0.25">
      <c r="A171" s="96">
        <v>196</v>
      </c>
      <c r="B171" s="4" t="s">
        <v>132</v>
      </c>
      <c r="C171" s="4" t="s">
        <v>695</v>
      </c>
      <c r="D171" s="4" t="s">
        <v>696</v>
      </c>
      <c r="E171" s="4" t="s">
        <v>697</v>
      </c>
      <c r="F171" s="4">
        <v>8858</v>
      </c>
      <c r="G171" s="4" t="s">
        <v>698</v>
      </c>
      <c r="H171" s="4" t="s">
        <v>31</v>
      </c>
      <c r="I171" s="4" t="s">
        <v>699</v>
      </c>
      <c r="J171" s="26" t="s">
        <v>700</v>
      </c>
    </row>
    <row r="172" spans="1:10" x14ac:dyDescent="0.25">
      <c r="A172" s="96">
        <v>194</v>
      </c>
      <c r="B172" s="4" t="s">
        <v>121</v>
      </c>
      <c r="C172" s="4" t="s">
        <v>691</v>
      </c>
      <c r="D172" s="4" t="s">
        <v>687</v>
      </c>
      <c r="E172" s="4" t="s">
        <v>688</v>
      </c>
      <c r="F172" s="4">
        <v>8855</v>
      </c>
      <c r="G172" s="4" t="s">
        <v>32</v>
      </c>
      <c r="H172" s="4" t="s">
        <v>31</v>
      </c>
      <c r="I172" s="4" t="s">
        <v>692</v>
      </c>
      <c r="J172" s="26" t="s">
        <v>693</v>
      </c>
    </row>
    <row r="173" spans="1:10" x14ac:dyDescent="0.25">
      <c r="A173" s="96">
        <v>195</v>
      </c>
      <c r="B173" s="4" t="s">
        <v>132</v>
      </c>
      <c r="C173" s="4" t="s">
        <v>691</v>
      </c>
      <c r="D173" s="4" t="s">
        <v>687</v>
      </c>
      <c r="E173" s="4" t="s">
        <v>694</v>
      </c>
      <c r="F173" s="4">
        <v>8855</v>
      </c>
      <c r="G173" s="4" t="s">
        <v>32</v>
      </c>
      <c r="H173" s="4" t="s">
        <v>31</v>
      </c>
      <c r="I173" s="4" t="s">
        <v>692</v>
      </c>
      <c r="J173" s="26" t="s">
        <v>693</v>
      </c>
    </row>
    <row r="174" spans="1:10" x14ac:dyDescent="0.25">
      <c r="A174" s="96">
        <v>193</v>
      </c>
      <c r="B174" s="4" t="s">
        <v>107</v>
      </c>
      <c r="C174" s="4" t="s">
        <v>686</v>
      </c>
      <c r="D174" s="4" t="s">
        <v>687</v>
      </c>
      <c r="E174" s="4" t="s">
        <v>688</v>
      </c>
      <c r="F174" s="4">
        <v>8853</v>
      </c>
      <c r="G174" s="4" t="s">
        <v>117</v>
      </c>
      <c r="H174" s="4" t="s">
        <v>31</v>
      </c>
      <c r="I174" s="4" t="s">
        <v>689</v>
      </c>
      <c r="J174" s="26" t="s">
        <v>690</v>
      </c>
    </row>
    <row r="175" spans="1:10" x14ac:dyDescent="0.25">
      <c r="A175" s="96">
        <v>189</v>
      </c>
      <c r="B175" s="4" t="s">
        <v>132</v>
      </c>
      <c r="C175" s="4" t="s">
        <v>678</v>
      </c>
      <c r="D175" s="4" t="s">
        <v>226</v>
      </c>
      <c r="E175" s="4" t="s">
        <v>679</v>
      </c>
      <c r="F175" s="4">
        <v>8854</v>
      </c>
      <c r="G175" s="4" t="s">
        <v>485</v>
      </c>
      <c r="H175" s="4" t="s">
        <v>31</v>
      </c>
      <c r="I175" s="4" t="s">
        <v>680</v>
      </c>
      <c r="J175" s="26" t="s">
        <v>681</v>
      </c>
    </row>
    <row r="176" spans="1:10" x14ac:dyDescent="0.25">
      <c r="A176" s="96">
        <v>190</v>
      </c>
      <c r="B176" s="4" t="s">
        <v>107</v>
      </c>
      <c r="C176" s="4" t="s">
        <v>682</v>
      </c>
      <c r="D176" s="4" t="s">
        <v>226</v>
      </c>
      <c r="E176" s="4" t="s">
        <v>683</v>
      </c>
      <c r="F176" s="4">
        <v>77781</v>
      </c>
      <c r="G176" s="4" t="s">
        <v>684</v>
      </c>
      <c r="H176" s="4" t="s">
        <v>33</v>
      </c>
      <c r="I176" s="4" t="s">
        <v>685</v>
      </c>
      <c r="J176" s="26"/>
    </row>
    <row r="177" spans="1:10" x14ac:dyDescent="0.25">
      <c r="A177" s="96">
        <v>188</v>
      </c>
      <c r="B177" s="4" t="s">
        <v>107</v>
      </c>
      <c r="C177" s="4" t="s">
        <v>674</v>
      </c>
      <c r="D177" s="4" t="s">
        <v>675</v>
      </c>
      <c r="E177" s="4" t="s">
        <v>676</v>
      </c>
      <c r="F177" s="4">
        <v>8853</v>
      </c>
      <c r="G177" s="4" t="s">
        <v>117</v>
      </c>
      <c r="H177" s="4" t="s">
        <v>31</v>
      </c>
      <c r="I177" s="4" t="s">
        <v>677</v>
      </c>
      <c r="J177" s="26" t="s">
        <v>644</v>
      </c>
    </row>
    <row r="178" spans="1:10" x14ac:dyDescent="0.25">
      <c r="A178" s="96">
        <v>185</v>
      </c>
      <c r="B178" s="4" t="s">
        <v>107</v>
      </c>
      <c r="C178" s="4" t="s">
        <v>669</v>
      </c>
      <c r="D178" s="4" t="s">
        <v>670</v>
      </c>
      <c r="E178" s="4" t="s">
        <v>671</v>
      </c>
      <c r="F178" s="4">
        <v>8854</v>
      </c>
      <c r="G178" s="4" t="s">
        <v>485</v>
      </c>
      <c r="H178" s="4" t="s">
        <v>31</v>
      </c>
      <c r="I178" s="4" t="s">
        <v>672</v>
      </c>
      <c r="J178" s="26" t="s">
        <v>673</v>
      </c>
    </row>
    <row r="179" spans="1:10" x14ac:dyDescent="0.25">
      <c r="A179" s="96">
        <v>184</v>
      </c>
      <c r="B179" s="4" t="s">
        <v>107</v>
      </c>
      <c r="C179" s="4" t="s">
        <v>664</v>
      </c>
      <c r="D179" s="4" t="s">
        <v>665</v>
      </c>
      <c r="E179" s="4" t="s">
        <v>666</v>
      </c>
      <c r="F179" s="4">
        <v>8855</v>
      </c>
      <c r="G179" s="4" t="s">
        <v>32</v>
      </c>
      <c r="H179" s="4" t="s">
        <v>31</v>
      </c>
      <c r="I179" s="4" t="s">
        <v>667</v>
      </c>
      <c r="J179" s="26" t="s">
        <v>668</v>
      </c>
    </row>
    <row r="180" spans="1:10" x14ac:dyDescent="0.25">
      <c r="A180" s="96">
        <v>183</v>
      </c>
      <c r="B180" s="4" t="s">
        <v>132</v>
      </c>
      <c r="C180" s="4" t="s">
        <v>659</v>
      </c>
      <c r="D180" s="4" t="s">
        <v>660</v>
      </c>
      <c r="E180" s="4" t="s">
        <v>661</v>
      </c>
      <c r="F180" s="4">
        <v>8808</v>
      </c>
      <c r="G180" s="4" t="s">
        <v>210</v>
      </c>
      <c r="H180" s="4" t="s">
        <v>31</v>
      </c>
      <c r="I180" s="4" t="s">
        <v>662</v>
      </c>
      <c r="J180" s="26" t="s">
        <v>663</v>
      </c>
    </row>
    <row r="181" spans="1:10" x14ac:dyDescent="0.25">
      <c r="A181" s="96">
        <v>182</v>
      </c>
      <c r="B181" s="4" t="s">
        <v>132</v>
      </c>
      <c r="C181" s="4" t="s">
        <v>654</v>
      </c>
      <c r="D181" s="4" t="s">
        <v>655</v>
      </c>
      <c r="E181" s="4" t="s">
        <v>651</v>
      </c>
      <c r="F181" s="4">
        <v>8834</v>
      </c>
      <c r="G181" s="4" t="s">
        <v>656</v>
      </c>
      <c r="H181" s="4" t="s">
        <v>31</v>
      </c>
      <c r="I181" s="4" t="s">
        <v>657</v>
      </c>
      <c r="J181" s="26" t="s">
        <v>658</v>
      </c>
    </row>
    <row r="182" spans="1:10" x14ac:dyDescent="0.25">
      <c r="A182" s="96">
        <v>180</v>
      </c>
      <c r="B182" s="4" t="s">
        <v>132</v>
      </c>
      <c r="C182" s="4" t="s">
        <v>649</v>
      </c>
      <c r="D182" s="4" t="s">
        <v>650</v>
      </c>
      <c r="E182" s="4" t="s">
        <v>651</v>
      </c>
      <c r="F182" s="4">
        <v>8862</v>
      </c>
      <c r="G182" s="4" t="s">
        <v>445</v>
      </c>
      <c r="H182" s="4" t="s">
        <v>31</v>
      </c>
      <c r="I182" s="4" t="s">
        <v>652</v>
      </c>
      <c r="J182" s="26" t="s">
        <v>653</v>
      </c>
    </row>
    <row r="183" spans="1:10" x14ac:dyDescent="0.25">
      <c r="A183" s="96">
        <v>178</v>
      </c>
      <c r="B183" s="4" t="s">
        <v>107</v>
      </c>
      <c r="C183" s="4" t="s">
        <v>639</v>
      </c>
      <c r="D183" s="4" t="s">
        <v>645</v>
      </c>
      <c r="E183" s="4" t="s">
        <v>646</v>
      </c>
      <c r="F183" s="4">
        <v>8808</v>
      </c>
      <c r="G183" s="4" t="s">
        <v>210</v>
      </c>
      <c r="H183" s="4" t="s">
        <v>31</v>
      </c>
      <c r="I183" s="4" t="s">
        <v>647</v>
      </c>
      <c r="J183" s="26" t="s">
        <v>648</v>
      </c>
    </row>
    <row r="184" spans="1:10" x14ac:dyDescent="0.25">
      <c r="A184" s="96">
        <v>177</v>
      </c>
      <c r="B184" s="4" t="s">
        <v>107</v>
      </c>
      <c r="C184" s="4" t="s">
        <v>639</v>
      </c>
      <c r="D184" s="4" t="s">
        <v>640</v>
      </c>
      <c r="E184" s="4" t="s">
        <v>641</v>
      </c>
      <c r="F184" s="4">
        <v>8645</v>
      </c>
      <c r="G184" s="4" t="s">
        <v>642</v>
      </c>
      <c r="H184" s="4" t="s">
        <v>31</v>
      </c>
      <c r="I184" s="4" t="s">
        <v>643</v>
      </c>
      <c r="J184" s="26" t="s">
        <v>644</v>
      </c>
    </row>
    <row r="185" spans="1:10" x14ac:dyDescent="0.25">
      <c r="A185" s="96">
        <v>170</v>
      </c>
      <c r="B185" s="4" t="s">
        <v>107</v>
      </c>
      <c r="C185" s="4" t="s">
        <v>325</v>
      </c>
      <c r="D185" s="4" t="s">
        <v>628</v>
      </c>
      <c r="E185" s="4" t="s">
        <v>633</v>
      </c>
      <c r="F185" s="4">
        <v>8855</v>
      </c>
      <c r="G185" s="4" t="s">
        <v>32</v>
      </c>
      <c r="H185" s="4" t="s">
        <v>31</v>
      </c>
      <c r="I185" s="4" t="s">
        <v>637</v>
      </c>
      <c r="J185" s="26" t="s">
        <v>638</v>
      </c>
    </row>
    <row r="186" spans="1:10" x14ac:dyDescent="0.25">
      <c r="A186" s="96">
        <v>169</v>
      </c>
      <c r="B186" s="4" t="s">
        <v>132</v>
      </c>
      <c r="C186" s="4" t="s">
        <v>632</v>
      </c>
      <c r="D186" s="4" t="s">
        <v>628</v>
      </c>
      <c r="E186" s="4" t="s">
        <v>633</v>
      </c>
      <c r="F186" s="4">
        <v>8808</v>
      </c>
      <c r="G186" s="4" t="s">
        <v>634</v>
      </c>
      <c r="H186" s="4" t="s">
        <v>31</v>
      </c>
      <c r="I186" s="4" t="s">
        <v>635</v>
      </c>
      <c r="J186" s="26" t="s">
        <v>636</v>
      </c>
    </row>
    <row r="187" spans="1:10" x14ac:dyDescent="0.25">
      <c r="A187" s="96">
        <v>168</v>
      </c>
      <c r="B187" s="4" t="s">
        <v>107</v>
      </c>
      <c r="C187" s="4" t="s">
        <v>627</v>
      </c>
      <c r="D187" s="4" t="s">
        <v>628</v>
      </c>
      <c r="E187" s="4" t="s">
        <v>629</v>
      </c>
      <c r="F187" s="4">
        <v>8808</v>
      </c>
      <c r="G187" s="4" t="s">
        <v>210</v>
      </c>
      <c r="H187" s="4" t="s">
        <v>31</v>
      </c>
      <c r="I187" s="4" t="s">
        <v>630</v>
      </c>
      <c r="J187" s="26" t="s">
        <v>631</v>
      </c>
    </row>
    <row r="188" spans="1:10" x14ac:dyDescent="0.25">
      <c r="A188" s="96">
        <v>166</v>
      </c>
      <c r="B188" s="4" t="s">
        <v>107</v>
      </c>
      <c r="C188" s="4" t="s">
        <v>620</v>
      </c>
      <c r="D188" s="4" t="s">
        <v>624</v>
      </c>
      <c r="E188" s="4" t="s">
        <v>621</v>
      </c>
      <c r="F188" s="4">
        <v>8853</v>
      </c>
      <c r="G188" s="4" t="s">
        <v>117</v>
      </c>
      <c r="H188" s="4" t="s">
        <v>31</v>
      </c>
      <c r="I188" s="4" t="s">
        <v>625</v>
      </c>
      <c r="J188" s="26" t="s">
        <v>626</v>
      </c>
    </row>
    <row r="189" spans="1:10" x14ac:dyDescent="0.25">
      <c r="A189" s="96">
        <v>165</v>
      </c>
      <c r="B189" s="4" t="s">
        <v>107</v>
      </c>
      <c r="C189" s="4" t="s">
        <v>620</v>
      </c>
      <c r="D189" s="4" t="s">
        <v>616</v>
      </c>
      <c r="E189" s="4" t="s">
        <v>621</v>
      </c>
      <c r="F189" s="4">
        <v>8853</v>
      </c>
      <c r="G189" s="4" t="s">
        <v>117</v>
      </c>
      <c r="H189" s="4" t="s">
        <v>31</v>
      </c>
      <c r="I189" s="4" t="s">
        <v>622</v>
      </c>
      <c r="J189" s="26" t="s">
        <v>623</v>
      </c>
    </row>
    <row r="190" spans="1:10" x14ac:dyDescent="0.25">
      <c r="A190" s="96">
        <v>161</v>
      </c>
      <c r="B190" s="4" t="s">
        <v>107</v>
      </c>
      <c r="C190" s="4" t="s">
        <v>615</v>
      </c>
      <c r="D190" s="4" t="s">
        <v>616</v>
      </c>
      <c r="E190" s="4" t="s">
        <v>612</v>
      </c>
      <c r="F190" s="4">
        <v>8715</v>
      </c>
      <c r="G190" s="4" t="s">
        <v>617</v>
      </c>
      <c r="H190" s="4" t="s">
        <v>31</v>
      </c>
      <c r="I190" s="4" t="s">
        <v>618</v>
      </c>
      <c r="J190" s="26" t="s">
        <v>619</v>
      </c>
    </row>
    <row r="191" spans="1:10" x14ac:dyDescent="0.25">
      <c r="A191" s="96">
        <v>159</v>
      </c>
      <c r="B191" s="4" t="s">
        <v>132</v>
      </c>
      <c r="C191" s="4" t="s">
        <v>611</v>
      </c>
      <c r="D191" s="4" t="s">
        <v>608</v>
      </c>
      <c r="E191" s="4" t="s">
        <v>612</v>
      </c>
      <c r="F191" s="4">
        <v>8853</v>
      </c>
      <c r="G191" s="4" t="s">
        <v>117</v>
      </c>
      <c r="H191" s="4" t="s">
        <v>31</v>
      </c>
      <c r="I191" s="4" t="s">
        <v>613</v>
      </c>
      <c r="J191" s="26" t="s">
        <v>614</v>
      </c>
    </row>
    <row r="192" spans="1:10" x14ac:dyDescent="0.25">
      <c r="A192" s="96">
        <v>158</v>
      </c>
      <c r="B192" s="4" t="s">
        <v>606</v>
      </c>
      <c r="C192" s="4" t="s">
        <v>607</v>
      </c>
      <c r="D192" s="4" t="s">
        <v>608</v>
      </c>
      <c r="E192" s="4" t="s">
        <v>598</v>
      </c>
      <c r="F192" s="4">
        <v>3001</v>
      </c>
      <c r="G192" s="4" t="s">
        <v>609</v>
      </c>
      <c r="H192" s="4" t="s">
        <v>31</v>
      </c>
      <c r="I192" s="4" t="s">
        <v>610</v>
      </c>
      <c r="J192" s="26"/>
    </row>
    <row r="193" spans="1:10" x14ac:dyDescent="0.25">
      <c r="A193" s="96">
        <v>156</v>
      </c>
      <c r="B193" s="4" t="s">
        <v>132</v>
      </c>
      <c r="C193" s="4" t="s">
        <v>232</v>
      </c>
      <c r="D193" s="4" t="s">
        <v>603</v>
      </c>
      <c r="E193" s="4" t="s">
        <v>598</v>
      </c>
      <c r="F193" s="4">
        <v>8808</v>
      </c>
      <c r="G193" s="4" t="s">
        <v>210</v>
      </c>
      <c r="H193" s="4" t="s">
        <v>31</v>
      </c>
      <c r="I193" s="4" t="s">
        <v>604</v>
      </c>
      <c r="J193" s="26" t="s">
        <v>605</v>
      </c>
    </row>
    <row r="194" spans="1:10" x14ac:dyDescent="0.25">
      <c r="A194" s="96">
        <v>155</v>
      </c>
      <c r="B194" s="4" t="s">
        <v>132</v>
      </c>
      <c r="C194" s="4" t="s">
        <v>232</v>
      </c>
      <c r="D194" s="4" t="s">
        <v>601</v>
      </c>
      <c r="E194" s="4" t="s">
        <v>598</v>
      </c>
      <c r="F194" s="4">
        <v>8806</v>
      </c>
      <c r="G194" s="4" t="s">
        <v>599</v>
      </c>
      <c r="H194" s="4" t="s">
        <v>31</v>
      </c>
      <c r="I194" s="4" t="s">
        <v>602</v>
      </c>
      <c r="J194" s="26"/>
    </row>
    <row r="195" spans="1:10" x14ac:dyDescent="0.25">
      <c r="A195" s="96">
        <v>154</v>
      </c>
      <c r="B195" s="4" t="s">
        <v>121</v>
      </c>
      <c r="C195" s="4" t="s">
        <v>232</v>
      </c>
      <c r="D195" s="4" t="s">
        <v>597</v>
      </c>
      <c r="E195" s="4" t="s">
        <v>598</v>
      </c>
      <c r="F195" s="4">
        <v>8806</v>
      </c>
      <c r="G195" s="4" t="s">
        <v>599</v>
      </c>
      <c r="H195" s="4" t="s">
        <v>31</v>
      </c>
      <c r="I195" s="4" t="s">
        <v>600</v>
      </c>
      <c r="J195" s="26"/>
    </row>
    <row r="196" spans="1:10" x14ac:dyDescent="0.25">
      <c r="A196" s="96">
        <v>153</v>
      </c>
      <c r="B196" s="4" t="s">
        <v>107</v>
      </c>
      <c r="C196" s="4" t="s">
        <v>232</v>
      </c>
      <c r="D196" s="4" t="s">
        <v>593</v>
      </c>
      <c r="E196" s="4" t="s">
        <v>582</v>
      </c>
      <c r="F196" s="4">
        <v>8718</v>
      </c>
      <c r="G196" s="4" t="s">
        <v>594</v>
      </c>
      <c r="H196" s="4" t="s">
        <v>31</v>
      </c>
      <c r="I196" s="4" t="s">
        <v>595</v>
      </c>
      <c r="J196" s="26" t="s">
        <v>596</v>
      </c>
    </row>
    <row r="197" spans="1:10" x14ac:dyDescent="0.25">
      <c r="A197" s="96">
        <v>151</v>
      </c>
      <c r="B197" s="4" t="s">
        <v>132</v>
      </c>
      <c r="C197" s="4" t="s">
        <v>590</v>
      </c>
      <c r="D197" s="4" t="s">
        <v>591</v>
      </c>
      <c r="E197" s="4" t="s">
        <v>582</v>
      </c>
      <c r="F197" s="4">
        <v>8853</v>
      </c>
      <c r="G197" s="4" t="s">
        <v>117</v>
      </c>
      <c r="H197" s="4" t="s">
        <v>31</v>
      </c>
      <c r="I197" s="4" t="s">
        <v>592</v>
      </c>
      <c r="J197" s="26" t="s">
        <v>425</v>
      </c>
    </row>
    <row r="198" spans="1:10" x14ac:dyDescent="0.25">
      <c r="A198" s="96">
        <v>149</v>
      </c>
      <c r="B198" s="4" t="s">
        <v>132</v>
      </c>
      <c r="C198" s="4" t="s">
        <v>586</v>
      </c>
      <c r="D198" s="4" t="s">
        <v>587</v>
      </c>
      <c r="E198" s="4" t="s">
        <v>582</v>
      </c>
      <c r="F198" s="4">
        <v>8854</v>
      </c>
      <c r="G198" s="4" t="s">
        <v>145</v>
      </c>
      <c r="H198" s="4" t="s">
        <v>31</v>
      </c>
      <c r="I198" s="4" t="s">
        <v>588</v>
      </c>
      <c r="J198" s="26" t="s">
        <v>589</v>
      </c>
    </row>
    <row r="199" spans="1:10" x14ac:dyDescent="0.25">
      <c r="A199" s="96">
        <v>148</v>
      </c>
      <c r="B199" s="4" t="s">
        <v>107</v>
      </c>
      <c r="C199" s="4" t="s">
        <v>581</v>
      </c>
      <c r="D199" s="4" t="s">
        <v>8</v>
      </c>
      <c r="E199" s="4" t="s">
        <v>582</v>
      </c>
      <c r="F199" s="4">
        <v>6103</v>
      </c>
      <c r="G199" s="4" t="s">
        <v>583</v>
      </c>
      <c r="H199" s="4" t="s">
        <v>31</v>
      </c>
      <c r="I199" s="4" t="s">
        <v>584</v>
      </c>
      <c r="J199" s="26" t="s">
        <v>585</v>
      </c>
    </row>
    <row r="200" spans="1:10" x14ac:dyDescent="0.25">
      <c r="A200" s="96">
        <v>147</v>
      </c>
      <c r="B200" s="4" t="s">
        <v>107</v>
      </c>
      <c r="C200" s="4" t="s">
        <v>223</v>
      </c>
      <c r="D200" s="4" t="s">
        <v>577</v>
      </c>
      <c r="E200" s="4" t="s">
        <v>578</v>
      </c>
      <c r="F200" s="4">
        <v>8862</v>
      </c>
      <c r="G200" s="4" t="s">
        <v>445</v>
      </c>
      <c r="H200" s="4" t="s">
        <v>31</v>
      </c>
      <c r="I200" s="4" t="s">
        <v>579</v>
      </c>
      <c r="J200" s="26" t="s">
        <v>580</v>
      </c>
    </row>
    <row r="201" spans="1:10" x14ac:dyDescent="0.25">
      <c r="A201" s="96">
        <v>146</v>
      </c>
      <c r="B201" s="4" t="s">
        <v>107</v>
      </c>
      <c r="C201" s="4" t="s">
        <v>572</v>
      </c>
      <c r="D201" s="4" t="s">
        <v>573</v>
      </c>
      <c r="E201" s="4" t="s">
        <v>574</v>
      </c>
      <c r="F201" s="4">
        <v>8853</v>
      </c>
      <c r="G201" s="4" t="s">
        <v>117</v>
      </c>
      <c r="H201" s="4" t="s">
        <v>31</v>
      </c>
      <c r="I201" s="4" t="s">
        <v>575</v>
      </c>
      <c r="J201" s="26" t="s">
        <v>576</v>
      </c>
    </row>
    <row r="202" spans="1:10" x14ac:dyDescent="0.25">
      <c r="A202" s="96">
        <v>140</v>
      </c>
      <c r="B202" s="4" t="s">
        <v>107</v>
      </c>
      <c r="C202" s="4" t="s">
        <v>113</v>
      </c>
      <c r="D202" s="4" t="s">
        <v>569</v>
      </c>
      <c r="E202" s="4" t="s">
        <v>570</v>
      </c>
      <c r="F202" s="4">
        <v>8852</v>
      </c>
      <c r="G202" s="4" t="s">
        <v>110</v>
      </c>
      <c r="H202" s="4" t="s">
        <v>31</v>
      </c>
      <c r="I202" s="4" t="s">
        <v>571</v>
      </c>
      <c r="J202" s="26"/>
    </row>
    <row r="203" spans="1:10" x14ac:dyDescent="0.25">
      <c r="A203" s="96">
        <v>137</v>
      </c>
      <c r="B203" s="4" t="s">
        <v>107</v>
      </c>
      <c r="C203" s="4" t="s">
        <v>113</v>
      </c>
      <c r="D203" s="4" t="s">
        <v>112</v>
      </c>
      <c r="E203" s="4" t="s">
        <v>111</v>
      </c>
      <c r="F203" s="4">
        <v>8852</v>
      </c>
      <c r="G203" s="4" t="s">
        <v>110</v>
      </c>
      <c r="H203" s="4" t="s">
        <v>31</v>
      </c>
      <c r="I203" s="4" t="s">
        <v>109</v>
      </c>
      <c r="J203" s="26" t="s">
        <v>108</v>
      </c>
    </row>
    <row r="204" spans="1:10" x14ac:dyDescent="0.25">
      <c r="A204" s="96">
        <v>135</v>
      </c>
      <c r="B204" s="4" t="s">
        <v>107</v>
      </c>
      <c r="C204" s="4" t="s">
        <v>567</v>
      </c>
      <c r="D204" s="4" t="s">
        <v>119</v>
      </c>
      <c r="E204" s="4" t="s">
        <v>118</v>
      </c>
      <c r="F204" s="4">
        <v>8853</v>
      </c>
      <c r="G204" s="4" t="s">
        <v>117</v>
      </c>
      <c r="H204" s="4" t="s">
        <v>31</v>
      </c>
      <c r="I204" s="4" t="s">
        <v>568</v>
      </c>
      <c r="J204" s="26" t="s">
        <v>116</v>
      </c>
    </row>
    <row r="205" spans="1:10" x14ac:dyDescent="0.25">
      <c r="A205" s="96">
        <v>133</v>
      </c>
      <c r="B205" s="4" t="s">
        <v>107</v>
      </c>
      <c r="C205" s="4" t="s">
        <v>127</v>
      </c>
      <c r="D205" s="4" t="s">
        <v>566</v>
      </c>
      <c r="E205" s="4" t="s">
        <v>130</v>
      </c>
      <c r="F205" s="4">
        <v>8708</v>
      </c>
      <c r="G205" s="4" t="s">
        <v>124</v>
      </c>
      <c r="H205" s="4" t="s">
        <v>31</v>
      </c>
      <c r="I205" s="4" t="s">
        <v>128</v>
      </c>
      <c r="J205" s="26" t="s">
        <v>122</v>
      </c>
    </row>
    <row r="206" spans="1:10" x14ac:dyDescent="0.25">
      <c r="A206" s="96">
        <v>134</v>
      </c>
      <c r="B206" s="4" t="s">
        <v>121</v>
      </c>
      <c r="C206" s="4" t="s">
        <v>127</v>
      </c>
      <c r="D206" s="4" t="s">
        <v>566</v>
      </c>
      <c r="E206" s="4" t="s">
        <v>125</v>
      </c>
      <c r="F206" s="4">
        <v>8708</v>
      </c>
      <c r="G206" s="4" t="s">
        <v>124</v>
      </c>
      <c r="H206" s="4" t="s">
        <v>31</v>
      </c>
      <c r="I206" s="4" t="s">
        <v>128</v>
      </c>
      <c r="J206" s="26" t="s">
        <v>122</v>
      </c>
    </row>
    <row r="207" spans="1:10" x14ac:dyDescent="0.25">
      <c r="A207" s="96">
        <v>132</v>
      </c>
      <c r="B207" s="4" t="s">
        <v>132</v>
      </c>
      <c r="C207" s="4" t="s">
        <v>138</v>
      </c>
      <c r="D207" s="4" t="s">
        <v>566</v>
      </c>
      <c r="E207" s="4" t="s">
        <v>136</v>
      </c>
      <c r="F207" s="4">
        <v>8807</v>
      </c>
      <c r="G207" s="4" t="s">
        <v>135</v>
      </c>
      <c r="H207" s="4" t="s">
        <v>31</v>
      </c>
      <c r="I207" s="4" t="s">
        <v>134</v>
      </c>
      <c r="J207" s="26" t="s">
        <v>133</v>
      </c>
    </row>
    <row r="208" spans="1:10" x14ac:dyDescent="0.25">
      <c r="A208" s="96">
        <v>128</v>
      </c>
      <c r="B208" s="4" t="s">
        <v>132</v>
      </c>
      <c r="C208" s="4" t="s">
        <v>563</v>
      </c>
      <c r="D208" s="4" t="s">
        <v>564</v>
      </c>
      <c r="E208" s="4" t="s">
        <v>141</v>
      </c>
      <c r="F208" s="4">
        <v>8863</v>
      </c>
      <c r="G208" s="4" t="s">
        <v>140</v>
      </c>
      <c r="H208" s="4" t="s">
        <v>31</v>
      </c>
      <c r="I208" s="4" t="s">
        <v>565</v>
      </c>
      <c r="J208" s="26" t="s">
        <v>139</v>
      </c>
    </row>
    <row r="209" spans="1:10" x14ac:dyDescent="0.25">
      <c r="A209" s="96">
        <v>131</v>
      </c>
      <c r="B209" s="4" t="s">
        <v>132</v>
      </c>
      <c r="C209" s="4" t="s">
        <v>147</v>
      </c>
      <c r="D209" s="4" t="s">
        <v>131</v>
      </c>
      <c r="E209" s="4" t="s">
        <v>141</v>
      </c>
      <c r="F209" s="4">
        <v>8854</v>
      </c>
      <c r="G209" s="4" t="s">
        <v>145</v>
      </c>
      <c r="H209" s="4" t="s">
        <v>31</v>
      </c>
      <c r="I209" s="4" t="s">
        <v>562</v>
      </c>
      <c r="J209" s="26" t="s">
        <v>144</v>
      </c>
    </row>
    <row r="210" spans="1:10" x14ac:dyDescent="0.25">
      <c r="A210" s="96">
        <v>129</v>
      </c>
      <c r="B210" s="4" t="s">
        <v>132</v>
      </c>
      <c r="C210" s="4" t="s">
        <v>147</v>
      </c>
      <c r="D210" s="4" t="s">
        <v>560</v>
      </c>
      <c r="E210" s="4" t="s">
        <v>149</v>
      </c>
      <c r="F210" s="4">
        <v>8853</v>
      </c>
      <c r="G210" s="4" t="s">
        <v>117</v>
      </c>
      <c r="H210" s="4" t="s">
        <v>31</v>
      </c>
      <c r="I210" s="4" t="s">
        <v>561</v>
      </c>
      <c r="J210" s="26" t="s">
        <v>148</v>
      </c>
    </row>
    <row r="211" spans="1:10" x14ac:dyDescent="0.25">
      <c r="A211" s="96">
        <v>126</v>
      </c>
      <c r="B211" s="4" t="s">
        <v>132</v>
      </c>
      <c r="C211" s="4" t="s">
        <v>154</v>
      </c>
      <c r="D211" s="4" t="s">
        <v>150</v>
      </c>
      <c r="E211" s="4" t="s">
        <v>149</v>
      </c>
      <c r="F211" s="4">
        <v>8634</v>
      </c>
      <c r="G211" s="4" t="s">
        <v>153</v>
      </c>
      <c r="H211" s="4" t="s">
        <v>31</v>
      </c>
      <c r="I211" s="4" t="s">
        <v>152</v>
      </c>
      <c r="J211" s="26" t="s">
        <v>151</v>
      </c>
    </row>
    <row r="212" spans="1:10" x14ac:dyDescent="0.25">
      <c r="A212" s="96">
        <v>122</v>
      </c>
      <c r="B212" s="4" t="s">
        <v>132</v>
      </c>
      <c r="C212" s="4" t="s">
        <v>160</v>
      </c>
      <c r="D212" s="4" t="s">
        <v>559</v>
      </c>
      <c r="E212" s="4" t="s">
        <v>158</v>
      </c>
      <c r="F212" s="4">
        <v>8808</v>
      </c>
      <c r="G212" s="4" t="s">
        <v>210</v>
      </c>
      <c r="H212" s="4" t="s">
        <v>31</v>
      </c>
      <c r="I212" s="4" t="s">
        <v>156</v>
      </c>
      <c r="J212" s="26" t="s">
        <v>155</v>
      </c>
    </row>
    <row r="213" spans="1:10" x14ac:dyDescent="0.25">
      <c r="A213" s="96">
        <v>121</v>
      </c>
      <c r="B213" s="4" t="s">
        <v>107</v>
      </c>
      <c r="C213" s="4" t="s">
        <v>164</v>
      </c>
      <c r="D213" s="4" t="s">
        <v>163</v>
      </c>
      <c r="E213" s="4" t="s">
        <v>162</v>
      </c>
      <c r="F213" s="4">
        <v>8853</v>
      </c>
      <c r="G213" s="4" t="s">
        <v>117</v>
      </c>
      <c r="H213" s="4" t="s">
        <v>31</v>
      </c>
      <c r="I213" s="4" t="s">
        <v>558</v>
      </c>
      <c r="J213" s="26" t="s">
        <v>161</v>
      </c>
    </row>
    <row r="214" spans="1:10" x14ac:dyDescent="0.25">
      <c r="A214" s="96">
        <v>118</v>
      </c>
      <c r="B214" s="4" t="s">
        <v>132</v>
      </c>
      <c r="C214" s="4" t="s">
        <v>173</v>
      </c>
      <c r="D214" s="4" t="s">
        <v>555</v>
      </c>
      <c r="E214" s="4" t="s">
        <v>167</v>
      </c>
      <c r="F214" s="4">
        <v>8855</v>
      </c>
      <c r="G214" s="4" t="s">
        <v>171</v>
      </c>
      <c r="H214" s="4" t="s">
        <v>31</v>
      </c>
      <c r="I214" s="4" t="s">
        <v>556</v>
      </c>
      <c r="J214" s="26" t="s">
        <v>169</v>
      </c>
    </row>
    <row r="215" spans="1:10" x14ac:dyDescent="0.25">
      <c r="A215" s="96">
        <v>120</v>
      </c>
      <c r="B215" s="4" t="s">
        <v>132</v>
      </c>
      <c r="C215" s="4" t="s">
        <v>93</v>
      </c>
      <c r="D215" s="4" t="s">
        <v>555</v>
      </c>
      <c r="E215" s="4" t="s">
        <v>167</v>
      </c>
      <c r="F215" s="4">
        <v>8807</v>
      </c>
      <c r="G215" s="4" t="s">
        <v>135</v>
      </c>
      <c r="H215" s="4" t="s">
        <v>31</v>
      </c>
      <c r="I215" s="4" t="s">
        <v>557</v>
      </c>
      <c r="J215" s="26" t="s">
        <v>165</v>
      </c>
    </row>
    <row r="216" spans="1:10" x14ac:dyDescent="0.25">
      <c r="A216" s="96">
        <v>117</v>
      </c>
      <c r="B216" s="4" t="s">
        <v>132</v>
      </c>
      <c r="C216" s="4" t="s">
        <v>179</v>
      </c>
      <c r="D216" s="4" t="s">
        <v>554</v>
      </c>
      <c r="E216" s="4" t="s">
        <v>177</v>
      </c>
      <c r="F216" s="4">
        <v>8832</v>
      </c>
      <c r="G216" s="4" t="s">
        <v>176</v>
      </c>
      <c r="H216" s="4" t="s">
        <v>31</v>
      </c>
      <c r="I216" s="4" t="s">
        <v>175</v>
      </c>
      <c r="J216" s="26" t="s">
        <v>174</v>
      </c>
    </row>
    <row r="217" spans="1:10" x14ac:dyDescent="0.25">
      <c r="A217" s="96">
        <v>116</v>
      </c>
      <c r="B217" s="4" t="s">
        <v>107</v>
      </c>
      <c r="C217" s="4" t="s">
        <v>184</v>
      </c>
      <c r="D217" s="4" t="s">
        <v>183</v>
      </c>
      <c r="E217" s="4" t="s">
        <v>182</v>
      </c>
      <c r="F217" s="4">
        <v>78713</v>
      </c>
      <c r="G217" s="4" t="s">
        <v>181</v>
      </c>
      <c r="H217" s="4" t="s">
        <v>33</v>
      </c>
      <c r="I217" s="4" t="s">
        <v>553</v>
      </c>
      <c r="J217" s="26" t="s">
        <v>180</v>
      </c>
    </row>
    <row r="218" spans="1:10" x14ac:dyDescent="0.25">
      <c r="A218" s="96">
        <v>113</v>
      </c>
      <c r="B218" s="4" t="s">
        <v>132</v>
      </c>
      <c r="C218" s="4" t="s">
        <v>188</v>
      </c>
      <c r="D218" s="4" t="s">
        <v>552</v>
      </c>
      <c r="E218" s="4" t="s">
        <v>186</v>
      </c>
      <c r="F218" s="4">
        <v>8853</v>
      </c>
      <c r="G218" s="4" t="s">
        <v>117</v>
      </c>
      <c r="H218" s="4" t="s">
        <v>31</v>
      </c>
      <c r="I218" s="4" t="s">
        <v>185</v>
      </c>
      <c r="J218" s="26" t="s">
        <v>161</v>
      </c>
    </row>
    <row r="219" spans="1:10" x14ac:dyDescent="0.25">
      <c r="A219" s="96">
        <v>110</v>
      </c>
      <c r="B219" s="4" t="s">
        <v>132</v>
      </c>
      <c r="C219" s="4" t="s">
        <v>192</v>
      </c>
      <c r="D219" s="4" t="s">
        <v>178</v>
      </c>
      <c r="E219" s="4" t="s">
        <v>194</v>
      </c>
      <c r="F219" s="4">
        <v>8853</v>
      </c>
      <c r="G219" s="4" t="s">
        <v>117</v>
      </c>
      <c r="H219" s="4" t="s">
        <v>31</v>
      </c>
      <c r="I219" s="4" t="s">
        <v>193</v>
      </c>
      <c r="J219" s="26" t="s">
        <v>189</v>
      </c>
    </row>
    <row r="220" spans="1:10" x14ac:dyDescent="0.25">
      <c r="A220" s="96">
        <v>112</v>
      </c>
      <c r="B220" s="4" t="s">
        <v>121</v>
      </c>
      <c r="C220" s="4" t="s">
        <v>192</v>
      </c>
      <c r="D220" s="4" t="s">
        <v>178</v>
      </c>
      <c r="E220" s="4" t="s">
        <v>190</v>
      </c>
      <c r="F220" s="4">
        <v>8853</v>
      </c>
      <c r="G220" s="4" t="s">
        <v>117</v>
      </c>
      <c r="H220" s="4" t="s">
        <v>31</v>
      </c>
      <c r="I220" s="4" t="s">
        <v>193</v>
      </c>
      <c r="J220" s="26" t="s">
        <v>189</v>
      </c>
    </row>
    <row r="221" spans="1:10" x14ac:dyDescent="0.25">
      <c r="A221" s="96">
        <v>109</v>
      </c>
      <c r="B221" s="4" t="s">
        <v>107</v>
      </c>
      <c r="C221" s="4" t="s">
        <v>192</v>
      </c>
      <c r="D221" s="4" t="s">
        <v>551</v>
      </c>
      <c r="E221" s="4" t="s">
        <v>196</v>
      </c>
      <c r="F221" s="4">
        <v>8853</v>
      </c>
      <c r="G221" s="4" t="s">
        <v>117</v>
      </c>
      <c r="H221" s="4" t="s">
        <v>31</v>
      </c>
      <c r="I221" s="4" t="s">
        <v>195</v>
      </c>
      <c r="J221" s="26" t="s">
        <v>189</v>
      </c>
    </row>
    <row r="222" spans="1:10" x14ac:dyDescent="0.25">
      <c r="A222" s="96">
        <v>106</v>
      </c>
      <c r="B222" s="4" t="s">
        <v>132</v>
      </c>
      <c r="C222" s="4" t="s">
        <v>202</v>
      </c>
      <c r="D222" s="4" t="s">
        <v>549</v>
      </c>
      <c r="E222" s="4" t="s">
        <v>200</v>
      </c>
      <c r="F222" s="4">
        <v>8045</v>
      </c>
      <c r="G222" s="4" t="s">
        <v>199</v>
      </c>
      <c r="H222" s="4" t="s">
        <v>31</v>
      </c>
      <c r="I222" s="4" t="s">
        <v>550</v>
      </c>
      <c r="J222" s="26" t="s">
        <v>198</v>
      </c>
    </row>
    <row r="223" spans="1:10" x14ac:dyDescent="0.25">
      <c r="A223" s="96">
        <v>105</v>
      </c>
      <c r="B223" s="4" t="s">
        <v>132</v>
      </c>
      <c r="C223" s="4" t="s">
        <v>207</v>
      </c>
      <c r="D223" s="4" t="s">
        <v>548</v>
      </c>
      <c r="E223" s="4" t="s">
        <v>205</v>
      </c>
      <c r="F223" s="4">
        <v>8854</v>
      </c>
      <c r="G223" s="4" t="s">
        <v>145</v>
      </c>
      <c r="H223" s="4" t="s">
        <v>31</v>
      </c>
      <c r="I223" s="4" t="s">
        <v>204</v>
      </c>
      <c r="J223" s="26" t="s">
        <v>203</v>
      </c>
    </row>
    <row r="224" spans="1:10" x14ac:dyDescent="0.25">
      <c r="A224" s="96">
        <v>102</v>
      </c>
      <c r="B224" s="4" t="s">
        <v>132</v>
      </c>
      <c r="C224" s="4" t="s">
        <v>213</v>
      </c>
      <c r="D224" s="4" t="s">
        <v>212</v>
      </c>
      <c r="E224" s="4" t="s">
        <v>211</v>
      </c>
      <c r="F224" s="4">
        <v>8808</v>
      </c>
      <c r="G224" s="4" t="s">
        <v>210</v>
      </c>
      <c r="H224" s="4" t="s">
        <v>31</v>
      </c>
      <c r="I224" s="4" t="s">
        <v>209</v>
      </c>
      <c r="J224" s="26" t="s">
        <v>208</v>
      </c>
    </row>
    <row r="225" spans="1:10" x14ac:dyDescent="0.25">
      <c r="A225" s="96">
        <v>100</v>
      </c>
      <c r="B225" s="4" t="s">
        <v>107</v>
      </c>
      <c r="C225" s="4" t="s">
        <v>217</v>
      </c>
      <c r="D225" s="4" t="s">
        <v>546</v>
      </c>
      <c r="E225" s="4" t="s">
        <v>215</v>
      </c>
      <c r="F225" s="4">
        <v>78713</v>
      </c>
      <c r="G225" s="4" t="s">
        <v>181</v>
      </c>
      <c r="H225" s="4" t="s">
        <v>33</v>
      </c>
      <c r="I225" s="4" t="s">
        <v>547</v>
      </c>
      <c r="J225" s="26" t="s">
        <v>214</v>
      </c>
    </row>
    <row r="226" spans="1:10" x14ac:dyDescent="0.25">
      <c r="A226" s="96">
        <v>93</v>
      </c>
      <c r="B226" s="4" t="s">
        <v>121</v>
      </c>
      <c r="C226" s="4" t="s">
        <v>237</v>
      </c>
      <c r="D226" s="4" t="s">
        <v>541</v>
      </c>
      <c r="E226" s="4" t="s">
        <v>230</v>
      </c>
      <c r="F226" s="4">
        <v>8853</v>
      </c>
      <c r="G226" s="4" t="s">
        <v>117</v>
      </c>
      <c r="H226" s="4" t="s">
        <v>31</v>
      </c>
      <c r="I226" s="4" t="s">
        <v>229</v>
      </c>
      <c r="J226" s="26" t="s">
        <v>228</v>
      </c>
    </row>
    <row r="227" spans="1:10" x14ac:dyDescent="0.25">
      <c r="A227" s="96">
        <v>97</v>
      </c>
      <c r="B227" s="4" t="s">
        <v>132</v>
      </c>
      <c r="C227" s="4" t="s">
        <v>542</v>
      </c>
      <c r="D227" s="4" t="s">
        <v>541</v>
      </c>
      <c r="E227" s="4" t="s">
        <v>225</v>
      </c>
      <c r="F227" s="4">
        <v>8853</v>
      </c>
      <c r="G227" s="4" t="s">
        <v>117</v>
      </c>
      <c r="H227" s="4" t="s">
        <v>31</v>
      </c>
      <c r="I227" s="4" t="s">
        <v>543</v>
      </c>
      <c r="J227" s="26" t="s">
        <v>224</v>
      </c>
    </row>
    <row r="228" spans="1:10" x14ac:dyDescent="0.25">
      <c r="A228" s="96">
        <v>98</v>
      </c>
      <c r="B228" s="4" t="s">
        <v>132</v>
      </c>
      <c r="C228" s="4" t="s">
        <v>544</v>
      </c>
      <c r="D228" s="4" t="s">
        <v>541</v>
      </c>
      <c r="E228" s="4" t="s">
        <v>221</v>
      </c>
      <c r="F228" s="4">
        <v>53175</v>
      </c>
      <c r="G228" s="4" t="s">
        <v>220</v>
      </c>
      <c r="H228" s="4" t="s">
        <v>33</v>
      </c>
      <c r="I228" s="4" t="s">
        <v>545</v>
      </c>
      <c r="J228" s="26"/>
    </row>
    <row r="229" spans="1:10" x14ac:dyDescent="0.25">
      <c r="A229" s="96">
        <v>94</v>
      </c>
      <c r="B229" s="4" t="s">
        <v>121</v>
      </c>
      <c r="C229" s="4" t="s">
        <v>237</v>
      </c>
      <c r="D229" s="4" t="s">
        <v>236</v>
      </c>
      <c r="E229" s="4" t="s">
        <v>235</v>
      </c>
      <c r="F229" s="4">
        <v>8853</v>
      </c>
      <c r="G229" s="4" t="s">
        <v>117</v>
      </c>
      <c r="H229" s="4" t="s">
        <v>31</v>
      </c>
      <c r="I229" s="4" t="s">
        <v>234</v>
      </c>
      <c r="J229" s="26" t="s">
        <v>233</v>
      </c>
    </row>
    <row r="230" spans="1:10" x14ac:dyDescent="0.25">
      <c r="A230" s="96">
        <v>91</v>
      </c>
      <c r="B230" s="4" t="s">
        <v>132</v>
      </c>
      <c r="C230" s="4" t="s">
        <v>237</v>
      </c>
      <c r="D230" s="4" t="s">
        <v>538</v>
      </c>
      <c r="E230" s="4" t="s">
        <v>539</v>
      </c>
      <c r="F230" s="4">
        <v>8853</v>
      </c>
      <c r="G230" s="4" t="s">
        <v>117</v>
      </c>
      <c r="H230" s="4" t="s">
        <v>31</v>
      </c>
      <c r="I230" s="4" t="s">
        <v>540</v>
      </c>
      <c r="J230" s="26" t="s">
        <v>228</v>
      </c>
    </row>
    <row r="231" spans="1:10" x14ac:dyDescent="0.25">
      <c r="A231" s="96">
        <v>90</v>
      </c>
      <c r="B231" s="4" t="s">
        <v>132</v>
      </c>
      <c r="C231" s="4" t="s">
        <v>237</v>
      </c>
      <c r="D231" s="4" t="s">
        <v>535</v>
      </c>
      <c r="E231" s="4" t="s">
        <v>536</v>
      </c>
      <c r="F231" s="4">
        <v>8853</v>
      </c>
      <c r="G231" s="4" t="s">
        <v>117</v>
      </c>
      <c r="H231" s="4" t="s">
        <v>31</v>
      </c>
      <c r="I231" s="4" t="s">
        <v>537</v>
      </c>
      <c r="J231" s="26" t="s">
        <v>233</v>
      </c>
    </row>
    <row r="232" spans="1:10" x14ac:dyDescent="0.25">
      <c r="A232" s="96">
        <v>89</v>
      </c>
      <c r="B232" s="4" t="s">
        <v>107</v>
      </c>
      <c r="C232" s="4" t="s">
        <v>237</v>
      </c>
      <c r="D232" s="4" t="s">
        <v>532</v>
      </c>
      <c r="E232" s="4" t="s">
        <v>533</v>
      </c>
      <c r="F232" s="4">
        <v>8853</v>
      </c>
      <c r="G232" s="4" t="s">
        <v>117</v>
      </c>
      <c r="H232" s="4" t="s">
        <v>31</v>
      </c>
      <c r="I232" s="4" t="s">
        <v>534</v>
      </c>
      <c r="J232" s="26" t="s">
        <v>233</v>
      </c>
    </row>
    <row r="233" spans="1:10" x14ac:dyDescent="0.25">
      <c r="A233" s="96">
        <v>88</v>
      </c>
      <c r="B233" s="4" t="s">
        <v>132</v>
      </c>
      <c r="C233" s="4" t="s">
        <v>237</v>
      </c>
      <c r="D233" s="4" t="s">
        <v>528</v>
      </c>
      <c r="E233" s="4" t="s">
        <v>525</v>
      </c>
      <c r="F233" s="4">
        <v>8737</v>
      </c>
      <c r="G233" s="4" t="s">
        <v>529</v>
      </c>
      <c r="H233" s="4" t="s">
        <v>31</v>
      </c>
      <c r="I233" s="4" t="s">
        <v>530</v>
      </c>
      <c r="J233" s="26" t="s">
        <v>531</v>
      </c>
    </row>
    <row r="234" spans="1:10" x14ac:dyDescent="0.25">
      <c r="A234" s="96">
        <v>86</v>
      </c>
      <c r="B234" s="4" t="s">
        <v>121</v>
      </c>
      <c r="C234" s="4" t="s">
        <v>523</v>
      </c>
      <c r="D234" s="4" t="s">
        <v>524</v>
      </c>
      <c r="E234" s="4" t="s">
        <v>525</v>
      </c>
      <c r="F234" s="4">
        <v>8853</v>
      </c>
      <c r="G234" s="4" t="s">
        <v>117</v>
      </c>
      <c r="H234" s="4" t="s">
        <v>31</v>
      </c>
      <c r="I234" s="4" t="s">
        <v>526</v>
      </c>
      <c r="J234" s="26" t="s">
        <v>527</v>
      </c>
    </row>
    <row r="235" spans="1:10" x14ac:dyDescent="0.25">
      <c r="A235" s="96">
        <v>87</v>
      </c>
      <c r="B235" s="4" t="s">
        <v>107</v>
      </c>
      <c r="C235" s="4" t="s">
        <v>518</v>
      </c>
      <c r="D235" s="4" t="s">
        <v>519</v>
      </c>
      <c r="E235" s="4" t="s">
        <v>520</v>
      </c>
      <c r="F235" s="4">
        <v>8854</v>
      </c>
      <c r="G235" s="4" t="s">
        <v>145</v>
      </c>
      <c r="H235" s="4" t="s">
        <v>31</v>
      </c>
      <c r="I235" s="4" t="s">
        <v>521</v>
      </c>
      <c r="J235" s="26" t="s">
        <v>522</v>
      </c>
    </row>
    <row r="236" spans="1:10" x14ac:dyDescent="0.25">
      <c r="A236" s="96">
        <v>79</v>
      </c>
      <c r="B236" s="4" t="s">
        <v>132</v>
      </c>
      <c r="C236" s="4" t="s">
        <v>510</v>
      </c>
      <c r="D236" s="4" t="s">
        <v>515</v>
      </c>
      <c r="E236" s="4" t="s">
        <v>516</v>
      </c>
      <c r="F236" s="4">
        <v>8853</v>
      </c>
      <c r="G236" s="4" t="s">
        <v>117</v>
      </c>
      <c r="H236" s="4" t="s">
        <v>31</v>
      </c>
      <c r="I236" s="4" t="s">
        <v>517</v>
      </c>
      <c r="J236" s="26" t="s">
        <v>514</v>
      </c>
    </row>
    <row r="237" spans="1:10" x14ac:dyDescent="0.25">
      <c r="A237" s="96">
        <v>78</v>
      </c>
      <c r="B237" s="4" t="s">
        <v>121</v>
      </c>
      <c r="C237" s="4" t="s">
        <v>510</v>
      </c>
      <c r="D237" s="4" t="s">
        <v>511</v>
      </c>
      <c r="E237" s="4" t="s">
        <v>512</v>
      </c>
      <c r="F237" s="4">
        <v>8853</v>
      </c>
      <c r="G237" s="4" t="s">
        <v>117</v>
      </c>
      <c r="H237" s="4" t="s">
        <v>31</v>
      </c>
      <c r="I237" s="4" t="s">
        <v>513</v>
      </c>
      <c r="J237" s="26" t="s">
        <v>514</v>
      </c>
    </row>
    <row r="238" spans="1:10" x14ac:dyDescent="0.25">
      <c r="A238" s="96">
        <v>74</v>
      </c>
      <c r="B238" s="4" t="s">
        <v>132</v>
      </c>
      <c r="C238" s="4" t="s">
        <v>503</v>
      </c>
      <c r="D238" s="4" t="s">
        <v>507</v>
      </c>
      <c r="E238" s="4" t="s">
        <v>496</v>
      </c>
      <c r="F238" s="4">
        <v>8853</v>
      </c>
      <c r="G238" s="4" t="s">
        <v>117</v>
      </c>
      <c r="H238" s="4" t="s">
        <v>31</v>
      </c>
      <c r="I238" s="4" t="s">
        <v>508</v>
      </c>
      <c r="J238" s="26" t="s">
        <v>509</v>
      </c>
    </row>
    <row r="239" spans="1:10" x14ac:dyDescent="0.25">
      <c r="A239" s="96">
        <v>71</v>
      </c>
      <c r="B239" s="4" t="s">
        <v>107</v>
      </c>
      <c r="C239" s="4" t="s">
        <v>503</v>
      </c>
      <c r="D239" s="4" t="s">
        <v>504</v>
      </c>
      <c r="E239" s="4" t="s">
        <v>496</v>
      </c>
      <c r="F239" s="4">
        <v>8854</v>
      </c>
      <c r="G239" s="4" t="s">
        <v>145</v>
      </c>
      <c r="H239" s="4" t="s">
        <v>31</v>
      </c>
      <c r="I239" s="4" t="s">
        <v>505</v>
      </c>
      <c r="J239" s="26" t="s">
        <v>506</v>
      </c>
    </row>
    <row r="240" spans="1:10" x14ac:dyDescent="0.25">
      <c r="A240" s="96">
        <v>69</v>
      </c>
      <c r="B240" s="4" t="s">
        <v>132</v>
      </c>
      <c r="C240" s="4" t="s">
        <v>499</v>
      </c>
      <c r="D240" s="4" t="s">
        <v>500</v>
      </c>
      <c r="E240" s="4" t="s">
        <v>496</v>
      </c>
      <c r="F240" s="4">
        <v>8853</v>
      </c>
      <c r="G240" s="4" t="s">
        <v>117</v>
      </c>
      <c r="H240" s="4" t="s">
        <v>31</v>
      </c>
      <c r="I240" s="4" t="s">
        <v>501</v>
      </c>
      <c r="J240" s="26" t="s">
        <v>502</v>
      </c>
    </row>
    <row r="241" spans="1:10" x14ac:dyDescent="0.25">
      <c r="A241" s="96">
        <v>68</v>
      </c>
      <c r="B241" s="4" t="s">
        <v>107</v>
      </c>
      <c r="C241" s="4" t="s">
        <v>494</v>
      </c>
      <c r="D241" s="4" t="s">
        <v>495</v>
      </c>
      <c r="E241" s="4" t="s">
        <v>496</v>
      </c>
      <c r="F241" s="4">
        <v>8853</v>
      </c>
      <c r="G241" s="4" t="s">
        <v>117</v>
      </c>
      <c r="H241" s="4" t="s">
        <v>31</v>
      </c>
      <c r="I241" s="4" t="s">
        <v>497</v>
      </c>
      <c r="J241" s="26" t="s">
        <v>498</v>
      </c>
    </row>
    <row r="242" spans="1:10" x14ac:dyDescent="0.25">
      <c r="A242" s="96">
        <v>62</v>
      </c>
      <c r="B242" s="4" t="s">
        <v>132</v>
      </c>
      <c r="C242" s="4" t="s">
        <v>488</v>
      </c>
      <c r="D242" s="4" t="s">
        <v>492</v>
      </c>
      <c r="E242" s="4" t="s">
        <v>489</v>
      </c>
      <c r="F242" s="4">
        <v>8832</v>
      </c>
      <c r="G242" s="4" t="s">
        <v>176</v>
      </c>
      <c r="H242" s="4" t="s">
        <v>31</v>
      </c>
      <c r="I242" s="4" t="s">
        <v>493</v>
      </c>
      <c r="J242" s="26" t="s">
        <v>491</v>
      </c>
    </row>
    <row r="243" spans="1:10" x14ac:dyDescent="0.25">
      <c r="A243" s="96">
        <v>61</v>
      </c>
      <c r="B243" s="4" t="s">
        <v>121</v>
      </c>
      <c r="C243" s="4" t="s">
        <v>488</v>
      </c>
      <c r="D243" s="4" t="s">
        <v>483</v>
      </c>
      <c r="E243" s="4" t="s">
        <v>489</v>
      </c>
      <c r="F243" s="4">
        <v>8832</v>
      </c>
      <c r="G243" s="4" t="s">
        <v>176</v>
      </c>
      <c r="H243" s="4" t="s">
        <v>31</v>
      </c>
      <c r="I243" s="4" t="s">
        <v>490</v>
      </c>
      <c r="J243" s="26" t="s">
        <v>491</v>
      </c>
    </row>
    <row r="244" spans="1:10" x14ac:dyDescent="0.25">
      <c r="A244" s="96">
        <v>59</v>
      </c>
      <c r="B244" s="4" t="s">
        <v>107</v>
      </c>
      <c r="C244" s="4" t="s">
        <v>482</v>
      </c>
      <c r="D244" s="4" t="s">
        <v>483</v>
      </c>
      <c r="E244" s="4" t="s">
        <v>484</v>
      </c>
      <c r="F244" s="4">
        <v>8854</v>
      </c>
      <c r="G244" s="4" t="s">
        <v>485</v>
      </c>
      <c r="H244" s="4" t="s">
        <v>31</v>
      </c>
      <c r="I244" s="4" t="s">
        <v>486</v>
      </c>
      <c r="J244" s="26" t="s">
        <v>487</v>
      </c>
    </row>
    <row r="245" spans="1:10" x14ac:dyDescent="0.25">
      <c r="A245" s="96">
        <v>54</v>
      </c>
      <c r="B245" s="4" t="s">
        <v>132</v>
      </c>
      <c r="C245" s="4" t="s">
        <v>472</v>
      </c>
      <c r="D245" s="4" t="s">
        <v>477</v>
      </c>
      <c r="E245" s="4" t="s">
        <v>478</v>
      </c>
      <c r="F245" s="4">
        <v>8852</v>
      </c>
      <c r="G245" s="4" t="s">
        <v>110</v>
      </c>
      <c r="H245" s="4" t="s">
        <v>31</v>
      </c>
      <c r="I245" s="4" t="s">
        <v>479</v>
      </c>
      <c r="J245" s="26" t="s">
        <v>476</v>
      </c>
    </row>
    <row r="246" spans="1:10" x14ac:dyDescent="0.25">
      <c r="A246" s="96">
        <v>55</v>
      </c>
      <c r="B246" s="4" t="s">
        <v>121</v>
      </c>
      <c r="C246" s="4" t="s">
        <v>472</v>
      </c>
      <c r="D246" s="4" t="s">
        <v>477</v>
      </c>
      <c r="E246" s="4" t="s">
        <v>480</v>
      </c>
      <c r="F246" s="4">
        <v>8852</v>
      </c>
      <c r="G246" s="4" t="s">
        <v>110</v>
      </c>
      <c r="H246" s="4" t="s">
        <v>31</v>
      </c>
      <c r="I246" s="4" t="s">
        <v>479</v>
      </c>
      <c r="J246" s="26" t="s">
        <v>481</v>
      </c>
    </row>
    <row r="247" spans="1:10" x14ac:dyDescent="0.25">
      <c r="A247" s="96">
        <v>52</v>
      </c>
      <c r="B247" s="4" t="s">
        <v>121</v>
      </c>
      <c r="C247" s="4" t="s">
        <v>472</v>
      </c>
      <c r="D247" s="4" t="s">
        <v>473</v>
      </c>
      <c r="E247" s="4" t="s">
        <v>474</v>
      </c>
      <c r="F247" s="4">
        <v>8852</v>
      </c>
      <c r="G247" s="4" t="s">
        <v>110</v>
      </c>
      <c r="H247" s="4" t="s">
        <v>31</v>
      </c>
      <c r="I247" s="4" t="s">
        <v>475</v>
      </c>
      <c r="J247" s="26" t="s">
        <v>476</v>
      </c>
    </row>
    <row r="248" spans="1:10" x14ac:dyDescent="0.25">
      <c r="A248" s="96">
        <v>50</v>
      </c>
      <c r="B248" s="4" t="s">
        <v>107</v>
      </c>
      <c r="C248" s="4" t="s">
        <v>467</v>
      </c>
      <c r="D248" s="4" t="s">
        <v>468</v>
      </c>
      <c r="E248" s="4" t="s">
        <v>469</v>
      </c>
      <c r="F248" s="4">
        <v>8853</v>
      </c>
      <c r="G248" s="4" t="s">
        <v>117</v>
      </c>
      <c r="H248" s="4" t="s">
        <v>31</v>
      </c>
      <c r="I248" s="4" t="s">
        <v>470</v>
      </c>
      <c r="J248" s="26" t="s">
        <v>471</v>
      </c>
    </row>
    <row r="249" spans="1:10" x14ac:dyDescent="0.25">
      <c r="A249" s="96">
        <v>42</v>
      </c>
      <c r="B249" s="4" t="s">
        <v>132</v>
      </c>
      <c r="C249" s="4" t="s">
        <v>455</v>
      </c>
      <c r="D249" s="4" t="s">
        <v>459</v>
      </c>
      <c r="E249" s="4" t="s">
        <v>460</v>
      </c>
      <c r="F249" s="4">
        <v>8853</v>
      </c>
      <c r="G249" s="4" t="s">
        <v>117</v>
      </c>
      <c r="H249" s="4" t="s">
        <v>31</v>
      </c>
      <c r="I249" s="4" t="s">
        <v>461</v>
      </c>
      <c r="J249" s="26" t="s">
        <v>462</v>
      </c>
    </row>
    <row r="250" spans="1:10" x14ac:dyDescent="0.25">
      <c r="A250" s="96">
        <v>45</v>
      </c>
      <c r="B250" s="4" t="s">
        <v>107</v>
      </c>
      <c r="C250" s="4" t="s">
        <v>463</v>
      </c>
      <c r="D250" s="4" t="s">
        <v>459</v>
      </c>
      <c r="E250" s="4" t="s">
        <v>464</v>
      </c>
      <c r="F250" s="4">
        <v>8853</v>
      </c>
      <c r="G250" s="4" t="s">
        <v>117</v>
      </c>
      <c r="H250" s="4" t="s">
        <v>31</v>
      </c>
      <c r="I250" s="4" t="s">
        <v>465</v>
      </c>
      <c r="J250" s="26" t="s">
        <v>466</v>
      </c>
    </row>
    <row r="251" spans="1:10" x14ac:dyDescent="0.25">
      <c r="A251" s="96">
        <v>36</v>
      </c>
      <c r="B251" s="4" t="s">
        <v>121</v>
      </c>
      <c r="C251" s="4" t="s">
        <v>448</v>
      </c>
      <c r="D251" s="4" t="s">
        <v>449</v>
      </c>
      <c r="E251" s="4" t="s">
        <v>450</v>
      </c>
      <c r="F251" s="4">
        <v>8853</v>
      </c>
      <c r="G251" s="4" t="s">
        <v>117</v>
      </c>
      <c r="H251" s="4" t="s">
        <v>31</v>
      </c>
      <c r="I251" s="4" t="s">
        <v>451</v>
      </c>
      <c r="J251" s="26" t="s">
        <v>452</v>
      </c>
    </row>
    <row r="252" spans="1:10" x14ac:dyDescent="0.25">
      <c r="A252" s="96">
        <v>37</v>
      </c>
      <c r="B252" s="4" t="s">
        <v>132</v>
      </c>
      <c r="C252" s="4" t="s">
        <v>448</v>
      </c>
      <c r="D252" s="4" t="s">
        <v>449</v>
      </c>
      <c r="E252" s="4" t="s">
        <v>453</v>
      </c>
      <c r="F252" s="4">
        <v>8853</v>
      </c>
      <c r="G252" s="4" t="s">
        <v>117</v>
      </c>
      <c r="H252" s="4" t="s">
        <v>31</v>
      </c>
      <c r="I252" s="4" t="s">
        <v>451</v>
      </c>
      <c r="J252" s="26" t="s">
        <v>454</v>
      </c>
    </row>
    <row r="253" spans="1:10" x14ac:dyDescent="0.25">
      <c r="A253" s="96">
        <v>41</v>
      </c>
      <c r="B253" s="4" t="s">
        <v>107</v>
      </c>
      <c r="C253" s="4" t="s">
        <v>455</v>
      </c>
      <c r="D253" s="4" t="s">
        <v>449</v>
      </c>
      <c r="E253" s="4" t="s">
        <v>456</v>
      </c>
      <c r="F253" s="4">
        <v>8841</v>
      </c>
      <c r="G253" s="4" t="s">
        <v>457</v>
      </c>
      <c r="H253" s="4" t="s">
        <v>31</v>
      </c>
      <c r="I253" s="4" t="s">
        <v>458</v>
      </c>
      <c r="J253" s="26"/>
    </row>
    <row r="254" spans="1:10" x14ac:dyDescent="0.25">
      <c r="A254" s="96">
        <v>35</v>
      </c>
      <c r="B254" s="4" t="s">
        <v>132</v>
      </c>
      <c r="C254" s="4" t="s">
        <v>442</v>
      </c>
      <c r="D254" s="4" t="s">
        <v>443</v>
      </c>
      <c r="E254" s="4" t="s">
        <v>444</v>
      </c>
      <c r="F254" s="4">
        <v>8862</v>
      </c>
      <c r="G254" s="4" t="s">
        <v>445</v>
      </c>
      <c r="H254" s="4" t="s">
        <v>31</v>
      </c>
      <c r="I254" s="4" t="s">
        <v>446</v>
      </c>
      <c r="J254" s="26" t="s">
        <v>447</v>
      </c>
    </row>
    <row r="255" spans="1:10" x14ac:dyDescent="0.25">
      <c r="A255" s="96">
        <v>33</v>
      </c>
      <c r="B255" s="4" t="s">
        <v>132</v>
      </c>
      <c r="C255" s="4" t="s">
        <v>143</v>
      </c>
      <c r="D255" s="4" t="s">
        <v>438</v>
      </c>
      <c r="E255" s="4" t="s">
        <v>435</v>
      </c>
      <c r="F255" s="4">
        <v>8808</v>
      </c>
      <c r="G255" s="4" t="s">
        <v>210</v>
      </c>
      <c r="H255" s="4" t="s">
        <v>31</v>
      </c>
      <c r="I255" s="4" t="s">
        <v>439</v>
      </c>
      <c r="J255" s="26" t="s">
        <v>440</v>
      </c>
    </row>
    <row r="256" spans="1:10" x14ac:dyDescent="0.25">
      <c r="A256" s="96">
        <v>34</v>
      </c>
      <c r="B256" s="4" t="s">
        <v>121</v>
      </c>
      <c r="C256" s="4" t="s">
        <v>143</v>
      </c>
      <c r="D256" s="4" t="s">
        <v>438</v>
      </c>
      <c r="E256" s="4" t="s">
        <v>441</v>
      </c>
      <c r="F256" s="4">
        <v>8808</v>
      </c>
      <c r="G256" s="4" t="s">
        <v>210</v>
      </c>
      <c r="H256" s="4" t="s">
        <v>31</v>
      </c>
      <c r="I256" s="4" t="s">
        <v>439</v>
      </c>
      <c r="J256" s="26" t="s">
        <v>440</v>
      </c>
    </row>
    <row r="257" spans="1:10" x14ac:dyDescent="0.25">
      <c r="A257" s="96">
        <v>32</v>
      </c>
      <c r="B257" s="4" t="s">
        <v>132</v>
      </c>
      <c r="C257" s="4" t="s">
        <v>143</v>
      </c>
      <c r="D257" s="4" t="s">
        <v>434</v>
      </c>
      <c r="E257" s="4" t="s">
        <v>435</v>
      </c>
      <c r="F257" s="4">
        <v>8853</v>
      </c>
      <c r="G257" s="4" t="s">
        <v>117</v>
      </c>
      <c r="H257" s="4" t="s">
        <v>31</v>
      </c>
      <c r="I257" s="4" t="s">
        <v>436</v>
      </c>
      <c r="J257" s="26" t="s">
        <v>437</v>
      </c>
    </row>
    <row r="258" spans="1:10" x14ac:dyDescent="0.25">
      <c r="A258" s="96">
        <v>31</v>
      </c>
      <c r="B258" s="4" t="s">
        <v>121</v>
      </c>
      <c r="C258" s="4" t="s">
        <v>426</v>
      </c>
      <c r="D258" s="4" t="s">
        <v>431</v>
      </c>
      <c r="E258" s="4" t="s">
        <v>432</v>
      </c>
      <c r="F258" s="4">
        <v>8854</v>
      </c>
      <c r="G258" s="4" t="s">
        <v>145</v>
      </c>
      <c r="H258" s="4" t="s">
        <v>31</v>
      </c>
      <c r="I258" s="4" t="s">
        <v>433</v>
      </c>
      <c r="J258" s="26" t="s">
        <v>430</v>
      </c>
    </row>
    <row r="259" spans="1:10" x14ac:dyDescent="0.25">
      <c r="A259" s="96">
        <v>30</v>
      </c>
      <c r="B259" s="4" t="s">
        <v>132</v>
      </c>
      <c r="C259" s="4" t="s">
        <v>426</v>
      </c>
      <c r="D259" s="4" t="s">
        <v>427</v>
      </c>
      <c r="E259" s="4" t="s">
        <v>428</v>
      </c>
      <c r="F259" s="4">
        <v>8854</v>
      </c>
      <c r="G259" s="4" t="s">
        <v>145</v>
      </c>
      <c r="H259" s="4" t="s">
        <v>31</v>
      </c>
      <c r="I259" s="4" t="s">
        <v>429</v>
      </c>
      <c r="J259" s="26" t="s">
        <v>430</v>
      </c>
    </row>
    <row r="260" spans="1:10" x14ac:dyDescent="0.25">
      <c r="A260" s="96">
        <v>29</v>
      </c>
      <c r="B260" s="4" t="s">
        <v>107</v>
      </c>
      <c r="C260" s="4" t="s">
        <v>421</v>
      </c>
      <c r="D260" s="4" t="s">
        <v>422</v>
      </c>
      <c r="E260" s="4" t="s">
        <v>423</v>
      </c>
      <c r="F260" s="4">
        <v>8853</v>
      </c>
      <c r="G260" s="4" t="s">
        <v>117</v>
      </c>
      <c r="H260" s="4" t="s">
        <v>31</v>
      </c>
      <c r="I260" s="4" t="s">
        <v>424</v>
      </c>
      <c r="J260" s="26" t="s">
        <v>425</v>
      </c>
    </row>
    <row r="261" spans="1:10" x14ac:dyDescent="0.25">
      <c r="A261" s="96">
        <v>28</v>
      </c>
      <c r="B261" s="4" t="s">
        <v>132</v>
      </c>
      <c r="C261" s="4" t="s">
        <v>416</v>
      </c>
      <c r="D261" s="4" t="s">
        <v>419</v>
      </c>
      <c r="E261" s="4" t="s">
        <v>417</v>
      </c>
      <c r="F261" s="4">
        <v>8853</v>
      </c>
      <c r="G261" s="4" t="s">
        <v>117</v>
      </c>
      <c r="H261" s="4" t="s">
        <v>31</v>
      </c>
      <c r="I261" s="4" t="s">
        <v>420</v>
      </c>
      <c r="J261" s="26" t="s">
        <v>189</v>
      </c>
    </row>
    <row r="262" spans="1:10" x14ac:dyDescent="0.25">
      <c r="A262" s="96">
        <v>24</v>
      </c>
      <c r="B262" s="4" t="s">
        <v>107</v>
      </c>
      <c r="C262" s="4" t="s">
        <v>407</v>
      </c>
      <c r="D262" s="4" t="s">
        <v>216</v>
      </c>
      <c r="E262" s="4" t="s">
        <v>408</v>
      </c>
      <c r="F262" s="4">
        <v>8240</v>
      </c>
      <c r="G262" s="4" t="s">
        <v>409</v>
      </c>
      <c r="H262" s="4" t="s">
        <v>31</v>
      </c>
      <c r="I262" s="4" t="s">
        <v>410</v>
      </c>
      <c r="J262" s="26" t="s">
        <v>411</v>
      </c>
    </row>
    <row r="263" spans="1:10" x14ac:dyDescent="0.25">
      <c r="A263" s="96">
        <v>11</v>
      </c>
      <c r="B263" s="4" t="s">
        <v>132</v>
      </c>
      <c r="C263" s="4" t="s">
        <v>381</v>
      </c>
      <c r="D263" s="4" t="s">
        <v>216</v>
      </c>
      <c r="E263" s="4" t="s">
        <v>382</v>
      </c>
      <c r="F263" s="4">
        <v>8854</v>
      </c>
      <c r="G263" s="4" t="s">
        <v>145</v>
      </c>
      <c r="H263" s="4" t="s">
        <v>31</v>
      </c>
      <c r="I263" s="4" t="s">
        <v>383</v>
      </c>
      <c r="J263" s="26" t="s">
        <v>384</v>
      </c>
    </row>
    <row r="264" spans="1:10" x14ac:dyDescent="0.25">
      <c r="A264" s="96">
        <v>15</v>
      </c>
      <c r="B264" s="4" t="s">
        <v>107</v>
      </c>
      <c r="C264" s="4" t="s">
        <v>390</v>
      </c>
      <c r="D264" s="4" t="s">
        <v>216</v>
      </c>
      <c r="E264" s="4" t="s">
        <v>391</v>
      </c>
      <c r="F264" s="4">
        <v>8854</v>
      </c>
      <c r="G264" s="4" t="s">
        <v>145</v>
      </c>
      <c r="H264" s="4" t="s">
        <v>31</v>
      </c>
      <c r="I264" s="4" t="s">
        <v>392</v>
      </c>
      <c r="J264" s="26" t="s">
        <v>393</v>
      </c>
    </row>
    <row r="265" spans="1:10" x14ac:dyDescent="0.25">
      <c r="A265" s="96">
        <v>22</v>
      </c>
      <c r="B265" s="4" t="s">
        <v>132</v>
      </c>
      <c r="C265" s="4" t="s">
        <v>402</v>
      </c>
      <c r="D265" s="4" t="s">
        <v>216</v>
      </c>
      <c r="E265" s="4" t="s">
        <v>403</v>
      </c>
      <c r="F265" s="4">
        <v>8854</v>
      </c>
      <c r="G265" s="4" t="s">
        <v>145</v>
      </c>
      <c r="H265" s="4" t="s">
        <v>31</v>
      </c>
      <c r="I265" s="4" t="s">
        <v>404</v>
      </c>
      <c r="J265" s="26" t="s">
        <v>405</v>
      </c>
    </row>
    <row r="266" spans="1:10" x14ac:dyDescent="0.25">
      <c r="A266" s="96">
        <v>17</v>
      </c>
      <c r="B266" s="4" t="s">
        <v>107</v>
      </c>
      <c r="C266" s="4" t="s">
        <v>394</v>
      </c>
      <c r="D266" s="4" t="s">
        <v>216</v>
      </c>
      <c r="E266" s="4" t="s">
        <v>395</v>
      </c>
      <c r="F266" s="4">
        <v>8853</v>
      </c>
      <c r="G266" s="4" t="s">
        <v>117</v>
      </c>
      <c r="H266" s="4" t="s">
        <v>31</v>
      </c>
      <c r="I266" s="4" t="s">
        <v>396</v>
      </c>
      <c r="J266" s="26" t="s">
        <v>397</v>
      </c>
    </row>
    <row r="267" spans="1:10" x14ac:dyDescent="0.25">
      <c r="A267" s="96">
        <v>20</v>
      </c>
      <c r="B267" s="4" t="s">
        <v>107</v>
      </c>
      <c r="C267" s="4" t="s">
        <v>398</v>
      </c>
      <c r="D267" s="4" t="s">
        <v>216</v>
      </c>
      <c r="E267" s="4" t="s">
        <v>399</v>
      </c>
      <c r="F267" s="4">
        <v>8853</v>
      </c>
      <c r="G267" s="4" t="s">
        <v>117</v>
      </c>
      <c r="H267" s="4" t="s">
        <v>31</v>
      </c>
      <c r="I267" s="4" t="s">
        <v>400</v>
      </c>
      <c r="J267" s="26" t="s">
        <v>401</v>
      </c>
    </row>
    <row r="268" spans="1:10" x14ac:dyDescent="0.25">
      <c r="A268" s="96">
        <v>23</v>
      </c>
      <c r="B268" s="4" t="s">
        <v>107</v>
      </c>
      <c r="C268" s="4" t="s">
        <v>402</v>
      </c>
      <c r="D268" s="4" t="s">
        <v>216</v>
      </c>
      <c r="E268" s="4" t="s">
        <v>403</v>
      </c>
      <c r="F268" s="4">
        <v>8853</v>
      </c>
      <c r="G268" s="4" t="s">
        <v>117</v>
      </c>
      <c r="H268" s="4" t="s">
        <v>31</v>
      </c>
      <c r="I268" s="4" t="s">
        <v>404</v>
      </c>
      <c r="J268" s="26" t="s">
        <v>406</v>
      </c>
    </row>
    <row r="269" spans="1:10" x14ac:dyDescent="0.25">
      <c r="A269" s="96">
        <v>25</v>
      </c>
      <c r="B269" s="4" t="s">
        <v>132</v>
      </c>
      <c r="C269" s="4" t="s">
        <v>412</v>
      </c>
      <c r="D269" s="4" t="s">
        <v>216</v>
      </c>
      <c r="E269" s="4" t="s">
        <v>413</v>
      </c>
      <c r="F269" s="4">
        <v>8853</v>
      </c>
      <c r="G269" s="4" t="s">
        <v>117</v>
      </c>
      <c r="H269" s="4" t="s">
        <v>31</v>
      </c>
      <c r="I269" s="4" t="s">
        <v>414</v>
      </c>
      <c r="J269" s="26" t="s">
        <v>415</v>
      </c>
    </row>
    <row r="270" spans="1:10" x14ac:dyDescent="0.25">
      <c r="A270" s="96">
        <v>27</v>
      </c>
      <c r="B270" s="4" t="s">
        <v>107</v>
      </c>
      <c r="C270" s="4" t="s">
        <v>416</v>
      </c>
      <c r="D270" s="4" t="s">
        <v>216</v>
      </c>
      <c r="E270" s="4" t="s">
        <v>417</v>
      </c>
      <c r="F270" s="4">
        <v>8853</v>
      </c>
      <c r="G270" s="4" t="s">
        <v>117</v>
      </c>
      <c r="H270" s="4" t="s">
        <v>31</v>
      </c>
      <c r="I270" s="4" t="s">
        <v>418</v>
      </c>
      <c r="J270" s="26" t="s">
        <v>189</v>
      </c>
    </row>
    <row r="271" spans="1:10" x14ac:dyDescent="0.25">
      <c r="A271" s="96">
        <v>14</v>
      </c>
      <c r="B271" s="4" t="s">
        <v>107</v>
      </c>
      <c r="C271" s="4" t="s">
        <v>385</v>
      </c>
      <c r="D271" s="4" t="s">
        <v>216</v>
      </c>
      <c r="E271" s="4" t="s">
        <v>386</v>
      </c>
      <c r="F271" s="4">
        <v>6410</v>
      </c>
      <c r="G271" s="4" t="s">
        <v>387</v>
      </c>
      <c r="H271" s="4" t="s">
        <v>31</v>
      </c>
      <c r="I271" s="4" t="s">
        <v>388</v>
      </c>
      <c r="J271" s="26" t="s">
        <v>389</v>
      </c>
    </row>
    <row r="272" spans="1:10" x14ac:dyDescent="0.25">
      <c r="A272" s="96">
        <v>10</v>
      </c>
      <c r="B272" s="4" t="s">
        <v>107</v>
      </c>
      <c r="C272" s="4" t="s">
        <v>377</v>
      </c>
      <c r="D272" s="4" t="s">
        <v>216</v>
      </c>
      <c r="E272" s="4" t="s">
        <v>378</v>
      </c>
      <c r="F272" s="4">
        <v>8852</v>
      </c>
      <c r="G272" s="4" t="s">
        <v>110</v>
      </c>
      <c r="H272" s="4" t="s">
        <v>31</v>
      </c>
      <c r="I272" s="4" t="s">
        <v>379</v>
      </c>
      <c r="J272" s="26" t="s">
        <v>380</v>
      </c>
    </row>
    <row r="273" spans="1:10" x14ac:dyDescent="0.25">
      <c r="A273" s="96">
        <v>7</v>
      </c>
      <c r="B273" s="4" t="s">
        <v>132</v>
      </c>
      <c r="C273" s="4" t="s">
        <v>368</v>
      </c>
      <c r="D273" s="4" t="s">
        <v>375</v>
      </c>
      <c r="E273" s="4" t="s">
        <v>370</v>
      </c>
      <c r="F273" s="4">
        <v>8853</v>
      </c>
      <c r="G273" s="4" t="s">
        <v>117</v>
      </c>
      <c r="H273" s="4" t="s">
        <v>31</v>
      </c>
      <c r="I273" s="4" t="s">
        <v>376</v>
      </c>
      <c r="J273" s="26" t="s">
        <v>372</v>
      </c>
    </row>
    <row r="274" spans="1:10" x14ac:dyDescent="0.25">
      <c r="A274" s="96">
        <v>8</v>
      </c>
      <c r="B274" s="4" t="s">
        <v>107</v>
      </c>
      <c r="C274" s="4" t="s">
        <v>368</v>
      </c>
      <c r="D274" s="4" t="s">
        <v>375</v>
      </c>
      <c r="E274" s="4" t="s">
        <v>370</v>
      </c>
      <c r="F274" s="4">
        <v>8853</v>
      </c>
      <c r="G274" s="4" t="s">
        <v>117</v>
      </c>
      <c r="H274" s="4" t="s">
        <v>31</v>
      </c>
      <c r="I274" s="4" t="s">
        <v>376</v>
      </c>
      <c r="J274" s="26" t="s">
        <v>372</v>
      </c>
    </row>
    <row r="275" spans="1:10" x14ac:dyDescent="0.25">
      <c r="A275" s="96">
        <v>9</v>
      </c>
      <c r="B275" s="4" t="s">
        <v>107</v>
      </c>
      <c r="C275" s="4" t="s">
        <v>368</v>
      </c>
      <c r="D275" s="4" t="s">
        <v>375</v>
      </c>
      <c r="E275" s="4" t="s">
        <v>370</v>
      </c>
      <c r="F275" s="4">
        <v>8853</v>
      </c>
      <c r="G275" s="4" t="s">
        <v>117</v>
      </c>
      <c r="H275" s="4" t="s">
        <v>31</v>
      </c>
      <c r="I275" s="4" t="s">
        <v>376</v>
      </c>
      <c r="J275" s="26" t="s">
        <v>372</v>
      </c>
    </row>
    <row r="276" spans="1:10" x14ac:dyDescent="0.25">
      <c r="A276" s="96">
        <v>6</v>
      </c>
      <c r="B276" s="4" t="s">
        <v>121</v>
      </c>
      <c r="C276" s="4" t="s">
        <v>368</v>
      </c>
      <c r="D276" s="4" t="s">
        <v>373</v>
      </c>
      <c r="E276" s="4" t="s">
        <v>370</v>
      </c>
      <c r="F276" s="4">
        <v>8853</v>
      </c>
      <c r="G276" s="4" t="s">
        <v>117</v>
      </c>
      <c r="H276" s="4" t="s">
        <v>31</v>
      </c>
      <c r="I276" s="4" t="s">
        <v>374</v>
      </c>
      <c r="J276" s="26" t="s">
        <v>372</v>
      </c>
    </row>
    <row r="277" spans="1:10" x14ac:dyDescent="0.25">
      <c r="A277" s="96">
        <v>5</v>
      </c>
      <c r="B277" s="4" t="s">
        <v>121</v>
      </c>
      <c r="C277" s="4" t="s">
        <v>368</v>
      </c>
      <c r="D277" s="4" t="s">
        <v>369</v>
      </c>
      <c r="E277" s="4" t="s">
        <v>370</v>
      </c>
      <c r="F277" s="4">
        <v>8853</v>
      </c>
      <c r="G277" s="4" t="s">
        <v>117</v>
      </c>
      <c r="H277" s="4" t="s">
        <v>31</v>
      </c>
      <c r="I277" s="4" t="s">
        <v>371</v>
      </c>
      <c r="J277" s="26" t="s">
        <v>372</v>
      </c>
    </row>
    <row r="278" spans="1:10" x14ac:dyDescent="0.25">
      <c r="A278" s="96">
        <v>4</v>
      </c>
      <c r="B278" s="4" t="s">
        <v>132</v>
      </c>
      <c r="C278" s="4" t="s">
        <v>361</v>
      </c>
      <c r="D278" s="4" t="s">
        <v>365</v>
      </c>
      <c r="E278" s="4" t="s">
        <v>366</v>
      </c>
      <c r="F278" s="4">
        <v>8852</v>
      </c>
      <c r="G278" s="4" t="s">
        <v>110</v>
      </c>
      <c r="H278" s="4" t="s">
        <v>31</v>
      </c>
      <c r="I278" s="4" t="s">
        <v>367</v>
      </c>
      <c r="J278" s="26"/>
    </row>
    <row r="279" spans="1:10" ht="15.75" thickBot="1" x14ac:dyDescent="0.3">
      <c r="A279" s="97">
        <v>3</v>
      </c>
      <c r="B279" s="27" t="s">
        <v>121</v>
      </c>
      <c r="C279" s="27" t="s">
        <v>361</v>
      </c>
      <c r="D279" s="27" t="s">
        <v>362</v>
      </c>
      <c r="E279" s="27" t="s">
        <v>363</v>
      </c>
      <c r="F279" s="27">
        <v>8852</v>
      </c>
      <c r="G279" s="27" t="s">
        <v>110</v>
      </c>
      <c r="H279" s="27" t="s">
        <v>31</v>
      </c>
      <c r="I279" s="27" t="s">
        <v>364</v>
      </c>
      <c r="J279" s="28"/>
    </row>
  </sheetData>
  <autoFilter ref="A22:J279"/>
  <sortState ref="A13:J269">
    <sortCondition ref="D13:D269"/>
    <sortCondition descending="1" ref="G13:G269"/>
  </sortState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S118"/>
  <sheetViews>
    <sheetView zoomScale="85" zoomScaleNormal="85" workbookViewId="0">
      <selection activeCell="S36" sqref="S36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1317</v>
      </c>
      <c r="E2" s="7"/>
      <c r="F2" s="8"/>
      <c r="G2" s="8"/>
      <c r="H2" s="9"/>
      <c r="L2" s="102"/>
      <c r="M2" s="103"/>
      <c r="N2" s="103"/>
      <c r="O2" s="103"/>
      <c r="P2" s="103"/>
      <c r="Q2" s="103"/>
      <c r="R2" s="103"/>
      <c r="S2" s="104"/>
    </row>
    <row r="3" spans="2:19" ht="19.5" thickBot="1" x14ac:dyDescent="0.35">
      <c r="E3" s="13" t="s">
        <v>15</v>
      </c>
      <c r="F3" s="11"/>
      <c r="G3" s="11"/>
      <c r="H3" s="12"/>
      <c r="J3" s="17"/>
      <c r="L3" s="105"/>
      <c r="M3" s="106" t="s">
        <v>1273</v>
      </c>
      <c r="N3" s="107"/>
      <c r="O3" s="107"/>
      <c r="P3" s="107"/>
      <c r="Q3" s="107"/>
      <c r="R3" s="107"/>
      <c r="S3" s="108"/>
    </row>
    <row r="4" spans="2:19" x14ac:dyDescent="0.25">
      <c r="E4" s="10"/>
      <c r="F4" s="54" t="s">
        <v>13</v>
      </c>
      <c r="G4" s="55">
        <f>COUNTIF(H34:H118,"=ok")</f>
        <v>63</v>
      </c>
      <c r="H4" s="12"/>
      <c r="L4" s="105"/>
      <c r="M4" s="107"/>
      <c r="N4" s="107"/>
      <c r="O4" s="107"/>
      <c r="P4" s="107"/>
      <c r="Q4" s="107"/>
      <c r="R4" s="107"/>
      <c r="S4" s="108"/>
    </row>
    <row r="5" spans="2:19" x14ac:dyDescent="0.25">
      <c r="E5" s="10"/>
      <c r="F5" s="56" t="s">
        <v>14</v>
      </c>
      <c r="G5" s="57">
        <f>COUNTIF(H34:H118,"=Not ok")</f>
        <v>0</v>
      </c>
      <c r="H5" s="12"/>
      <c r="L5" s="105"/>
      <c r="M5" s="107" t="s">
        <v>1284</v>
      </c>
      <c r="N5" s="107"/>
      <c r="O5" s="107"/>
      <c r="P5" s="107"/>
      <c r="Q5" s="107"/>
      <c r="R5" s="107" t="s">
        <v>115</v>
      </c>
      <c r="S5" s="108"/>
    </row>
    <row r="6" spans="2:19" x14ac:dyDescent="0.25">
      <c r="E6" s="10"/>
      <c r="F6" s="56" t="s">
        <v>1316</v>
      </c>
      <c r="G6" s="57">
        <f>COUNTIF(J34:J118,"=--")</f>
        <v>0</v>
      </c>
      <c r="H6" s="12"/>
      <c r="L6" s="105"/>
      <c r="M6" s="107" t="s">
        <v>1300</v>
      </c>
      <c r="N6" s="107"/>
      <c r="O6" s="107"/>
      <c r="P6" s="107"/>
      <c r="Q6" s="107"/>
      <c r="R6" s="107" t="s">
        <v>115</v>
      </c>
      <c r="S6" s="108"/>
    </row>
    <row r="7" spans="2:19" ht="15.75" thickBot="1" x14ac:dyDescent="0.3">
      <c r="E7" s="10"/>
      <c r="F7" s="59" t="s">
        <v>1302</v>
      </c>
      <c r="G7" s="124">
        <f>IF(G4+G5+G6&gt;0,ROUNDDOWN(((5*G4)/(G4+G5+G6))+1,1),"Not defined")</f>
        <v>6</v>
      </c>
      <c r="H7" s="12"/>
      <c r="L7" s="105"/>
      <c r="M7" s="107" t="s">
        <v>1301</v>
      </c>
      <c r="N7" s="107"/>
      <c r="O7" s="107"/>
      <c r="P7" s="107"/>
      <c r="Q7" s="107"/>
      <c r="R7" s="107" t="s">
        <v>115</v>
      </c>
      <c r="S7" s="108"/>
    </row>
    <row r="8" spans="2:19" x14ac:dyDescent="0.25">
      <c r="E8" s="10"/>
      <c r="F8" s="11"/>
      <c r="G8" s="11"/>
      <c r="H8" s="12"/>
      <c r="L8" s="105"/>
      <c r="M8" s="107" t="s">
        <v>1303</v>
      </c>
      <c r="N8" s="107"/>
      <c r="O8" s="107"/>
      <c r="P8" s="107"/>
      <c r="Q8" s="107"/>
      <c r="R8" s="107" t="s">
        <v>115</v>
      </c>
      <c r="S8" s="108"/>
    </row>
    <row r="9" spans="2:19" x14ac:dyDescent="0.25">
      <c r="E9" s="10"/>
      <c r="F9" s="11"/>
      <c r="G9" s="11"/>
      <c r="H9" s="12"/>
      <c r="L9" s="105"/>
      <c r="M9" s="107" t="s">
        <v>1304</v>
      </c>
      <c r="N9" s="107"/>
      <c r="O9" s="107"/>
      <c r="P9" s="107"/>
      <c r="Q9" s="107"/>
      <c r="R9" s="107" t="s">
        <v>115</v>
      </c>
      <c r="S9" s="108"/>
    </row>
    <row r="10" spans="2:19" x14ac:dyDescent="0.25">
      <c r="E10" s="10"/>
      <c r="F10" s="11"/>
      <c r="G10" s="11"/>
      <c r="H10" s="12"/>
      <c r="L10" s="105"/>
      <c r="M10" s="107" t="s">
        <v>1305</v>
      </c>
      <c r="N10" s="107"/>
      <c r="O10" s="107"/>
      <c r="P10" s="107"/>
      <c r="Q10" s="107"/>
      <c r="R10" s="107" t="s">
        <v>115</v>
      </c>
      <c r="S10" s="108"/>
    </row>
    <row r="11" spans="2:19" ht="15.75" thickBot="1" x14ac:dyDescent="0.3">
      <c r="E11" s="14"/>
      <c r="F11" s="15"/>
      <c r="G11" s="15"/>
      <c r="H11" s="16"/>
      <c r="L11" s="105"/>
      <c r="M11" s="107" t="s">
        <v>1307</v>
      </c>
      <c r="N11" s="107"/>
      <c r="O11" s="107"/>
      <c r="P11" s="107"/>
      <c r="Q11" s="107"/>
      <c r="R11" s="107" t="s">
        <v>115</v>
      </c>
      <c r="S11" s="108"/>
    </row>
    <row r="12" spans="2:19" x14ac:dyDescent="0.25">
      <c r="E12" s="44"/>
      <c r="F12" s="44"/>
      <c r="G12" s="44"/>
      <c r="H12" s="44"/>
      <c r="L12" s="105"/>
      <c r="M12" s="107" t="s">
        <v>1306</v>
      </c>
      <c r="N12" s="107"/>
      <c r="O12" s="107"/>
      <c r="P12" s="107"/>
      <c r="Q12" s="107"/>
      <c r="R12" s="107" t="s">
        <v>115</v>
      </c>
      <c r="S12" s="108"/>
    </row>
    <row r="13" spans="2:19" x14ac:dyDescent="0.25">
      <c r="E13" s="44"/>
      <c r="F13" s="44"/>
      <c r="G13" s="44"/>
      <c r="H13" s="44"/>
      <c r="L13" s="105"/>
      <c r="M13" s="107" t="s">
        <v>1308</v>
      </c>
      <c r="N13" s="107"/>
      <c r="O13" s="107"/>
      <c r="P13" s="107"/>
      <c r="Q13" s="107"/>
      <c r="R13" s="107" t="s">
        <v>115</v>
      </c>
      <c r="S13" s="108"/>
    </row>
    <row r="14" spans="2:19" ht="15.75" thickBot="1" x14ac:dyDescent="0.3">
      <c r="E14" s="44"/>
      <c r="F14" s="44"/>
      <c r="G14" s="44"/>
      <c r="H14" s="44"/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2:19" ht="21.75" thickBot="1" x14ac:dyDescent="0.4">
      <c r="E15" s="44"/>
      <c r="F15" s="44"/>
      <c r="G15" s="44"/>
      <c r="H15" s="44"/>
      <c r="L15" s="105"/>
      <c r="M15" s="121"/>
      <c r="N15" s="107"/>
      <c r="O15" s="122" t="s">
        <v>1309</v>
      </c>
      <c r="P15" s="107"/>
      <c r="Q15" s="109" t="s">
        <v>1286</v>
      </c>
      <c r="R15" s="107">
        <f>COUNTIF(R5:R13,"=Ja")</f>
        <v>0</v>
      </c>
      <c r="S15" s="108"/>
    </row>
    <row r="16" spans="2:19" ht="21.75" thickBot="1" x14ac:dyDescent="0.4">
      <c r="E16" s="44"/>
      <c r="F16" s="44"/>
      <c r="G16" s="44"/>
      <c r="H16" s="44"/>
      <c r="L16" s="105"/>
      <c r="M16" s="107"/>
      <c r="N16" s="107"/>
      <c r="O16" s="123">
        <f>(G7-1.5) + (R16/4)</f>
        <v>4.75</v>
      </c>
      <c r="P16" s="107"/>
      <c r="Q16" s="115" t="s">
        <v>1302</v>
      </c>
      <c r="R16" s="116">
        <f>(5/R14)*R15+1</f>
        <v>1</v>
      </c>
      <c r="S16" s="108"/>
    </row>
    <row r="17" spans="5:19" x14ac:dyDescent="0.25">
      <c r="E17" s="44"/>
      <c r="F17" s="44"/>
      <c r="G17" s="44"/>
      <c r="H17" s="44"/>
      <c r="L17" s="105"/>
      <c r="M17" s="107"/>
      <c r="N17" s="107"/>
      <c r="O17" s="107"/>
      <c r="P17" s="107"/>
      <c r="Q17" s="107"/>
      <c r="R17" s="107"/>
      <c r="S17" s="108"/>
    </row>
    <row r="18" spans="5:19" ht="15.75" thickBot="1" x14ac:dyDescent="0.3">
      <c r="E18" s="44"/>
      <c r="F18" s="44"/>
      <c r="G18" s="44"/>
      <c r="H18" s="44"/>
      <c r="L18" s="110"/>
      <c r="M18" s="111"/>
      <c r="N18" s="111"/>
      <c r="O18" s="111"/>
      <c r="P18" s="111"/>
      <c r="Q18" s="111"/>
      <c r="R18" s="111"/>
      <c r="S18" s="112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4</v>
      </c>
      <c r="C34" s="2" t="s">
        <v>2</v>
      </c>
      <c r="D34" s="21" t="s">
        <v>19</v>
      </c>
      <c r="E34" s="21"/>
      <c r="F34" s="21"/>
      <c r="G34" s="19" t="s">
        <v>10</v>
      </c>
      <c r="H34" s="3" t="s">
        <v>5</v>
      </c>
      <c r="I34" s="3" t="s">
        <v>11</v>
      </c>
    </row>
    <row r="35" spans="2:10" x14ac:dyDescent="0.25">
      <c r="B35" s="4" t="s">
        <v>1464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1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6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7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4</v>
      </c>
      <c r="C40" s="2" t="s">
        <v>2</v>
      </c>
      <c r="D40" s="21" t="s">
        <v>19</v>
      </c>
      <c r="E40" s="21" t="s">
        <v>22</v>
      </c>
      <c r="F40" s="21" t="s">
        <v>244</v>
      </c>
      <c r="G40" s="19" t="s">
        <v>10</v>
      </c>
      <c r="H40" s="3" t="s">
        <v>5</v>
      </c>
    </row>
    <row r="41" spans="2:10" x14ac:dyDescent="0.25">
      <c r="B41" s="4" t="s">
        <v>1465</v>
      </c>
      <c r="C41" s="5" t="str">
        <f>HelloPerDu(D41,E41,F41)</f>
        <v>Hallo Otto,</v>
      </c>
      <c r="D41" s="22" t="s">
        <v>9</v>
      </c>
      <c r="E41" s="22" t="s">
        <v>8</v>
      </c>
      <c r="F41" s="22" t="b">
        <v>1</v>
      </c>
      <c r="G41" s="18" t="s">
        <v>1311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1310</v>
      </c>
      <c r="E42" s="22" t="s">
        <v>1011</v>
      </c>
      <c r="F42" s="22" t="b">
        <v>0</v>
      </c>
      <c r="G42" s="18" t="s">
        <v>1312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223</v>
      </c>
      <c r="E43" s="22"/>
      <c r="F43" s="22" t="b">
        <v>1</v>
      </c>
      <c r="G43" s="18" t="s">
        <v>1313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1313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324</v>
      </c>
      <c r="F45" s="22" t="b">
        <v>0</v>
      </c>
      <c r="G45" s="18" t="s">
        <v>1313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4</v>
      </c>
      <c r="C47" s="2" t="s">
        <v>2</v>
      </c>
      <c r="D47" s="21" t="s">
        <v>1314</v>
      </c>
      <c r="E47" s="21" t="s">
        <v>1315</v>
      </c>
      <c r="F47" s="21"/>
      <c r="G47" s="19" t="s">
        <v>10</v>
      </c>
      <c r="H47" s="3" t="s">
        <v>5</v>
      </c>
    </row>
    <row r="48" spans="2:10" x14ac:dyDescent="0.25">
      <c r="B48" s="4" t="s">
        <v>1466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0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4</v>
      </c>
      <c r="C56" s="2" t="s">
        <v>2</v>
      </c>
      <c r="D56" s="21" t="s">
        <v>1319</v>
      </c>
      <c r="E56" s="21"/>
      <c r="F56" s="21"/>
      <c r="G56" s="19" t="s">
        <v>10</v>
      </c>
      <c r="H56" s="3" t="s">
        <v>5</v>
      </c>
    </row>
    <row r="57" spans="2:10" x14ac:dyDescent="0.25">
      <c r="B57" s="4" t="s">
        <v>1318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2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7.4850000000000003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0</v>
      </c>
      <c r="D61" s="22">
        <v>-1</v>
      </c>
      <c r="E61" s="22"/>
      <c r="F61" s="22"/>
      <c r="G61" s="18">
        <v>0</v>
      </c>
      <c r="H61" s="6" t="str">
        <f>IF(EqualsWithinTolerance(G61,C61),"ok","Not ok")</f>
        <v>ok</v>
      </c>
      <c r="J61">
        <f t="shared" si="13"/>
        <v>0</v>
      </c>
    </row>
    <row r="62" spans="2:10" x14ac:dyDescent="0.25">
      <c r="B62" s="4"/>
      <c r="C62" s="5">
        <f t="shared" si="14"/>
        <v>0</v>
      </c>
      <c r="D62" s="22">
        <v>0</v>
      </c>
      <c r="E62" s="22"/>
      <c r="F62" s="22"/>
      <c r="G62" s="18">
        <v>0</v>
      </c>
      <c r="H62" s="6" t="str">
        <f>IF(EqualsWithinTolerance(G62,C62),"ok","Not ok")</f>
        <v>ok</v>
      </c>
      <c r="J62">
        <f t="shared" si="13"/>
        <v>0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5.1769999999999996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4</v>
      </c>
      <c r="C66" s="2" t="s">
        <v>2</v>
      </c>
      <c r="D66" s="21" t="s">
        <v>20</v>
      </c>
      <c r="E66" s="21" t="s">
        <v>21</v>
      </c>
      <c r="F66" s="21"/>
      <c r="G66" s="19" t="s">
        <v>10</v>
      </c>
      <c r="H66" s="3" t="s">
        <v>5</v>
      </c>
      <c r="I66" s="3" t="s">
        <v>11</v>
      </c>
    </row>
    <row r="67" spans="2:10" x14ac:dyDescent="0.25">
      <c r="B67" s="4" t="s">
        <v>1467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3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si="16"/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6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4</v>
      </c>
      <c r="C75" s="2" t="s">
        <v>2</v>
      </c>
      <c r="D75" s="21" t="s">
        <v>22</v>
      </c>
      <c r="E75" s="21" t="s">
        <v>23</v>
      </c>
      <c r="F75" s="21"/>
      <c r="G75" s="19" t="s">
        <v>10</v>
      </c>
      <c r="H75" s="3" t="s">
        <v>5</v>
      </c>
      <c r="I75" s="3" t="s">
        <v>11</v>
      </c>
    </row>
    <row r="76" spans="2:10" x14ac:dyDescent="0.25">
      <c r="B76" s="4" t="s">
        <v>17</v>
      </c>
      <c r="C76" s="5" t="str">
        <f>GetAnrede(D76,E76)</f>
        <v>O. Schlosser</v>
      </c>
      <c r="D76" s="22" t="s">
        <v>8</v>
      </c>
      <c r="E76" s="22" t="s">
        <v>9</v>
      </c>
      <c r="F76" s="22"/>
      <c r="G76" s="18" t="s">
        <v>12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8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92</v>
      </c>
      <c r="E77" s="22" t="s">
        <v>96</v>
      </c>
      <c r="F77" s="22"/>
      <c r="G77" s="18" t="s">
        <v>98</v>
      </c>
      <c r="H77" s="6" t="str">
        <f t="shared" ref="H77:H79" si="19">IF(EXACT(G77,C77),"ok","Not ok")</f>
        <v>ok</v>
      </c>
      <c r="I77" s="4" t="b">
        <f>IF(C77=L_GetAnrede(D77,E77),TRUE,FALSE)</f>
        <v>1</v>
      </c>
      <c r="J77" t="str">
        <f t="shared" si="18"/>
        <v>S. Goeldin</v>
      </c>
    </row>
    <row r="78" spans="2:10" x14ac:dyDescent="0.25">
      <c r="B78" s="4"/>
      <c r="C78" s="5" t="str">
        <f t="shared" ref="C78:C79" si="20">GetAnrede(D78,E78)</f>
        <v>M. Landolt</v>
      </c>
      <c r="D78" s="22" t="s">
        <v>97</v>
      </c>
      <c r="E78" s="22" t="s">
        <v>93</v>
      </c>
      <c r="F78" s="22"/>
      <c r="G78" s="18" t="s">
        <v>99</v>
      </c>
      <c r="H78" s="6" t="str">
        <f t="shared" si="19"/>
        <v>ok</v>
      </c>
      <c r="I78" s="4" t="b">
        <f>IF(C78=L_GetAnrede(D78,E78),TRUE,FALSE)</f>
        <v>1</v>
      </c>
      <c r="J78" t="str">
        <f t="shared" si="18"/>
        <v>M. Landolt</v>
      </c>
    </row>
    <row r="79" spans="2:10" x14ac:dyDescent="0.25">
      <c r="B79" s="4"/>
      <c r="C79" s="5" t="str">
        <f t="shared" si="20"/>
        <v>F. Loretan</v>
      </c>
      <c r="D79" s="22" t="s">
        <v>95</v>
      </c>
      <c r="E79" s="22" t="s">
        <v>94</v>
      </c>
      <c r="F79" s="22"/>
      <c r="G79" s="18" t="s">
        <v>100</v>
      </c>
      <c r="H79" s="6" t="str">
        <f t="shared" si="19"/>
        <v>ok</v>
      </c>
      <c r="I79" s="4" t="b">
        <f>IF(C79=L_GetAnrede(D79,E79),TRUE,FALSE)</f>
        <v>1</v>
      </c>
      <c r="J79" t="str">
        <f t="shared" si="18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4</v>
      </c>
      <c r="C81" s="2" t="s">
        <v>2</v>
      </c>
      <c r="D81" s="21" t="s">
        <v>24</v>
      </c>
      <c r="E81" s="21" t="s">
        <v>25</v>
      </c>
      <c r="F81" s="21"/>
      <c r="G81" s="19" t="s">
        <v>10</v>
      </c>
      <c r="H81" s="3" t="s">
        <v>5</v>
      </c>
      <c r="I81" s="3" t="s">
        <v>11</v>
      </c>
    </row>
    <row r="82" spans="2:10" x14ac:dyDescent="0.25">
      <c r="B82" s="4" t="s">
        <v>18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1">IF(G82=C82,"ok","Not ok")</f>
        <v>ok</v>
      </c>
      <c r="I82" s="4" t="b">
        <f>IF(C82=L_AddFigureRange(D82,E82),TRUE,FALSE)</f>
        <v>1</v>
      </c>
      <c r="J82">
        <f t="shared" ref="J82:J88" si="22">IFERROR(C82,"--")</f>
        <v>5050</v>
      </c>
    </row>
    <row r="83" spans="2:10" x14ac:dyDescent="0.25">
      <c r="B83" s="4"/>
      <c r="C83" s="5">
        <f t="shared" ref="C83:C88" si="23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1"/>
        <v>ok</v>
      </c>
      <c r="I83" s="4" t="b">
        <f>IF(C83=L_AddFigureRange(D83,E83),TRUE,FALSE)</f>
        <v>1</v>
      </c>
      <c r="J83">
        <f t="shared" si="22"/>
        <v>3825</v>
      </c>
    </row>
    <row r="84" spans="2:10" x14ac:dyDescent="0.25">
      <c r="B84" s="4"/>
      <c r="C84" s="5">
        <f t="shared" si="23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1"/>
        <v>ok</v>
      </c>
      <c r="I84" s="4" t="b">
        <f>IF(C84=L_AddFigureRange(D84,E84),TRUE,FALSE)</f>
        <v>1</v>
      </c>
      <c r="J84">
        <f t="shared" si="22"/>
        <v>1275</v>
      </c>
    </row>
    <row r="85" spans="2:10" x14ac:dyDescent="0.25">
      <c r="B85" s="4"/>
      <c r="C85" s="5">
        <f t="shared" si="23"/>
        <v>22</v>
      </c>
      <c r="D85" s="22">
        <v>4</v>
      </c>
      <c r="E85" s="22">
        <v>7</v>
      </c>
      <c r="F85" s="22"/>
      <c r="G85" s="18">
        <v>22</v>
      </c>
      <c r="H85" s="6" t="str">
        <f t="shared" si="21"/>
        <v>ok</v>
      </c>
      <c r="I85" s="4" t="b">
        <f>IF(C85=L_AddFigureRange(D85,E85),TRUE,FALSE)</f>
        <v>1</v>
      </c>
      <c r="J85">
        <f t="shared" si="22"/>
        <v>22</v>
      </c>
    </row>
    <row r="86" spans="2:10" x14ac:dyDescent="0.25">
      <c r="B86" s="4"/>
      <c r="C86" s="5">
        <f t="shared" si="23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1"/>
        <v>ok</v>
      </c>
      <c r="I86" s="4" t="b">
        <f>IF(C86=L_AddFigureRange(D86,E86),TRUE,FALSE)</f>
        <v>1</v>
      </c>
      <c r="J86">
        <f t="shared" si="22"/>
        <v>5049</v>
      </c>
    </row>
    <row r="87" spans="2:10" x14ac:dyDescent="0.25">
      <c r="B87" s="4"/>
      <c r="C87" s="5">
        <f t="shared" si="23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1"/>
        <v>ok</v>
      </c>
      <c r="I87" s="4" t="b">
        <f>IF(C87=L_AddFigureRange(D87,E87),TRUE,FALSE)</f>
        <v>1</v>
      </c>
      <c r="J87">
        <f t="shared" si="22"/>
        <v>5050</v>
      </c>
    </row>
    <row r="88" spans="2:10" x14ac:dyDescent="0.25">
      <c r="B88" s="4"/>
      <c r="C88" s="5">
        <f t="shared" si="23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1"/>
        <v>ok</v>
      </c>
      <c r="I88" s="4" t="b">
        <f>IF(C88=L_AddFigureRange(D88,E88),TRUE,FALSE)</f>
        <v>1</v>
      </c>
      <c r="J88">
        <f t="shared" si="22"/>
        <v>0</v>
      </c>
    </row>
    <row r="90" spans="2:10" x14ac:dyDescent="0.25">
      <c r="B90" s="2" t="s">
        <v>4</v>
      </c>
      <c r="C90" s="2" t="s">
        <v>2</v>
      </c>
      <c r="D90" s="21" t="s">
        <v>24</v>
      </c>
      <c r="E90" s="21" t="s">
        <v>25</v>
      </c>
      <c r="F90" s="21" t="s">
        <v>3</v>
      </c>
      <c r="G90" s="19" t="s">
        <v>10</v>
      </c>
      <c r="H90" s="3" t="s">
        <v>5</v>
      </c>
    </row>
    <row r="91" spans="2:10" x14ac:dyDescent="0.25">
      <c r="B91" s="4" t="s">
        <v>26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8" si="24">IF(G91=C91,"ok","Not ok")</f>
        <v>ok</v>
      </c>
      <c r="J91">
        <f t="shared" ref="J91:J98" si="25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4"/>
        <v>ok</v>
      </c>
      <c r="J92">
        <f t="shared" si="25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4"/>
        <v>ok</v>
      </c>
      <c r="J93">
        <f t="shared" si="25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4"/>
        <v>ok</v>
      </c>
      <c r="J94">
        <f t="shared" si="25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4"/>
        <v>ok</v>
      </c>
      <c r="J95">
        <f t="shared" si="25"/>
        <v>0</v>
      </c>
    </row>
    <row r="96" spans="2:10" x14ac:dyDescent="0.25">
      <c r="B96" s="4"/>
      <c r="C96" s="5">
        <f t="shared" ref="C96:C98" si="26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4"/>
        <v>ok</v>
      </c>
      <c r="J96">
        <f t="shared" si="25"/>
        <v>0</v>
      </c>
    </row>
    <row r="97" spans="2:10" x14ac:dyDescent="0.25">
      <c r="B97" s="4"/>
      <c r="C97" s="5">
        <f t="shared" si="26"/>
        <v>20</v>
      </c>
      <c r="D97" s="22">
        <v>4</v>
      </c>
      <c r="E97" s="22">
        <v>5</v>
      </c>
      <c r="F97" s="22"/>
      <c r="G97" s="18">
        <v>20</v>
      </c>
      <c r="H97" s="6" t="str">
        <f t="shared" si="24"/>
        <v>ok</v>
      </c>
      <c r="J97">
        <f t="shared" si="25"/>
        <v>20</v>
      </c>
    </row>
    <row r="98" spans="2:10" x14ac:dyDescent="0.25">
      <c r="B98" s="4"/>
      <c r="C98" s="5">
        <f t="shared" si="26"/>
        <v>1</v>
      </c>
      <c r="D98" s="22">
        <v>5</v>
      </c>
      <c r="E98" s="22">
        <v>4</v>
      </c>
      <c r="F98" s="22"/>
      <c r="G98" s="18">
        <v>1</v>
      </c>
      <c r="H98" s="6" t="str">
        <f t="shared" si="24"/>
        <v>ok</v>
      </c>
      <c r="J98">
        <f t="shared" si="25"/>
        <v>1</v>
      </c>
    </row>
    <row r="100" spans="2:10" x14ac:dyDescent="0.25">
      <c r="B100" s="2" t="s">
        <v>4</v>
      </c>
      <c r="C100" s="2" t="s">
        <v>2</v>
      </c>
      <c r="D100" s="21" t="s">
        <v>27</v>
      </c>
      <c r="E100" s="21" t="s">
        <v>28</v>
      </c>
      <c r="F100" s="21" t="s">
        <v>29</v>
      </c>
      <c r="G100" s="19" t="s">
        <v>10</v>
      </c>
      <c r="H100" s="3" t="s">
        <v>5</v>
      </c>
    </row>
    <row r="101" spans="2:10" x14ac:dyDescent="0.25">
      <c r="B101" s="4" t="s">
        <v>30</v>
      </c>
      <c r="C101" s="29" t="str">
        <f>GetOrtsAnschrift(D101,E101,F101)</f>
        <v>CH-8855 &lt;U&gt;Wangen&lt;/U&gt;</v>
      </c>
      <c r="D101" s="22" t="s">
        <v>31</v>
      </c>
      <c r="E101" s="22">
        <v>8855</v>
      </c>
      <c r="F101" s="22" t="s">
        <v>32</v>
      </c>
      <c r="G101" s="18" t="s">
        <v>41</v>
      </c>
      <c r="H101" s="6" t="str">
        <f t="shared" ref="H101:H103" si="27">IF(G101=C101,"ok","Not ok")</f>
        <v>ok</v>
      </c>
      <c r="J101" t="str">
        <f t="shared" ref="J101:J103" si="28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33</v>
      </c>
      <c r="E102" s="22">
        <v>69115</v>
      </c>
      <c r="F102" s="22" t="s">
        <v>34</v>
      </c>
      <c r="G102" s="18" t="s">
        <v>42</v>
      </c>
      <c r="H102" s="6" t="str">
        <f t="shared" si="27"/>
        <v>ok</v>
      </c>
      <c r="J102" t="str">
        <f t="shared" si="28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35</v>
      </c>
      <c r="E103" s="22">
        <v>75000</v>
      </c>
      <c r="F103" s="22" t="s">
        <v>36</v>
      </c>
      <c r="G103" s="18" t="s">
        <v>43</v>
      </c>
      <c r="H103" s="6" t="str">
        <f t="shared" si="27"/>
        <v>ok</v>
      </c>
      <c r="J103" t="str">
        <f t="shared" si="28"/>
        <v>FR-75000 &lt;U&gt;Paris&lt;/U&gt;</v>
      </c>
    </row>
    <row r="105" spans="2:10" x14ac:dyDescent="0.25">
      <c r="B105" s="2" t="s">
        <v>4</v>
      </c>
      <c r="C105" s="2" t="s">
        <v>2</v>
      </c>
      <c r="D105" s="21" t="s">
        <v>81</v>
      </c>
      <c r="E105" s="21"/>
      <c r="F105" s="21"/>
      <c r="G105" s="19" t="s">
        <v>10</v>
      </c>
      <c r="H105" s="3" t="s">
        <v>5</v>
      </c>
    </row>
    <row r="106" spans="2:10" x14ac:dyDescent="0.25">
      <c r="B106" s="4" t="s">
        <v>84</v>
      </c>
      <c r="C106" s="29" t="str">
        <f>MyProper(D106)</f>
        <v>Otto Schlosser</v>
      </c>
      <c r="D106" s="22" t="s">
        <v>82</v>
      </c>
      <c r="E106" s="22"/>
      <c r="F106" s="22"/>
      <c r="G106" s="18" t="s">
        <v>83</v>
      </c>
      <c r="H106" s="6" t="str">
        <f t="shared" ref="H106:H110" si="29">IF(G106=C106,"ok","Not ok")</f>
        <v>ok</v>
      </c>
      <c r="J106" t="str">
        <f t="shared" ref="J106:J110" si="30">IFERROR(C106,"--")</f>
        <v>Otto Schlosser</v>
      </c>
    </row>
    <row r="107" spans="2:10" x14ac:dyDescent="0.25">
      <c r="B107" s="4"/>
      <c r="C107" s="29" t="str">
        <f t="shared" ref="C107:C109" si="31">MyProper(D107)</f>
        <v>Otto Schlosser</v>
      </c>
      <c r="D107" s="22" t="s">
        <v>85</v>
      </c>
      <c r="E107" s="22"/>
      <c r="F107" s="22"/>
      <c r="G107" s="18" t="s">
        <v>83</v>
      </c>
      <c r="H107" s="6" t="str">
        <f t="shared" si="29"/>
        <v>ok</v>
      </c>
      <c r="J107" t="str">
        <f t="shared" si="30"/>
        <v>Otto Schlosser</v>
      </c>
    </row>
    <row r="108" spans="2:10" x14ac:dyDescent="0.25">
      <c r="B108" s="4"/>
      <c r="C108" s="29" t="str">
        <f t="shared" si="31"/>
        <v>Otto Schlosser</v>
      </c>
      <c r="D108" s="22" t="s">
        <v>86</v>
      </c>
      <c r="E108" s="22"/>
      <c r="F108" s="22"/>
      <c r="G108" s="18" t="s">
        <v>83</v>
      </c>
      <c r="H108" s="6" t="str">
        <f t="shared" si="29"/>
        <v>ok</v>
      </c>
      <c r="J108" t="str">
        <f t="shared" si="30"/>
        <v>Otto Schlosser</v>
      </c>
    </row>
    <row r="109" spans="2:10" x14ac:dyDescent="0.25">
      <c r="B109" s="4"/>
      <c r="C109" s="29" t="str">
        <f t="shared" si="31"/>
        <v>Otto Schlosser</v>
      </c>
      <c r="D109" s="22" t="s">
        <v>83</v>
      </c>
      <c r="E109" s="22"/>
      <c r="F109" s="22"/>
      <c r="G109" s="18" t="s">
        <v>83</v>
      </c>
      <c r="H109" s="6" t="str">
        <f t="shared" si="29"/>
        <v>ok</v>
      </c>
      <c r="J109" t="str">
        <f t="shared" si="30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87</v>
      </c>
      <c r="E110" s="22"/>
      <c r="F110" s="22"/>
      <c r="G110" s="18" t="s">
        <v>88</v>
      </c>
      <c r="H110" s="6" t="str">
        <f t="shared" si="29"/>
        <v>ok</v>
      </c>
      <c r="J110" t="str">
        <f t="shared" si="30"/>
        <v>Otto Schlosser Uster</v>
      </c>
    </row>
    <row r="112" spans="2:10" x14ac:dyDescent="0.25">
      <c r="B112" s="2" t="s">
        <v>4</v>
      </c>
      <c r="C112" s="2" t="s">
        <v>2</v>
      </c>
      <c r="D112" s="21" t="s">
        <v>90</v>
      </c>
      <c r="E112" s="21" t="s">
        <v>91</v>
      </c>
      <c r="F112" s="21" t="s">
        <v>89</v>
      </c>
      <c r="G112" s="19" t="s">
        <v>10</v>
      </c>
      <c r="H112" s="3" t="s">
        <v>5</v>
      </c>
    </row>
    <row r="113" spans="2:10" x14ac:dyDescent="0.25">
      <c r="B113" s="4" t="s">
        <v>104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8" si="32">IF(G113=C113,"ok","Not ok")</f>
        <v>ok</v>
      </c>
      <c r="J113" t="b">
        <f t="shared" ref="J113:J118" si="33">IFERROR(C113,"--")</f>
        <v>1</v>
      </c>
    </row>
    <row r="114" spans="2:10" x14ac:dyDescent="0.25">
      <c r="B114" s="4"/>
      <c r="C114" s="29" t="b">
        <f t="shared" ref="C114:C117" si="34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2"/>
        <v>ok</v>
      </c>
      <c r="J114" t="b">
        <f t="shared" si="33"/>
        <v>0</v>
      </c>
    </row>
    <row r="115" spans="2:10" x14ac:dyDescent="0.25">
      <c r="B115" s="4"/>
      <c r="C115" s="29" t="b">
        <f t="shared" si="34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2"/>
        <v>ok</v>
      </c>
      <c r="J115" t="b">
        <f t="shared" si="33"/>
        <v>1</v>
      </c>
    </row>
    <row r="116" spans="2:10" x14ac:dyDescent="0.25">
      <c r="B116" s="4"/>
      <c r="C116" s="29" t="b">
        <f t="shared" si="34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2"/>
        <v>ok</v>
      </c>
      <c r="J116" t="b">
        <f t="shared" si="33"/>
        <v>0</v>
      </c>
    </row>
    <row r="117" spans="2:10" x14ac:dyDescent="0.25">
      <c r="B117" s="4"/>
      <c r="C117" s="29" t="b">
        <f t="shared" si="34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2"/>
        <v>ok</v>
      </c>
      <c r="J117" t="b">
        <f t="shared" si="33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si="32"/>
        <v>ok</v>
      </c>
      <c r="J118" t="b">
        <f t="shared" si="33"/>
        <v>0</v>
      </c>
    </row>
  </sheetData>
  <conditionalFormatting sqref="H35:H38">
    <cfRule type="cellIs" dxfId="73" priority="36" operator="equal">
      <formula>"Not ok"</formula>
    </cfRule>
    <cfRule type="cellIs" dxfId="72" priority="37" operator="equal">
      <formula>"ok"</formula>
    </cfRule>
  </conditionalFormatting>
  <conditionalFormatting sqref="H67:H73">
    <cfRule type="cellIs" dxfId="71" priority="34" operator="equal">
      <formula>"Not ok"</formula>
    </cfRule>
    <cfRule type="cellIs" dxfId="70" priority="35" operator="equal">
      <formula>"ok"</formula>
    </cfRule>
  </conditionalFormatting>
  <conditionalFormatting sqref="H76:H79">
    <cfRule type="cellIs" dxfId="69" priority="32" operator="equal">
      <formula>"Not ok"</formula>
    </cfRule>
    <cfRule type="cellIs" dxfId="68" priority="33" operator="equal">
      <formula>"ok"</formula>
    </cfRule>
  </conditionalFormatting>
  <conditionalFormatting sqref="H82:H88">
    <cfRule type="cellIs" dxfId="67" priority="30" operator="equal">
      <formula>"Not ok"</formula>
    </cfRule>
    <cfRule type="cellIs" dxfId="66" priority="31" operator="equal">
      <formula>"ok"</formula>
    </cfRule>
  </conditionalFormatting>
  <conditionalFormatting sqref="H91:H97">
    <cfRule type="cellIs" dxfId="65" priority="28" operator="equal">
      <formula>"Not ok"</formula>
    </cfRule>
    <cfRule type="cellIs" dxfId="64" priority="29" operator="equal">
      <formula>"ok"</formula>
    </cfRule>
  </conditionalFormatting>
  <conditionalFormatting sqref="H98">
    <cfRule type="cellIs" dxfId="63" priority="26" operator="equal">
      <formula>"Not ok"</formula>
    </cfRule>
    <cfRule type="cellIs" dxfId="62" priority="27" operator="equal">
      <formula>"ok"</formula>
    </cfRule>
  </conditionalFormatting>
  <conditionalFormatting sqref="H101:H103">
    <cfRule type="cellIs" dxfId="61" priority="24" operator="equal">
      <formula>"Not ok"</formula>
    </cfRule>
    <cfRule type="cellIs" dxfId="60" priority="25" operator="equal">
      <formula>"ok"</formula>
    </cfRule>
  </conditionalFormatting>
  <conditionalFormatting sqref="H106:H108">
    <cfRule type="cellIs" dxfId="59" priority="22" operator="equal">
      <formula>"Not ok"</formula>
    </cfRule>
    <cfRule type="cellIs" dxfId="58" priority="23" operator="equal">
      <formula>"ok"</formula>
    </cfRule>
  </conditionalFormatting>
  <conditionalFormatting sqref="H109:H110">
    <cfRule type="cellIs" dxfId="57" priority="20" operator="equal">
      <formula>"Not ok"</formula>
    </cfRule>
    <cfRule type="cellIs" dxfId="56" priority="21" operator="equal">
      <formula>"ok"</formula>
    </cfRule>
  </conditionalFormatting>
  <conditionalFormatting sqref="H113:H115">
    <cfRule type="cellIs" dxfId="55" priority="18" operator="equal">
      <formula>"Not ok"</formula>
    </cfRule>
    <cfRule type="cellIs" dxfId="54" priority="19" operator="equal">
      <formula>"ok"</formula>
    </cfRule>
  </conditionalFormatting>
  <conditionalFormatting sqref="H116:H117">
    <cfRule type="cellIs" dxfId="53" priority="16" operator="equal">
      <formula>"Not ok"</formula>
    </cfRule>
    <cfRule type="cellIs" dxfId="52" priority="17" operator="equal">
      <formula>"ok"</formula>
    </cfRule>
  </conditionalFormatting>
  <conditionalFormatting sqref="H118">
    <cfRule type="cellIs" dxfId="51" priority="14" operator="equal">
      <formula>"Not ok"</formula>
    </cfRule>
    <cfRule type="cellIs" dxfId="50" priority="15" operator="equal">
      <formula>"ok"</formula>
    </cfRule>
  </conditionalFormatting>
  <conditionalFormatting sqref="G7">
    <cfRule type="cellIs" dxfId="49" priority="7" stopIfTrue="1" operator="equal">
      <formula>"Not defined"</formula>
    </cfRule>
    <cfRule type="cellIs" dxfId="48" priority="8" stopIfTrue="1" operator="greaterThan">
      <formula>5.7</formula>
    </cfRule>
    <cfRule type="cellIs" dxfId="47" priority="9" stopIfTrue="1" operator="greaterThan">
      <formula>5</formula>
    </cfRule>
    <cfRule type="cellIs" dxfId="46" priority="10" stopIfTrue="1" operator="greaterThan">
      <formula>4.5</formula>
    </cfRule>
    <cfRule type="cellIs" dxfId="45" priority="11" stopIfTrue="1" operator="greaterThanOrEqual">
      <formula>4</formula>
    </cfRule>
    <cfRule type="cellIs" dxfId="44" priority="12" stopIfTrue="1" operator="greaterThanOrEqual">
      <formula>3</formula>
    </cfRule>
    <cfRule type="cellIs" dxfId="43" priority="13" stopIfTrue="1" operator="greaterThanOrEqual">
      <formula>1</formula>
    </cfRule>
  </conditionalFormatting>
  <conditionalFormatting sqref="H41:H45">
    <cfRule type="cellIs" dxfId="42" priority="5" operator="equal">
      <formula>"Not ok"</formula>
    </cfRule>
    <cfRule type="cellIs" dxfId="41" priority="6" operator="equal">
      <formula>"ok"</formula>
    </cfRule>
  </conditionalFormatting>
  <conditionalFormatting sqref="H48:H54">
    <cfRule type="cellIs" dxfId="40" priority="3" operator="equal">
      <formula>"Not ok"</formula>
    </cfRule>
    <cfRule type="cellIs" dxfId="39" priority="4" operator="equal">
      <formula>"ok"</formula>
    </cfRule>
  </conditionalFormatting>
  <conditionalFormatting sqref="H57:H63">
    <cfRule type="cellIs" dxfId="38" priority="1" operator="equal">
      <formula>"Not ok"</formula>
    </cfRule>
    <cfRule type="cellIs" dxfId="3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C000"/>
    <pageSetUpPr fitToPage="1"/>
  </sheetPr>
  <dimension ref="B1:S118"/>
  <sheetViews>
    <sheetView zoomScale="85" zoomScaleNormal="85" workbookViewId="0">
      <selection activeCell="N58" sqref="N58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1317</v>
      </c>
      <c r="E2" s="7"/>
      <c r="F2" s="8"/>
      <c r="G2" s="8"/>
      <c r="H2" s="9"/>
      <c r="L2" s="102"/>
      <c r="M2" s="103"/>
      <c r="N2" s="103"/>
      <c r="O2" s="103"/>
      <c r="P2" s="103"/>
      <c r="Q2" s="103"/>
      <c r="R2" s="103"/>
      <c r="S2" s="104"/>
    </row>
    <row r="3" spans="2:19" ht="19.5" thickBot="1" x14ac:dyDescent="0.35">
      <c r="E3" s="13" t="s">
        <v>15</v>
      </c>
      <c r="F3" s="11"/>
      <c r="G3" s="11"/>
      <c r="H3" s="12"/>
      <c r="J3" s="17"/>
      <c r="L3" s="105"/>
      <c r="M3" s="106" t="s">
        <v>1273</v>
      </c>
      <c r="N3" s="107"/>
      <c r="O3" s="107"/>
      <c r="P3" s="107"/>
      <c r="Q3" s="107"/>
      <c r="R3" s="107"/>
      <c r="S3" s="108"/>
    </row>
    <row r="4" spans="2:19" x14ac:dyDescent="0.25">
      <c r="E4" s="10"/>
      <c r="F4" s="54" t="s">
        <v>13</v>
      </c>
      <c r="G4" s="55">
        <f>COUNTIF(H34:H118,"=ok")</f>
        <v>63</v>
      </c>
      <c r="H4" s="12"/>
      <c r="L4" s="105"/>
      <c r="M4" s="107"/>
      <c r="N4" s="107"/>
      <c r="O4" s="107"/>
      <c r="P4" s="107"/>
      <c r="Q4" s="107"/>
      <c r="R4" s="107"/>
      <c r="S4" s="108"/>
    </row>
    <row r="5" spans="2:19" x14ac:dyDescent="0.25">
      <c r="E5" s="10"/>
      <c r="F5" s="56" t="s">
        <v>14</v>
      </c>
      <c r="G5" s="57">
        <f>COUNTIF(H34:H118,"=Not ok")</f>
        <v>0</v>
      </c>
      <c r="H5" s="12"/>
      <c r="L5" s="105"/>
      <c r="M5" s="107" t="s">
        <v>1284</v>
      </c>
      <c r="N5" s="107"/>
      <c r="O5" s="107"/>
      <c r="P5" s="107"/>
      <c r="Q5" s="107"/>
      <c r="R5" s="107" t="s">
        <v>115</v>
      </c>
      <c r="S5" s="108"/>
    </row>
    <row r="6" spans="2:19" x14ac:dyDescent="0.25">
      <c r="E6" s="10"/>
      <c r="F6" s="56" t="s">
        <v>1316</v>
      </c>
      <c r="G6" s="57">
        <f>COUNTIF(J34:J118,"=--")</f>
        <v>0</v>
      </c>
      <c r="H6" s="12"/>
      <c r="L6" s="105"/>
      <c r="M6" s="107" t="s">
        <v>1300</v>
      </c>
      <c r="N6" s="107"/>
      <c r="O6" s="107"/>
      <c r="P6" s="107"/>
      <c r="Q6" s="107"/>
      <c r="R6" s="107" t="s">
        <v>115</v>
      </c>
      <c r="S6" s="108"/>
    </row>
    <row r="7" spans="2:19" ht="15.75" thickBot="1" x14ac:dyDescent="0.3">
      <c r="E7" s="10"/>
      <c r="F7" s="59" t="s">
        <v>1302</v>
      </c>
      <c r="G7" s="124">
        <f>IF(G4+G5+G6&gt;0,ROUNDDOWN(((5*G4)/(G4+G5+G6))+1,1),"Not defined")</f>
        <v>6</v>
      </c>
      <c r="H7" s="12"/>
      <c r="L7" s="105"/>
      <c r="M7" s="107" t="s">
        <v>1301</v>
      </c>
      <c r="N7" s="107"/>
      <c r="O7" s="107"/>
      <c r="P7" s="107"/>
      <c r="Q7" s="107"/>
      <c r="R7" s="107" t="s">
        <v>115</v>
      </c>
      <c r="S7" s="108"/>
    </row>
    <row r="8" spans="2:19" x14ac:dyDescent="0.25">
      <c r="E8" s="10"/>
      <c r="F8" s="11"/>
      <c r="G8" s="11"/>
      <c r="H8" s="12"/>
      <c r="L8" s="105"/>
      <c r="M8" s="107" t="s">
        <v>1303</v>
      </c>
      <c r="N8" s="107"/>
      <c r="O8" s="107"/>
      <c r="P8" s="107"/>
      <c r="Q8" s="107"/>
      <c r="R8" s="107" t="s">
        <v>115</v>
      </c>
      <c r="S8" s="108"/>
    </row>
    <row r="9" spans="2:19" x14ac:dyDescent="0.25">
      <c r="E9" s="10"/>
      <c r="F9" s="11"/>
      <c r="G9" s="11"/>
      <c r="H9" s="12"/>
      <c r="L9" s="105"/>
      <c r="M9" s="107" t="s">
        <v>1304</v>
      </c>
      <c r="N9" s="107"/>
      <c r="O9" s="107"/>
      <c r="P9" s="107"/>
      <c r="Q9" s="107"/>
      <c r="R9" s="107" t="s">
        <v>115</v>
      </c>
      <c r="S9" s="108"/>
    </row>
    <row r="10" spans="2:19" x14ac:dyDescent="0.25">
      <c r="E10" s="10"/>
      <c r="F10" s="11"/>
      <c r="G10" s="11"/>
      <c r="H10" s="12"/>
      <c r="L10" s="105"/>
      <c r="M10" s="107" t="s">
        <v>1305</v>
      </c>
      <c r="N10" s="107"/>
      <c r="O10" s="107"/>
      <c r="P10" s="107"/>
      <c r="Q10" s="107"/>
      <c r="R10" s="107" t="s">
        <v>115</v>
      </c>
      <c r="S10" s="108"/>
    </row>
    <row r="11" spans="2:19" ht="15.75" thickBot="1" x14ac:dyDescent="0.3">
      <c r="E11" s="14"/>
      <c r="F11" s="15"/>
      <c r="G11" s="15"/>
      <c r="H11" s="16"/>
      <c r="L11" s="105"/>
      <c r="M11" s="107" t="s">
        <v>1307</v>
      </c>
      <c r="N11" s="107"/>
      <c r="O11" s="107"/>
      <c r="P11" s="107"/>
      <c r="Q11" s="107"/>
      <c r="R11" s="107" t="s">
        <v>115</v>
      </c>
      <c r="S11" s="108"/>
    </row>
    <row r="12" spans="2:19" x14ac:dyDescent="0.25">
      <c r="E12" s="44"/>
      <c r="F12" s="44"/>
      <c r="G12" s="44"/>
      <c r="H12" s="44"/>
      <c r="L12" s="105"/>
      <c r="M12" s="107" t="s">
        <v>1306</v>
      </c>
      <c r="N12" s="107"/>
      <c r="O12" s="107"/>
      <c r="P12" s="107"/>
      <c r="Q12" s="107"/>
      <c r="R12" s="107" t="s">
        <v>115</v>
      </c>
      <c r="S12" s="108"/>
    </row>
    <row r="13" spans="2:19" x14ac:dyDescent="0.25">
      <c r="E13" s="44"/>
      <c r="F13" s="44"/>
      <c r="G13" s="44"/>
      <c r="H13" s="44"/>
      <c r="L13" s="105"/>
      <c r="M13" s="107" t="s">
        <v>1308</v>
      </c>
      <c r="N13" s="107"/>
      <c r="O13" s="107"/>
      <c r="P13" s="107"/>
      <c r="Q13" s="107"/>
      <c r="R13" s="107" t="s">
        <v>115</v>
      </c>
      <c r="S13" s="108"/>
    </row>
    <row r="14" spans="2:19" ht="15.75" thickBot="1" x14ac:dyDescent="0.3">
      <c r="E14" s="44"/>
      <c r="F14" s="44"/>
      <c r="G14" s="44"/>
      <c r="H14" s="44"/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2:19" ht="21.75" thickBot="1" x14ac:dyDescent="0.4">
      <c r="E15" s="44"/>
      <c r="F15" s="44"/>
      <c r="G15" s="44"/>
      <c r="H15" s="44"/>
      <c r="L15" s="105"/>
      <c r="M15" s="121"/>
      <c r="N15" s="107"/>
      <c r="O15" s="122" t="s">
        <v>1309</v>
      </c>
      <c r="P15" s="107"/>
      <c r="Q15" s="109" t="s">
        <v>1286</v>
      </c>
      <c r="R15" s="107">
        <f>COUNTIF(R5:R13,"=Ja")</f>
        <v>0</v>
      </c>
      <c r="S15" s="108"/>
    </row>
    <row r="16" spans="2:19" ht="21.75" thickBot="1" x14ac:dyDescent="0.4">
      <c r="E16" s="44"/>
      <c r="F16" s="44"/>
      <c r="G16" s="44"/>
      <c r="H16" s="44"/>
      <c r="L16" s="105"/>
      <c r="M16" s="107"/>
      <c r="N16" s="107"/>
      <c r="O16" s="123">
        <f>(G7-1.5) + (R16/4)</f>
        <v>4.75</v>
      </c>
      <c r="P16" s="107"/>
      <c r="Q16" s="115" t="s">
        <v>1302</v>
      </c>
      <c r="R16" s="116">
        <f>(5/R14)*R15+1</f>
        <v>1</v>
      </c>
      <c r="S16" s="108"/>
    </row>
    <row r="17" spans="5:19" x14ac:dyDescent="0.25">
      <c r="E17" s="44"/>
      <c r="F17" s="44"/>
      <c r="G17" s="44"/>
      <c r="H17" s="44"/>
      <c r="L17" s="105"/>
      <c r="M17" s="107"/>
      <c r="N17" s="107"/>
      <c r="O17" s="107"/>
      <c r="P17" s="107"/>
      <c r="Q17" s="107"/>
      <c r="R17" s="107"/>
      <c r="S17" s="108"/>
    </row>
    <row r="18" spans="5:19" ht="15.75" thickBot="1" x14ac:dyDescent="0.3">
      <c r="E18" s="44"/>
      <c r="F18" s="44"/>
      <c r="G18" s="44"/>
      <c r="H18" s="44"/>
      <c r="L18" s="110"/>
      <c r="M18" s="111"/>
      <c r="N18" s="111"/>
      <c r="O18" s="111"/>
      <c r="P18" s="111"/>
      <c r="Q18" s="111"/>
      <c r="R18" s="111"/>
      <c r="S18" s="112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4</v>
      </c>
      <c r="C34" s="2" t="s">
        <v>2</v>
      </c>
      <c r="D34" s="21" t="s">
        <v>19</v>
      </c>
      <c r="E34" s="21"/>
      <c r="F34" s="21"/>
      <c r="G34" s="19" t="s">
        <v>10</v>
      </c>
      <c r="H34" s="3" t="s">
        <v>5</v>
      </c>
      <c r="I34" s="3" t="s">
        <v>11</v>
      </c>
    </row>
    <row r="35" spans="2:10" x14ac:dyDescent="0.25">
      <c r="B35" s="4" t="s">
        <v>1464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1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6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7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4</v>
      </c>
      <c r="C40" s="2" t="s">
        <v>2</v>
      </c>
      <c r="D40" s="21" t="s">
        <v>19</v>
      </c>
      <c r="E40" s="21" t="s">
        <v>22</v>
      </c>
      <c r="F40" s="21" t="s">
        <v>244</v>
      </c>
      <c r="G40" s="19" t="s">
        <v>10</v>
      </c>
      <c r="H40" s="3" t="s">
        <v>5</v>
      </c>
    </row>
    <row r="41" spans="2:10" x14ac:dyDescent="0.25">
      <c r="B41" s="4" t="s">
        <v>1465</v>
      </c>
      <c r="C41" s="5" t="str">
        <f>HelloPerDu(D41,E41,F41)</f>
        <v>Hallo Otto,</v>
      </c>
      <c r="D41" s="22" t="s">
        <v>9</v>
      </c>
      <c r="E41" s="22" t="s">
        <v>8</v>
      </c>
      <c r="F41" s="22" t="b">
        <v>1</v>
      </c>
      <c r="G41" s="18" t="s">
        <v>1311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1310</v>
      </c>
      <c r="E42" s="22" t="s">
        <v>1011</v>
      </c>
      <c r="F42" s="22" t="b">
        <v>0</v>
      </c>
      <c r="G42" s="18" t="s">
        <v>1312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223</v>
      </c>
      <c r="E43" s="22"/>
      <c r="F43" s="22" t="b">
        <v>1</v>
      </c>
      <c r="G43" s="18" t="s">
        <v>1313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1313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324</v>
      </c>
      <c r="F45" s="22" t="b">
        <v>0</v>
      </c>
      <c r="G45" s="18" t="s">
        <v>1313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4</v>
      </c>
      <c r="C47" s="2" t="s">
        <v>2</v>
      </c>
      <c r="D47" s="21" t="s">
        <v>1314</v>
      </c>
      <c r="E47" s="21" t="s">
        <v>1315</v>
      </c>
      <c r="F47" s="21"/>
      <c r="G47" s="19" t="s">
        <v>10</v>
      </c>
      <c r="H47" s="3" t="s">
        <v>5</v>
      </c>
    </row>
    <row r="48" spans="2:10" x14ac:dyDescent="0.25">
      <c r="B48" s="4" t="s">
        <v>1466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0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4</v>
      </c>
      <c r="C56" s="2" t="s">
        <v>2</v>
      </c>
      <c r="D56" s="21" t="s">
        <v>1319</v>
      </c>
      <c r="E56" s="21"/>
      <c r="F56" s="21"/>
      <c r="G56" s="19" t="s">
        <v>10</v>
      </c>
      <c r="H56" s="3" t="s">
        <v>5</v>
      </c>
    </row>
    <row r="57" spans="2:10" x14ac:dyDescent="0.25">
      <c r="B57" s="4" t="s">
        <v>1318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2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7.4850000000000003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0</v>
      </c>
      <c r="D61" s="22">
        <v>-1</v>
      </c>
      <c r="E61" s="22"/>
      <c r="F61" s="22"/>
      <c r="G61" s="18">
        <v>0</v>
      </c>
      <c r="H61" s="6" t="str">
        <f>IF(EqualsWithinTolerance(G61,C61),"ok","Not ok")</f>
        <v>ok</v>
      </c>
      <c r="J61">
        <f t="shared" si="13"/>
        <v>0</v>
      </c>
    </row>
    <row r="62" spans="2:10" x14ac:dyDescent="0.25">
      <c r="B62" s="4"/>
      <c r="C62" s="5">
        <f t="shared" si="14"/>
        <v>0</v>
      </c>
      <c r="D62" s="22">
        <v>0</v>
      </c>
      <c r="E62" s="22"/>
      <c r="F62" s="22"/>
      <c r="G62" s="18">
        <v>0</v>
      </c>
      <c r="H62" s="6" t="str">
        <f>IF(EqualsWithinTolerance(G62,C62),"ok","Not ok")</f>
        <v>ok</v>
      </c>
      <c r="J62">
        <f t="shared" si="13"/>
        <v>0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5.1769999999999996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4</v>
      </c>
      <c r="C66" s="2" t="s">
        <v>2</v>
      </c>
      <c r="D66" s="21" t="s">
        <v>20</v>
      </c>
      <c r="E66" s="21" t="s">
        <v>21</v>
      </c>
      <c r="F66" s="21"/>
      <c r="G66" s="19" t="s">
        <v>10</v>
      </c>
      <c r="H66" s="3" t="s">
        <v>5</v>
      </c>
      <c r="I66" s="3" t="s">
        <v>11</v>
      </c>
    </row>
    <row r="67" spans="2:10" x14ac:dyDescent="0.25">
      <c r="B67" s="4" t="s">
        <v>1467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1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ref="C72:C73" si="18">GetCylinderVolume(D72,E72)</f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8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4</v>
      </c>
      <c r="C75" s="2" t="s">
        <v>2</v>
      </c>
      <c r="D75" s="21" t="s">
        <v>22</v>
      </c>
      <c r="E75" s="21" t="s">
        <v>23</v>
      </c>
      <c r="F75" s="21"/>
      <c r="G75" s="19" t="s">
        <v>10</v>
      </c>
      <c r="H75" s="3" t="s">
        <v>5</v>
      </c>
      <c r="I75" s="3" t="s">
        <v>11</v>
      </c>
    </row>
    <row r="76" spans="2:10" x14ac:dyDescent="0.25">
      <c r="B76" s="4" t="s">
        <v>17</v>
      </c>
      <c r="C76" s="5" t="str">
        <f>GetAnrede(D76,E76)</f>
        <v>O. Schlosser</v>
      </c>
      <c r="D76" s="22" t="s">
        <v>8</v>
      </c>
      <c r="E76" s="22" t="s">
        <v>9</v>
      </c>
      <c r="F76" s="22"/>
      <c r="G76" s="18" t="s">
        <v>12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9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92</v>
      </c>
      <c r="E77" s="22" t="s">
        <v>96</v>
      </c>
      <c r="F77" s="22"/>
      <c r="G77" s="18" t="s">
        <v>98</v>
      </c>
      <c r="H77" s="6" t="str">
        <f t="shared" ref="H77:H79" si="20">IF(EXACT(G77,C77),"ok","Not ok")</f>
        <v>ok</v>
      </c>
      <c r="I77" s="4" t="b">
        <f>IF(C77=L_GetAnrede(D77,E77),TRUE,FALSE)</f>
        <v>1</v>
      </c>
      <c r="J77" t="str">
        <f t="shared" si="19"/>
        <v>S. Goeldin</v>
      </c>
    </row>
    <row r="78" spans="2:10" x14ac:dyDescent="0.25">
      <c r="B78" s="4"/>
      <c r="C78" s="5" t="str">
        <f t="shared" ref="C78:C79" si="21">GetAnrede(D78,E78)</f>
        <v>M. Landolt</v>
      </c>
      <c r="D78" s="22" t="s">
        <v>97</v>
      </c>
      <c r="E78" s="22" t="s">
        <v>93</v>
      </c>
      <c r="F78" s="22"/>
      <c r="G78" s="18" t="s">
        <v>99</v>
      </c>
      <c r="H78" s="6" t="str">
        <f t="shared" si="20"/>
        <v>ok</v>
      </c>
      <c r="I78" s="4" t="b">
        <f>IF(C78=L_GetAnrede(D78,E78),TRUE,FALSE)</f>
        <v>1</v>
      </c>
      <c r="J78" t="str">
        <f t="shared" si="19"/>
        <v>M. Landolt</v>
      </c>
    </row>
    <row r="79" spans="2:10" x14ac:dyDescent="0.25">
      <c r="B79" s="4"/>
      <c r="C79" s="5" t="str">
        <f t="shared" si="21"/>
        <v>F. Loretan</v>
      </c>
      <c r="D79" s="22" t="s">
        <v>95</v>
      </c>
      <c r="E79" s="22" t="s">
        <v>94</v>
      </c>
      <c r="F79" s="22"/>
      <c r="G79" s="18" t="s">
        <v>100</v>
      </c>
      <c r="H79" s="6" t="str">
        <f t="shared" si="20"/>
        <v>ok</v>
      </c>
      <c r="I79" s="4" t="b">
        <f>IF(C79=L_GetAnrede(D79,E79),TRUE,FALSE)</f>
        <v>1</v>
      </c>
      <c r="J79" t="str">
        <f t="shared" si="19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4</v>
      </c>
      <c r="C81" s="2" t="s">
        <v>2</v>
      </c>
      <c r="D81" s="21" t="s">
        <v>24</v>
      </c>
      <c r="E81" s="21" t="s">
        <v>25</v>
      </c>
      <c r="F81" s="21"/>
      <c r="G81" s="19" t="s">
        <v>10</v>
      </c>
      <c r="H81" s="3" t="s">
        <v>5</v>
      </c>
      <c r="I81" s="3" t="s">
        <v>11</v>
      </c>
    </row>
    <row r="82" spans="2:10" x14ac:dyDescent="0.25">
      <c r="B82" s="4" t="s">
        <v>18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2">IF(G82=C82,"ok","Not ok")</f>
        <v>ok</v>
      </c>
      <c r="I82" s="4" t="b">
        <f>IF(C82=L_AddFigureRange(D82,E82),TRUE,FALSE)</f>
        <v>1</v>
      </c>
      <c r="J82">
        <f t="shared" ref="J82:J88" si="23">IFERROR(C82,"--")</f>
        <v>5050</v>
      </c>
    </row>
    <row r="83" spans="2:10" x14ac:dyDescent="0.25">
      <c r="B83" s="4"/>
      <c r="C83" s="5">
        <f t="shared" ref="C83:C88" si="24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2"/>
        <v>ok</v>
      </c>
      <c r="I83" s="4" t="b">
        <f>IF(C83=L_AddFigureRange(D83,E83),TRUE,FALSE)</f>
        <v>1</v>
      </c>
      <c r="J83">
        <f t="shared" si="23"/>
        <v>3825</v>
      </c>
    </row>
    <row r="84" spans="2:10" x14ac:dyDescent="0.25">
      <c r="B84" s="4"/>
      <c r="C84" s="5">
        <f t="shared" si="24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2"/>
        <v>ok</v>
      </c>
      <c r="I84" s="4" t="b">
        <f>IF(C84=L_AddFigureRange(D84,E84),TRUE,FALSE)</f>
        <v>1</v>
      </c>
      <c r="J84">
        <f t="shared" si="23"/>
        <v>1275</v>
      </c>
    </row>
    <row r="85" spans="2:10" x14ac:dyDescent="0.25">
      <c r="B85" s="4"/>
      <c r="C85" s="5">
        <f t="shared" si="24"/>
        <v>22</v>
      </c>
      <c r="D85" s="22">
        <v>4</v>
      </c>
      <c r="E85" s="22">
        <v>7</v>
      </c>
      <c r="F85" s="22"/>
      <c r="G85" s="18">
        <v>22</v>
      </c>
      <c r="H85" s="6" t="str">
        <f t="shared" si="22"/>
        <v>ok</v>
      </c>
      <c r="I85" s="4" t="b">
        <f>IF(C85=L_AddFigureRange(D85,E85),TRUE,FALSE)</f>
        <v>1</v>
      </c>
      <c r="J85">
        <f t="shared" si="23"/>
        <v>22</v>
      </c>
    </row>
    <row r="86" spans="2:10" x14ac:dyDescent="0.25">
      <c r="B86" s="4"/>
      <c r="C86" s="5">
        <f t="shared" si="24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2"/>
        <v>ok</v>
      </c>
      <c r="I86" s="4" t="b">
        <f>IF(C86=L_AddFigureRange(D86,E86),TRUE,FALSE)</f>
        <v>1</v>
      </c>
      <c r="J86">
        <f t="shared" si="23"/>
        <v>5049</v>
      </c>
    </row>
    <row r="87" spans="2:10" x14ac:dyDescent="0.25">
      <c r="B87" s="4"/>
      <c r="C87" s="5">
        <f t="shared" si="24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2"/>
        <v>ok</v>
      </c>
      <c r="I87" s="4" t="b">
        <f>IF(C87=L_AddFigureRange(D87,E87),TRUE,FALSE)</f>
        <v>1</v>
      </c>
      <c r="J87">
        <f t="shared" si="23"/>
        <v>5050</v>
      </c>
    </row>
    <row r="88" spans="2:10" x14ac:dyDescent="0.25">
      <c r="B88" s="4"/>
      <c r="C88" s="5">
        <f t="shared" si="24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2"/>
        <v>ok</v>
      </c>
      <c r="I88" s="4" t="b">
        <f>IF(C88=L_AddFigureRange(D88,E88),TRUE,FALSE)</f>
        <v>1</v>
      </c>
      <c r="J88">
        <f t="shared" si="23"/>
        <v>0</v>
      </c>
    </row>
    <row r="90" spans="2:10" x14ac:dyDescent="0.25">
      <c r="B90" s="2" t="s">
        <v>4</v>
      </c>
      <c r="C90" s="2" t="s">
        <v>2</v>
      </c>
      <c r="D90" s="21" t="s">
        <v>24</v>
      </c>
      <c r="E90" s="21" t="s">
        <v>25</v>
      </c>
      <c r="F90" s="21" t="s">
        <v>3</v>
      </c>
      <c r="G90" s="19" t="s">
        <v>10</v>
      </c>
      <c r="H90" s="3" t="s">
        <v>5</v>
      </c>
    </row>
    <row r="91" spans="2:10" x14ac:dyDescent="0.25">
      <c r="B91" s="4" t="s">
        <v>26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7" si="25">IF(G91=C91,"ok","Not ok")</f>
        <v>ok</v>
      </c>
      <c r="J91">
        <f t="shared" ref="J91:J98" si="26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5"/>
        <v>ok</v>
      </c>
      <c r="J92">
        <f t="shared" si="26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5"/>
        <v>ok</v>
      </c>
      <c r="J93">
        <f t="shared" si="26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5"/>
        <v>ok</v>
      </c>
      <c r="J94">
        <f t="shared" si="26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5"/>
        <v>ok</v>
      </c>
      <c r="J95">
        <f t="shared" si="26"/>
        <v>0</v>
      </c>
    </row>
    <row r="96" spans="2:10" x14ac:dyDescent="0.25">
      <c r="B96" s="4"/>
      <c r="C96" s="5">
        <f t="shared" ref="C96:C97" si="27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5"/>
        <v>ok</v>
      </c>
      <c r="J96">
        <f t="shared" si="26"/>
        <v>0</v>
      </c>
    </row>
    <row r="97" spans="2:10" x14ac:dyDescent="0.25">
      <c r="B97" s="4"/>
      <c r="C97" s="5">
        <f t="shared" si="27"/>
        <v>20</v>
      </c>
      <c r="D97" s="22">
        <v>4</v>
      </c>
      <c r="E97" s="22">
        <v>5</v>
      </c>
      <c r="F97" s="22"/>
      <c r="G97" s="18">
        <v>20</v>
      </c>
      <c r="H97" s="6" t="str">
        <f t="shared" si="25"/>
        <v>ok</v>
      </c>
      <c r="J97">
        <f t="shared" si="26"/>
        <v>20</v>
      </c>
    </row>
    <row r="98" spans="2:10" x14ac:dyDescent="0.25">
      <c r="B98" s="4"/>
      <c r="C98" s="5">
        <f t="shared" ref="C98" si="28">MulFigureRange(D98,E98)</f>
        <v>1</v>
      </c>
      <c r="D98" s="22">
        <v>5</v>
      </c>
      <c r="E98" s="22">
        <v>4</v>
      </c>
      <c r="F98" s="22"/>
      <c r="G98" s="18">
        <v>1</v>
      </c>
      <c r="H98" s="6" t="str">
        <f t="shared" ref="H98" si="29">IF(G98=C98,"ok","Not ok")</f>
        <v>ok</v>
      </c>
      <c r="J98">
        <f t="shared" si="26"/>
        <v>1</v>
      </c>
    </row>
    <row r="100" spans="2:10" x14ac:dyDescent="0.25">
      <c r="B100" s="2" t="s">
        <v>4</v>
      </c>
      <c r="C100" s="2" t="s">
        <v>2</v>
      </c>
      <c r="D100" s="21" t="s">
        <v>27</v>
      </c>
      <c r="E100" s="21" t="s">
        <v>28</v>
      </c>
      <c r="F100" s="21" t="s">
        <v>29</v>
      </c>
      <c r="G100" s="19" t="s">
        <v>10</v>
      </c>
      <c r="H100" s="3" t="s">
        <v>5</v>
      </c>
    </row>
    <row r="101" spans="2:10" x14ac:dyDescent="0.25">
      <c r="B101" s="4" t="s">
        <v>30</v>
      </c>
      <c r="C101" s="29" t="str">
        <f>GetOrtsAnschrift(D101,E101,F101)</f>
        <v>CH-8855 &lt;U&gt;Wangen&lt;/U&gt;</v>
      </c>
      <c r="D101" s="22" t="s">
        <v>31</v>
      </c>
      <c r="E101" s="22">
        <v>8855</v>
      </c>
      <c r="F101" s="22" t="s">
        <v>32</v>
      </c>
      <c r="G101" s="18" t="s">
        <v>41</v>
      </c>
      <c r="H101" s="6" t="str">
        <f t="shared" ref="H101:H103" si="30">IF(G101=C101,"ok","Not ok")</f>
        <v>ok</v>
      </c>
      <c r="J101" t="str">
        <f t="shared" ref="J101:J103" si="31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33</v>
      </c>
      <c r="E102" s="22">
        <v>69115</v>
      </c>
      <c r="F102" s="22" t="s">
        <v>34</v>
      </c>
      <c r="G102" s="18" t="s">
        <v>42</v>
      </c>
      <c r="H102" s="6" t="str">
        <f t="shared" si="30"/>
        <v>ok</v>
      </c>
      <c r="J102" t="str">
        <f t="shared" si="31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35</v>
      </c>
      <c r="E103" s="22">
        <v>75000</v>
      </c>
      <c r="F103" s="22" t="s">
        <v>36</v>
      </c>
      <c r="G103" s="18" t="s">
        <v>43</v>
      </c>
      <c r="H103" s="6" t="str">
        <f t="shared" si="30"/>
        <v>ok</v>
      </c>
      <c r="J103" t="str">
        <f t="shared" si="31"/>
        <v>FR-75000 &lt;U&gt;Paris&lt;/U&gt;</v>
      </c>
    </row>
    <row r="105" spans="2:10" x14ac:dyDescent="0.25">
      <c r="B105" s="2" t="s">
        <v>4</v>
      </c>
      <c r="C105" s="2" t="s">
        <v>2</v>
      </c>
      <c r="D105" s="21" t="s">
        <v>81</v>
      </c>
      <c r="E105" s="21"/>
      <c r="F105" s="21"/>
      <c r="G105" s="19" t="s">
        <v>10</v>
      </c>
      <c r="H105" s="3" t="s">
        <v>5</v>
      </c>
    </row>
    <row r="106" spans="2:10" x14ac:dyDescent="0.25">
      <c r="B106" s="4" t="s">
        <v>84</v>
      </c>
      <c r="C106" s="29" t="str">
        <f>MyProper(D106)</f>
        <v>Otto Schlosser</v>
      </c>
      <c r="D106" s="22" t="s">
        <v>82</v>
      </c>
      <c r="E106" s="22"/>
      <c r="F106" s="22"/>
      <c r="G106" s="18" t="s">
        <v>83</v>
      </c>
      <c r="H106" s="6" t="str">
        <f t="shared" ref="H106:H108" si="32">IF(G106=C106,"ok","Not ok")</f>
        <v>ok</v>
      </c>
      <c r="J106" t="str">
        <f t="shared" ref="J106:J110" si="33">IFERROR(C106,"--")</f>
        <v>Otto Schlosser</v>
      </c>
    </row>
    <row r="107" spans="2:10" x14ac:dyDescent="0.25">
      <c r="B107" s="4"/>
      <c r="C107" s="29" t="str">
        <f t="shared" ref="C107:C109" si="34">MyProper(D107)</f>
        <v>Otto Schlosser</v>
      </c>
      <c r="D107" s="22" t="s">
        <v>85</v>
      </c>
      <c r="E107" s="22"/>
      <c r="F107" s="22"/>
      <c r="G107" s="18" t="s">
        <v>83</v>
      </c>
      <c r="H107" s="6" t="str">
        <f t="shared" si="32"/>
        <v>ok</v>
      </c>
      <c r="J107" t="str">
        <f t="shared" si="33"/>
        <v>Otto Schlosser</v>
      </c>
    </row>
    <row r="108" spans="2:10" x14ac:dyDescent="0.25">
      <c r="B108" s="4"/>
      <c r="C108" s="29" t="str">
        <f t="shared" si="34"/>
        <v>Otto Schlosser</v>
      </c>
      <c r="D108" s="22" t="s">
        <v>86</v>
      </c>
      <c r="E108" s="22"/>
      <c r="F108" s="22"/>
      <c r="G108" s="18" t="s">
        <v>83</v>
      </c>
      <c r="H108" s="6" t="str">
        <f t="shared" si="32"/>
        <v>ok</v>
      </c>
      <c r="J108" t="str">
        <f t="shared" si="33"/>
        <v>Otto Schlosser</v>
      </c>
    </row>
    <row r="109" spans="2:10" x14ac:dyDescent="0.25">
      <c r="B109" s="4"/>
      <c r="C109" s="29" t="str">
        <f t="shared" si="34"/>
        <v>Otto Schlosser</v>
      </c>
      <c r="D109" s="22" t="s">
        <v>83</v>
      </c>
      <c r="E109" s="22"/>
      <c r="F109" s="22"/>
      <c r="G109" s="18" t="s">
        <v>83</v>
      </c>
      <c r="H109" s="6" t="str">
        <f t="shared" ref="H109:H110" si="35">IF(G109=C109,"ok","Not ok")</f>
        <v>ok</v>
      </c>
      <c r="J109" t="str">
        <f t="shared" si="33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87</v>
      </c>
      <c r="E110" s="22"/>
      <c r="F110" s="22"/>
      <c r="G110" s="18" t="s">
        <v>88</v>
      </c>
      <c r="H110" s="6" t="str">
        <f t="shared" si="35"/>
        <v>ok</v>
      </c>
      <c r="J110" t="str">
        <f t="shared" si="33"/>
        <v>Otto Schlosser Uster</v>
      </c>
    </row>
    <row r="112" spans="2:10" x14ac:dyDescent="0.25">
      <c r="B112" s="2" t="s">
        <v>4</v>
      </c>
      <c r="C112" s="2" t="s">
        <v>2</v>
      </c>
      <c r="D112" s="21" t="s">
        <v>90</v>
      </c>
      <c r="E112" s="21" t="s">
        <v>91</v>
      </c>
      <c r="F112" s="21" t="s">
        <v>89</v>
      </c>
      <c r="G112" s="19" t="s">
        <v>10</v>
      </c>
      <c r="H112" s="3" t="s">
        <v>5</v>
      </c>
    </row>
    <row r="113" spans="2:10" x14ac:dyDescent="0.25">
      <c r="B113" s="4" t="s">
        <v>104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7" si="36">IF(G113=C113,"ok","Not ok")</f>
        <v>ok</v>
      </c>
      <c r="J113" t="b">
        <f t="shared" ref="J113:J118" si="37">IFERROR(C113,"--")</f>
        <v>1</v>
      </c>
    </row>
    <row r="114" spans="2:10" x14ac:dyDescent="0.25">
      <c r="B114" s="4"/>
      <c r="C114" s="29" t="b">
        <f t="shared" ref="C114:C117" si="38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6"/>
        <v>ok</v>
      </c>
      <c r="J114" t="b">
        <f t="shared" si="37"/>
        <v>0</v>
      </c>
    </row>
    <row r="115" spans="2:10" x14ac:dyDescent="0.25">
      <c r="B115" s="4"/>
      <c r="C115" s="29" t="b">
        <f t="shared" si="38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6"/>
        <v>ok</v>
      </c>
      <c r="J115" t="b">
        <f t="shared" si="37"/>
        <v>1</v>
      </c>
    </row>
    <row r="116" spans="2:10" x14ac:dyDescent="0.25">
      <c r="B116" s="4"/>
      <c r="C116" s="29" t="b">
        <f t="shared" si="38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6"/>
        <v>ok</v>
      </c>
      <c r="J116" t="b">
        <f t="shared" si="37"/>
        <v>0</v>
      </c>
    </row>
    <row r="117" spans="2:10" x14ac:dyDescent="0.25">
      <c r="B117" s="4"/>
      <c r="C117" s="29" t="b">
        <f t="shared" si="38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6"/>
        <v>ok</v>
      </c>
      <c r="J117" t="b">
        <f t="shared" si="37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ref="H118" si="39">IF(G118=C118,"ok","Not ok")</f>
        <v>ok</v>
      </c>
      <c r="J118" t="b">
        <f t="shared" si="37"/>
        <v>0</v>
      </c>
    </row>
  </sheetData>
  <conditionalFormatting sqref="H35:H38">
    <cfRule type="cellIs" dxfId="36" priority="47" operator="equal">
      <formula>"Not ok"</formula>
    </cfRule>
    <cfRule type="cellIs" dxfId="35" priority="48" operator="equal">
      <formula>"ok"</formula>
    </cfRule>
  </conditionalFormatting>
  <conditionalFormatting sqref="H67:H73">
    <cfRule type="cellIs" dxfId="34" priority="45" operator="equal">
      <formula>"Not ok"</formula>
    </cfRule>
    <cfRule type="cellIs" dxfId="33" priority="46" operator="equal">
      <formula>"ok"</formula>
    </cfRule>
  </conditionalFormatting>
  <conditionalFormatting sqref="H76:H79">
    <cfRule type="cellIs" dxfId="32" priority="43" operator="equal">
      <formula>"Not ok"</formula>
    </cfRule>
    <cfRule type="cellIs" dxfId="31" priority="44" operator="equal">
      <formula>"ok"</formula>
    </cfRule>
  </conditionalFormatting>
  <conditionalFormatting sqref="H82:H88">
    <cfRule type="cellIs" dxfId="30" priority="41" operator="equal">
      <formula>"Not ok"</formula>
    </cfRule>
    <cfRule type="cellIs" dxfId="29" priority="42" operator="equal">
      <formula>"ok"</formula>
    </cfRule>
  </conditionalFormatting>
  <conditionalFormatting sqref="H91:H97">
    <cfRule type="cellIs" dxfId="28" priority="32" operator="equal">
      <formula>"Not ok"</formula>
    </cfRule>
    <cfRule type="cellIs" dxfId="27" priority="33" operator="equal">
      <formula>"ok"</formula>
    </cfRule>
  </conditionalFormatting>
  <conditionalFormatting sqref="H98">
    <cfRule type="cellIs" dxfId="26" priority="28" operator="equal">
      <formula>"Not ok"</formula>
    </cfRule>
    <cfRule type="cellIs" dxfId="25" priority="29" operator="equal">
      <formula>"ok"</formula>
    </cfRule>
  </conditionalFormatting>
  <conditionalFormatting sqref="H101:H103">
    <cfRule type="cellIs" dxfId="24" priority="26" operator="equal">
      <formula>"Not ok"</formula>
    </cfRule>
    <cfRule type="cellIs" dxfId="23" priority="27" operator="equal">
      <formula>"ok"</formula>
    </cfRule>
  </conditionalFormatting>
  <conditionalFormatting sqref="H106:H108">
    <cfRule type="cellIs" dxfId="22" priority="22" operator="equal">
      <formula>"Not ok"</formula>
    </cfRule>
    <cfRule type="cellIs" dxfId="21" priority="23" operator="equal">
      <formula>"ok"</formula>
    </cfRule>
  </conditionalFormatting>
  <conditionalFormatting sqref="H109:H110">
    <cfRule type="cellIs" dxfId="20" priority="20" operator="equal">
      <formula>"Not ok"</formula>
    </cfRule>
    <cfRule type="cellIs" dxfId="19" priority="21" operator="equal">
      <formula>"ok"</formula>
    </cfRule>
  </conditionalFormatting>
  <conditionalFormatting sqref="H113:H115">
    <cfRule type="cellIs" dxfId="18" priority="18" operator="equal">
      <formula>"Not ok"</formula>
    </cfRule>
    <cfRule type="cellIs" dxfId="17" priority="19" operator="equal">
      <formula>"ok"</formula>
    </cfRule>
  </conditionalFormatting>
  <conditionalFormatting sqref="H116:H117">
    <cfRule type="cellIs" dxfId="16" priority="16" operator="equal">
      <formula>"Not ok"</formula>
    </cfRule>
    <cfRule type="cellIs" dxfId="15" priority="17" operator="equal">
      <formula>"ok"</formula>
    </cfRule>
  </conditionalFormatting>
  <conditionalFormatting sqref="H118">
    <cfRule type="cellIs" dxfId="14" priority="14" operator="equal">
      <formula>"Not ok"</formula>
    </cfRule>
    <cfRule type="cellIs" dxfId="13" priority="1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41:H45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8:H54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7:H63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I27"/>
  <sheetViews>
    <sheetView workbookViewId="0">
      <selection activeCell="E39" sqref="E39"/>
    </sheetView>
  </sheetViews>
  <sheetFormatPr baseColWidth="10" defaultRowHeight="15" x14ac:dyDescent="0.25"/>
  <cols>
    <col min="3" max="3" width="30.5703125" customWidth="1"/>
    <col min="4" max="4" width="24.28515625" customWidth="1"/>
    <col min="5" max="6" width="33.28515625" customWidth="1"/>
    <col min="7" max="7" width="31.28515625" customWidth="1"/>
    <col min="8" max="8" width="33.85546875" customWidth="1"/>
  </cols>
  <sheetData>
    <row r="1" spans="1:8" x14ac:dyDescent="0.25">
      <c r="A1" s="17"/>
    </row>
    <row r="3" spans="1:8" ht="21" x14ac:dyDescent="0.35">
      <c r="C3" s="39" t="s">
        <v>80</v>
      </c>
    </row>
    <row r="6" spans="1:8" ht="15.75" thickBot="1" x14ac:dyDescent="0.3"/>
    <row r="7" spans="1:8" ht="15.75" thickBot="1" x14ac:dyDescent="0.3">
      <c r="C7" s="24" t="s">
        <v>37</v>
      </c>
      <c r="E7" s="24" t="s">
        <v>78</v>
      </c>
      <c r="F7" s="44"/>
      <c r="H7" s="24" t="s">
        <v>79</v>
      </c>
    </row>
    <row r="10" spans="1:8" ht="15.75" thickBot="1" x14ac:dyDescent="0.3"/>
    <row r="11" spans="1:8" ht="15.75" thickBot="1" x14ac:dyDescent="0.3">
      <c r="C11" s="30" t="s">
        <v>73</v>
      </c>
      <c r="D11" s="31" t="s">
        <v>74</v>
      </c>
      <c r="E11" s="31" t="s">
        <v>39</v>
      </c>
      <c r="F11" s="31" t="s">
        <v>102</v>
      </c>
      <c r="G11" s="31" t="s">
        <v>75</v>
      </c>
      <c r="H11" s="32" t="s">
        <v>76</v>
      </c>
    </row>
    <row r="12" spans="1:8" x14ac:dyDescent="0.25">
      <c r="C12" s="36" t="s">
        <v>67</v>
      </c>
      <c r="D12" s="37" t="s">
        <v>44</v>
      </c>
      <c r="E12" s="37"/>
      <c r="F12" s="37"/>
      <c r="G12" s="37">
        <f>LEN(C7)</f>
        <v>26</v>
      </c>
      <c r="H12" s="38"/>
    </row>
    <row r="13" spans="1:8" x14ac:dyDescent="0.25">
      <c r="C13" s="25" t="s">
        <v>46</v>
      </c>
      <c r="D13" s="4" t="s">
        <v>45</v>
      </c>
      <c r="E13" s="4"/>
      <c r="F13" s="4"/>
      <c r="G13" s="4" t="str">
        <f>LEFT(C7)</f>
        <v>B</v>
      </c>
      <c r="H13" s="26" t="str">
        <f>LEFT(C7,4)</f>
        <v>Beru</v>
      </c>
    </row>
    <row r="14" spans="1:8" x14ac:dyDescent="0.25">
      <c r="C14" s="25" t="s">
        <v>47</v>
      </c>
      <c r="D14" s="4" t="s">
        <v>48</v>
      </c>
      <c r="E14" s="4"/>
      <c r="F14" s="4"/>
      <c r="G14" s="4" t="str">
        <f>RIGHT(C7)</f>
        <v>r</v>
      </c>
      <c r="H14" s="26" t="str">
        <f>RIGHT(C7,4)</f>
        <v>ster</v>
      </c>
    </row>
    <row r="15" spans="1:8" x14ac:dyDescent="0.25">
      <c r="C15" s="25" t="s">
        <v>68</v>
      </c>
      <c r="D15" s="4" t="s">
        <v>69</v>
      </c>
      <c r="E15" s="4"/>
      <c r="F15" s="4"/>
      <c r="G15" s="4" t="str">
        <f>CONCATENATE(H13," ",H14)</f>
        <v>Beru ster</v>
      </c>
      <c r="H15" s="26" t="str">
        <f>H13 &amp; " " &amp; H14</f>
        <v>Beru ster</v>
      </c>
    </row>
    <row r="16" spans="1:8" x14ac:dyDescent="0.25">
      <c r="C16" s="25" t="s">
        <v>49</v>
      </c>
      <c r="D16" s="4" t="s">
        <v>50</v>
      </c>
      <c r="E16" s="4"/>
      <c r="F16" s="4"/>
      <c r="G16" s="4" t="str">
        <f>LOWER(C7)</f>
        <v>berufsschule ch-8610 uster</v>
      </c>
      <c r="H16" s="26"/>
    </row>
    <row r="17" spans="3:9" x14ac:dyDescent="0.25">
      <c r="C17" s="25" t="s">
        <v>51</v>
      </c>
      <c r="D17" s="4" t="s">
        <v>52</v>
      </c>
      <c r="E17" s="4"/>
      <c r="F17" s="4"/>
      <c r="G17" s="4" t="str">
        <f>UPPER(C7)</f>
        <v>BERUFSSCHULE CH-8610 USTER</v>
      </c>
      <c r="H17" s="26"/>
    </row>
    <row r="18" spans="3:9" ht="23.25" x14ac:dyDescent="0.25">
      <c r="C18" s="25" t="s">
        <v>53</v>
      </c>
      <c r="D18" s="4" t="s">
        <v>54</v>
      </c>
      <c r="E18" s="4"/>
      <c r="F18" s="45" t="s">
        <v>103</v>
      </c>
      <c r="G18" s="4" t="str">
        <f>PROPER(G16)</f>
        <v>Berufsschule Ch-8610 Uster</v>
      </c>
      <c r="H18" s="26" t="str">
        <f>PROPER(E7)</f>
        <v>Schule Ch-8610 :Wangen</v>
      </c>
    </row>
    <row r="19" spans="3:9" x14ac:dyDescent="0.25">
      <c r="C19" s="25" t="s">
        <v>55</v>
      </c>
      <c r="D19" s="4" t="s">
        <v>56</v>
      </c>
      <c r="E19" s="4"/>
      <c r="F19" s="4"/>
      <c r="G19" s="4" t="str">
        <f>MID(C7,14,7)</f>
        <v>CH-8610</v>
      </c>
      <c r="H19" s="26" t="str">
        <f>MID(E7,14,7)</f>
        <v>0 :Wang</v>
      </c>
    </row>
    <row r="20" spans="3:9" x14ac:dyDescent="0.25">
      <c r="C20" s="25" t="s">
        <v>57</v>
      </c>
      <c r="D20" s="4" t="s">
        <v>58</v>
      </c>
      <c r="E20" s="4" t="s">
        <v>38</v>
      </c>
      <c r="F20" s="4"/>
      <c r="G20" s="4">
        <f>FIND("CH-",C7)</f>
        <v>14</v>
      </c>
      <c r="H20" s="26" t="str">
        <f>MID(E7,FIND("ch-",E7)+3,4)</f>
        <v>8610</v>
      </c>
    </row>
    <row r="21" spans="3:9" x14ac:dyDescent="0.25">
      <c r="C21" s="25" t="s">
        <v>70</v>
      </c>
      <c r="D21" s="4" t="s">
        <v>71</v>
      </c>
      <c r="E21" s="4" t="s">
        <v>101</v>
      </c>
      <c r="F21" s="4"/>
      <c r="G21" s="4">
        <f>SEARCH("ch-",C7)</f>
        <v>14</v>
      </c>
      <c r="H21" s="26">
        <f>SEARCH("cH-",E7)</f>
        <v>8</v>
      </c>
    </row>
    <row r="22" spans="3:9" x14ac:dyDescent="0.25">
      <c r="C22" s="25" t="s">
        <v>59</v>
      </c>
      <c r="D22" s="4" t="s">
        <v>60</v>
      </c>
      <c r="E22" s="4" t="s">
        <v>77</v>
      </c>
      <c r="F22" s="4"/>
      <c r="G22" s="4" t="str">
        <f>REPLACE(C7,17,4,8855)</f>
        <v>Berufsschule CH-8855 Uster</v>
      </c>
      <c r="H22" s="26"/>
    </row>
    <row r="23" spans="3:9" x14ac:dyDescent="0.25">
      <c r="C23" s="25" t="s">
        <v>61</v>
      </c>
      <c r="D23" s="4" t="s">
        <v>62</v>
      </c>
      <c r="E23" s="4"/>
      <c r="F23" s="4"/>
      <c r="G23" s="4" t="str">
        <f>SUBSTITUTE(C7,8610,8855)</f>
        <v>Berufsschule CH-8855 Uster</v>
      </c>
      <c r="H23" s="26" t="str">
        <f>"--&gt;"&amp;H7&amp;"&lt;--"</f>
        <v>--&gt;      Schule ch-8610  Nuolen     &lt;--</v>
      </c>
    </row>
    <row r="24" spans="3:9" x14ac:dyDescent="0.25">
      <c r="C24" s="25" t="s">
        <v>64</v>
      </c>
      <c r="D24" s="4" t="s">
        <v>63</v>
      </c>
      <c r="E24" s="4"/>
      <c r="F24" s="4"/>
      <c r="G24" s="4" t="str">
        <f>TRIM(E7)</f>
        <v>Schule ch-8610 :Wangen</v>
      </c>
      <c r="H24" s="26" t="str">
        <f>"--&gt;"&amp;TRIM(H7)&amp;"&lt;--"</f>
        <v>--&gt;Schule ch-8610 Nuolen&lt;--</v>
      </c>
    </row>
    <row r="25" spans="3:9" x14ac:dyDescent="0.25">
      <c r="C25" s="25" t="s">
        <v>72</v>
      </c>
      <c r="D25" s="4" t="str">
        <f>CLEAN($B$6)</f>
        <v/>
      </c>
      <c r="E25" s="4" t="s">
        <v>40</v>
      </c>
      <c r="F25" s="4"/>
      <c r="G25" s="4"/>
      <c r="H25" s="26"/>
      <c r="I25" s="35" t="str">
        <f>CLEAN($B$6)</f>
        <v/>
      </c>
    </row>
    <row r="26" spans="3:9" ht="15.75" thickBot="1" x14ac:dyDescent="0.3">
      <c r="C26" s="33" t="s">
        <v>65</v>
      </c>
      <c r="D26" s="34" t="s">
        <v>66</v>
      </c>
      <c r="E26" s="27"/>
      <c r="F26" s="27"/>
      <c r="G26" s="27"/>
      <c r="H26" s="28" t="str">
        <f>REPT("-",3)</f>
        <v>---</v>
      </c>
      <c r="I26" s="35"/>
    </row>
    <row r="27" spans="3:9" x14ac:dyDescent="0.25">
      <c r="C27" s="35"/>
      <c r="D27" s="35"/>
      <c r="E27" s="35"/>
      <c r="F27" s="35"/>
      <c r="G27" s="35"/>
      <c r="H27" s="35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Aufgaben</vt:lpstr>
      <vt:lpstr>Datenaufbereitung</vt:lpstr>
      <vt:lpstr>Datenaufbereitung_L</vt:lpstr>
      <vt:lpstr>StringFormeln</vt:lpstr>
      <vt:lpstr>StringFormeln_L</vt:lpstr>
      <vt:lpstr>Potenzen</vt:lpstr>
      <vt:lpstr>Potenzen_L</vt:lpstr>
      <vt:lpstr>QuadratischeFunktion</vt:lpstr>
      <vt:lpstr>QuadratischeFunktion_L</vt:lpstr>
      <vt:lpstr>TXT_Daten</vt:lpstr>
      <vt:lpstr>TXT_Daten_L</vt:lpstr>
      <vt:lpstr>VBA_Programmierung</vt:lpstr>
      <vt:lpstr>VBA_Programmierung_L</vt:lpstr>
      <vt:lpstr>StringOpsFormeln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2020-10-22T10:49:55Z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