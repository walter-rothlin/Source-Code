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Landwirtschaft\Documents\SoruceCode\VBA\"/>
    </mc:Choice>
  </mc:AlternateContent>
  <xr:revisionPtr revIDLastSave="0" documentId="13_ncr:1_{E4BA38E0-D0C1-41FB-BD86-7687CF510501}" xr6:coauthVersionLast="47" xr6:coauthVersionMax="47" xr10:uidLastSave="{00000000-0000-0000-0000-000000000000}"/>
  <bookViews>
    <workbookView xWindow="-60" yWindow="-18120" windowWidth="29040" windowHeight="18240" xr2:uid="{00000000-000D-0000-FFFF-FFFF00000000}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Fourierreihe" sheetId="48" r:id="rId6"/>
    <sheet name="TXT_Daten" sheetId="43" r:id="rId7"/>
    <sheet name="VBA_Programmierung" sheetId="44" r:id="rId8"/>
  </sheets>
  <functionGroups builtInGroupCount="19"/>
  <definedNames>
    <definedName name="_xlnm._FilterDatabase" localSheetId="6" hidden="1">TXT_Daten!$A$22:$J$279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7" i="46" l="1"/>
  <c r="J30" i="2"/>
  <c r="H30" i="2"/>
  <c r="B30" i="2"/>
  <c r="C35" i="44" l="1"/>
  <c r="AE37" i="48"/>
  <c r="AE36" i="48"/>
  <c r="AE38" i="48" s="1"/>
  <c r="C16" i="48"/>
  <c r="C15" i="48"/>
  <c r="C14" i="48"/>
  <c r="G13" i="48"/>
  <c r="P37" i="46"/>
  <c r="P38" i="46"/>
  <c r="P39" i="46"/>
  <c r="P40" i="46"/>
  <c r="P41" i="46"/>
  <c r="P42" i="46"/>
  <c r="P43" i="46"/>
  <c r="P44" i="46"/>
  <c r="P45" i="46"/>
  <c r="P46" i="46"/>
  <c r="P47" i="46"/>
  <c r="P48" i="46"/>
  <c r="P49" i="46"/>
  <c r="P50" i="46"/>
  <c r="P51" i="46"/>
  <c r="P52" i="46"/>
  <c r="P53" i="46"/>
  <c r="P54" i="46"/>
  <c r="P55" i="46"/>
  <c r="P56" i="46"/>
  <c r="P57" i="46"/>
  <c r="P58" i="46"/>
  <c r="P59" i="46"/>
  <c r="P60" i="46"/>
  <c r="P61" i="46"/>
  <c r="P62" i="46"/>
  <c r="P63" i="46"/>
  <c r="E37" i="46"/>
  <c r="G16" i="48" l="1"/>
  <c r="G15" i="48"/>
  <c r="G14" i="48"/>
  <c r="E39" i="46"/>
  <c r="E40" i="46"/>
  <c r="E41" i="46"/>
  <c r="E42" i="46"/>
  <c r="E43" i="46"/>
  <c r="E44" i="46"/>
  <c r="E45" i="46"/>
  <c r="E46" i="46"/>
  <c r="E47" i="46"/>
  <c r="E48" i="46"/>
  <c r="E49" i="46"/>
  <c r="E50" i="46"/>
  <c r="E51" i="46"/>
  <c r="E52" i="46"/>
  <c r="E53" i="46"/>
  <c r="E54" i="46"/>
  <c r="E55" i="46"/>
  <c r="E56" i="46"/>
  <c r="E57" i="46"/>
  <c r="E58" i="46"/>
  <c r="E59" i="46"/>
  <c r="E60" i="46"/>
  <c r="E61" i="46"/>
  <c r="E62" i="46"/>
  <c r="E63" i="46"/>
  <c r="E38" i="46"/>
  <c r="B27" i="2" l="1"/>
  <c r="Z64" i="46"/>
  <c r="Y64" i="46"/>
  <c r="AB63" i="46"/>
  <c r="X63" i="46"/>
  <c r="V63" i="46"/>
  <c r="T63" i="46"/>
  <c r="M63" i="46"/>
  <c r="G63" i="46"/>
  <c r="AB62" i="46"/>
  <c r="X62" i="46"/>
  <c r="V62" i="46"/>
  <c r="T62" i="46"/>
  <c r="M62" i="46"/>
  <c r="G62" i="46"/>
  <c r="AB61" i="46"/>
  <c r="X61" i="46"/>
  <c r="V61" i="46"/>
  <c r="T61" i="46"/>
  <c r="M61" i="46"/>
  <c r="G61" i="46"/>
  <c r="AB60" i="46"/>
  <c r="X60" i="46"/>
  <c r="V60" i="46"/>
  <c r="T60" i="46"/>
  <c r="M60" i="46"/>
  <c r="G60" i="46"/>
  <c r="AB59" i="46"/>
  <c r="X59" i="46"/>
  <c r="V59" i="46"/>
  <c r="T59" i="46"/>
  <c r="M59" i="46"/>
  <c r="AB58" i="46"/>
  <c r="V58" i="46"/>
  <c r="T58" i="46"/>
  <c r="X58" i="46"/>
  <c r="M58" i="46"/>
  <c r="AB57" i="46"/>
  <c r="X57" i="46"/>
  <c r="V57" i="46"/>
  <c r="T57" i="46"/>
  <c r="M57" i="46"/>
  <c r="G57" i="46"/>
  <c r="AB56" i="46"/>
  <c r="X56" i="46"/>
  <c r="V56" i="46"/>
  <c r="T56" i="46"/>
  <c r="M56" i="46"/>
  <c r="G56" i="46"/>
  <c r="AB55" i="46"/>
  <c r="X55" i="46"/>
  <c r="V55" i="46"/>
  <c r="T55" i="46"/>
  <c r="M55" i="46"/>
  <c r="G55" i="46"/>
  <c r="AB54" i="46"/>
  <c r="X54" i="46"/>
  <c r="V54" i="46"/>
  <c r="T54" i="46"/>
  <c r="M54" i="46"/>
  <c r="G54" i="46"/>
  <c r="AB53" i="46"/>
  <c r="X53" i="46"/>
  <c r="V53" i="46"/>
  <c r="T53" i="46"/>
  <c r="M53" i="46"/>
  <c r="AB52" i="46"/>
  <c r="X52" i="46"/>
  <c r="V52" i="46"/>
  <c r="T52" i="46"/>
  <c r="M52" i="46"/>
  <c r="G52" i="46"/>
  <c r="AB51" i="46"/>
  <c r="X51" i="46"/>
  <c r="V51" i="46"/>
  <c r="T51" i="46"/>
  <c r="M51" i="46"/>
  <c r="AB50" i="46"/>
  <c r="X50" i="46"/>
  <c r="V50" i="46"/>
  <c r="T50" i="46"/>
  <c r="M50" i="46"/>
  <c r="G50" i="46"/>
  <c r="AB49" i="46"/>
  <c r="X49" i="46"/>
  <c r="V49" i="46"/>
  <c r="T49" i="46"/>
  <c r="M49" i="46"/>
  <c r="AB48" i="46"/>
  <c r="X48" i="46"/>
  <c r="V48" i="46"/>
  <c r="T48" i="46"/>
  <c r="M48" i="46"/>
  <c r="AB47" i="46"/>
  <c r="X47" i="46"/>
  <c r="V47" i="46"/>
  <c r="T47" i="46"/>
  <c r="M47" i="46"/>
  <c r="AB46" i="46"/>
  <c r="X46" i="46"/>
  <c r="V46" i="46"/>
  <c r="T46" i="46"/>
  <c r="M46" i="46"/>
  <c r="G46" i="46"/>
  <c r="AB45" i="46"/>
  <c r="X45" i="46"/>
  <c r="V45" i="46"/>
  <c r="T45" i="46"/>
  <c r="M45" i="46"/>
  <c r="AB44" i="46"/>
  <c r="V44" i="46"/>
  <c r="T44" i="46"/>
  <c r="X44" i="46"/>
  <c r="M44" i="46"/>
  <c r="G44" i="46"/>
  <c r="AB43" i="46"/>
  <c r="X43" i="46"/>
  <c r="V43" i="46"/>
  <c r="T43" i="46"/>
  <c r="M43" i="46"/>
  <c r="G43" i="46"/>
  <c r="AB42" i="46"/>
  <c r="X42" i="46"/>
  <c r="V42" i="46"/>
  <c r="T42" i="46"/>
  <c r="M42" i="46"/>
  <c r="G42" i="46"/>
  <c r="AB41" i="46"/>
  <c r="V41" i="46"/>
  <c r="T41" i="46"/>
  <c r="X41" i="46"/>
  <c r="M41" i="46"/>
  <c r="G41" i="46"/>
  <c r="AB40" i="46"/>
  <c r="X40" i="46"/>
  <c r="V40" i="46"/>
  <c r="T40" i="46"/>
  <c r="M40" i="46"/>
  <c r="G40" i="46"/>
  <c r="AB39" i="46"/>
  <c r="V39" i="46"/>
  <c r="T39" i="46"/>
  <c r="X39" i="46"/>
  <c r="M39" i="46"/>
  <c r="G39" i="46"/>
  <c r="AB38" i="46"/>
  <c r="X38" i="46"/>
  <c r="V38" i="46"/>
  <c r="T38" i="46"/>
  <c r="M38" i="46"/>
  <c r="G38" i="46"/>
  <c r="AA64" i="46"/>
  <c r="X37" i="46"/>
  <c r="U64" i="46"/>
  <c r="V64" i="46" s="1"/>
  <c r="M37" i="46"/>
  <c r="G37" i="46"/>
  <c r="X64" i="46"/>
  <c r="AB64" i="46"/>
  <c r="AB37" i="46" l="1"/>
  <c r="G49" i="46"/>
  <c r="M65" i="46"/>
  <c r="M67" i="46"/>
  <c r="M66" i="46"/>
  <c r="G48" i="46"/>
  <c r="V37" i="46"/>
  <c r="X67" i="46"/>
  <c r="X66" i="46"/>
  <c r="X65" i="46"/>
  <c r="S64" i="46"/>
  <c r="T64" i="46" s="1"/>
  <c r="G51" i="46"/>
  <c r="G58" i="46"/>
  <c r="G47" i="46"/>
  <c r="T37" i="46"/>
  <c r="G45" i="46"/>
  <c r="G53" i="46"/>
  <c r="G59" i="46"/>
  <c r="H30" i="40"/>
  <c r="B33" i="2"/>
  <c r="B32" i="2"/>
  <c r="B31" i="2"/>
  <c r="B29" i="2"/>
  <c r="B28" i="2"/>
  <c r="Q15" i="44"/>
  <c r="Q14" i="44"/>
  <c r="R15" i="43"/>
  <c r="R14" i="43"/>
  <c r="V30" i="42"/>
  <c r="V29" i="42"/>
  <c r="V31" i="42" s="1"/>
  <c r="H31" i="2" s="1"/>
  <c r="J31" i="2" s="1"/>
  <c r="V26" i="41"/>
  <c r="V25" i="4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56" i="44"/>
  <c r="C36" i="44"/>
  <c r="I23" i="40"/>
  <c r="I24" i="40"/>
  <c r="C67" i="44"/>
  <c r="C42" i="44"/>
  <c r="I26" i="40"/>
  <c r="C68" i="44"/>
  <c r="I25" i="40"/>
  <c r="C37" i="44"/>
  <c r="C55" i="44"/>
  <c r="C48" i="44"/>
  <c r="C62" i="44"/>
  <c r="C43" i="44"/>
  <c r="C38" i="44"/>
  <c r="C46" i="44"/>
  <c r="C61" i="44"/>
  <c r="C69" i="44"/>
  <c r="C54" i="44"/>
  <c r="C57" i="44"/>
  <c r="C45" i="44"/>
  <c r="C60" i="44"/>
  <c r="C47" i="44"/>
  <c r="C53" i="44"/>
  <c r="C63" i="44"/>
  <c r="C51" i="44"/>
  <c r="C52" i="44"/>
  <c r="C39" i="44"/>
  <c r="C44" i="44"/>
  <c r="V27" i="41" l="1"/>
  <c r="H29" i="2" s="1"/>
  <c r="J29" i="2" s="1"/>
  <c r="I68" i="44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2" i="2" s="1"/>
  <c r="J32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44" i="44"/>
  <c r="H55" i="44"/>
  <c r="H42" i="44"/>
  <c r="H45" i="44"/>
  <c r="H51" i="44"/>
  <c r="H47" i="44"/>
  <c r="H53" i="44"/>
  <c r="H56" i="44"/>
  <c r="H48" i="44"/>
  <c r="H57" i="44"/>
  <c r="H43" i="44"/>
  <c r="H52" i="44"/>
  <c r="H54" i="44"/>
  <c r="H46" i="44"/>
  <c r="G6" i="44" l="1"/>
  <c r="G5" i="44"/>
  <c r="G4" i="44"/>
  <c r="K4" i="46"/>
  <c r="K5" i="46"/>
  <c r="K3" i="46"/>
  <c r="G6" i="40"/>
  <c r="G4" i="40"/>
  <c r="G5" i="40"/>
  <c r="K6" i="46" l="1"/>
  <c r="L6" i="46" s="1"/>
  <c r="H27" i="2" s="1"/>
  <c r="J27" i="2" s="1"/>
  <c r="G7" i="44"/>
  <c r="M16" i="44" s="1"/>
  <c r="N16" i="44" s="1"/>
  <c r="G7" i="40"/>
  <c r="H28" i="2" s="1"/>
  <c r="J28" i="2" s="1"/>
  <c r="H33" i="2" l="1"/>
  <c r="J33" i="2" l="1"/>
  <c r="J3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D36" authorId="0" shapeId="0" xr:uid="{00000000-0006-0000-0100-000001000000}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 xr:uid="{00000000-0006-0000-0100-000002000000}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 xr:uid="{00000000-0006-0000-0100-000003000000}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 xr:uid="{00000000-0006-0000-0100-000004000000}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  <r>
          <rPr>
            <sz val="9"/>
            <color indexed="81"/>
            <rFont val="Segoe UI"/>
            <family val="2"/>
          </rPr>
          <t>Domain kann hardcodiert in der Formel sein!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Alles Kleinbuchstaben!
</t>
        </r>
      </text>
    </comment>
    <comment ref="S36" authorId="0" shapeId="0" xr:uid="{00000000-0006-0000-0100-000005000000}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 xr:uid="{00000000-0006-0000-0100-000006000000}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 xr:uid="{00000000-0006-0000-0100-000007000000}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 xr:uid="{00000000-0006-0000-0100-000008000000}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 xr:uid="{00000000-0006-0000-0100-000009000000}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 xr:uid="{00000000-0006-0000-0100-00000A000000}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 xr:uid="{00000000-0006-0000-0100-00000B000000}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 xr:uid="{00000000-0006-0000-0100-00000C000000}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10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2" authorId="0" shapeId="0" xr:uid="{24F9B96A-973E-4BA2-91E6-215D85084F48}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35" authorId="0" shapeId="0" xr:uid="{00000000-0006-0000-0600-000001000000}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 xr:uid="{00000000-0006-0000-0600-000002000000}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 xr:uid="{00000000-0006-0000-0600-000003000000}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 xr:uid="{00000000-0006-0000-0600-000004000000}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 xr:uid="{00000000-0006-0000-0600-000005000000}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<sst xmlns="http://schemas.openxmlformats.org/spreadsheetml/2006/main" count="853" uniqueCount="441">
  <si>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</si>
  <si>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</si>
  <si>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</si>
  <si>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</si>
  <si>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</si>
  <si>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</si>
  <si>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</si>
  <si>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</si>
  <si>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</si>
  <si>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</si>
  <si>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</si>
  <si>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</si>
  <si>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</si>
  <si>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</si>
  <si>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</si>
  <si>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</si>
  <si>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</si>
  <si>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</si>
  <si>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</si>
  <si>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</si>
  <si>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</si>
  <si>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</si>
  <si>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</si>
  <si>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</si>
  <si>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</si>
  <si>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</si>
  <si>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</si>
  <si>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</si>
  <si>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</si>
  <si>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</si>
  <si>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</si>
  <si>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</si>
  <si>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</si>
  <si>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</si>
  <si>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</si>
  <si>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</si>
  <si>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</si>
  <si>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</si>
  <si>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</si>
  <si>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</si>
  <si>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</si>
  <si>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</si>
  <si>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</si>
  <si>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</si>
  <si>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</si>
  <si>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</si>
  <si>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</si>
  <si>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</si>
  <si>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</si>
  <si>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</si>
  <si>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</si>
  <si>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</si>
  <si>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</si>
  <si>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</si>
  <si>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</si>
  <si>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</si>
  <si>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</si>
  <si>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</si>
  <si>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</si>
  <si>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</si>
  <si>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</si>
  <si>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</si>
  <si>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</si>
  <si>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</si>
  <si>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</si>
  <si>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</si>
  <si>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</si>
  <si>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</si>
  <si>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</si>
  <si>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</si>
  <si>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</si>
  <si>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</si>
  <si>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</si>
  <si>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</si>
  <si>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</si>
  <si>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</si>
  <si>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</si>
  <si>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</si>
  <si>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</si>
  <si>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</si>
  <si>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</si>
  <si>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</si>
  <si>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</si>
  <si>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</si>
  <si>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</si>
  <si>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</si>
  <si>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</si>
  <si>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</si>
  <si>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</si>
  <si>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</si>
  <si>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</si>
  <si>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</si>
  <si>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</si>
  <si>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</si>
  <si>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</si>
  <si>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</si>
  <si>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</si>
  <si>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</si>
  <si>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</si>
  <si>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</si>
  <si>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</si>
  <si>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</si>
  <si>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</si>
  <si>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</si>
  <si>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</si>
  <si>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</si>
  <si>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</si>
  <si>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</si>
  <si>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</si>
  <si>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</si>
  <si>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</si>
  <si>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</si>
  <si>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</si>
  <si>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</si>
  <si>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</si>
  <si>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</si>
  <si>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</si>
  <si>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</si>
  <si>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</si>
  <si>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</si>
  <si>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</si>
  <si>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</si>
  <si>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</si>
  <si>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</si>
  <si>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</si>
  <si>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</si>
  <si>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</si>
  <si>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</si>
  <si>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</si>
  <si>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</si>
  <si>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</si>
  <si>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</si>
  <si>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</si>
  <si>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</si>
  <si>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</si>
  <si>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</si>
  <si>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</si>
  <si>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</si>
  <si>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</si>
  <si>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</si>
  <si>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</si>
  <si>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</si>
  <si>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</si>
  <si>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</si>
  <si>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</si>
  <si>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</si>
  <si>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</si>
  <si>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</si>
  <si>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</si>
  <si>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</si>
  <si>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</si>
  <si>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</si>
  <si>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</si>
  <si>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</si>
  <si>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</si>
  <si>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</si>
  <si>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</si>
  <si>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</si>
  <si>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</si>
  <si>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</si>
  <si>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</si>
  <si>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</si>
  <si>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</si>
  <si>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</si>
  <si>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</si>
  <si>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</si>
  <si>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</si>
  <si>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</si>
  <si>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</si>
  <si>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</si>
  <si>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</si>
  <si>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</si>
  <si>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</si>
  <si>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</si>
  <si>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</si>
  <si>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</si>
  <si>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</si>
  <si>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</si>
  <si>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</si>
  <si>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</si>
  <si>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</si>
  <si>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</si>
  <si>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</si>
  <si>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</si>
  <si>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</si>
  <si>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</si>
  <si>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</si>
  <si>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</si>
  <si>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</si>
  <si>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</si>
  <si>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</si>
  <si>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</si>
  <si>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</si>
  <si>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</si>
  <si>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</si>
  <si>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</si>
  <si>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</si>
  <si>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</si>
  <si>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</si>
  <si>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</si>
  <si>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</si>
  <si>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</si>
  <si>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</si>
  <si>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</si>
  <si>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</si>
  <si>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</si>
  <si>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</si>
  <si>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</si>
  <si>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</si>
  <si>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</si>
  <si>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</si>
  <si>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</si>
  <si>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</si>
  <si>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</si>
  <si>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</si>
  <si>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</si>
  <si>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</si>
  <si>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</si>
  <si>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</si>
  <si>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</si>
  <si>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</si>
  <si>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</si>
  <si>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</si>
  <si>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</si>
  <si>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</si>
  <si>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</si>
  <si>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</si>
  <si>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</si>
  <si>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</si>
  <si>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</si>
  <si>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</si>
  <si>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</si>
  <si>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</si>
  <si>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</si>
  <si>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</si>
  <si>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</si>
  <si>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</si>
  <si>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</si>
  <si>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</si>
  <si>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</si>
  <si>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</si>
  <si>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</si>
  <si>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</si>
  <si>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</si>
  <si>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</si>
  <si>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</si>
  <si>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</si>
  <si>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</si>
  <si>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</si>
  <si>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</si>
  <si>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</si>
  <si>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</si>
  <si>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</si>
  <si>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</si>
  <si>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</si>
  <si>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</si>
  <si>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</si>
  <si>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</si>
  <si>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</si>
  <si>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</si>
  <si>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</si>
  <si>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</si>
  <si>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</si>
  <si>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</si>
  <si>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</si>
  <si>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</si>
  <si>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</si>
  <si>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</si>
  <si>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</si>
  <si>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</si>
  <si>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</si>
  <si>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</si>
  <si>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</si>
  <si>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</si>
  <si>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</si>
  <si>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</si>
  <si>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</si>
  <si>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</si>
  <si>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</si>
  <si>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</si>
  <si>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</si>
  <si>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</si>
  <si>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</si>
  <si>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</si>
  <si>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</si>
  <si>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</si>
  <si>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</si>
  <si>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</si>
  <si>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</si>
  <si>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</si>
  <si>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</si>
  <si>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</si>
  <si>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</si>
  <si>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</si>
  <si>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</si>
  <si>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</si>
  <si>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</si>
  <si>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</si>
  <si>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</si>
  <si>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</si>
  <si>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</si>
  <si>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</si>
  <si>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</si>
  <si>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</si>
  <si>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</si>
  <si>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</si>
  <si>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</si>
  <si>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</si>
  <si>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</si>
  <si>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</si>
  <si>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</si>
  <si>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</si>
  <si>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</si>
  <si>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</si>
  <si>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</si>
  <si>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</si>
  <si>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</si>
  <si>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</si>
  <si>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</si>
  <si>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</si>
  <si>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</si>
  <si>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</si>
  <si>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</si>
  <si>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</si>
  <si>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</si>
  <si>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</si>
  <si>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</si>
  <si>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</si>
  <si>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AddFractions</t>
  </si>
  <si>
    <t>n</t>
  </si>
  <si>
    <t>Teilnoten</t>
  </si>
  <si>
    <t>Gewichtung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</si>
  <si>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</si>
  <si>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</si>
  <si>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</si>
  <si>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</si>
  <si>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</si>
  <si>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</si>
  <si>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</si>
  <si>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</si>
  <si>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</si>
  <si>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</si>
  <si>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</si>
  <si>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</si>
  <si>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</si>
  <si>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</si>
  <si>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</si>
  <si>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</si>
  <si>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</si>
  <si>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</si>
  <si>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</si>
  <si>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</si>
  <si>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</si>
  <si>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</si>
  <si>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</si>
  <si>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</si>
  <si>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</si>
  <si>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</si>
  <si>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</si>
  <si>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</si>
  <si>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</si>
  <si>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</si>
  <si>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</si>
  <si>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</si>
  <si>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</si>
  <si>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</si>
  <si>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</si>
  <si>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</si>
  <si>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</si>
  <si>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</si>
  <si>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</si>
  <si>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</si>
  <si>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</si>
  <si>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</si>
  <si>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</si>
  <si>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</si>
  <si>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</si>
  <si>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</si>
  <si>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</si>
  <si>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</si>
  <si>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</si>
  <si>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</si>
  <si>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</si>
  <si>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</si>
  <si>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</si>
  <si>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</si>
  <si>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</si>
  <si>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</si>
  <si>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</si>
  <si>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</si>
  <si>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</si>
  <si>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</si>
  <si>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</si>
  <si>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</si>
  <si>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</si>
  <si>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</si>
  <si>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</si>
  <si>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</si>
  <si>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</si>
  <si>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</si>
  <si>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</si>
  <si>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</si>
  <si>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</si>
  <si>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</si>
  <si>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</si>
  <si>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Zuerst den "korrigieren" Knopf drücken</t>
  </si>
  <si>
    <t>Wird vom Reviewer zuerst gedrückt!!</t>
  </si>
  <si>
    <t xml:space="preserve">    </t>
  </si>
  <si>
    <t>Bewertet von:</t>
  </si>
  <si>
    <t xml:space="preserve"> Name</t>
  </si>
  <si>
    <t>Lead</t>
  </si>
  <si>
    <t>2.Beurteiler</t>
  </si>
  <si>
    <t>d Moritz</t>
  </si>
  <si>
    <t>u Müller</t>
  </si>
  <si>
    <t>ter (ZH)</t>
  </si>
  <si>
    <t>HelloPerDu</t>
  </si>
  <si>
    <t>CalcRechteck</t>
  </si>
  <si>
    <t>Datenaufbereitung mit Formeln in Excel</t>
  </si>
  <si>
    <t>String-Formeln</t>
  </si>
  <si>
    <t>Gesamtnote:</t>
  </si>
  <si>
    <t>Grafische Datenauswertung (Potenzen)</t>
  </si>
  <si>
    <t>Grafische Datenauswertung (Quadratische Funktion)</t>
  </si>
  <si>
    <t>Datenaufbereiten (laden und Text--&gt;Spalten)</t>
  </si>
  <si>
    <t>Funktionen in VBA programmieren</t>
  </si>
  <si>
    <t>Teil-Note</t>
  </si>
  <si>
    <t>A</t>
  </si>
  <si>
    <t>Grafische Datenauswertung (Fourierreihe)</t>
  </si>
  <si>
    <t>a</t>
  </si>
  <si>
    <t>b</t>
  </si>
  <si>
    <t>c</t>
  </si>
  <si>
    <t>y = a * sin(b*x + c)</t>
  </si>
  <si>
    <t xml:space="preserve">x = </t>
  </si>
  <si>
    <r>
      <t>y</t>
    </r>
    <r>
      <rPr>
        <vertAlign val="subscript"/>
        <sz val="11"/>
        <color theme="1"/>
        <rFont val="Calibri"/>
        <family val="2"/>
        <scheme val="minor"/>
      </rPr>
      <t>Resultierend</t>
    </r>
    <r>
      <rPr>
        <sz val="11"/>
        <color theme="1"/>
        <rFont val="Calibri"/>
        <family val="2"/>
        <scheme val="minor"/>
      </rPr>
      <t xml:space="preserve"> = y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+ y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+ y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+ y</t>
    </r>
    <r>
      <rPr>
        <vertAlign val="subscript"/>
        <sz val="11"/>
        <color theme="1"/>
        <rFont val="Calibri"/>
        <family val="2"/>
        <scheme val="minor"/>
      </rPr>
      <t xml:space="preserve">3 </t>
    </r>
    <r>
      <rPr>
        <sz val="11"/>
        <color theme="1"/>
        <rFont val="Calibri"/>
        <family val="2"/>
        <scheme val="minor"/>
      </rPr>
      <t xml:space="preserve">= </t>
    </r>
  </si>
  <si>
    <t>Werte-Tabelle für 1.bis 4.Graphen mathematisch richtig?</t>
  </si>
  <si>
    <t>Werte-Tabelle für 5.Graphen mathematisch richtig?</t>
  </si>
  <si>
    <t>1.bis 4.Graphen korrekt gezeichnet?</t>
  </si>
  <si>
    <t>5.Graphen korrekt gezeichnet?</t>
  </si>
  <si>
    <t>V3.01</t>
  </si>
  <si>
    <t>Beschreibung</t>
  </si>
  <si>
    <t>Aufgaben</t>
  </si>
  <si>
    <t>Aufgaben und Notenberechnung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</si>
</sst>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67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6" borderId="43" xfId="0" applyFill="1" applyBorder="1"/>
    <xf numFmtId="0" fontId="0" fillId="37" borderId="0" xfId="0" applyFill="1"/>
    <xf numFmtId="4" fontId="0" fillId="36" borderId="43" xfId="0" applyNumberFormat="1" applyFill="1" applyBorder="1"/>
    <xf numFmtId="0" fontId="0" fillId="37" borderId="42" xfId="0" applyFill="1" applyBorder="1"/>
    <xf numFmtId="0" fontId="0" fillId="37" borderId="44" xfId="0" applyFill="1" applyBorder="1"/>
    <xf numFmtId="0" fontId="0" fillId="37" borderId="35" xfId="0" applyFill="1" applyBorder="1"/>
    <xf numFmtId="4" fontId="0" fillId="0" borderId="43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3" xfId="0" applyFill="1" applyBorder="1"/>
    <xf numFmtId="0" fontId="0" fillId="0" borderId="44" xfId="0" applyBorder="1"/>
    <xf numFmtId="0" fontId="0" fillId="0" borderId="42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41" xfId="0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/>
    <xf numFmtId="0" fontId="0" fillId="40" borderId="0" xfId="0" applyFill="1"/>
    <xf numFmtId="0" fontId="0" fillId="40" borderId="15" xfId="0" applyFill="1" applyBorder="1"/>
    <xf numFmtId="0" fontId="0" fillId="40" borderId="0" xfId="0" applyFill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64" fontId="35" fillId="40" borderId="0" xfId="0" applyNumberFormat="1" applyFont="1" applyFill="1"/>
    <xf numFmtId="0" fontId="34" fillId="40" borderId="47" xfId="0" applyFont="1" applyFill="1" applyBorder="1" applyAlignment="1">
      <alignment horizontal="center"/>
    </xf>
    <xf numFmtId="164" fontId="35" fillId="40" borderId="48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0" fontId="0" fillId="41" borderId="12" xfId="0" applyFill="1" applyBorder="1"/>
    <xf numFmtId="0" fontId="0" fillId="41" borderId="13" xfId="0" applyFill="1" applyBorder="1"/>
    <xf numFmtId="0" fontId="0" fillId="41" borderId="0" xfId="0" applyFill="1"/>
    <xf numFmtId="0" fontId="0" fillId="41" borderId="15" xfId="0" applyFill="1" applyBorder="1"/>
    <xf numFmtId="0" fontId="0" fillId="41" borderId="0" xfId="0" applyFill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Alignment="1">
      <alignment horizontal="left"/>
    </xf>
    <xf numFmtId="164" fontId="0" fillId="41" borderId="0" xfId="0" applyNumberFormat="1" applyFill="1" applyAlignment="1">
      <alignment horizontal="left"/>
    </xf>
    <xf numFmtId="0" fontId="34" fillId="41" borderId="47" xfId="0" applyFont="1" applyFill="1" applyBorder="1" applyAlignment="1">
      <alignment horizontal="center"/>
    </xf>
    <xf numFmtId="164" fontId="35" fillId="41" borderId="48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Alignment="1">
      <alignment vertical="center"/>
    </xf>
    <xf numFmtId="0" fontId="31" fillId="42" borderId="0" xfId="0" applyFont="1" applyFill="1" applyAlignment="1">
      <alignment vertical="center"/>
    </xf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34" fillId="0" borderId="0" xfId="0" applyFont="1" applyAlignment="1">
      <alignment horizontal="right"/>
    </xf>
    <xf numFmtId="164" fontId="34" fillId="0" borderId="0" xfId="0" applyNumberFormat="1" applyFont="1" applyAlignment="1">
      <alignment horizontal="left"/>
    </xf>
    <xf numFmtId="0" fontId="0" fillId="41" borderId="11" xfId="0" applyFill="1" applyBorder="1"/>
    <xf numFmtId="0" fontId="32" fillId="41" borderId="14" xfId="0" applyFont="1" applyFill="1" applyBorder="1"/>
    <xf numFmtId="0" fontId="0" fillId="41" borderId="14" xfId="0" applyFill="1" applyBorder="1"/>
    <xf numFmtId="0" fontId="37" fillId="41" borderId="14" xfId="0" applyFont="1" applyFill="1" applyBorder="1"/>
    <xf numFmtId="0" fontId="0" fillId="41" borderId="16" xfId="0" applyFill="1" applyBorder="1"/>
    <xf numFmtId="0" fontId="38" fillId="0" borderId="0" xfId="0" applyFont="1"/>
    <xf numFmtId="2" fontId="0" fillId="36" borderId="10" xfId="0" applyNumberFormat="1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0" fillId="45" borderId="10" xfId="0" applyFill="1" applyBorder="1" applyAlignment="1">
      <alignment horizontal="right" vertical="center"/>
    </xf>
    <xf numFmtId="0" fontId="0" fillId="43" borderId="10" xfId="0" applyFill="1" applyBorder="1" applyAlignment="1">
      <alignment horizontal="right" vertical="center"/>
    </xf>
    <xf numFmtId="0" fontId="0" fillId="44" borderId="10" xfId="0" applyFill="1" applyBorder="1" applyAlignment="1">
      <alignment horizontal="right" vertical="center"/>
    </xf>
    <xf numFmtId="0" fontId="0" fillId="38" borderId="10" xfId="0" applyFill="1" applyBorder="1" applyAlignment="1">
      <alignment horizontal="right" vertical="center"/>
    </xf>
    <xf numFmtId="0" fontId="0" fillId="39" borderId="46" xfId="0" applyFill="1" applyBorder="1" applyAlignment="1">
      <alignment horizontal="right" vertical="center"/>
    </xf>
    <xf numFmtId="0" fontId="0" fillId="0" borderId="46" xfId="0" applyBorder="1"/>
    <xf numFmtId="0" fontId="0" fillId="0" borderId="11" xfId="0" applyBorder="1" applyAlignment="1">
      <alignment horizontal="right" vertical="center"/>
    </xf>
    <xf numFmtId="0" fontId="0" fillId="36" borderId="13" xfId="0" applyFill="1" applyBorder="1" applyAlignment="1">
      <alignment horizontal="left" vertical="center"/>
    </xf>
    <xf numFmtId="0" fontId="0" fillId="33" borderId="50" xfId="0" applyFill="1" applyBorder="1" applyAlignment="1">
      <alignment horizontal="right"/>
    </xf>
    <xf numFmtId="0" fontId="0" fillId="36" borderId="28" xfId="0" applyFill="1" applyBorder="1"/>
    <xf numFmtId="0" fontId="29" fillId="0" borderId="43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29" fillId="0" borderId="46" xfId="0" applyFont="1" applyBorder="1" applyAlignment="1">
      <alignment vertical="top" wrapText="1"/>
    </xf>
    <xf numFmtId="0" fontId="40" fillId="0" borderId="49" xfId="0" applyFont="1" applyBorder="1" applyAlignment="1">
      <alignment horizontal="center" vertical="center"/>
    </xf>
    <xf numFmtId="0" fontId="34" fillId="0" borderId="10" xfId="0" applyFont="1" applyBorder="1"/>
    <xf numFmtId="0" fontId="34" fillId="0" borderId="35" xfId="0" applyFont="1" applyBorder="1" applyAlignment="1"/>
    <xf numFmtId="0" fontId="34" fillId="0" borderId="44" xfId="0" applyFont="1" applyBorder="1" applyAlignment="1"/>
    <xf numFmtId="0" fontId="34" fillId="0" borderId="42" xfId="0" applyFont="1" applyBorder="1" applyAlignment="1"/>
    <xf numFmtId="0" fontId="41" fillId="0" borderId="10" xfId="42" applyFont="1" applyBorder="1" applyAlignment="1"/>
    <xf numFmtId="0" fontId="34" fillId="0" borderId="10" xfId="0" applyFont="1" applyBorder="1" applyAlignment="1"/>
    <xf numFmtId="164" fontId="34" fillId="0" borderId="10" xfId="0" applyNumberFormat="1" applyFont="1" applyBorder="1" applyAlignment="1">
      <alignment horizontal="center"/>
    </xf>
    <xf numFmtId="0" fontId="34" fillId="0" borderId="10" xfId="0" applyFont="1" applyBorder="1" applyAlignment="1">
      <alignment horizontal="center"/>
    </xf>
    <xf numFmtId="2" fontId="34" fillId="0" borderId="10" xfId="0" applyNumberFormat="1" applyFont="1" applyBorder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83">
    <dxf>
      <font>
        <strike/>
      </font>
      <fill>
        <patternFill>
          <bgColor theme="1" tint="0.24994659260841701"/>
        </patternFill>
      </fill>
    </dxf>
    <dxf>
      <font>
        <strike/>
      </font>
      <fill>
        <patternFill>
          <bgColor theme="1" tint="0.24994659260841701"/>
        </patternFill>
      </fill>
    </dxf>
    <dxf>
      <font>
        <strike/>
      </font>
      <fill>
        <patternFill>
          <bgColor theme="1" tint="0.24994659260841701"/>
        </patternFill>
      </fill>
    </dxf>
    <dxf>
      <font>
        <strike/>
      </font>
      <fill>
        <patternFill>
          <bgColor theme="1" tint="0.24994659260841701"/>
        </patternFill>
      </fill>
    </dxf>
    <dxf>
      <font>
        <strike/>
      </font>
      <fill>
        <patternFill>
          <bgColor theme="1" tint="0.24994659260841701"/>
        </patternFill>
      </fill>
    </dxf>
    <dxf>
      <font>
        <strike/>
      </font>
      <fill>
        <patternFill>
          <bgColor theme="1" tint="0.24994659260841701"/>
        </patternFill>
      </fill>
    </dxf>
    <dxf>
      <font>
        <strike/>
      </font>
      <fill>
        <patternFill>
          <bgColor theme="1" tint="0.24994659260841701"/>
        </patternFill>
      </fill>
    </dxf>
    <dxf>
      <fill>
        <patternFill>
          <bgColor rgb="FFFF0000"/>
        </patternFill>
      </fill>
    </dxf>
    <dxf>
      <font>
        <strike/>
      </font>
      <fill>
        <patternFill>
          <bgColor theme="1" tint="0.24994659260841701"/>
        </patternFill>
      </fill>
    </dxf>
    <dxf>
      <font>
        <strike/>
      </font>
      <fill>
        <patternFill>
          <bgColor theme="1" tint="0.24994659260841701"/>
        </patternFill>
      </fill>
    </dxf>
    <dxf>
      <fill>
        <patternFill>
          <bgColor rgb="FFFF0000"/>
        </patternFill>
      </fill>
    </dxf>
    <dxf>
      <font>
        <strike/>
      </font>
      <fill>
        <patternFill>
          <bgColor theme="1" tint="0.24994659260841701"/>
        </patternFill>
      </fill>
    </dxf>
    <dxf>
      <font>
        <strike/>
      </font>
      <fill>
        <patternFill>
          <bgColor theme="1" tint="0.24994659260841701"/>
        </patternFill>
      </fill>
    </dxf>
    <dxf>
      <fill>
        <patternFill>
          <bgColor rgb="FFFF0000"/>
        </patternFill>
      </fill>
    </dxf>
    <dxf>
      <font>
        <strike/>
      </font>
      <fill>
        <patternFill>
          <bgColor theme="1" tint="0.24994659260841701"/>
        </patternFill>
      </fill>
    </dxf>
    <dxf>
      <font>
        <strike/>
      </font>
    </dxf>
    <dxf>
      <fill>
        <patternFill>
          <bgColor rgb="FFFF0000"/>
        </patternFill>
      </fill>
    </dxf>
    <dxf>
      <font>
        <strike/>
      </font>
      <fill>
        <patternFill>
          <bgColor theme="1" tint="0.24994659260841701"/>
        </patternFill>
      </fill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strike/>
      </font>
      <fill>
        <patternFill>
          <bgColor theme="1" tint="0.24994659260841701"/>
        </patternFill>
      </fill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strike/>
      </font>
      <fill>
        <patternFill>
          <bgColor theme="1" tint="0.24994659260841701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  <fill>
        <patternFill>
          <bgColor theme="1" tint="0.34998626667073579"/>
        </patternFill>
      </fill>
    </dxf>
    <dxf>
      <font>
        <strike/>
      </font>
    </dxf>
    <dxf>
      <fill>
        <patternFill>
          <bgColor rgb="FFFF0000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  <fill>
        <patternFill>
          <bgColor theme="1" tint="0.34998626667073579"/>
        </patternFill>
      </fill>
    </dxf>
    <dxf>
      <font>
        <strike/>
      </font>
    </dxf>
    <dxf>
      <fill>
        <patternFill>
          <bgColor rgb="FFFF0000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  <fill>
        <patternFill>
          <bgColor theme="0" tint="-0.14996795556505021"/>
        </patternFill>
      </fill>
    </dxf>
    <dxf>
      <font>
        <strike/>
      </font>
    </dxf>
    <dxf>
      <fill>
        <patternFill>
          <bgColor rgb="FFFF0000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strike/>
      </font>
      <fill>
        <patternFill>
          <bgColor theme="0" tint="-0.14996795556505021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  <fill>
        <patternFill>
          <bgColor theme="0" tint="-0.14996795556505021"/>
        </patternFill>
      </fill>
    </dxf>
    <dxf>
      <font>
        <strike/>
      </font>
    </dxf>
    <dxf>
      <fill>
        <patternFill>
          <bgColor rgb="FFFF0000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  <fill>
        <patternFill>
          <bgColor theme="0" tint="-0.14996795556505021"/>
        </patternFill>
      </fill>
    </dxf>
    <dxf>
      <font>
        <strike/>
      </font>
    </dxf>
    <dxf>
      <fill>
        <patternFill>
          <bgColor rgb="FFFF0000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82"/>
      <tableStyleElement type="headerRow" dxfId="1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684117</xdr:colOff>
      <xdr:row>2</xdr:row>
      <xdr:rowOff>22402</xdr:rowOff>
    </xdr:from>
    <xdr:ext cx="11452413" cy="2827625"/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84117" y="493049"/>
          <a:ext cx="11452413" cy="28276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Vorname_Nachname_Pruefung_1.xlsm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Walter_Rothlin_Pruefung_1.xlsm (Wird das File nicht mit diesem Namen hochgeladen  ==&gt; 1 Note Abzug!)</a:t>
          </a:r>
        </a:p>
        <a:p>
          <a:pPr marL="228600" indent="-228600">
            <a:buFont typeface="+mj-lt"/>
            <a:buAutoNum type="arabicPeriod"/>
          </a:pPr>
          <a:r>
            <a:rPr lang="de-CH" sz="1800" b="0" baseline="0"/>
            <a:t>Speichern Sie zwischen durch Ihre Arbeit ab.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Unten bei den Notenberechnungen sehen Sie,</a:t>
          </a:r>
          <a:r>
            <a:rPr lang="de-CH" sz="1800" baseline="0"/>
            <a:t> welche Aufgaben in dieser Prüfung zu lösen sind. Klicken Sie auf den </a:t>
          </a:r>
          <a:br>
            <a:rPr lang="de-CH" sz="1800" baseline="0"/>
          </a:br>
          <a:r>
            <a:rPr lang="de-CH" sz="1800" baseline="0"/>
            <a:t>entsprechenden Link oder gehen Sie a</a:t>
          </a:r>
          <a:r>
            <a:rPr lang="de-CH" sz="1800"/>
            <a:t>uf das</a:t>
          </a:r>
          <a:r>
            <a:rPr lang="de-CH" sz="1800" baseline="0"/>
            <a:t> entsprechende </a:t>
          </a:r>
          <a:r>
            <a:rPr lang="de-CH" sz="1800">
              <a:solidFill>
                <a:srgbClr val="FF0000"/>
              </a:solidFill>
            </a:rPr>
            <a:t>rote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Spreadsheet. Dort finden Sie die Aufgaben mit den </a:t>
          </a:r>
          <a:br>
            <a:rPr lang="de-CH" sz="1800" baseline="0"/>
          </a:br>
          <a:r>
            <a:rPr lang="de-CH" sz="1800" baseline="0"/>
            <a:t>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wird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Ändern 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164913</xdr:rowOff>
    </xdr:from>
    <xdr:ext cx="10981765" cy="2815852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059" y="1375148"/>
          <a:ext cx="10981765" cy="281585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nicht!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auf die restlichen Felder dieser Spalte bis Zeile 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Änderungen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753165</xdr:colOff>
      <xdr:row>2</xdr:row>
      <xdr:rowOff>67366</xdr:rowOff>
    </xdr:from>
    <xdr:ext cx="17249775" cy="1290981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849EB9-824C-4C46-BFF1-FF6854E342E1}"/>
            </a:ext>
          </a:extLst>
        </xdr:cNvPr>
        <xdr:cNvSpPr txBox="1"/>
      </xdr:nvSpPr>
      <xdr:spPr>
        <a:xfrm>
          <a:off x="1502465" y="578541"/>
          <a:ext cx="17249775" cy="1290981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"Fourierreihe"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Erstellen Sie eine dynamesche Wertetabelle mit 21 x-Werten</a:t>
          </a:r>
        </a:p>
        <a:p>
          <a:pPr marL="1143000" lvl="2" indent="-228600">
            <a:buFont typeface="+mj-lt"/>
            <a:buAutoNum type="arabicPeriod"/>
          </a:pPr>
          <a:r>
            <a:rPr lang="de-CH" sz="11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Erstellen Sie die 4 Werte-Tabelle für die y0 bis y3 mit einer Formel, welche nach rechts kopiert werden kann.</a:t>
          </a:r>
        </a:p>
        <a:p>
          <a:pPr marL="1143000" lvl="2" indent="-228600">
            <a:buFont typeface="+mj-lt"/>
            <a:buAutoNum type="arabicPeriod"/>
          </a:pPr>
          <a:r>
            <a:rPr lang="de-CH" sz="11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Erstellen Sie die 5. Wertetabelle für die y-Resultierende gemäss Formel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mit diesen 5 Funktionen in einem Diagramm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(Grafik von dieser Wertetabelle)</a:t>
          </a:r>
        </a:p>
      </xdr:txBody>
    </xdr:sp>
    <xdr:clientData/>
  </xdr:oneCellAnchor>
  <xdr:oneCellAnchor>
    <xdr:from>
      <xdr:col>24</xdr:col>
      <xdr:colOff>504825</xdr:colOff>
      <xdr:row>34</xdr:row>
      <xdr:rowOff>133350</xdr:rowOff>
    </xdr:from>
    <xdr:ext cx="184731" cy="264560"/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94F1F806-A920-46AA-901B-9B273237350E}"/>
            </a:ext>
          </a:extLst>
        </xdr:cNvPr>
        <xdr:cNvSpPr txBox="1"/>
      </xdr:nvSpPr>
      <xdr:spPr>
        <a:xfrm>
          <a:off x="19580225" y="6753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7</xdr:col>
      <xdr:colOff>34511</xdr:colOff>
      <xdr:row>0</xdr:row>
      <xdr:rowOff>62948</xdr:rowOff>
    </xdr:from>
    <xdr:to>
      <xdr:col>8</xdr:col>
      <xdr:colOff>104921</xdr:colOff>
      <xdr:row>1</xdr:row>
      <xdr:rowOff>226927</xdr:rowOff>
    </xdr:to>
    <xdr:sp macro="" textlink="">
      <xdr:nvSpPr>
        <xdr:cNvPr id="4" name="Pfeil nach link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9057AE-6F2B-4315-8B0D-4BB7AA823278}"/>
            </a:ext>
          </a:extLst>
        </xdr:cNvPr>
        <xdr:cNvSpPr/>
      </xdr:nvSpPr>
      <xdr:spPr>
        <a:xfrm>
          <a:off x="5908261" y="66123"/>
          <a:ext cx="82288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2:M117"/>
  <sheetViews>
    <sheetView showGridLines="0" tabSelected="1" zoomScale="85" zoomScaleNormal="85" workbookViewId="0">
      <selection activeCell="L34" sqref="L34"/>
    </sheetView>
  </sheetViews>
  <sheetFormatPr baseColWidth="10" defaultColWidth="10.81640625" defaultRowHeight="14.5"/>
  <cols>
    <col min="9" max="9" width="15.1796875" customWidth="1"/>
    <col min="11" max="11" width="21.7265625" customWidth="1"/>
    <col min="12" max="13" width="18.81640625" customWidth="1"/>
    <col min="14" max="15" width="24.26953125" customWidth="1"/>
  </cols>
  <sheetData>
    <row r="2" spans="2:7" ht="23.5">
      <c r="B2" s="1" t="s">
        <v>0</v>
      </c>
      <c r="F2" t="s">
        <v>437</v>
      </c>
      <c r="G2" t="s">
        <v>425</v>
      </c>
    </row>
    <row r="4" spans="2:7" ht="15" thickBot="1"/>
    <row r="5" spans="2:7" ht="15" thickBot="1">
      <c r="B5" s="33"/>
      <c r="C5" s="34"/>
    </row>
    <row r="6" spans="2:7">
      <c r="B6" s="35"/>
      <c r="C6" s="36"/>
    </row>
    <row r="18" spans="1:13" ht="15" thickBot="1"/>
    <row r="19" spans="1:13">
      <c r="K19" s="129" t="s">
        <v>408</v>
      </c>
      <c r="L19" s="130" t="s">
        <v>409</v>
      </c>
      <c r="M19" s="131" t="s">
        <v>16</v>
      </c>
    </row>
    <row r="20" spans="1:13">
      <c r="K20" s="132" t="s">
        <v>410</v>
      </c>
      <c r="L20" s="4"/>
      <c r="M20" s="25"/>
    </row>
    <row r="21" spans="1:13" ht="15" thickBot="1">
      <c r="K21" s="133" t="s">
        <v>411</v>
      </c>
      <c r="L21" s="26"/>
      <c r="M21" s="27"/>
    </row>
    <row r="22" spans="1:13">
      <c r="B22" s="17"/>
    </row>
    <row r="23" spans="1:13">
      <c r="B23" s="17"/>
    </row>
    <row r="25" spans="1:13" ht="18.5">
      <c r="A25" s="74" t="s">
        <v>440</v>
      </c>
      <c r="B25" s="74"/>
    </row>
    <row r="26" spans="1:13" ht="18.5">
      <c r="A26" s="158" t="s">
        <v>439</v>
      </c>
      <c r="B26" s="159" t="s">
        <v>438</v>
      </c>
      <c r="C26" s="160"/>
      <c r="D26" s="160"/>
      <c r="E26" s="160"/>
      <c r="F26" s="160"/>
      <c r="G26" s="161"/>
      <c r="H26" s="158" t="s">
        <v>330</v>
      </c>
      <c r="I26" s="158" t="s">
        <v>331</v>
      </c>
      <c r="J26" s="158"/>
    </row>
    <row r="27" spans="1:13" ht="18.5">
      <c r="A27" s="158">
        <v>1</v>
      </c>
      <c r="B27" s="162" t="str">
        <f>Datenaufbereitung!B2</f>
        <v>Datenaufbereitung mit Formeln in Excel</v>
      </c>
      <c r="C27" s="163"/>
      <c r="D27" s="163"/>
      <c r="E27" s="163"/>
      <c r="F27" s="163"/>
      <c r="G27" s="163"/>
      <c r="H27" s="164">
        <f>Datenaufbereitung!R17</f>
        <v>5.7954545454545459</v>
      </c>
      <c r="I27" s="165">
        <v>1</v>
      </c>
      <c r="J27" s="166">
        <f>H27*I27</f>
        <v>5.7954545454545459</v>
      </c>
    </row>
    <row r="28" spans="1:13" ht="18.5">
      <c r="A28" s="158">
        <v>2</v>
      </c>
      <c r="B28" s="162" t="str">
        <f>StringFormeln!B2</f>
        <v>String-Formeln</v>
      </c>
      <c r="C28" s="163"/>
      <c r="D28" s="163"/>
      <c r="E28" s="163"/>
      <c r="F28" s="163"/>
      <c r="G28" s="163"/>
      <c r="H28" s="164">
        <f>StringFormeln!G7</f>
        <v>1</v>
      </c>
      <c r="I28" s="165">
        <v>0</v>
      </c>
      <c r="J28" s="166">
        <f t="shared" ref="J28:J33" si="0">H28*I28</f>
        <v>0</v>
      </c>
    </row>
    <row r="29" spans="1:13" ht="18.5">
      <c r="A29" s="158">
        <v>3</v>
      </c>
      <c r="B29" s="162" t="str">
        <f>Potenzen!B2</f>
        <v>Grafische Datenauswertung (Potenzen)</v>
      </c>
      <c r="C29" s="163"/>
      <c r="D29" s="163"/>
      <c r="E29" s="163"/>
      <c r="F29" s="163"/>
      <c r="G29" s="163"/>
      <c r="H29" s="164">
        <f>Potenzen!V27</f>
        <v>1</v>
      </c>
      <c r="I29" s="165">
        <v>0</v>
      </c>
      <c r="J29" s="166">
        <f t="shared" si="0"/>
        <v>0</v>
      </c>
    </row>
    <row r="30" spans="1:13" ht="18.5">
      <c r="A30" s="158">
        <v>4</v>
      </c>
      <c r="B30" s="162" t="str">
        <f>Fourierreihe!C2</f>
        <v>Grafische Datenauswertung (Fourierreihe)</v>
      </c>
      <c r="C30" s="162"/>
      <c r="D30" s="162"/>
      <c r="E30" s="162"/>
      <c r="F30" s="162"/>
      <c r="G30" s="162"/>
      <c r="H30" s="164">
        <f>Fourierreihe!AE38</f>
        <v>1</v>
      </c>
      <c r="I30" s="165">
        <v>1</v>
      </c>
      <c r="J30" s="166">
        <f t="shared" si="0"/>
        <v>1</v>
      </c>
    </row>
    <row r="31" spans="1:13" ht="18.5">
      <c r="A31" s="158">
        <v>5</v>
      </c>
      <c r="B31" s="162" t="str">
        <f>QuadratischeFunktion!B2</f>
        <v>Grafische Datenauswertung (Quadratische Funktion)</v>
      </c>
      <c r="C31" s="163"/>
      <c r="D31" s="163"/>
      <c r="E31" s="163"/>
      <c r="F31" s="163"/>
      <c r="G31" s="163"/>
      <c r="H31" s="164">
        <f>QuadratischeFunktion!$V$31</f>
        <v>1</v>
      </c>
      <c r="I31" s="165">
        <v>0</v>
      </c>
      <c r="J31" s="166">
        <f t="shared" si="0"/>
        <v>0</v>
      </c>
    </row>
    <row r="32" spans="1:13" ht="18.5">
      <c r="A32" s="158">
        <v>6</v>
      </c>
      <c r="B32" s="162" t="str">
        <f>TXT_Daten!B2</f>
        <v>Datenaufbereiten (laden und Text--&gt;Spalten)</v>
      </c>
      <c r="C32" s="163"/>
      <c r="D32" s="163"/>
      <c r="E32" s="163"/>
      <c r="F32" s="163"/>
      <c r="G32" s="163"/>
      <c r="H32" s="164">
        <f>TXT_Daten!$R$16</f>
        <v>1</v>
      </c>
      <c r="I32" s="165">
        <v>0</v>
      </c>
      <c r="J32" s="166">
        <f t="shared" si="0"/>
        <v>0</v>
      </c>
    </row>
    <row r="33" spans="1:10" ht="18.5">
      <c r="A33" s="158">
        <v>7</v>
      </c>
      <c r="B33" s="162" t="str">
        <f>VBA_Programmierung!$B$2</f>
        <v>Funktionen in VBA programmieren</v>
      </c>
      <c r="C33" s="163"/>
      <c r="D33" s="163"/>
      <c r="E33" s="163"/>
      <c r="F33" s="163"/>
      <c r="G33" s="163"/>
      <c r="H33" s="164">
        <f ca="1">VBA_Programmierung!$N$16</f>
        <v>1</v>
      </c>
      <c r="I33" s="165">
        <v>0</v>
      </c>
      <c r="J33" s="166">
        <f t="shared" ca="1" si="0"/>
        <v>0</v>
      </c>
    </row>
    <row r="34" spans="1:10" ht="15" thickBot="1">
      <c r="B34" s="41"/>
      <c r="H34" s="125"/>
      <c r="I34" s="126"/>
      <c r="J34" s="118"/>
    </row>
    <row r="35" spans="1:10" ht="19" thickBot="1">
      <c r="H35" s="100"/>
      <c r="I35" s="116" t="s">
        <v>419</v>
      </c>
      <c r="J35" s="117">
        <f ca="1">SUM(J27:J33)/SUM(I27:I33)</f>
        <v>3.3977272727272729</v>
      </c>
    </row>
    <row r="36" spans="1:10">
      <c r="H36" s="100"/>
    </row>
    <row r="37" spans="1:10">
      <c r="H37" s="100"/>
    </row>
    <row r="39" spans="1:10" ht="18.5">
      <c r="I39" s="134"/>
      <c r="J39" s="135"/>
    </row>
    <row r="103" spans="3:10" ht="21">
      <c r="C103" s="68" t="s">
        <v>192</v>
      </c>
    </row>
    <row r="104" spans="3:10">
      <c r="C104" s="69" t="s">
        <v>193</v>
      </c>
      <c r="D104" s="69"/>
      <c r="E104" s="69"/>
      <c r="F104" s="69"/>
      <c r="J104" t="s">
        <v>40</v>
      </c>
    </row>
    <row r="105" spans="3:10">
      <c r="C105" s="72" t="s">
        <v>194</v>
      </c>
      <c r="D105" s="70"/>
      <c r="E105" s="70"/>
      <c r="F105" s="71"/>
      <c r="J105" t="s">
        <v>48</v>
      </c>
    </row>
    <row r="106" spans="3:10">
      <c r="C106" s="72" t="s">
        <v>195</v>
      </c>
      <c r="D106" s="70"/>
      <c r="E106" s="70"/>
      <c r="F106" s="71"/>
    </row>
    <row r="107" spans="3:10">
      <c r="C107" s="72" t="s">
        <v>196</v>
      </c>
      <c r="D107" s="70"/>
      <c r="E107" s="70"/>
      <c r="F107" s="71"/>
    </row>
    <row r="108" spans="3:10">
      <c r="C108" s="72" t="s">
        <v>197</v>
      </c>
      <c r="D108" s="70"/>
      <c r="E108" s="70"/>
      <c r="F108" s="71"/>
    </row>
    <row r="109" spans="3:10">
      <c r="C109" s="72" t="s">
        <v>198</v>
      </c>
      <c r="D109" s="70"/>
      <c r="E109" s="70"/>
      <c r="F109" s="71"/>
    </row>
    <row r="110" spans="3:10">
      <c r="C110" s="72" t="s">
        <v>199</v>
      </c>
      <c r="D110" s="70"/>
      <c r="E110" s="70"/>
      <c r="F110" s="71"/>
    </row>
    <row r="111" spans="3:10">
      <c r="C111" s="72" t="s">
        <v>200</v>
      </c>
      <c r="D111" s="70"/>
      <c r="E111" s="70"/>
      <c r="F111" s="71"/>
    </row>
    <row r="112" spans="3:10">
      <c r="C112" s="72" t="s">
        <v>201</v>
      </c>
      <c r="D112" s="70"/>
      <c r="E112" s="70"/>
      <c r="F112" s="71"/>
    </row>
    <row r="113" spans="3:6">
      <c r="C113" s="72" t="s">
        <v>202</v>
      </c>
      <c r="D113" s="70"/>
      <c r="E113" s="70"/>
      <c r="F113" s="71"/>
    </row>
    <row r="114" spans="3:6">
      <c r="C114" s="72" t="s">
        <v>203</v>
      </c>
      <c r="D114" s="70"/>
      <c r="E114" s="70"/>
      <c r="F114" s="71"/>
    </row>
    <row r="115" spans="3:6">
      <c r="C115" s="72" t="s">
        <v>204</v>
      </c>
      <c r="D115" s="70"/>
      <c r="E115" s="70"/>
      <c r="F115" s="71"/>
    </row>
    <row r="116" spans="3:6">
      <c r="C116" s="72" t="s">
        <v>205</v>
      </c>
      <c r="D116" s="70"/>
      <c r="E116" s="70"/>
      <c r="F116" s="71"/>
    </row>
    <row r="117" spans="3:6">
      <c r="C117" s="72" t="s">
        <v>206</v>
      </c>
      <c r="D117" s="70"/>
      <c r="E117" s="70"/>
      <c r="F117" s="71"/>
    </row>
  </sheetData>
  <mergeCells count="8">
    <mergeCell ref="B26:G26"/>
    <mergeCell ref="B33:G33"/>
    <mergeCell ref="B27:G27"/>
    <mergeCell ref="B28:G28"/>
    <mergeCell ref="B29:G29"/>
    <mergeCell ref="B31:G31"/>
    <mergeCell ref="B32:G32"/>
    <mergeCell ref="B30:G30"/>
  </mergeCells>
  <conditionalFormatting sqref="F2">
    <cfRule type="expression" dxfId="10" priority="16">
      <formula>$B$6&lt;&gt;""</formula>
    </cfRule>
  </conditionalFormatting>
  <conditionalFormatting sqref="A27:J27">
    <cfRule type="expression" dxfId="8" priority="7">
      <formula>$I27=0</formula>
    </cfRule>
  </conditionalFormatting>
  <conditionalFormatting sqref="A28:J28">
    <cfRule type="expression" dxfId="9" priority="6">
      <formula>$I28=0</formula>
    </cfRule>
  </conditionalFormatting>
  <conditionalFormatting sqref="A29:J29">
    <cfRule type="expression" dxfId="4" priority="5">
      <formula>$I29=0</formula>
    </cfRule>
  </conditionalFormatting>
  <conditionalFormatting sqref="A30:J30">
    <cfRule type="expression" dxfId="3" priority="4">
      <formula>$I30=0</formula>
    </cfRule>
  </conditionalFormatting>
  <conditionalFormatting sqref="A31:J31">
    <cfRule type="expression" dxfId="2" priority="3">
      <formula>$I31=0</formula>
    </cfRule>
  </conditionalFormatting>
  <conditionalFormatting sqref="A32:J32">
    <cfRule type="expression" dxfId="1" priority="2">
      <formula>$I32=0</formula>
    </cfRule>
  </conditionalFormatting>
  <conditionalFormatting sqref="A33:J33">
    <cfRule type="expression" dxfId="0" priority="1">
      <formula>$I33=0</formula>
    </cfRule>
  </conditionalFormatting>
  <hyperlinks>
    <hyperlink ref="B27" location="Datenaufbereitung!A1" display="Datenaufbereitung!A1" xr:uid="{00000000-0004-0000-0000-000000000000}"/>
    <hyperlink ref="B28" location="StringFormeln!A1" display="StringFormeln!A1" xr:uid="{00000000-0004-0000-0000-000001000000}"/>
    <hyperlink ref="B29" location="Potenzen!A1" display="Potenzen!A1" xr:uid="{00000000-0004-0000-0000-000002000000}"/>
    <hyperlink ref="B31" location="QuadratischeFunktion!A1" display="QuadratischeFunktion!A1" xr:uid="{00000000-0004-0000-0000-000003000000}"/>
    <hyperlink ref="B32" location="TXT_Daten!A1" display="TXT_Daten!A1" xr:uid="{00000000-0004-0000-0000-000004000000}"/>
    <hyperlink ref="B33" location="VBA_Programmierung!A1" display="VBA_Programmierung!A1" xr:uid="{00000000-0004-0000-0000-000005000000}"/>
    <hyperlink ref="B30:G30" location="Fourierreihe!A1" display="Fourierreihe!A1" xr:uid="{FC3F5086-AEFE-4C19-9BFC-3D46AE68F293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0">
    <tabColor rgb="FFFF0000"/>
    <pageSetUpPr fitToPage="1"/>
  </sheetPr>
  <dimension ref="A1:AD81"/>
  <sheetViews>
    <sheetView showGridLines="0" zoomScale="85" zoomScaleNormal="85" workbookViewId="0">
      <selection activeCell="O26" sqref="O26"/>
    </sheetView>
  </sheetViews>
  <sheetFormatPr baseColWidth="10" defaultColWidth="10.81640625" defaultRowHeight="14.5"/>
  <cols>
    <col min="1" max="1" width="5.7265625" customWidth="1"/>
    <col min="2" max="2" width="15" customWidth="1"/>
    <col min="4" max="4" width="9.81640625" customWidth="1"/>
    <col min="5" max="5" width="8.1796875" hidden="1" customWidth="1"/>
    <col min="6" max="6" width="15.453125" customWidth="1"/>
    <col min="7" max="7" width="8.1796875" hidden="1" customWidth="1"/>
    <col min="8" max="8" width="19.26953125" customWidth="1"/>
    <col min="9" max="9" width="7.7265625" customWidth="1"/>
    <col min="10" max="10" width="17.26953125" customWidth="1"/>
    <col min="11" max="11" width="5.26953125" customWidth="1"/>
    <col min="12" max="12" width="24.7265625" customWidth="1"/>
    <col min="13" max="13" width="8.1796875" hidden="1" customWidth="1"/>
    <col min="14" max="14" width="37.1796875" customWidth="1"/>
    <col min="15" max="15" width="32.1796875" customWidth="1"/>
    <col min="16" max="16" width="8.1796875" hidden="1" customWidth="1"/>
    <col min="17" max="17" width="17" customWidth="1"/>
    <col min="18" max="18" width="14.81640625" customWidth="1"/>
    <col min="19" max="19" width="12.26953125" customWidth="1"/>
    <col min="20" max="20" width="8.1796875" hidden="1" customWidth="1"/>
    <col min="21" max="21" width="13.26953125" customWidth="1"/>
    <col min="22" max="22" width="8.1796875" hidden="1" customWidth="1"/>
    <col min="23" max="23" width="32.1796875" customWidth="1"/>
    <col min="24" max="24" width="8.1796875" hidden="1" customWidth="1"/>
    <col min="25" max="25" width="17.54296875" customWidth="1"/>
    <col min="26" max="26" width="23.1796875" customWidth="1"/>
    <col min="27" max="27" width="20.54296875" customWidth="1"/>
    <col min="28" max="28" width="8.1796875" hidden="1" customWidth="1"/>
  </cols>
  <sheetData>
    <row r="1" spans="2:26" ht="15" thickBot="1"/>
    <row r="2" spans="2:26" ht="23.5">
      <c r="B2" s="1" t="s">
        <v>417</v>
      </c>
      <c r="J2" s="50" t="s">
        <v>188</v>
      </c>
      <c r="K2" s="51"/>
      <c r="L2" s="52"/>
    </row>
    <row r="3" spans="2:26">
      <c r="J3" s="45" t="s">
        <v>190</v>
      </c>
      <c r="K3" s="42">
        <f>SUM(E65:AD65)</f>
        <v>211</v>
      </c>
      <c r="L3" s="49"/>
    </row>
    <row r="4" spans="2:26">
      <c r="J4" s="45" t="s">
        <v>189</v>
      </c>
      <c r="K4" s="42">
        <f>SUM(E66:AD66)</f>
        <v>2</v>
      </c>
      <c r="L4" s="47"/>
    </row>
    <row r="5" spans="2:26">
      <c r="J5" s="53" t="s">
        <v>191</v>
      </c>
      <c r="K5" s="42">
        <f>SUM(E67:AD67)</f>
        <v>7</v>
      </c>
      <c r="L5" s="47"/>
    </row>
    <row r="6" spans="2:26" ht="15" thickBot="1">
      <c r="J6" s="54"/>
      <c r="K6" s="55">
        <f>SUM(K3:K5)</f>
        <v>220</v>
      </c>
      <c r="L6" s="49">
        <f>(5*K3/K6)+1</f>
        <v>5.7954545454545459</v>
      </c>
    </row>
    <row r="7" spans="2:26" ht="15" thickBot="1"/>
    <row r="8" spans="2:26">
      <c r="O8" s="136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6"/>
    </row>
    <row r="9" spans="2:26" ht="18.5">
      <c r="O9" s="137" t="s">
        <v>285</v>
      </c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8"/>
    </row>
    <row r="10" spans="2:26" ht="15" thickBot="1">
      <c r="O10" s="138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8"/>
    </row>
    <row r="11" spans="2:26" ht="15.5">
      <c r="O11" s="139" t="s">
        <v>405</v>
      </c>
      <c r="P11" s="107"/>
      <c r="Q11" s="107"/>
      <c r="R11" s="107"/>
      <c r="S11" s="107"/>
      <c r="T11" s="107"/>
      <c r="U11" s="107"/>
      <c r="V11" s="107"/>
      <c r="W11" s="107"/>
      <c r="X11" s="107"/>
      <c r="Y11" s="120"/>
      <c r="Z11" s="121"/>
    </row>
    <row r="12" spans="2:26">
      <c r="O12" s="138"/>
      <c r="P12" s="107"/>
      <c r="Q12" s="107"/>
      <c r="R12" s="107"/>
      <c r="S12" s="107"/>
      <c r="T12" s="107"/>
      <c r="U12" s="107"/>
      <c r="V12" s="107"/>
      <c r="W12" s="112"/>
      <c r="X12" s="107"/>
      <c r="Y12" s="122" t="s">
        <v>406</v>
      </c>
      <c r="Z12" s="119"/>
    </row>
    <row r="13" spans="2:26">
      <c r="O13" s="138"/>
      <c r="P13" s="107"/>
      <c r="Q13" s="107"/>
      <c r="R13" s="107"/>
      <c r="S13" s="107"/>
      <c r="T13" s="107"/>
      <c r="U13" s="107"/>
      <c r="V13" s="107"/>
      <c r="W13" s="112"/>
      <c r="X13" s="107"/>
      <c r="Y13" s="122"/>
      <c r="Z13" s="119"/>
    </row>
    <row r="14" spans="2:26">
      <c r="O14" s="138"/>
      <c r="P14" s="107"/>
      <c r="Q14" s="107"/>
      <c r="R14" s="107"/>
      <c r="S14" s="107"/>
      <c r="T14" s="107"/>
      <c r="U14" s="107"/>
      <c r="V14" s="107"/>
      <c r="W14" s="112"/>
      <c r="X14" s="107"/>
      <c r="Y14" s="122"/>
      <c r="Z14" s="119"/>
    </row>
    <row r="15" spans="2:26" ht="15" thickBot="1">
      <c r="O15" s="138"/>
      <c r="P15" s="107"/>
      <c r="Q15" s="107"/>
      <c r="R15" s="107"/>
      <c r="S15" s="107"/>
      <c r="T15" s="107"/>
      <c r="U15" s="109"/>
      <c r="V15" s="107"/>
      <c r="W15" s="112"/>
      <c r="X15" s="107"/>
      <c r="Y15" s="122"/>
      <c r="Z15" s="119"/>
    </row>
    <row r="16" spans="2:26" ht="18.5">
      <c r="O16" s="138"/>
      <c r="P16" s="107"/>
      <c r="Q16" s="107"/>
      <c r="R16" s="114" t="s">
        <v>424</v>
      </c>
      <c r="S16" s="107"/>
      <c r="T16" s="107"/>
      <c r="U16" s="109"/>
      <c r="V16" s="107"/>
      <c r="W16" s="112"/>
      <c r="X16" s="107"/>
      <c r="Y16" s="122"/>
      <c r="Z16" s="119"/>
    </row>
    <row r="17" spans="15:26" ht="21.5" thickBot="1">
      <c r="O17" s="138"/>
      <c r="P17" s="107"/>
      <c r="Q17" s="107"/>
      <c r="R17" s="115">
        <f>L6</f>
        <v>5.7954545454545459</v>
      </c>
      <c r="S17" s="107"/>
      <c r="T17" s="107"/>
      <c r="U17" s="109"/>
      <c r="V17" s="107"/>
      <c r="W17" s="113"/>
      <c r="X17" s="107"/>
      <c r="Y17" s="123"/>
      <c r="Z17" s="124"/>
    </row>
    <row r="18" spans="15:26">
      <c r="O18" s="138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8"/>
    </row>
    <row r="19" spans="15:26" ht="15" thickBot="1">
      <c r="O19" s="14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1"/>
    </row>
    <row r="36" spans="1:30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>
      <c r="A37" s="4">
        <v>1</v>
      </c>
      <c r="B37" s="4" t="s">
        <v>169</v>
      </c>
      <c r="C37" s="4" t="s">
        <v>168</v>
      </c>
      <c r="D37" s="56"/>
      <c r="E37" s="37" t="str">
        <f>IF(EXACT(D37,PROPER(CONCATENATE(LEFT(C37,1),"."))),"ok",IF(D37="","--","nok"))</f>
        <v>--</v>
      </c>
      <c r="F37" s="56"/>
      <c r="G37" s="37" t="str">
        <f t="shared" ref="G37:G63" si="0">IF(F37=PROPER(CONCATENATE(D37,B37)),"ok",IF(F37="","--","nok"))</f>
        <v>--</v>
      </c>
      <c r="H37" s="4" t="s">
        <v>167</v>
      </c>
      <c r="I37" s="4">
        <v>8853</v>
      </c>
      <c r="J37" s="4" t="s">
        <v>50</v>
      </c>
      <c r="K37" s="4" t="s">
        <v>22</v>
      </c>
      <c r="L37" s="56"/>
      <c r="M37" s="37" t="str">
        <f t="shared" ref="M37:M63" si="1">IF(L37=CONCATENATE(K37,"-",I37," ",J37),"ok",IF(L37="","--","nok"))</f>
        <v>--</v>
      </c>
      <c r="N37" s="4" t="s">
        <v>166</v>
      </c>
      <c r="O37" s="56"/>
      <c r="P37" s="37" t="str">
        <f>IF(EXACT(O37,CONCATENATE(LOWER(C37),".",LOWER(B37),"@","bzu.ch")),"ok",IF(O37="","--","nok"))</f>
        <v>--</v>
      </c>
      <c r="Q37" s="4" t="s">
        <v>165</v>
      </c>
      <c r="R37" s="4" t="s">
        <v>48</v>
      </c>
      <c r="S37" s="56"/>
      <c r="T37" s="37" t="str">
        <f t="shared" ref="T37:T63" si="2">IF(S37="","--",IF(S37=IF(R37="Ja",1,0),"ok","nok"))</f>
        <v>--</v>
      </c>
      <c r="U37" s="56"/>
      <c r="V37" s="37" t="str">
        <f t="shared" ref="V37:V63" si="3">IF(U37="","--",IF(U37=IF(R37="Ja",0,1),"ok","nok"))</f>
        <v>--</v>
      </c>
      <c r="W37" s="56"/>
      <c r="X37" s="37" t="str">
        <f t="shared" ref="X37:X63" si="4">IF(W37=IF(R37="Nein",IF(N37&lt;&gt;"",N37,O37),""),"ok",IF(W37="","--","nok"))</f>
        <v>--</v>
      </c>
      <c r="Y37" s="38">
        <v>50</v>
      </c>
      <c r="Z37" s="38">
        <v>49.5</v>
      </c>
      <c r="AA37" s="57" t="s">
        <v>407</v>
      </c>
      <c r="AB37" s="37" t="str">
        <f t="shared" ref="AB37:AB63" si="5">IF(AA37=Y37-Z37,"ok",IF(AA37="","--","nok"))</f>
        <v>nok</v>
      </c>
      <c r="AC37" s="4" t="s">
        <v>53</v>
      </c>
      <c r="AD37" s="4" t="s">
        <v>40</v>
      </c>
    </row>
    <row r="38" spans="1:30">
      <c r="A38" s="4">
        <v>2</v>
      </c>
      <c r="B38" s="4" t="s">
        <v>164</v>
      </c>
      <c r="C38" s="4" t="s">
        <v>163</v>
      </c>
      <c r="D38" s="56" t="s">
        <v>332</v>
      </c>
      <c r="E38" s="37" t="str">
        <f>IF(EXACT(D38,PROPER(CONCATENATE(LEFT(C38,1),"."))),"ok",IF(D38="","--","nok"))</f>
        <v>ok</v>
      </c>
      <c r="F38" s="56" t="s">
        <v>339</v>
      </c>
      <c r="G38" s="37" t="str">
        <f t="shared" si="0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6" t="s">
        <v>363</v>
      </c>
      <c r="M38" s="37" t="str">
        <f t="shared" si="1"/>
        <v>ok</v>
      </c>
      <c r="N38" s="4" t="s">
        <v>161</v>
      </c>
      <c r="O38" s="56" t="s">
        <v>378</v>
      </c>
      <c r="P38" s="37" t="str">
        <f t="shared" ref="P38:P63" si="6">IF(EXACT(O38,CONCATENATE(LOWER(C38),".",LOWER(B38),"@","bzu.ch")),"ok",IF(O38="","--","nok"))</f>
        <v>ok</v>
      </c>
      <c r="Q38" s="4" t="s">
        <v>160</v>
      </c>
      <c r="R38" s="4" t="s">
        <v>40</v>
      </c>
      <c r="S38" s="56">
        <v>1</v>
      </c>
      <c r="T38" s="37" t="str">
        <f t="shared" si="2"/>
        <v>ok</v>
      </c>
      <c r="U38" s="56">
        <v>0</v>
      </c>
      <c r="V38" s="37" t="str">
        <f t="shared" si="3"/>
        <v>ok</v>
      </c>
      <c r="W38" s="56" t="s">
        <v>404</v>
      </c>
      <c r="X38" s="37" t="str">
        <f t="shared" si="4"/>
        <v>ok</v>
      </c>
      <c r="Y38" s="38">
        <v>68</v>
      </c>
      <c r="Z38" s="38">
        <v>30</v>
      </c>
      <c r="AA38" s="57">
        <v>38</v>
      </c>
      <c r="AB38" s="37" t="str">
        <f t="shared" si="5"/>
        <v>ok</v>
      </c>
      <c r="AC38" s="4" t="s">
        <v>53</v>
      </c>
      <c r="AD38" s="4" t="s">
        <v>48</v>
      </c>
    </row>
    <row r="39" spans="1:30">
      <c r="A39" s="4">
        <v>3</v>
      </c>
      <c r="B39" s="4" t="s">
        <v>159</v>
      </c>
      <c r="C39" s="4" t="s">
        <v>158</v>
      </c>
      <c r="D39" s="56" t="s">
        <v>333</v>
      </c>
      <c r="E39" s="37" t="str">
        <f t="shared" ref="E39:E63" si="7">IF(EXACT(D39,PROPER(CONCATENATE(LEFT(C39,1),"."))),"ok",IF(D39="","--","nok"))</f>
        <v>ok</v>
      </c>
      <c r="F39" s="56" t="s">
        <v>340</v>
      </c>
      <c r="G39" s="37" t="str">
        <f t="shared" si="0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6" t="s">
        <v>363</v>
      </c>
      <c r="M39" s="37" t="str">
        <f t="shared" si="1"/>
        <v>ok</v>
      </c>
      <c r="N39" s="4"/>
      <c r="O39" s="56" t="s">
        <v>379</v>
      </c>
      <c r="P39" s="37" t="str">
        <f t="shared" si="6"/>
        <v>ok</v>
      </c>
      <c r="Q39" s="4" t="s">
        <v>156</v>
      </c>
      <c r="R39" s="4" t="s">
        <v>48</v>
      </c>
      <c r="S39" s="56">
        <v>0</v>
      </c>
      <c r="T39" s="37" t="str">
        <f t="shared" si="2"/>
        <v>ok</v>
      </c>
      <c r="U39" s="56">
        <v>1</v>
      </c>
      <c r="V39" s="37" t="str">
        <f t="shared" si="3"/>
        <v>ok</v>
      </c>
      <c r="W39" s="56" t="s">
        <v>379</v>
      </c>
      <c r="X39" s="37" t="str">
        <f t="shared" si="4"/>
        <v>ok</v>
      </c>
      <c r="Y39" s="38">
        <v>123</v>
      </c>
      <c r="Z39" s="38">
        <v>100</v>
      </c>
      <c r="AA39" s="57">
        <v>23</v>
      </c>
      <c r="AB39" s="37" t="str">
        <f t="shared" si="5"/>
        <v>ok</v>
      </c>
      <c r="AC39" s="4" t="s">
        <v>64</v>
      </c>
      <c r="AD39" s="4" t="s">
        <v>40</v>
      </c>
    </row>
    <row r="40" spans="1:30">
      <c r="A40" s="4">
        <v>4</v>
      </c>
      <c r="B40" s="4" t="s">
        <v>155</v>
      </c>
      <c r="C40" s="4" t="s">
        <v>154</v>
      </c>
      <c r="D40" s="56" t="s">
        <v>334</v>
      </c>
      <c r="E40" s="37" t="str">
        <f t="shared" si="7"/>
        <v>ok</v>
      </c>
      <c r="F40" s="56" t="s">
        <v>341</v>
      </c>
      <c r="G40" s="37" t="str">
        <f t="shared" si="0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6" t="s">
        <v>364</v>
      </c>
      <c r="M40" s="37" t="str">
        <f t="shared" si="1"/>
        <v>ok</v>
      </c>
      <c r="N40" s="4" t="s">
        <v>151</v>
      </c>
      <c r="O40" s="56" t="s">
        <v>380</v>
      </c>
      <c r="P40" s="37" t="str">
        <f t="shared" si="6"/>
        <v>ok</v>
      </c>
      <c r="Q40" s="4" t="s">
        <v>150</v>
      </c>
      <c r="R40" s="4" t="s">
        <v>40</v>
      </c>
      <c r="S40" s="56">
        <v>1</v>
      </c>
      <c r="T40" s="37" t="str">
        <f t="shared" si="2"/>
        <v>ok</v>
      </c>
      <c r="U40" s="56">
        <v>0</v>
      </c>
      <c r="V40" s="37" t="str">
        <f t="shared" si="3"/>
        <v>ok</v>
      </c>
      <c r="W40" s="56" t="s">
        <v>404</v>
      </c>
      <c r="X40" s="37" t="str">
        <f t="shared" si="4"/>
        <v>ok</v>
      </c>
      <c r="Y40" s="38">
        <v>45.3</v>
      </c>
      <c r="Z40" s="38">
        <v>30</v>
      </c>
      <c r="AA40" s="57">
        <v>15.299999999999997</v>
      </c>
      <c r="AB40" s="37" t="str">
        <f t="shared" si="5"/>
        <v>ok</v>
      </c>
      <c r="AC40" s="4" t="s">
        <v>64</v>
      </c>
      <c r="AD40" s="4" t="s">
        <v>48</v>
      </c>
    </row>
    <row r="41" spans="1:30">
      <c r="A41" s="4">
        <v>5</v>
      </c>
      <c r="B41" s="4" t="s">
        <v>149</v>
      </c>
      <c r="C41" s="4" t="s">
        <v>148</v>
      </c>
      <c r="D41" s="56" t="s">
        <v>335</v>
      </c>
      <c r="E41" s="37" t="str">
        <f t="shared" si="7"/>
        <v>ok</v>
      </c>
      <c r="F41" s="56" t="s">
        <v>342</v>
      </c>
      <c r="G41" s="37" t="str">
        <f t="shared" si="0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6" t="s">
        <v>365</v>
      </c>
      <c r="M41" s="37" t="str">
        <f t="shared" si="1"/>
        <v>ok</v>
      </c>
      <c r="N41" s="4"/>
      <c r="O41" s="56" t="s">
        <v>381</v>
      </c>
      <c r="P41" s="37" t="str">
        <f t="shared" si="6"/>
        <v>ok</v>
      </c>
      <c r="Q41" s="4" t="s">
        <v>146</v>
      </c>
      <c r="R41" s="4" t="s">
        <v>48</v>
      </c>
      <c r="S41" s="56">
        <v>0</v>
      </c>
      <c r="T41" s="37" t="str">
        <f t="shared" si="2"/>
        <v>ok</v>
      </c>
      <c r="U41" s="56">
        <v>1</v>
      </c>
      <c r="V41" s="37" t="str">
        <f t="shared" si="3"/>
        <v>ok</v>
      </c>
      <c r="W41" s="56" t="s">
        <v>381</v>
      </c>
      <c r="X41" s="37" t="str">
        <f t="shared" si="4"/>
        <v>ok</v>
      </c>
      <c r="Y41" s="38">
        <v>312.56</v>
      </c>
      <c r="Z41" s="38">
        <v>50</v>
      </c>
      <c r="AA41" s="57">
        <v>262.56</v>
      </c>
      <c r="AB41" s="37" t="str">
        <f t="shared" si="5"/>
        <v>ok</v>
      </c>
      <c r="AC41" s="4" t="s">
        <v>41</v>
      </c>
      <c r="AD41" s="4" t="s">
        <v>40</v>
      </c>
    </row>
    <row r="42" spans="1:30">
      <c r="A42" s="4">
        <v>6</v>
      </c>
      <c r="B42" s="4" t="s">
        <v>145</v>
      </c>
      <c r="C42" s="4" t="s">
        <v>144</v>
      </c>
      <c r="D42" s="56" t="s">
        <v>332</v>
      </c>
      <c r="E42" s="37" t="str">
        <f t="shared" si="7"/>
        <v>ok</v>
      </c>
      <c r="F42" s="56" t="s">
        <v>343</v>
      </c>
      <c r="G42" s="37" t="str">
        <f t="shared" si="0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6" t="s">
        <v>366</v>
      </c>
      <c r="M42" s="37" t="str">
        <f t="shared" si="1"/>
        <v>ok</v>
      </c>
      <c r="N42" s="4" t="s">
        <v>141</v>
      </c>
      <c r="O42" s="56" t="s">
        <v>382</v>
      </c>
      <c r="P42" s="37" t="str">
        <f t="shared" si="6"/>
        <v>ok</v>
      </c>
      <c r="Q42" s="4" t="s">
        <v>140</v>
      </c>
      <c r="R42" s="4" t="s">
        <v>40</v>
      </c>
      <c r="S42" s="56">
        <v>1</v>
      </c>
      <c r="T42" s="37" t="str">
        <f t="shared" si="2"/>
        <v>ok</v>
      </c>
      <c r="U42" s="56">
        <v>0</v>
      </c>
      <c r="V42" s="37" t="str">
        <f t="shared" si="3"/>
        <v>ok</v>
      </c>
      <c r="W42" s="56" t="s">
        <v>404</v>
      </c>
      <c r="X42" s="37" t="str">
        <f t="shared" si="4"/>
        <v>ok</v>
      </c>
      <c r="Y42" s="38">
        <v>21.3</v>
      </c>
      <c r="Z42" s="38">
        <v>10</v>
      </c>
      <c r="AA42" s="57">
        <v>11.3</v>
      </c>
      <c r="AB42" s="37" t="str">
        <f t="shared" si="5"/>
        <v>ok</v>
      </c>
      <c r="AC42" s="4" t="s">
        <v>41</v>
      </c>
      <c r="AD42" s="4" t="s">
        <v>48</v>
      </c>
    </row>
    <row r="43" spans="1:30">
      <c r="A43" s="4">
        <v>7</v>
      </c>
      <c r="B43" s="4" t="s">
        <v>139</v>
      </c>
      <c r="C43" s="4" t="s">
        <v>138</v>
      </c>
      <c r="D43" s="56" t="s">
        <v>332</v>
      </c>
      <c r="E43" s="37" t="str">
        <f t="shared" si="7"/>
        <v>ok</v>
      </c>
      <c r="F43" s="56" t="s">
        <v>344</v>
      </c>
      <c r="G43" s="37" t="str">
        <f t="shared" si="0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6" t="s">
        <v>367</v>
      </c>
      <c r="M43" s="37" t="str">
        <f t="shared" si="1"/>
        <v>ok</v>
      </c>
      <c r="N43" s="4" t="s">
        <v>136</v>
      </c>
      <c r="O43" s="56" t="s">
        <v>383</v>
      </c>
      <c r="P43" s="37" t="str">
        <f t="shared" si="6"/>
        <v>ok</v>
      </c>
      <c r="Q43" s="4" t="s">
        <v>135</v>
      </c>
      <c r="R43" s="4" t="s">
        <v>40</v>
      </c>
      <c r="S43" s="56">
        <v>1</v>
      </c>
      <c r="T43" s="37" t="str">
        <f t="shared" si="2"/>
        <v>ok</v>
      </c>
      <c r="U43" s="56">
        <v>0</v>
      </c>
      <c r="V43" s="37" t="str">
        <f t="shared" si="3"/>
        <v>ok</v>
      </c>
      <c r="W43" s="56" t="s">
        <v>404</v>
      </c>
      <c r="X43" s="37" t="str">
        <f t="shared" si="4"/>
        <v>ok</v>
      </c>
      <c r="Y43" s="38">
        <v>45.7</v>
      </c>
      <c r="Z43" s="38">
        <v>0</v>
      </c>
      <c r="AA43" s="57">
        <v>45.7</v>
      </c>
      <c r="AB43" s="37" t="str">
        <f t="shared" si="5"/>
        <v>ok</v>
      </c>
      <c r="AC43" s="4" t="s">
        <v>64</v>
      </c>
      <c r="AD43" s="4" t="s">
        <v>40</v>
      </c>
    </row>
    <row r="44" spans="1:30">
      <c r="A44" s="4">
        <v>8</v>
      </c>
      <c r="B44" s="4" t="s">
        <v>134</v>
      </c>
      <c r="C44" s="4" t="s">
        <v>133</v>
      </c>
      <c r="D44" s="56" t="s">
        <v>333</v>
      </c>
      <c r="E44" s="37" t="str">
        <f t="shared" si="7"/>
        <v>ok</v>
      </c>
      <c r="F44" s="56" t="s">
        <v>345</v>
      </c>
      <c r="G44" s="37" t="str">
        <f t="shared" si="0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6" t="s">
        <v>368</v>
      </c>
      <c r="M44" s="37" t="str">
        <f t="shared" si="1"/>
        <v>ok</v>
      </c>
      <c r="N44" s="4"/>
      <c r="O44" s="56" t="s">
        <v>384</v>
      </c>
      <c r="P44" s="37" t="str">
        <f t="shared" si="6"/>
        <v>ok</v>
      </c>
      <c r="Q44" s="4" t="s">
        <v>130</v>
      </c>
      <c r="R44" s="4" t="s">
        <v>48</v>
      </c>
      <c r="S44" s="56">
        <v>0</v>
      </c>
      <c r="T44" s="37" t="str">
        <f t="shared" si="2"/>
        <v>ok</v>
      </c>
      <c r="U44" s="56">
        <v>1</v>
      </c>
      <c r="V44" s="37" t="str">
        <f t="shared" si="3"/>
        <v>ok</v>
      </c>
      <c r="W44" s="56" t="s">
        <v>384</v>
      </c>
      <c r="X44" s="37" t="str">
        <f t="shared" si="4"/>
        <v>ok</v>
      </c>
      <c r="Y44" s="38">
        <v>427.8</v>
      </c>
      <c r="Z44" s="38">
        <v>250</v>
      </c>
      <c r="AA44" s="57">
        <v>177.8</v>
      </c>
      <c r="AB44" s="37" t="str">
        <f t="shared" si="5"/>
        <v>ok</v>
      </c>
      <c r="AC44" s="4" t="s">
        <v>64</v>
      </c>
      <c r="AD44" s="4" t="s">
        <v>48</v>
      </c>
    </row>
    <row r="45" spans="1:30">
      <c r="A45" s="4">
        <v>9</v>
      </c>
      <c r="B45" s="4" t="s">
        <v>124</v>
      </c>
      <c r="C45" s="4" t="s">
        <v>129</v>
      </c>
      <c r="D45" s="56" t="s">
        <v>336</v>
      </c>
      <c r="E45" s="37" t="str">
        <f t="shared" si="7"/>
        <v>ok</v>
      </c>
      <c r="F45" s="56" t="s">
        <v>346</v>
      </c>
      <c r="G45" s="37" t="str">
        <f t="shared" si="0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6" t="s">
        <v>363</v>
      </c>
      <c r="M45" s="37" t="str">
        <f t="shared" si="1"/>
        <v>ok</v>
      </c>
      <c r="N45" s="4" t="s">
        <v>127</v>
      </c>
      <c r="O45" s="56" t="s">
        <v>385</v>
      </c>
      <c r="P45" s="37" t="str">
        <f t="shared" si="6"/>
        <v>ok</v>
      </c>
      <c r="Q45" s="4" t="s">
        <v>121</v>
      </c>
      <c r="R45" s="4" t="s">
        <v>48</v>
      </c>
      <c r="S45" s="56">
        <v>0</v>
      </c>
      <c r="T45" s="37" t="str">
        <f t="shared" si="2"/>
        <v>ok</v>
      </c>
      <c r="U45" s="56">
        <v>1</v>
      </c>
      <c r="V45" s="37" t="str">
        <f t="shared" si="3"/>
        <v>ok</v>
      </c>
      <c r="W45" s="56" t="s">
        <v>127</v>
      </c>
      <c r="X45" s="37" t="str">
        <f t="shared" si="4"/>
        <v>ok</v>
      </c>
      <c r="Y45" s="38">
        <v>34.700000000000003</v>
      </c>
      <c r="Z45" s="38">
        <v>0</v>
      </c>
      <c r="AA45" s="57">
        <v>34.700000000000003</v>
      </c>
      <c r="AB45" s="37" t="str">
        <f t="shared" si="5"/>
        <v>ok</v>
      </c>
      <c r="AC45" s="4" t="s">
        <v>41</v>
      </c>
      <c r="AD45" s="4" t="s">
        <v>40</v>
      </c>
    </row>
    <row r="46" spans="1:30">
      <c r="A46" s="4">
        <v>10</v>
      </c>
      <c r="B46" s="4" t="s">
        <v>124</v>
      </c>
      <c r="C46" s="4" t="s">
        <v>110</v>
      </c>
      <c r="D46" s="56" t="s">
        <v>332</v>
      </c>
      <c r="E46" s="37" t="str">
        <f t="shared" si="7"/>
        <v>ok</v>
      </c>
      <c r="F46" s="56" t="s">
        <v>347</v>
      </c>
      <c r="G46" s="37" t="str">
        <f t="shared" si="0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6" t="s">
        <v>363</v>
      </c>
      <c r="M46" s="37" t="str">
        <f t="shared" si="1"/>
        <v>ok</v>
      </c>
      <c r="N46" s="4" t="s">
        <v>125</v>
      </c>
      <c r="O46" s="56" t="s">
        <v>386</v>
      </c>
      <c r="P46" s="37" t="str">
        <f t="shared" si="6"/>
        <v>ok</v>
      </c>
      <c r="Q46" s="4" t="s">
        <v>121</v>
      </c>
      <c r="R46" s="4" t="s">
        <v>48</v>
      </c>
      <c r="S46" s="56">
        <v>0</v>
      </c>
      <c r="T46" s="37" t="str">
        <f t="shared" si="2"/>
        <v>ok</v>
      </c>
      <c r="U46" s="56">
        <v>1</v>
      </c>
      <c r="V46" s="37" t="str">
        <f t="shared" si="3"/>
        <v>ok</v>
      </c>
      <c r="W46" s="56" t="s">
        <v>125</v>
      </c>
      <c r="X46" s="37" t="str">
        <f t="shared" si="4"/>
        <v>ok</v>
      </c>
      <c r="Y46" s="38">
        <v>35.9</v>
      </c>
      <c r="Z46" s="38">
        <v>0</v>
      </c>
      <c r="AA46" s="57">
        <v>35.9</v>
      </c>
      <c r="AB46" s="37" t="str">
        <f t="shared" si="5"/>
        <v>ok</v>
      </c>
      <c r="AC46" s="4" t="s">
        <v>64</v>
      </c>
      <c r="AD46" s="4" t="s">
        <v>48</v>
      </c>
    </row>
    <row r="47" spans="1:30">
      <c r="A47" s="4">
        <v>11</v>
      </c>
      <c r="B47" s="4" t="s">
        <v>124</v>
      </c>
      <c r="C47" s="4" t="s">
        <v>123</v>
      </c>
      <c r="D47" s="56" t="s">
        <v>332</v>
      </c>
      <c r="E47" s="37" t="str">
        <f t="shared" si="7"/>
        <v>ok</v>
      </c>
      <c r="F47" s="56" t="s">
        <v>347</v>
      </c>
      <c r="G47" s="37" t="str">
        <f t="shared" si="0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6" t="s">
        <v>363</v>
      </c>
      <c r="M47" s="37" t="str">
        <f t="shared" si="1"/>
        <v>ok</v>
      </c>
      <c r="N47" s="4"/>
      <c r="O47" s="56" t="s">
        <v>387</v>
      </c>
      <c r="P47" s="37" t="str">
        <f t="shared" si="6"/>
        <v>ok</v>
      </c>
      <c r="Q47" s="4" t="s">
        <v>121</v>
      </c>
      <c r="R47" s="4" t="s">
        <v>40</v>
      </c>
      <c r="S47" s="56">
        <v>1</v>
      </c>
      <c r="T47" s="37" t="str">
        <f t="shared" si="2"/>
        <v>ok</v>
      </c>
      <c r="U47" s="56">
        <v>0</v>
      </c>
      <c r="V47" s="37" t="str">
        <f t="shared" si="3"/>
        <v>ok</v>
      </c>
      <c r="W47" s="56" t="s">
        <v>404</v>
      </c>
      <c r="X47" s="37" t="str">
        <f t="shared" si="4"/>
        <v>ok</v>
      </c>
      <c r="Y47" s="38">
        <v>17.8</v>
      </c>
      <c r="Z47" s="38">
        <v>0</v>
      </c>
      <c r="AA47" s="57">
        <v>17.8</v>
      </c>
      <c r="AB47" s="37" t="str">
        <f t="shared" si="5"/>
        <v>ok</v>
      </c>
      <c r="AC47" s="4" t="s">
        <v>53</v>
      </c>
      <c r="AD47" s="4" t="s">
        <v>40</v>
      </c>
    </row>
    <row r="48" spans="1:30">
      <c r="A48" s="4">
        <v>12</v>
      </c>
      <c r="B48" s="4" t="s">
        <v>120</v>
      </c>
      <c r="C48" s="4" t="s">
        <v>119</v>
      </c>
      <c r="D48" s="56" t="s">
        <v>332</v>
      </c>
      <c r="E48" s="37" t="str">
        <f t="shared" si="7"/>
        <v>ok</v>
      </c>
      <c r="F48" s="56" t="s">
        <v>348</v>
      </c>
      <c r="G48" s="37" t="str">
        <f t="shared" si="0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6" t="s">
        <v>363</v>
      </c>
      <c r="M48" s="37" t="str">
        <f t="shared" si="1"/>
        <v>ok</v>
      </c>
      <c r="N48" s="4" t="s">
        <v>117</v>
      </c>
      <c r="O48" s="56" t="s">
        <v>388</v>
      </c>
      <c r="P48" s="37" t="str">
        <f t="shared" si="6"/>
        <v>ok</v>
      </c>
      <c r="Q48" s="4" t="s">
        <v>93</v>
      </c>
      <c r="R48" s="4" t="s">
        <v>48</v>
      </c>
      <c r="S48" s="56">
        <v>0</v>
      </c>
      <c r="T48" s="37" t="str">
        <f t="shared" si="2"/>
        <v>ok</v>
      </c>
      <c r="U48" s="56">
        <v>1</v>
      </c>
      <c r="V48" s="37" t="str">
        <f t="shared" si="3"/>
        <v>ok</v>
      </c>
      <c r="W48" s="56" t="s">
        <v>117</v>
      </c>
      <c r="X48" s="37" t="str">
        <f t="shared" si="4"/>
        <v>ok</v>
      </c>
      <c r="Y48" s="38">
        <v>68</v>
      </c>
      <c r="Z48" s="38">
        <v>20</v>
      </c>
      <c r="AA48" s="57">
        <v>48</v>
      </c>
      <c r="AB48" s="37" t="str">
        <f t="shared" si="5"/>
        <v>ok</v>
      </c>
      <c r="AC48" s="4" t="s">
        <v>64</v>
      </c>
      <c r="AD48" s="4" t="s">
        <v>48</v>
      </c>
    </row>
    <row r="49" spans="1:30">
      <c r="A49" s="4">
        <v>13</v>
      </c>
      <c r="B49" s="4" t="s">
        <v>116</v>
      </c>
      <c r="C49" s="4" t="s">
        <v>115</v>
      </c>
      <c r="D49" s="56" t="s">
        <v>332</v>
      </c>
      <c r="E49" s="37" t="str">
        <f t="shared" si="7"/>
        <v>ok</v>
      </c>
      <c r="F49" s="56" t="s">
        <v>349</v>
      </c>
      <c r="G49" s="37" t="str">
        <f t="shared" si="0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6" t="s">
        <v>365</v>
      </c>
      <c r="M49" s="37" t="str">
        <f t="shared" si="1"/>
        <v>ok</v>
      </c>
      <c r="N49" s="4"/>
      <c r="O49" s="56" t="s">
        <v>389</v>
      </c>
      <c r="P49" s="37" t="str">
        <f t="shared" si="6"/>
        <v>ok</v>
      </c>
      <c r="Q49" s="4" t="s">
        <v>112</v>
      </c>
      <c r="R49" s="4" t="s">
        <v>40</v>
      </c>
      <c r="S49" s="56">
        <v>1</v>
      </c>
      <c r="T49" s="37" t="str">
        <f t="shared" si="2"/>
        <v>ok</v>
      </c>
      <c r="U49" s="56">
        <v>0</v>
      </c>
      <c r="V49" s="37" t="str">
        <f t="shared" si="3"/>
        <v>ok</v>
      </c>
      <c r="W49" s="56" t="s">
        <v>404</v>
      </c>
      <c r="X49" s="37" t="str">
        <f t="shared" si="4"/>
        <v>ok</v>
      </c>
      <c r="Y49" s="38">
        <v>32</v>
      </c>
      <c r="Z49" s="38">
        <v>0</v>
      </c>
      <c r="AA49" s="57">
        <v>32</v>
      </c>
      <c r="AB49" s="37" t="str">
        <f t="shared" si="5"/>
        <v>ok</v>
      </c>
      <c r="AC49" s="4" t="s">
        <v>41</v>
      </c>
      <c r="AD49" s="4" t="s">
        <v>40</v>
      </c>
    </row>
    <row r="50" spans="1:30">
      <c r="A50" s="4">
        <v>14</v>
      </c>
      <c r="B50" s="4" t="s">
        <v>111</v>
      </c>
      <c r="C50" s="4" t="s">
        <v>110</v>
      </c>
      <c r="D50" s="56" t="s">
        <v>332</v>
      </c>
      <c r="E50" s="37" t="str">
        <f t="shared" si="7"/>
        <v>ok</v>
      </c>
      <c r="F50" s="56" t="s">
        <v>350</v>
      </c>
      <c r="G50" s="37" t="str">
        <f t="shared" si="0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6" t="s">
        <v>369</v>
      </c>
      <c r="M50" s="37" t="str">
        <f t="shared" si="1"/>
        <v>ok</v>
      </c>
      <c r="N50" s="4" t="s">
        <v>107</v>
      </c>
      <c r="O50" s="56" t="s">
        <v>390</v>
      </c>
      <c r="P50" s="37" t="str">
        <f t="shared" si="6"/>
        <v>ok</v>
      </c>
      <c r="Q50" s="4" t="s">
        <v>106</v>
      </c>
      <c r="R50" s="4" t="s">
        <v>40</v>
      </c>
      <c r="S50" s="56">
        <v>1</v>
      </c>
      <c r="T50" s="37" t="str">
        <f t="shared" si="2"/>
        <v>ok</v>
      </c>
      <c r="U50" s="56">
        <v>0</v>
      </c>
      <c r="V50" s="37" t="str">
        <f t="shared" si="3"/>
        <v>ok</v>
      </c>
      <c r="W50" s="56" t="s">
        <v>404</v>
      </c>
      <c r="X50" s="37" t="str">
        <f t="shared" si="4"/>
        <v>ok</v>
      </c>
      <c r="Y50" s="38">
        <v>123</v>
      </c>
      <c r="Z50" s="38">
        <v>50</v>
      </c>
      <c r="AA50" s="57">
        <v>73</v>
      </c>
      <c r="AB50" s="37" t="str">
        <f t="shared" si="5"/>
        <v>ok</v>
      </c>
      <c r="AC50" s="4" t="s">
        <v>64</v>
      </c>
      <c r="AD50" s="4" t="s">
        <v>48</v>
      </c>
    </row>
    <row r="51" spans="1:30">
      <c r="A51" s="4">
        <v>15</v>
      </c>
      <c r="B51" s="4" t="s">
        <v>105</v>
      </c>
      <c r="C51" s="4" t="s">
        <v>104</v>
      </c>
      <c r="D51" s="56" t="s">
        <v>332</v>
      </c>
      <c r="E51" s="37" t="str">
        <f t="shared" si="7"/>
        <v>ok</v>
      </c>
      <c r="F51" s="56" t="s">
        <v>351</v>
      </c>
      <c r="G51" s="37" t="str">
        <f t="shared" si="0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6" t="s">
        <v>370</v>
      </c>
      <c r="M51" s="37" t="str">
        <f t="shared" si="1"/>
        <v>ok</v>
      </c>
      <c r="N51" s="4" t="s">
        <v>102</v>
      </c>
      <c r="O51" s="56" t="s">
        <v>391</v>
      </c>
      <c r="P51" s="37" t="str">
        <f t="shared" si="6"/>
        <v>ok</v>
      </c>
      <c r="Q51" s="4" t="s">
        <v>101</v>
      </c>
      <c r="R51" s="4" t="s">
        <v>40</v>
      </c>
      <c r="S51" s="56">
        <v>1</v>
      </c>
      <c r="T51" s="37" t="str">
        <f t="shared" si="2"/>
        <v>ok</v>
      </c>
      <c r="U51" s="56">
        <v>0</v>
      </c>
      <c r="V51" s="37" t="str">
        <f t="shared" si="3"/>
        <v>ok</v>
      </c>
      <c r="W51" s="56" t="s">
        <v>404</v>
      </c>
      <c r="X51" s="37" t="str">
        <f t="shared" si="4"/>
        <v>ok</v>
      </c>
      <c r="Y51" s="38">
        <v>45.3</v>
      </c>
      <c r="Z51" s="38">
        <v>0</v>
      </c>
      <c r="AA51" s="57">
        <v>45.3</v>
      </c>
      <c r="AB51" s="37" t="str">
        <f t="shared" si="5"/>
        <v>ok</v>
      </c>
      <c r="AC51" s="4" t="s">
        <v>64</v>
      </c>
      <c r="AD51" s="4" t="s">
        <v>40</v>
      </c>
    </row>
    <row r="52" spans="1:30">
      <c r="A52" s="4">
        <v>16</v>
      </c>
      <c r="B52" s="4" t="s">
        <v>32</v>
      </c>
      <c r="C52" s="4" t="s">
        <v>100</v>
      </c>
      <c r="D52" s="56" t="s">
        <v>333</v>
      </c>
      <c r="E52" s="37" t="str">
        <f t="shared" si="7"/>
        <v>ok</v>
      </c>
      <c r="F52" s="56" t="s">
        <v>352</v>
      </c>
      <c r="G52" s="37" t="str">
        <f t="shared" si="0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6" t="s">
        <v>371</v>
      </c>
      <c r="M52" s="37" t="str">
        <f t="shared" si="1"/>
        <v>ok</v>
      </c>
      <c r="N52" s="4" t="s">
        <v>98</v>
      </c>
      <c r="O52" s="56" t="s">
        <v>392</v>
      </c>
      <c r="P52" s="37" t="str">
        <f t="shared" si="6"/>
        <v>ok</v>
      </c>
      <c r="Q52" s="4" t="s">
        <v>97</v>
      </c>
      <c r="R52" s="4" t="s">
        <v>40</v>
      </c>
      <c r="S52" s="56">
        <v>1</v>
      </c>
      <c r="T52" s="37" t="str">
        <f t="shared" si="2"/>
        <v>ok</v>
      </c>
      <c r="U52" s="56">
        <v>0</v>
      </c>
      <c r="V52" s="37" t="str">
        <f t="shared" si="3"/>
        <v>ok</v>
      </c>
      <c r="W52" s="56" t="s">
        <v>404</v>
      </c>
      <c r="X52" s="37" t="str">
        <f t="shared" si="4"/>
        <v>ok</v>
      </c>
      <c r="Y52" s="38">
        <v>312.56</v>
      </c>
      <c r="Z52" s="38">
        <v>0</v>
      </c>
      <c r="AA52" s="57">
        <v>312.56</v>
      </c>
      <c r="AB52" s="37" t="str">
        <f t="shared" si="5"/>
        <v>ok</v>
      </c>
      <c r="AC52" s="4" t="s">
        <v>64</v>
      </c>
      <c r="AD52" s="4" t="s">
        <v>48</v>
      </c>
    </row>
    <row r="53" spans="1:30">
      <c r="A53" s="4">
        <v>17</v>
      </c>
      <c r="B53" s="4" t="s">
        <v>96</v>
      </c>
      <c r="C53" s="4" t="s">
        <v>95</v>
      </c>
      <c r="D53" s="56" t="s">
        <v>332</v>
      </c>
      <c r="E53" s="37" t="str">
        <f t="shared" si="7"/>
        <v>ok</v>
      </c>
      <c r="F53" s="56" t="s">
        <v>353</v>
      </c>
      <c r="G53" s="37" t="str">
        <f t="shared" si="0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6" t="s">
        <v>363</v>
      </c>
      <c r="M53" s="37" t="str">
        <f t="shared" si="1"/>
        <v>ok</v>
      </c>
      <c r="N53" s="4"/>
      <c r="O53" s="56" t="s">
        <v>393</v>
      </c>
      <c r="P53" s="37" t="str">
        <f t="shared" si="6"/>
        <v>ok</v>
      </c>
      <c r="Q53" s="4" t="s">
        <v>93</v>
      </c>
      <c r="R53" s="4" t="s">
        <v>40</v>
      </c>
      <c r="S53" s="56">
        <v>1</v>
      </c>
      <c r="T53" s="37" t="str">
        <f t="shared" si="2"/>
        <v>ok</v>
      </c>
      <c r="U53" s="56">
        <v>0</v>
      </c>
      <c r="V53" s="37" t="str">
        <f t="shared" si="3"/>
        <v>ok</v>
      </c>
      <c r="W53" s="56" t="s">
        <v>404</v>
      </c>
      <c r="X53" s="37" t="str">
        <f t="shared" si="4"/>
        <v>ok</v>
      </c>
      <c r="Y53" s="38">
        <v>84</v>
      </c>
      <c r="Z53" s="38">
        <v>24</v>
      </c>
      <c r="AA53" s="57">
        <v>60</v>
      </c>
      <c r="AB53" s="37" t="str">
        <f t="shared" si="5"/>
        <v>ok</v>
      </c>
      <c r="AC53" s="4" t="s">
        <v>41</v>
      </c>
      <c r="AD53" s="4" t="s">
        <v>40</v>
      </c>
    </row>
    <row r="54" spans="1:30">
      <c r="A54" s="4">
        <v>18</v>
      </c>
      <c r="B54" s="4" t="s">
        <v>92</v>
      </c>
      <c r="C54" s="4" t="s">
        <v>91</v>
      </c>
      <c r="D54" s="56" t="s">
        <v>332</v>
      </c>
      <c r="E54" s="37" t="str">
        <f t="shared" si="7"/>
        <v>ok</v>
      </c>
      <c r="F54" s="56" t="s">
        <v>354</v>
      </c>
      <c r="G54" s="37" t="str">
        <f t="shared" si="0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6" t="s">
        <v>372</v>
      </c>
      <c r="M54" s="37" t="str">
        <f t="shared" si="1"/>
        <v>ok</v>
      </c>
      <c r="N54" s="4" t="s">
        <v>88</v>
      </c>
      <c r="O54" s="56" t="s">
        <v>394</v>
      </c>
      <c r="P54" s="37" t="str">
        <f t="shared" si="6"/>
        <v>ok</v>
      </c>
      <c r="Q54" s="4" t="s">
        <v>87</v>
      </c>
      <c r="R54" s="4" t="s">
        <v>48</v>
      </c>
      <c r="S54" s="56">
        <v>0</v>
      </c>
      <c r="T54" s="37" t="str">
        <f t="shared" si="2"/>
        <v>ok</v>
      </c>
      <c r="U54" s="56">
        <v>1</v>
      </c>
      <c r="V54" s="37" t="str">
        <f t="shared" si="3"/>
        <v>ok</v>
      </c>
      <c r="W54" s="56" t="s">
        <v>88</v>
      </c>
      <c r="X54" s="37" t="str">
        <f t="shared" si="4"/>
        <v>ok</v>
      </c>
      <c r="Y54" s="38">
        <v>45.7</v>
      </c>
      <c r="Z54" s="38">
        <v>25</v>
      </c>
      <c r="AA54" s="57">
        <v>20.700000000000003</v>
      </c>
      <c r="AB54" s="37" t="str">
        <f t="shared" si="5"/>
        <v>ok</v>
      </c>
      <c r="AC54" s="4" t="s">
        <v>64</v>
      </c>
      <c r="AD54" s="4" t="s">
        <v>48</v>
      </c>
    </row>
    <row r="55" spans="1:30">
      <c r="A55" s="4">
        <v>19</v>
      </c>
      <c r="B55" s="4" t="s">
        <v>86</v>
      </c>
      <c r="C55" s="4" t="s">
        <v>82</v>
      </c>
      <c r="D55" s="56" t="s">
        <v>332</v>
      </c>
      <c r="E55" s="37" t="str">
        <f t="shared" si="7"/>
        <v>ok</v>
      </c>
      <c r="F55" s="56" t="s">
        <v>355</v>
      </c>
      <c r="G55" s="37" t="str">
        <f t="shared" si="0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6" t="s">
        <v>373</v>
      </c>
      <c r="M55" s="37" t="str">
        <f t="shared" si="1"/>
        <v>ok</v>
      </c>
      <c r="N55" s="4" t="s">
        <v>84</v>
      </c>
      <c r="O55" s="56" t="s">
        <v>395</v>
      </c>
      <c r="P55" s="37" t="str">
        <f t="shared" si="6"/>
        <v>ok</v>
      </c>
      <c r="Q55" s="4" t="s">
        <v>83</v>
      </c>
      <c r="R55" s="4" t="s">
        <v>40</v>
      </c>
      <c r="S55" s="56">
        <v>1</v>
      </c>
      <c r="T55" s="37" t="str">
        <f t="shared" si="2"/>
        <v>ok</v>
      </c>
      <c r="U55" s="56">
        <v>0</v>
      </c>
      <c r="V55" s="37" t="str">
        <f t="shared" si="3"/>
        <v>ok</v>
      </c>
      <c r="W55" s="56" t="s">
        <v>404</v>
      </c>
      <c r="X55" s="37" t="str">
        <f t="shared" si="4"/>
        <v>ok</v>
      </c>
      <c r="Y55" s="38">
        <v>1427.8</v>
      </c>
      <c r="Z55" s="38"/>
      <c r="AA55" s="57">
        <v>1427.8</v>
      </c>
      <c r="AB55" s="37" t="str">
        <f t="shared" si="5"/>
        <v>ok</v>
      </c>
      <c r="AC55" s="4" t="s">
        <v>64</v>
      </c>
      <c r="AD55" s="4" t="s">
        <v>40</v>
      </c>
    </row>
    <row r="56" spans="1:30">
      <c r="A56" s="4">
        <v>20</v>
      </c>
      <c r="B56" s="4" t="s">
        <v>79</v>
      </c>
      <c r="C56" s="4" t="s">
        <v>82</v>
      </c>
      <c r="D56" s="56" t="s">
        <v>332</v>
      </c>
      <c r="E56" s="37" t="str">
        <f t="shared" si="7"/>
        <v>ok</v>
      </c>
      <c r="F56" s="56" t="s">
        <v>356</v>
      </c>
      <c r="G56" s="37" t="str">
        <f t="shared" si="0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6" t="s">
        <v>363</v>
      </c>
      <c r="M56" s="37" t="str">
        <f t="shared" si="1"/>
        <v>ok</v>
      </c>
      <c r="N56" s="4"/>
      <c r="O56" s="56" t="s">
        <v>396</v>
      </c>
      <c r="P56" s="37" t="str">
        <f t="shared" si="6"/>
        <v>ok</v>
      </c>
      <c r="Q56" s="4" t="s">
        <v>80</v>
      </c>
      <c r="R56" s="4" t="s">
        <v>40</v>
      </c>
      <c r="S56" s="56">
        <v>1</v>
      </c>
      <c r="T56" s="37" t="str">
        <f t="shared" si="2"/>
        <v>ok</v>
      </c>
      <c r="U56" s="56">
        <v>0</v>
      </c>
      <c r="V56" s="37" t="str">
        <f t="shared" si="3"/>
        <v>ok</v>
      </c>
      <c r="W56" s="56" t="s">
        <v>404</v>
      </c>
      <c r="X56" s="37" t="str">
        <f t="shared" si="4"/>
        <v>ok</v>
      </c>
      <c r="Y56" s="38">
        <v>439</v>
      </c>
      <c r="Z56" s="38">
        <v>400</v>
      </c>
      <c r="AA56" s="57">
        <v>39</v>
      </c>
      <c r="AB56" s="37" t="str">
        <f t="shared" si="5"/>
        <v>ok</v>
      </c>
      <c r="AC56" s="4" t="s">
        <v>64</v>
      </c>
      <c r="AD56" s="4" t="s">
        <v>48</v>
      </c>
    </row>
    <row r="57" spans="1:30">
      <c r="A57" s="4">
        <v>21</v>
      </c>
      <c r="B57" s="4" t="s">
        <v>79</v>
      </c>
      <c r="C57" s="4" t="s">
        <v>78</v>
      </c>
      <c r="D57" s="56" t="s">
        <v>337</v>
      </c>
      <c r="E57" s="37" t="str">
        <f t="shared" si="7"/>
        <v>ok</v>
      </c>
      <c r="F57" s="56" t="s">
        <v>357</v>
      </c>
      <c r="G57" s="37" t="str">
        <f t="shared" si="0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6" t="s">
        <v>367</v>
      </c>
      <c r="M57" s="37" t="str">
        <f t="shared" si="1"/>
        <v>ok</v>
      </c>
      <c r="N57" s="4"/>
      <c r="O57" s="56" t="s">
        <v>397</v>
      </c>
      <c r="P57" s="37" t="str">
        <f t="shared" si="6"/>
        <v>ok</v>
      </c>
      <c r="Q57" s="4" t="s">
        <v>76</v>
      </c>
      <c r="R57" s="4" t="s">
        <v>40</v>
      </c>
      <c r="S57" s="56">
        <v>1</v>
      </c>
      <c r="T57" s="37" t="str">
        <f t="shared" si="2"/>
        <v>ok</v>
      </c>
      <c r="U57" s="56">
        <v>0</v>
      </c>
      <c r="V57" s="37" t="str">
        <f t="shared" si="3"/>
        <v>ok</v>
      </c>
      <c r="W57" s="56" t="s">
        <v>404</v>
      </c>
      <c r="X57" s="37" t="str">
        <f t="shared" si="4"/>
        <v>ok</v>
      </c>
      <c r="Y57" s="38">
        <v>32.5</v>
      </c>
      <c r="Z57" s="38">
        <v>0</v>
      </c>
      <c r="AA57" s="57">
        <v>32.5</v>
      </c>
      <c r="AB57" s="37" t="str">
        <f t="shared" si="5"/>
        <v>ok</v>
      </c>
      <c r="AC57" s="4" t="s">
        <v>64</v>
      </c>
      <c r="AD57" s="4" t="s">
        <v>40</v>
      </c>
    </row>
    <row r="58" spans="1:30">
      <c r="A58" s="4">
        <v>22</v>
      </c>
      <c r="B58" s="4" t="s">
        <v>75</v>
      </c>
      <c r="C58" s="4" t="s">
        <v>74</v>
      </c>
      <c r="D58" s="56" t="s">
        <v>338</v>
      </c>
      <c r="E58" s="37" t="str">
        <f t="shared" si="7"/>
        <v>ok</v>
      </c>
      <c r="F58" s="56" t="s">
        <v>358</v>
      </c>
      <c r="G58" s="37" t="str">
        <f t="shared" si="0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6" t="s">
        <v>374</v>
      </c>
      <c r="M58" s="37" t="str">
        <f t="shared" si="1"/>
        <v>ok</v>
      </c>
      <c r="N58" s="4"/>
      <c r="O58" s="56" t="s">
        <v>398</v>
      </c>
      <c r="P58" s="37" t="str">
        <f t="shared" si="6"/>
        <v>ok</v>
      </c>
      <c r="Q58" s="4" t="s">
        <v>71</v>
      </c>
      <c r="R58" s="4" t="s">
        <v>48</v>
      </c>
      <c r="S58" s="56">
        <v>0</v>
      </c>
      <c r="T58" s="37" t="str">
        <f t="shared" si="2"/>
        <v>ok</v>
      </c>
      <c r="U58" s="56">
        <v>1</v>
      </c>
      <c r="V58" s="37" t="str">
        <f t="shared" si="3"/>
        <v>ok</v>
      </c>
      <c r="W58" s="56" t="s">
        <v>398</v>
      </c>
      <c r="X58" s="37" t="str">
        <f t="shared" si="4"/>
        <v>ok</v>
      </c>
      <c r="Y58" s="38">
        <v>53</v>
      </c>
      <c r="Z58" s="38">
        <v>0</v>
      </c>
      <c r="AA58" s="57">
        <v>53</v>
      </c>
      <c r="AB58" s="37" t="str">
        <f t="shared" si="5"/>
        <v>ok</v>
      </c>
      <c r="AC58" s="4" t="s">
        <v>64</v>
      </c>
      <c r="AD58" s="4" t="s">
        <v>48</v>
      </c>
    </row>
    <row r="59" spans="1:30">
      <c r="A59" s="4">
        <v>23</v>
      </c>
      <c r="B59" s="4" t="s">
        <v>70</v>
      </c>
      <c r="C59" s="4" t="s">
        <v>69</v>
      </c>
      <c r="D59" s="56" t="s">
        <v>338</v>
      </c>
      <c r="E59" s="37" t="str">
        <f t="shared" si="7"/>
        <v>ok</v>
      </c>
      <c r="F59" s="56" t="s">
        <v>359</v>
      </c>
      <c r="G59" s="37" t="str">
        <f t="shared" si="0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6" t="s">
        <v>371</v>
      </c>
      <c r="M59" s="37" t="str">
        <f t="shared" si="1"/>
        <v>ok</v>
      </c>
      <c r="N59" s="4" t="s">
        <v>66</v>
      </c>
      <c r="O59" s="56" t="s">
        <v>399</v>
      </c>
      <c r="P59" s="37" t="str">
        <f t="shared" si="6"/>
        <v>ok</v>
      </c>
      <c r="Q59" s="4" t="s">
        <v>65</v>
      </c>
      <c r="R59" s="4" t="s">
        <v>48</v>
      </c>
      <c r="S59" s="56">
        <v>0</v>
      </c>
      <c r="T59" s="37" t="str">
        <f t="shared" si="2"/>
        <v>ok</v>
      </c>
      <c r="U59" s="56">
        <v>1</v>
      </c>
      <c r="V59" s="37" t="str">
        <f t="shared" si="3"/>
        <v>ok</v>
      </c>
      <c r="W59" s="56" t="s">
        <v>66</v>
      </c>
      <c r="X59" s="37" t="str">
        <f t="shared" si="4"/>
        <v>ok</v>
      </c>
      <c r="Y59" s="38">
        <v>15.7</v>
      </c>
      <c r="Z59" s="38">
        <v>0</v>
      </c>
      <c r="AA59" s="57">
        <v>15.7</v>
      </c>
      <c r="AB59" s="37" t="str">
        <f t="shared" si="5"/>
        <v>ok</v>
      </c>
      <c r="AC59" s="4" t="s">
        <v>64</v>
      </c>
      <c r="AD59" s="4" t="s">
        <v>40</v>
      </c>
    </row>
    <row r="60" spans="1:30">
      <c r="A60" s="4">
        <v>24</v>
      </c>
      <c r="B60" s="4" t="s">
        <v>59</v>
      </c>
      <c r="C60" s="4" t="s">
        <v>63</v>
      </c>
      <c r="D60" s="56" t="s">
        <v>338</v>
      </c>
      <c r="E60" s="37" t="str">
        <f t="shared" si="7"/>
        <v>ok</v>
      </c>
      <c r="F60" s="56" t="s">
        <v>360</v>
      </c>
      <c r="G60" s="37" t="str">
        <f t="shared" si="0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6" t="s">
        <v>375</v>
      </c>
      <c r="M60" s="37" t="str">
        <f t="shared" si="1"/>
        <v>ok</v>
      </c>
      <c r="N60" s="4" t="s">
        <v>60</v>
      </c>
      <c r="O60" s="56" t="s">
        <v>400</v>
      </c>
      <c r="P60" s="37" t="str">
        <f t="shared" si="6"/>
        <v>ok</v>
      </c>
      <c r="Q60" s="4" t="s">
        <v>54</v>
      </c>
      <c r="R60" s="4" t="s">
        <v>40</v>
      </c>
      <c r="S60" s="56">
        <v>1</v>
      </c>
      <c r="T60" s="37" t="str">
        <f t="shared" si="2"/>
        <v>ok</v>
      </c>
      <c r="U60" s="56">
        <v>0</v>
      </c>
      <c r="V60" s="37" t="str">
        <f t="shared" si="3"/>
        <v>ok</v>
      </c>
      <c r="W60" s="56" t="s">
        <v>404</v>
      </c>
      <c r="X60" s="37" t="str">
        <f t="shared" si="4"/>
        <v>ok</v>
      </c>
      <c r="Y60" s="38">
        <v>68</v>
      </c>
      <c r="Z60" s="38">
        <v>0</v>
      </c>
      <c r="AA60" s="57">
        <v>68</v>
      </c>
      <c r="AB60" s="37" t="str">
        <f t="shared" si="5"/>
        <v>ok</v>
      </c>
      <c r="AC60" s="4" t="s">
        <v>41</v>
      </c>
      <c r="AD60" s="4" t="s">
        <v>48</v>
      </c>
    </row>
    <row r="61" spans="1:30">
      <c r="A61" s="4">
        <v>25</v>
      </c>
      <c r="B61" s="4" t="s">
        <v>59</v>
      </c>
      <c r="C61" s="4" t="s">
        <v>58</v>
      </c>
      <c r="D61" s="56" t="s">
        <v>333</v>
      </c>
      <c r="E61" s="37" t="str">
        <f t="shared" si="7"/>
        <v>ok</v>
      </c>
      <c r="F61" s="56" t="s">
        <v>361</v>
      </c>
      <c r="G61" s="37" t="str">
        <f t="shared" si="0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6" t="s">
        <v>376</v>
      </c>
      <c r="M61" s="37" t="str">
        <f t="shared" si="1"/>
        <v>ok</v>
      </c>
      <c r="N61" s="4" t="s">
        <v>55</v>
      </c>
      <c r="O61" s="56" t="s">
        <v>401</v>
      </c>
      <c r="P61" s="37" t="str">
        <f t="shared" si="6"/>
        <v>ok</v>
      </c>
      <c r="Q61" s="4" t="s">
        <v>54</v>
      </c>
      <c r="R61" s="4" t="s">
        <v>40</v>
      </c>
      <c r="S61" s="56">
        <v>1</v>
      </c>
      <c r="T61" s="37" t="str">
        <f t="shared" si="2"/>
        <v>ok</v>
      </c>
      <c r="U61" s="56">
        <v>0</v>
      </c>
      <c r="V61" s="37" t="str">
        <f t="shared" si="3"/>
        <v>ok</v>
      </c>
      <c r="W61" s="56" t="s">
        <v>404</v>
      </c>
      <c r="X61" s="37" t="str">
        <f t="shared" si="4"/>
        <v>ok</v>
      </c>
      <c r="Y61" s="38">
        <v>658</v>
      </c>
      <c r="Z61" s="38">
        <v>470</v>
      </c>
      <c r="AA61" s="57">
        <v>188</v>
      </c>
      <c r="AB61" s="37" t="str">
        <f t="shared" si="5"/>
        <v>ok</v>
      </c>
      <c r="AC61" s="4" t="s">
        <v>53</v>
      </c>
      <c r="AD61" s="4" t="s">
        <v>40</v>
      </c>
    </row>
    <row r="62" spans="1:30">
      <c r="A62" s="4">
        <v>26</v>
      </c>
      <c r="B62" s="4" t="s">
        <v>47</v>
      </c>
      <c r="C62" s="4" t="s">
        <v>52</v>
      </c>
      <c r="D62" s="56" t="s">
        <v>338</v>
      </c>
      <c r="E62" s="37" t="str">
        <f t="shared" si="7"/>
        <v>ok</v>
      </c>
      <c r="F62" s="56" t="s">
        <v>362</v>
      </c>
      <c r="G62" s="37" t="str">
        <f t="shared" si="0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6" t="s">
        <v>363</v>
      </c>
      <c r="M62" s="37" t="str">
        <f t="shared" si="1"/>
        <v>ok</v>
      </c>
      <c r="N62" s="4"/>
      <c r="O62" s="56" t="s">
        <v>402</v>
      </c>
      <c r="P62" s="37" t="str">
        <f t="shared" si="6"/>
        <v>ok</v>
      </c>
      <c r="Q62" s="4" t="s">
        <v>49</v>
      </c>
      <c r="R62" s="4" t="s">
        <v>40</v>
      </c>
      <c r="S62" s="56">
        <v>1</v>
      </c>
      <c r="T62" s="37" t="str">
        <f t="shared" si="2"/>
        <v>ok</v>
      </c>
      <c r="U62" s="56">
        <v>0</v>
      </c>
      <c r="V62" s="37" t="str">
        <f t="shared" si="3"/>
        <v>ok</v>
      </c>
      <c r="W62" s="56" t="s">
        <v>404</v>
      </c>
      <c r="X62" s="37" t="str">
        <f t="shared" si="4"/>
        <v>ok</v>
      </c>
      <c r="Y62" s="38">
        <v>7.4</v>
      </c>
      <c r="Z62" s="38">
        <v>0</v>
      </c>
      <c r="AA62" s="57">
        <v>7.4</v>
      </c>
      <c r="AB62" s="37" t="str">
        <f t="shared" si="5"/>
        <v>ok</v>
      </c>
      <c r="AC62" s="4" t="s">
        <v>41</v>
      </c>
      <c r="AD62" s="4" t="s">
        <v>48</v>
      </c>
    </row>
    <row r="63" spans="1:30" ht="15" thickBot="1">
      <c r="A63" s="4">
        <v>27</v>
      </c>
      <c r="B63" s="4" t="s">
        <v>47</v>
      </c>
      <c r="C63" s="4" t="s">
        <v>46</v>
      </c>
      <c r="D63" s="56" t="s">
        <v>338</v>
      </c>
      <c r="E63" s="37" t="str">
        <f t="shared" si="7"/>
        <v>ok</v>
      </c>
      <c r="F63" s="56" t="s">
        <v>362</v>
      </c>
      <c r="G63" s="37" t="str">
        <f t="shared" si="0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6" t="s">
        <v>377</v>
      </c>
      <c r="M63" s="37" t="str">
        <f t="shared" si="1"/>
        <v>ok</v>
      </c>
      <c r="N63" s="4" t="s">
        <v>43</v>
      </c>
      <c r="O63" s="56" t="s">
        <v>403</v>
      </c>
      <c r="P63" s="37" t="str">
        <f t="shared" si="6"/>
        <v>ok</v>
      </c>
      <c r="Q63" s="4" t="s">
        <v>42</v>
      </c>
      <c r="R63" s="4" t="s">
        <v>40</v>
      </c>
      <c r="S63" s="58">
        <v>1</v>
      </c>
      <c r="T63" s="37" t="str">
        <f t="shared" si="2"/>
        <v>ok</v>
      </c>
      <c r="U63" s="58">
        <v>0</v>
      </c>
      <c r="V63" s="63" t="str">
        <f t="shared" si="3"/>
        <v>ok</v>
      </c>
      <c r="W63" s="56" t="s">
        <v>404</v>
      </c>
      <c r="X63" s="61" t="str">
        <f t="shared" si="4"/>
        <v>ok</v>
      </c>
      <c r="Y63" s="64">
        <v>4.8</v>
      </c>
      <c r="Z63" s="64">
        <v>0</v>
      </c>
      <c r="AA63" s="60">
        <v>4.8</v>
      </c>
      <c r="AB63" s="37" t="str">
        <f t="shared" si="5"/>
        <v>ok</v>
      </c>
      <c r="AC63" s="4" t="s">
        <v>41</v>
      </c>
      <c r="AD63" s="4" t="s">
        <v>40</v>
      </c>
    </row>
    <row r="64" spans="1:30" ht="15" thickBot="1">
      <c r="S64" s="24">
        <f>SUM(S37:S63)</f>
        <v>17</v>
      </c>
      <c r="T64" s="62" t="str">
        <f>IF(S64="","--",IF(S64=17,"ok","nok"))</f>
        <v>ok</v>
      </c>
      <c r="U64" s="66">
        <f>SUM(U37:U63)</f>
        <v>9</v>
      </c>
      <c r="V64" s="37" t="str">
        <f>IF(U64="","--",IF(U64=10,"ok","nok"))</f>
        <v>nok</v>
      </c>
      <c r="X64" s="37" t="str">
        <f>IF(Y64="","--",IF(EqualsWithinTolerance(Y64,4598.82,1),"ok","nok"))</f>
        <v>ok</v>
      </c>
      <c r="Y64" s="67">
        <f>SUM(Y37:Y63)</f>
        <v>4598.82</v>
      </c>
      <c r="Z64" s="65">
        <f>SUM(Z37:Z63)</f>
        <v>1508.5</v>
      </c>
      <c r="AA64" s="65">
        <f>SUM(AA37:AA63)</f>
        <v>3089.82</v>
      </c>
      <c r="AB64" s="61" t="str">
        <f>IF(AA64="","--",IF(EqualsWithinTolerance(AA64,3074.52,1),"ok","nok"))</f>
        <v>ok</v>
      </c>
    </row>
    <row r="65" spans="5:28">
      <c r="E65" s="59">
        <f>COUNTIFS(E37:E63,"ok")</f>
        <v>26</v>
      </c>
      <c r="G65" s="59">
        <f>COUNTIFS(G37:G63,"ok")</f>
        <v>26</v>
      </c>
      <c r="M65" s="59">
        <f>COUNTIFS(M37:M63,"ok")</f>
        <v>26</v>
      </c>
      <c r="P65" s="59">
        <f>COUNTIFS(P37:P63,"ok")</f>
        <v>26</v>
      </c>
      <c r="T65" s="59">
        <f>COUNTIFS(T37:T64,"ok")</f>
        <v>27</v>
      </c>
      <c r="V65" s="59">
        <f>COUNTIFS(V37:V64,"ok")</f>
        <v>26</v>
      </c>
      <c r="X65" s="59">
        <f>COUNTIFS(X37:X64,"ok")</f>
        <v>27</v>
      </c>
      <c r="AB65" s="59">
        <f>COUNTIFS(AB37:AB64,"ok")</f>
        <v>27</v>
      </c>
    </row>
    <row r="66" spans="5:28">
      <c r="E66" s="59">
        <f>COUNTIFS(E37:E63,"nok")</f>
        <v>0</v>
      </c>
      <c r="G66" s="59">
        <f>COUNTIFS(G37:G63,"nok")</f>
        <v>0</v>
      </c>
      <c r="M66" s="59">
        <f>COUNTIFS(M37:M63,"nok")</f>
        <v>0</v>
      </c>
      <c r="P66" s="59">
        <f>COUNTIFS(P37:P63,"nok")</f>
        <v>0</v>
      </c>
      <c r="T66" s="59">
        <f>COUNTIFS(T37:T64,"nok")</f>
        <v>0</v>
      </c>
      <c r="V66" s="59">
        <f>COUNTIFS(V37:V64,"nok")</f>
        <v>1</v>
      </c>
      <c r="X66" s="59">
        <f>COUNTIFS(X37:X64,"nok")</f>
        <v>0</v>
      </c>
      <c r="AB66" s="59">
        <f>COUNTIFS(AB37:AB64,"nok")</f>
        <v>1</v>
      </c>
    </row>
    <row r="67" spans="5:28">
      <c r="E67" s="59">
        <f>COUNTIFS(E37:E63,"--")</f>
        <v>1</v>
      </c>
      <c r="G67" s="59">
        <f>COUNTIFS(G37:G63,"--")</f>
        <v>1</v>
      </c>
      <c r="M67" s="59">
        <f>COUNTIFS(M37:M63,"--")</f>
        <v>1</v>
      </c>
      <c r="P67" s="59">
        <f>COUNTIFS(P37:P63,"--")</f>
        <v>1</v>
      </c>
      <c r="T67" s="59">
        <f>COUNTIFS(T37:T64,"--")</f>
        <v>1</v>
      </c>
      <c r="V67" s="59">
        <f>COUNTIFS(V37:V64,"--")</f>
        <v>1</v>
      </c>
      <c r="X67" s="59">
        <f>COUNTIFS(X37:X64,"--")</f>
        <v>1</v>
      </c>
      <c r="AB67" s="59">
        <f>COUNTIFS(AB37:AB64,"--")</f>
        <v>0</v>
      </c>
    </row>
    <row r="73" spans="5:28" ht="18.5">
      <c r="E73" s="98"/>
    </row>
    <row r="80" spans="5:28">
      <c r="I80" s="99"/>
    </row>
    <row r="81" spans="9:10">
      <c r="I81" s="99"/>
      <c r="J81" s="100"/>
    </row>
  </sheetData>
  <conditionalFormatting sqref="D37:D63">
    <cfRule type="expression" dxfId="180" priority="60">
      <formula>E37="nok"</formula>
    </cfRule>
    <cfRule type="expression" dxfId="179" priority="61">
      <formula>E37="ok"</formula>
    </cfRule>
    <cfRule type="expression" dxfId="178" priority="62">
      <formula>E37="--"</formula>
    </cfRule>
  </conditionalFormatting>
  <conditionalFormatting sqref="F37:F63">
    <cfRule type="expression" dxfId="177" priority="57">
      <formula>G37="nok"</formula>
    </cfRule>
    <cfRule type="expression" dxfId="176" priority="58">
      <formula>G37="ok"</formula>
    </cfRule>
    <cfRule type="expression" dxfId="175" priority="59">
      <formula>G37="--"</formula>
    </cfRule>
  </conditionalFormatting>
  <conditionalFormatting sqref="L37:L63">
    <cfRule type="expression" dxfId="174" priority="54">
      <formula>M37="nok"</formula>
    </cfRule>
    <cfRule type="expression" dxfId="173" priority="55">
      <formula>M37="ok"</formula>
    </cfRule>
    <cfRule type="expression" dxfId="172" priority="56">
      <formula>M37="--"</formula>
    </cfRule>
  </conditionalFormatting>
  <conditionalFormatting sqref="O37:O63">
    <cfRule type="expression" dxfId="171" priority="48">
      <formula>P37="nok"</formula>
    </cfRule>
    <cfRule type="expression" dxfId="170" priority="49">
      <formula>P37="ok"</formula>
    </cfRule>
    <cfRule type="expression" dxfId="169" priority="50">
      <formula>P37="--"</formula>
    </cfRule>
  </conditionalFormatting>
  <conditionalFormatting sqref="S37:S63">
    <cfRule type="expression" dxfId="168" priority="45">
      <formula>T37="nok"</formula>
    </cfRule>
    <cfRule type="expression" dxfId="167" priority="46">
      <formula>T37="ok"</formula>
    </cfRule>
    <cfRule type="expression" dxfId="166" priority="47">
      <formula>T37="--"</formula>
    </cfRule>
  </conditionalFormatting>
  <conditionalFormatting sqref="U37:U63">
    <cfRule type="expression" dxfId="165" priority="42">
      <formula>V37="nok"</formula>
    </cfRule>
    <cfRule type="expression" dxfId="164" priority="43">
      <formula>V37="ok"</formula>
    </cfRule>
    <cfRule type="expression" dxfId="163" priority="44">
      <formula>V37="--"</formula>
    </cfRule>
  </conditionalFormatting>
  <conditionalFormatting sqref="AA37:AA63">
    <cfRule type="expression" dxfId="162" priority="39">
      <formula>AB37="nok"</formula>
    </cfRule>
    <cfRule type="expression" dxfId="161" priority="40">
      <formula>AB37="ok"</formula>
    </cfRule>
    <cfRule type="expression" dxfId="160" priority="41">
      <formula>AB37="--"</formula>
    </cfRule>
  </conditionalFormatting>
  <conditionalFormatting sqref="W37:W63">
    <cfRule type="expression" dxfId="159" priority="33">
      <formula>X37="nok"</formula>
    </cfRule>
    <cfRule type="expression" dxfId="158" priority="34">
      <formula>X37="ok"</formula>
    </cfRule>
    <cfRule type="expression" dxfId="157" priority="35">
      <formula>X37="--"</formula>
    </cfRule>
  </conditionalFormatting>
  <conditionalFormatting sqref="S65">
    <cfRule type="expression" dxfId="156" priority="72">
      <formula>T66="nok"</formula>
    </cfRule>
    <cfRule type="expression" dxfId="155" priority="73">
      <formula>T66="ok"</formula>
    </cfRule>
    <cfRule type="expression" dxfId="154" priority="74">
      <formula>T66="--"</formula>
    </cfRule>
  </conditionalFormatting>
  <conditionalFormatting sqref="L3">
    <cfRule type="cellIs" dxfId="153" priority="26" stopIfTrue="1" operator="equal">
      <formula>"Not defined"</formula>
    </cfRule>
    <cfRule type="cellIs" dxfId="152" priority="27" stopIfTrue="1" operator="greaterThan">
      <formula>5.7</formula>
    </cfRule>
    <cfRule type="cellIs" dxfId="151" priority="28" stopIfTrue="1" operator="greaterThan">
      <formula>5</formula>
    </cfRule>
    <cfRule type="cellIs" dxfId="150" priority="29" stopIfTrue="1" operator="greaterThan">
      <formula>4.5</formula>
    </cfRule>
    <cfRule type="cellIs" dxfId="149" priority="30" stopIfTrue="1" operator="greaterThanOrEqual">
      <formula>4</formula>
    </cfRule>
    <cfRule type="cellIs" dxfId="148" priority="31" stopIfTrue="1" operator="greaterThanOrEqual">
      <formula>3</formula>
    </cfRule>
    <cfRule type="cellIs" dxfId="147" priority="32" stopIfTrue="1" operator="greaterThanOrEqual">
      <formula>1</formula>
    </cfRule>
  </conditionalFormatting>
  <conditionalFormatting sqref="S64">
    <cfRule type="expression" dxfId="146" priority="23">
      <formula>T64="nok"</formula>
    </cfRule>
    <cfRule type="expression" dxfId="145" priority="24">
      <formula>T64="ok"</formula>
    </cfRule>
    <cfRule type="expression" dxfId="144" priority="25">
      <formula>T64="--"</formula>
    </cfRule>
  </conditionalFormatting>
  <conditionalFormatting sqref="U64">
    <cfRule type="expression" dxfId="143" priority="20">
      <formula>V64="nok"</formula>
    </cfRule>
    <cfRule type="expression" dxfId="142" priority="21">
      <formula>V64="ok"</formula>
    </cfRule>
    <cfRule type="expression" dxfId="141" priority="22">
      <formula>V64="--"</formula>
    </cfRule>
  </conditionalFormatting>
  <conditionalFormatting sqref="AA64">
    <cfRule type="expression" dxfId="140" priority="17">
      <formula>AB64="nok"</formula>
    </cfRule>
    <cfRule type="expression" dxfId="139" priority="18">
      <formula>AB64="ok"</formula>
    </cfRule>
    <cfRule type="expression" dxfId="138" priority="19">
      <formula>AB64="--"</formula>
    </cfRule>
  </conditionalFormatting>
  <conditionalFormatting sqref="X64">
    <cfRule type="expression" dxfId="137" priority="14">
      <formula>Y64="nok"</formula>
    </cfRule>
    <cfRule type="expression" dxfId="136" priority="15">
      <formula>Y64="ok"</formula>
    </cfRule>
    <cfRule type="expression" dxfId="135" priority="16">
      <formula>Y64="--"</formula>
    </cfRule>
  </conditionalFormatting>
  <conditionalFormatting sqref="Y64">
    <cfRule type="expression" dxfId="134" priority="11">
      <formula>X64="nok"</formula>
    </cfRule>
    <cfRule type="expression" dxfId="133" priority="12">
      <formula>X64="ok"</formula>
    </cfRule>
    <cfRule type="expression" dxfId="132" priority="13">
      <formula>X64="--"</formula>
    </cfRule>
  </conditionalFormatting>
  <conditionalFormatting sqref="L6">
    <cfRule type="cellIs" dxfId="131" priority="1" stopIfTrue="1" operator="equal">
      <formula>"Not defined"</formula>
    </cfRule>
    <cfRule type="cellIs" dxfId="130" priority="2" stopIfTrue="1" operator="greaterThan">
      <formula>5.7</formula>
    </cfRule>
    <cfRule type="cellIs" dxfId="129" priority="3" stopIfTrue="1" operator="greaterThan">
      <formula>5</formula>
    </cfRule>
    <cfRule type="cellIs" dxfId="128" priority="4" stopIfTrue="1" operator="greaterThan">
      <formula>4.5</formula>
    </cfRule>
    <cfRule type="cellIs" dxfId="127" priority="5" stopIfTrue="1" operator="greaterThanOrEqual">
      <formula>4</formula>
    </cfRule>
    <cfRule type="cellIs" dxfId="126" priority="6" stopIfTrue="1" operator="greaterThanOrEqual">
      <formula>3</formula>
    </cfRule>
    <cfRule type="cellIs" dxfId="125" priority="7" stopIfTrue="1" operator="greaterThanOrEqual">
      <formula>1</formula>
    </cfRule>
  </conditionalFormatting>
  <conditionalFormatting sqref="Z64">
    <cfRule type="expression" dxfId="124" priority="75">
      <formula>#REF!="nok"</formula>
    </cfRule>
    <cfRule type="expression" dxfId="123" priority="76">
      <formula>#REF!="ok"</formula>
    </cfRule>
    <cfRule type="expression" dxfId="122" priority="77">
      <formula>#REF!="--"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Aufgaben!$J$104:$J$105</xm:f>
          </x14:formula1>
          <xm:sqref>W12:W14 J76:J78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FF0000"/>
    <pageSetUpPr fitToPage="1"/>
  </sheetPr>
  <dimension ref="B1:J110"/>
  <sheetViews>
    <sheetView showGridLines="0" zoomScale="85" zoomScaleNormal="85" workbookViewId="0">
      <selection activeCell="C23" sqref="C23"/>
    </sheetView>
  </sheetViews>
  <sheetFormatPr baseColWidth="10" defaultColWidth="10.81640625" defaultRowHeight="14.5"/>
  <cols>
    <col min="1" max="1" width="5.7265625" customWidth="1"/>
    <col min="2" max="2" width="27" customWidth="1"/>
    <col min="3" max="3" width="37.26953125" customWidth="1"/>
    <col min="4" max="4" width="23.453125" customWidth="1"/>
    <col min="5" max="6" width="16.1796875" customWidth="1"/>
    <col min="7" max="7" width="27.7265625" customWidth="1"/>
    <col min="8" max="8" width="16.81640625" customWidth="1"/>
    <col min="9" max="9" width="27.7265625" hidden="1" customWidth="1"/>
    <col min="10" max="10" width="29.81640625" customWidth="1"/>
    <col min="11" max="11" width="15" customWidth="1"/>
    <col min="14" max="14" width="16.1796875" customWidth="1"/>
    <col min="15" max="15" width="19.26953125" customWidth="1"/>
    <col min="17" max="17" width="17.26953125" customWidth="1"/>
    <col min="18" max="18" width="7" customWidth="1"/>
    <col min="19" max="19" width="24.7265625" customWidth="1"/>
    <col min="20" max="20" width="28.54296875" customWidth="1"/>
    <col min="21" max="21" width="13.1796875" customWidth="1"/>
    <col min="22" max="22" width="32.1796875" customWidth="1"/>
    <col min="23" max="23" width="17" customWidth="1"/>
    <col min="24" max="24" width="14.81640625" customWidth="1"/>
    <col min="25" max="26" width="12.26953125" customWidth="1"/>
    <col min="27" max="27" width="32.1796875" customWidth="1"/>
    <col min="28" max="28" width="17.54296875" customWidth="1"/>
    <col min="29" max="29" width="23.1796875" customWidth="1"/>
    <col min="30" max="30" width="20.54296875" customWidth="1"/>
    <col min="31" max="31" width="58.81640625" customWidth="1"/>
    <col min="32" max="32" width="17.1796875" customWidth="1"/>
  </cols>
  <sheetData>
    <row r="1" spans="2:10" ht="15" thickBot="1"/>
    <row r="2" spans="2:10" ht="23.5">
      <c r="B2" s="1" t="s">
        <v>418</v>
      </c>
      <c r="E2" s="7"/>
      <c r="F2" s="8"/>
      <c r="G2" s="8"/>
      <c r="H2" s="9"/>
    </row>
    <row r="3" spans="2:10" ht="15" thickBot="1">
      <c r="E3" s="13" t="s">
        <v>12</v>
      </c>
      <c r="F3" s="11"/>
      <c r="G3" s="11"/>
      <c r="H3" s="12"/>
      <c r="J3" s="17"/>
    </row>
    <row r="4" spans="2:10">
      <c r="E4" s="10"/>
      <c r="F4" s="43" t="s">
        <v>10</v>
      </c>
      <c r="G4" s="44">
        <f>COUNTIF(H22:H110,"=ok")</f>
        <v>0</v>
      </c>
      <c r="H4" s="12"/>
    </row>
    <row r="5" spans="2:10">
      <c r="E5" s="10"/>
      <c r="F5" s="45" t="s">
        <v>11</v>
      </c>
      <c r="G5" s="46">
        <f>COUNTIF(H22:H110,"=Not ok")</f>
        <v>0</v>
      </c>
      <c r="H5" s="12"/>
    </row>
    <row r="6" spans="2:10">
      <c r="E6" s="10"/>
      <c r="F6" s="45" t="s">
        <v>210</v>
      </c>
      <c r="G6" s="46">
        <f>COUNTIF(H22:H110,"=--")</f>
        <v>52</v>
      </c>
      <c r="H6" s="12"/>
    </row>
    <row r="7" spans="2:10" ht="15" thickBot="1">
      <c r="E7" s="10"/>
      <c r="F7" s="48" t="s">
        <v>13</v>
      </c>
      <c r="G7" s="104">
        <f>IF(G4+G5+G6&gt;0,ROUNDDOWN(((5*G4)/(G4+G5+G6))+1,1),"Not defined")</f>
        <v>1</v>
      </c>
      <c r="H7" s="12"/>
    </row>
    <row r="8" spans="2:10">
      <c r="E8" s="10"/>
      <c r="F8" s="11"/>
      <c r="G8" s="11"/>
      <c r="H8" s="12"/>
    </row>
    <row r="9" spans="2:10">
      <c r="E9" s="10"/>
      <c r="F9" s="11"/>
      <c r="G9" s="11"/>
      <c r="H9" s="12"/>
    </row>
    <row r="10" spans="2:10">
      <c r="E10" s="10"/>
      <c r="F10" s="11"/>
      <c r="G10" s="11"/>
      <c r="H10" s="12"/>
    </row>
    <row r="11" spans="2:10" ht="15" thickBot="1">
      <c r="E11" s="14"/>
      <c r="F11" s="15"/>
      <c r="G11" s="15"/>
      <c r="H11" s="16"/>
    </row>
    <row r="22" spans="2:9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>
      <c r="B23" s="154" t="s">
        <v>209</v>
      </c>
      <c r="C23" s="5"/>
      <c r="D23" s="22" t="s">
        <v>211</v>
      </c>
      <c r="E23" s="22"/>
      <c r="F23" s="22"/>
      <c r="G23" s="18">
        <v>6</v>
      </c>
      <c r="H23" s="6" t="str">
        <f>IF(G23=C23,"ok",IF(C23="","--","Not ok"))</f>
        <v>--</v>
      </c>
      <c r="I23" s="4" t="e">
        <f ca="1">IF(C23=L_Hello(D23),TRUE,FALSE)</f>
        <v>#NAME?</v>
      </c>
    </row>
    <row r="24" spans="2:9">
      <c r="B24" s="155"/>
      <c r="C24" s="5"/>
      <c r="D24" s="22" t="s">
        <v>4</v>
      </c>
      <c r="E24" s="22"/>
      <c r="F24" s="22"/>
      <c r="G24" s="18">
        <v>5</v>
      </c>
      <c r="H24" s="6" t="str">
        <f t="shared" ref="H24:H26" si="0">IF(G24=C24,"ok",IF(C24="","--","Not ok"))</f>
        <v>--</v>
      </c>
      <c r="I24" s="4" t="e">
        <f ca="1">IF(C24=L_Hello(D24),TRUE,FALSE)</f>
        <v>#NAME?</v>
      </c>
    </row>
    <row r="25" spans="2:9">
      <c r="B25" s="155"/>
      <c r="C25" s="5"/>
      <c r="D25" s="22" t="s">
        <v>213</v>
      </c>
      <c r="E25" s="22"/>
      <c r="F25" s="22"/>
      <c r="G25" s="18">
        <v>6</v>
      </c>
      <c r="H25" s="6" t="str">
        <f t="shared" si="0"/>
        <v>--</v>
      </c>
      <c r="I25" s="4" t="e">
        <f ca="1">IF(C25=L_Hello(D25),TRUE,FALSE)</f>
        <v>#NAME?</v>
      </c>
    </row>
    <row r="26" spans="2:9">
      <c r="B26" s="156"/>
      <c r="C26" s="5"/>
      <c r="D26" s="22" t="s">
        <v>212</v>
      </c>
      <c r="E26" s="22"/>
      <c r="F26" s="22"/>
      <c r="G26" s="18">
        <v>14</v>
      </c>
      <c r="H26" s="6" t="str">
        <f t="shared" si="0"/>
        <v>--</v>
      </c>
      <c r="I26" s="4" t="e">
        <f ca="1">IF(C26=L_Hello(D26),TRUE,FALSE)</f>
        <v>#NAME?</v>
      </c>
    </row>
    <row r="27" spans="2:9">
      <c r="D27" s="23"/>
      <c r="E27" s="23"/>
      <c r="F27" s="23"/>
      <c r="G27" s="20"/>
    </row>
    <row r="29" spans="2:9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>
      <c r="B30" s="154" t="s">
        <v>214</v>
      </c>
      <c r="C30" s="5"/>
      <c r="D30" s="22" t="s">
        <v>211</v>
      </c>
      <c r="E30" s="22"/>
      <c r="F30" s="22"/>
      <c r="G30" s="18">
        <v>12</v>
      </c>
      <c r="H30" s="6" t="str">
        <f>IF(G30=C30,"ok",IF(C30="","--","Not ok"))</f>
        <v>--</v>
      </c>
    </row>
    <row r="31" spans="2:9">
      <c r="B31" s="155"/>
      <c r="C31" s="5"/>
      <c r="D31" s="22" t="s">
        <v>4</v>
      </c>
      <c r="E31" s="22"/>
      <c r="F31" s="22"/>
      <c r="G31" s="18">
        <v>8</v>
      </c>
      <c r="H31" s="6" t="str">
        <f t="shared" ref="H31:H33" si="1">IF(G31=C31,"ok",IF(C31="","--","Not ok"))</f>
        <v>--</v>
      </c>
    </row>
    <row r="32" spans="2:9">
      <c r="B32" s="155"/>
      <c r="C32" s="5"/>
      <c r="D32" s="22" t="s">
        <v>213</v>
      </c>
      <c r="E32" s="22"/>
      <c r="F32" s="22"/>
      <c r="G32" s="18">
        <v>13</v>
      </c>
      <c r="H32" s="6" t="str">
        <f t="shared" si="1"/>
        <v>--</v>
      </c>
    </row>
    <row r="33" spans="2:8">
      <c r="B33" s="156"/>
      <c r="C33" s="5"/>
      <c r="D33" s="22" t="s">
        <v>212</v>
      </c>
      <c r="E33" s="22"/>
      <c r="F33" s="22"/>
      <c r="G33" s="18">
        <v>19</v>
      </c>
      <c r="H33" s="6" t="str">
        <f t="shared" si="1"/>
        <v>--</v>
      </c>
    </row>
    <row r="36" spans="2:8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>
      <c r="B37" s="154" t="s">
        <v>221</v>
      </c>
      <c r="C37" s="5"/>
      <c r="D37" s="22" t="s">
        <v>211</v>
      </c>
      <c r="E37" s="22"/>
      <c r="F37" s="22"/>
      <c r="G37" s="18" t="s">
        <v>217</v>
      </c>
      <c r="H37" s="6" t="str">
        <f>IF(G37=C37,"ok",IF(C37="","--","Not ok"))</f>
        <v>--</v>
      </c>
    </row>
    <row r="38" spans="2:8">
      <c r="B38" s="155"/>
      <c r="C38" s="5"/>
      <c r="D38" s="22" t="s">
        <v>4</v>
      </c>
      <c r="E38" s="22"/>
      <c r="F38" s="22"/>
      <c r="G38" s="18" t="s">
        <v>218</v>
      </c>
      <c r="H38" s="6" t="str">
        <f t="shared" ref="H38:H40" si="2">IF(G38=C38,"ok",IF(C38="","--","Not ok"))</f>
        <v>--</v>
      </c>
    </row>
    <row r="39" spans="2:8">
      <c r="B39" s="155"/>
      <c r="C39" s="5"/>
      <c r="D39" s="22" t="s">
        <v>213</v>
      </c>
      <c r="E39" s="22"/>
      <c r="F39" s="22"/>
      <c r="G39" s="18" t="s">
        <v>219</v>
      </c>
      <c r="H39" s="6" t="str">
        <f t="shared" si="2"/>
        <v>--</v>
      </c>
    </row>
    <row r="40" spans="2:8">
      <c r="B40" s="156"/>
      <c r="C40" s="5"/>
      <c r="D40" s="22" t="s">
        <v>212</v>
      </c>
      <c r="E40" s="22"/>
      <c r="F40" s="22"/>
      <c r="G40" s="18" t="s">
        <v>220</v>
      </c>
      <c r="H40" s="6" t="str">
        <f t="shared" si="2"/>
        <v>--</v>
      </c>
    </row>
    <row r="43" spans="2:8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>
      <c r="B44" s="154" t="s">
        <v>222</v>
      </c>
      <c r="C44" s="5"/>
      <c r="D44" s="22" t="s">
        <v>211</v>
      </c>
      <c r="E44" s="22"/>
      <c r="F44" s="22"/>
      <c r="G44" s="18" t="s">
        <v>223</v>
      </c>
      <c r="H44" s="6" t="str">
        <f>IF(G44=C44,"ok",IF(C44="","--","Not ok"))</f>
        <v>--</v>
      </c>
    </row>
    <row r="45" spans="2:8">
      <c r="B45" s="155"/>
      <c r="C45" s="5"/>
      <c r="D45" s="22" t="s">
        <v>4</v>
      </c>
      <c r="E45" s="22"/>
      <c r="F45" s="22"/>
      <c r="G45" s="18" t="s">
        <v>412</v>
      </c>
      <c r="H45" s="6" t="str">
        <f t="shared" ref="H45:H47" si="3">IF(G45=C45,"ok",IF(C45="","--","Not ok"))</f>
        <v>--</v>
      </c>
    </row>
    <row r="46" spans="2:8">
      <c r="B46" s="155"/>
      <c r="C46" s="5"/>
      <c r="D46" s="22" t="s">
        <v>213</v>
      </c>
      <c r="E46" s="22"/>
      <c r="F46" s="22"/>
      <c r="G46" s="18" t="s">
        <v>413</v>
      </c>
      <c r="H46" s="6" t="str">
        <f t="shared" si="3"/>
        <v>--</v>
      </c>
    </row>
    <row r="47" spans="2:8">
      <c r="B47" s="156"/>
      <c r="C47" s="5"/>
      <c r="D47" s="22" t="s">
        <v>212</v>
      </c>
      <c r="E47" s="22"/>
      <c r="F47" s="22"/>
      <c r="G47" s="18" t="s">
        <v>414</v>
      </c>
      <c r="H47" s="6" t="str">
        <f t="shared" si="3"/>
        <v>--</v>
      </c>
    </row>
    <row r="50" spans="2:8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>
      <c r="B51" s="154" t="s">
        <v>224</v>
      </c>
      <c r="C51" s="5"/>
      <c r="D51" s="22" t="s">
        <v>211</v>
      </c>
      <c r="E51" s="22"/>
      <c r="F51" s="22"/>
      <c r="G51" s="18" t="s">
        <v>225</v>
      </c>
      <c r="H51" s="6" t="str">
        <f>IF(G51=C51,"ok",IF(C51="","--","Not ok"))</f>
        <v>--</v>
      </c>
    </row>
    <row r="52" spans="2:8">
      <c r="B52" s="155"/>
      <c r="C52" s="5"/>
      <c r="D52" s="22" t="s">
        <v>4</v>
      </c>
      <c r="E52" s="22"/>
      <c r="F52" s="22"/>
      <c r="G52" s="18" t="s">
        <v>226</v>
      </c>
      <c r="H52" s="6" t="str">
        <f t="shared" ref="H52:H54" si="4">IF(G52=C52,"ok",IF(C52="","--","Not ok"))</f>
        <v>--</v>
      </c>
    </row>
    <row r="53" spans="2:8">
      <c r="B53" s="155"/>
      <c r="C53" s="5"/>
      <c r="D53" s="22" t="s">
        <v>213</v>
      </c>
      <c r="E53" s="22"/>
      <c r="F53" s="22"/>
      <c r="G53" s="18" t="s">
        <v>227</v>
      </c>
      <c r="H53" s="6" t="str">
        <f t="shared" si="4"/>
        <v>--</v>
      </c>
    </row>
    <row r="54" spans="2:8">
      <c r="B54" s="156"/>
      <c r="C54" s="5"/>
      <c r="D54" s="22" t="s">
        <v>212</v>
      </c>
      <c r="E54" s="22"/>
      <c r="F54" s="22"/>
      <c r="G54" s="18" t="s">
        <v>228</v>
      </c>
      <c r="H54" s="6" t="str">
        <f t="shared" si="4"/>
        <v>--</v>
      </c>
    </row>
    <row r="57" spans="2:8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>
      <c r="B58" s="154" t="s">
        <v>229</v>
      </c>
      <c r="C58" s="5"/>
      <c r="D58" s="22" t="s">
        <v>211</v>
      </c>
      <c r="E58" s="22"/>
      <c r="F58" s="22"/>
      <c r="G58" s="18" t="s">
        <v>230</v>
      </c>
      <c r="H58" s="6" t="str">
        <f>IF(G58=C58,"ok",IF(C58="","--","Not ok"))</f>
        <v>--</v>
      </c>
    </row>
    <row r="59" spans="2:8">
      <c r="B59" s="155"/>
      <c r="C59" s="5"/>
      <c r="D59" s="22" t="s">
        <v>4</v>
      </c>
      <c r="E59" s="22"/>
      <c r="F59" s="22"/>
      <c r="G59" s="18" t="s">
        <v>231</v>
      </c>
      <c r="H59" s="6" t="str">
        <f t="shared" ref="H59:H61" si="5">IF(G59=C59,"ok",IF(C59="","--","Not ok"))</f>
        <v>--</v>
      </c>
    </row>
    <row r="60" spans="2:8">
      <c r="B60" s="155"/>
      <c r="C60" s="5"/>
      <c r="D60" s="22" t="s">
        <v>213</v>
      </c>
      <c r="E60" s="22"/>
      <c r="F60" s="22"/>
      <c r="G60" s="18" t="s">
        <v>232</v>
      </c>
      <c r="H60" s="6" t="str">
        <f t="shared" si="5"/>
        <v>--</v>
      </c>
    </row>
    <row r="61" spans="2:8">
      <c r="B61" s="156"/>
      <c r="C61" s="5"/>
      <c r="D61" s="22" t="s">
        <v>212</v>
      </c>
      <c r="E61" s="22"/>
      <c r="F61" s="22"/>
      <c r="G61" s="18" t="s">
        <v>233</v>
      </c>
      <c r="H61" s="6" t="str">
        <f t="shared" si="5"/>
        <v>--</v>
      </c>
    </row>
    <row r="64" spans="2:8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>
      <c r="B65" s="154" t="s">
        <v>234</v>
      </c>
      <c r="C65" s="5"/>
      <c r="D65" s="22" t="s">
        <v>211</v>
      </c>
      <c r="E65" s="22"/>
      <c r="F65" s="22"/>
      <c r="G65" s="18" t="s">
        <v>235</v>
      </c>
      <c r="H65" s="6" t="str">
        <f>IF(G65=C65,"ok",IF(C65="","--","Not ok"))</f>
        <v>--</v>
      </c>
    </row>
    <row r="66" spans="2:8">
      <c r="B66" s="155"/>
      <c r="C66" s="5"/>
      <c r="D66" s="22" t="s">
        <v>4</v>
      </c>
      <c r="E66" s="22"/>
      <c r="F66" s="22"/>
      <c r="G66" s="18" t="s">
        <v>236</v>
      </c>
      <c r="H66" s="6" t="str">
        <f t="shared" ref="H66:H68" si="6">IF(G66=C66,"ok",IF(C66="","--","Not ok"))</f>
        <v>--</v>
      </c>
    </row>
    <row r="67" spans="2:8">
      <c r="B67" s="155"/>
      <c r="C67" s="5"/>
      <c r="D67" s="22" t="s">
        <v>213</v>
      </c>
      <c r="E67" s="22"/>
      <c r="F67" s="22"/>
      <c r="G67" s="18" t="s">
        <v>237</v>
      </c>
      <c r="H67" s="6" t="str">
        <f t="shared" si="6"/>
        <v>--</v>
      </c>
    </row>
    <row r="68" spans="2:8">
      <c r="B68" s="156"/>
      <c r="C68" s="5"/>
      <c r="D68" s="22" t="s">
        <v>212</v>
      </c>
      <c r="E68" s="22"/>
      <c r="F68" s="22"/>
      <c r="G68" s="18" t="s">
        <v>238</v>
      </c>
      <c r="H68" s="6" t="str">
        <f t="shared" si="6"/>
        <v>--</v>
      </c>
    </row>
    <row r="71" spans="2:8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>
      <c r="B72" s="154" t="s">
        <v>239</v>
      </c>
      <c r="C72" s="5"/>
      <c r="D72" s="22" t="s">
        <v>211</v>
      </c>
      <c r="E72" s="22"/>
      <c r="F72" s="22"/>
      <c r="G72" s="18" t="s">
        <v>240</v>
      </c>
      <c r="H72" s="6" t="str">
        <f>IF(G72=C72,"ok",IF(C72="","--","Not ok"))</f>
        <v>--</v>
      </c>
    </row>
    <row r="73" spans="2:8">
      <c r="B73" s="155"/>
      <c r="C73" s="5"/>
      <c r="D73" s="22" t="s">
        <v>4</v>
      </c>
      <c r="E73" s="22"/>
      <c r="F73" s="22"/>
      <c r="G73" s="18" t="s">
        <v>216</v>
      </c>
      <c r="H73" s="6" t="str">
        <f t="shared" ref="H73:H75" si="7">IF(G73=C73,"ok",IF(C73="","--","Not ok"))</f>
        <v>--</v>
      </c>
    </row>
    <row r="74" spans="2:8">
      <c r="B74" s="155"/>
      <c r="C74" s="5"/>
      <c r="D74" s="22" t="s">
        <v>213</v>
      </c>
      <c r="E74" s="22"/>
      <c r="F74" s="22"/>
      <c r="G74" s="18" t="s">
        <v>241</v>
      </c>
      <c r="H74" s="6" t="str">
        <f t="shared" si="7"/>
        <v>--</v>
      </c>
    </row>
    <row r="75" spans="2:8">
      <c r="B75" s="156"/>
      <c r="C75" s="5"/>
      <c r="D75" s="22" t="s">
        <v>212</v>
      </c>
      <c r="E75" s="22"/>
      <c r="F75" s="22"/>
      <c r="G75" s="18" t="s">
        <v>242</v>
      </c>
      <c r="H75" s="6" t="str">
        <f t="shared" si="7"/>
        <v>--</v>
      </c>
    </row>
    <row r="78" spans="2:8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>
      <c r="B79" s="154" t="s">
        <v>244</v>
      </c>
      <c r="C79" s="5"/>
      <c r="D79" s="22" t="s">
        <v>211</v>
      </c>
      <c r="E79" s="22"/>
      <c r="F79" s="22"/>
      <c r="G79" s="18">
        <v>16</v>
      </c>
      <c r="H79" s="6" t="str">
        <f>IF(G79=C79,"ok",IF(C79="","--","Not ok"))</f>
        <v>--</v>
      </c>
    </row>
    <row r="80" spans="2:8">
      <c r="B80" s="155"/>
      <c r="C80" s="5"/>
      <c r="D80" s="22" t="s">
        <v>4</v>
      </c>
      <c r="E80" s="22"/>
      <c r="F80" s="22"/>
      <c r="G80" s="18">
        <v>14</v>
      </c>
      <c r="H80" s="6" t="str">
        <f t="shared" ref="H80:H82" si="8">IF(G80=C80,"ok",IF(C80="","--","Not ok"))</f>
        <v>--</v>
      </c>
    </row>
    <row r="81" spans="2:8">
      <c r="B81" s="155"/>
      <c r="C81" s="5"/>
      <c r="D81" s="22" t="s">
        <v>213</v>
      </c>
      <c r="E81" s="22"/>
      <c r="F81" s="22"/>
      <c r="G81" s="18">
        <v>24</v>
      </c>
      <c r="H81" s="6" t="str">
        <f t="shared" si="8"/>
        <v>--</v>
      </c>
    </row>
    <row r="82" spans="2:8">
      <c r="B82" s="156"/>
      <c r="C82" s="5"/>
      <c r="D82" s="22" t="s">
        <v>212</v>
      </c>
      <c r="E82" s="22"/>
      <c r="F82" s="22"/>
      <c r="G82" s="18">
        <v>23</v>
      </c>
      <c r="H82" s="6" t="str">
        <f t="shared" si="8"/>
        <v>--</v>
      </c>
    </row>
    <row r="85" spans="2:8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>
      <c r="B86" s="154" t="s">
        <v>247</v>
      </c>
      <c r="C86" s="5"/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--</v>
      </c>
    </row>
    <row r="87" spans="2:8">
      <c r="B87" s="155"/>
      <c r="C87" s="5"/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9">IF(G87=C87,"ok",IF(C87="","--","Not ok"))</f>
        <v>--</v>
      </c>
    </row>
    <row r="88" spans="2:8">
      <c r="B88" s="155"/>
      <c r="C88" s="5"/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9"/>
        <v>--</v>
      </c>
    </row>
    <row r="89" spans="2:8">
      <c r="B89" s="156"/>
      <c r="C89" s="5"/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9"/>
        <v>--</v>
      </c>
    </row>
    <row r="92" spans="2:8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>
      <c r="B93" s="154" t="s">
        <v>262</v>
      </c>
      <c r="C93" s="5"/>
      <c r="D93" s="73" t="s">
        <v>264</v>
      </c>
      <c r="E93" s="22"/>
      <c r="F93" s="22"/>
      <c r="G93" s="18" t="s">
        <v>267</v>
      </c>
      <c r="H93" s="6" t="str">
        <f>IF(G93=C93,"ok",IF(C93="","--","Not ok"))</f>
        <v>--</v>
      </c>
    </row>
    <row r="94" spans="2:8">
      <c r="B94" s="155"/>
      <c r="C94" s="5"/>
      <c r="D94" s="22" t="s">
        <v>261</v>
      </c>
      <c r="E94" s="22"/>
      <c r="F94" s="22"/>
      <c r="G94" s="18" t="s">
        <v>268</v>
      </c>
      <c r="H94" s="6" t="str">
        <f t="shared" ref="H94:H96" si="10">IF(G94=C94,"ok",IF(C94="","--","Not ok"))</f>
        <v>--</v>
      </c>
    </row>
    <row r="95" spans="2:8">
      <c r="B95" s="155"/>
      <c r="C95" s="5"/>
      <c r="D95" s="22" t="s">
        <v>265</v>
      </c>
      <c r="E95" s="22"/>
      <c r="F95" s="22"/>
      <c r="G95" s="18" t="s">
        <v>269</v>
      </c>
      <c r="H95" s="6" t="str">
        <f t="shared" si="10"/>
        <v>--</v>
      </c>
    </row>
    <row r="96" spans="2:8">
      <c r="B96" s="156"/>
      <c r="C96" s="5"/>
      <c r="D96" s="22" t="s">
        <v>266</v>
      </c>
      <c r="E96" s="22"/>
      <c r="F96" s="22"/>
      <c r="G96" s="18" t="s">
        <v>270</v>
      </c>
      <c r="H96" s="6" t="str">
        <f t="shared" si="10"/>
        <v>--</v>
      </c>
    </row>
    <row r="99" spans="2:8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>
      <c r="B100" s="154" t="s">
        <v>276</v>
      </c>
      <c r="C100" s="5"/>
      <c r="D100" s="73" t="s">
        <v>263</v>
      </c>
      <c r="E100" s="22"/>
      <c r="F100" s="22"/>
      <c r="G100" s="18" t="s">
        <v>277</v>
      </c>
      <c r="H100" s="6" t="str">
        <f>IF(G100=C100,"ok",IF(C100="","--","Not ok"))</f>
        <v>--</v>
      </c>
    </row>
    <row r="101" spans="2:8">
      <c r="B101" s="155"/>
      <c r="C101" s="5"/>
      <c r="D101" s="22" t="s">
        <v>261</v>
      </c>
      <c r="E101" s="22"/>
      <c r="F101" s="22"/>
      <c r="G101" s="18" t="s">
        <v>278</v>
      </c>
      <c r="H101" s="6" t="str">
        <f t="shared" ref="H101:H103" si="11">IF(G101=C101,"ok",IF(C101="","--","Not ok"))</f>
        <v>--</v>
      </c>
    </row>
    <row r="102" spans="2:8">
      <c r="B102" s="155"/>
      <c r="C102" s="5"/>
      <c r="D102" s="22" t="s">
        <v>265</v>
      </c>
      <c r="E102" s="22"/>
      <c r="F102" s="22"/>
      <c r="G102" s="18" t="s">
        <v>278</v>
      </c>
      <c r="H102" s="6" t="str">
        <f t="shared" si="11"/>
        <v>--</v>
      </c>
    </row>
    <row r="103" spans="2:8">
      <c r="B103" s="156"/>
      <c r="C103" s="5"/>
      <c r="D103" s="22" t="s">
        <v>266</v>
      </c>
      <c r="E103" s="22"/>
      <c r="F103" s="22"/>
      <c r="G103" s="18" t="s">
        <v>277</v>
      </c>
      <c r="H103" s="6" t="str">
        <f t="shared" si="11"/>
        <v>--</v>
      </c>
    </row>
    <row r="106" spans="2:8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>
      <c r="B107" s="154" t="s">
        <v>215</v>
      </c>
      <c r="C107" s="5"/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--</v>
      </c>
    </row>
    <row r="108" spans="2:8">
      <c r="B108" s="155"/>
      <c r="C108" s="5"/>
      <c r="D108" s="22" t="s">
        <v>4</v>
      </c>
      <c r="E108" s="22"/>
      <c r="F108" s="22"/>
      <c r="G108" s="18" t="s">
        <v>273</v>
      </c>
      <c r="H108" s="6" t="str">
        <f t="shared" ref="H108:H110" si="12">IF(G108=C108,"ok",IF(C108="","--","Not ok"))</f>
        <v>--</v>
      </c>
    </row>
    <row r="109" spans="2:8">
      <c r="B109" s="155"/>
      <c r="C109" s="5"/>
      <c r="D109" s="22" t="s">
        <v>213</v>
      </c>
      <c r="E109" s="22"/>
      <c r="F109" s="22"/>
      <c r="G109" s="18" t="s">
        <v>274</v>
      </c>
      <c r="H109" s="6" t="str">
        <f t="shared" si="12"/>
        <v>--</v>
      </c>
    </row>
    <row r="110" spans="2:8">
      <c r="B110" s="156"/>
      <c r="C110" s="5"/>
      <c r="D110" s="22" t="s">
        <v>212</v>
      </c>
      <c r="E110" s="22"/>
      <c r="F110" s="22"/>
      <c r="G110" s="18" t="s">
        <v>275</v>
      </c>
      <c r="H110" s="6" t="str">
        <f t="shared" si="12"/>
        <v>--</v>
      </c>
    </row>
  </sheetData>
  <mergeCells count="13">
    <mergeCell ref="B58:B61"/>
    <mergeCell ref="B23:B26"/>
    <mergeCell ref="B30:B33"/>
    <mergeCell ref="B37:B40"/>
    <mergeCell ref="B44:B47"/>
    <mergeCell ref="B51:B54"/>
    <mergeCell ref="B107:B110"/>
    <mergeCell ref="B65:B68"/>
    <mergeCell ref="B72:B75"/>
    <mergeCell ref="B79:B82"/>
    <mergeCell ref="B86:B89"/>
    <mergeCell ref="B93:B96"/>
    <mergeCell ref="B100:B103"/>
  </mergeCells>
  <conditionalFormatting sqref="H23:H26">
    <cfRule type="cellIs" dxfId="121" priority="32" operator="equal">
      <formula>"Not ok"</formula>
    </cfRule>
    <cfRule type="cellIs" dxfId="120" priority="33" operator="equal">
      <formula>"ok"</formula>
    </cfRule>
  </conditionalFormatting>
  <conditionalFormatting sqref="G7">
    <cfRule type="cellIs" dxfId="119" priority="25" stopIfTrue="1" operator="equal">
      <formula>"Not defined"</formula>
    </cfRule>
    <cfRule type="cellIs" dxfId="118" priority="26" stopIfTrue="1" operator="greaterThan">
      <formula>5.7</formula>
    </cfRule>
    <cfRule type="cellIs" dxfId="117" priority="27" stopIfTrue="1" operator="greaterThan">
      <formula>5</formula>
    </cfRule>
    <cfRule type="cellIs" dxfId="116" priority="28" stopIfTrue="1" operator="greaterThan">
      <formula>4.5</formula>
    </cfRule>
    <cfRule type="cellIs" dxfId="115" priority="29" stopIfTrue="1" operator="greaterThanOrEqual">
      <formula>4</formula>
    </cfRule>
    <cfRule type="cellIs" dxfId="114" priority="30" stopIfTrue="1" operator="greaterThanOrEqual">
      <formula>3</formula>
    </cfRule>
    <cfRule type="cellIs" dxfId="113" priority="31" stopIfTrue="1" operator="greaterThanOrEqual">
      <formula>1</formula>
    </cfRule>
  </conditionalFormatting>
  <conditionalFormatting sqref="H30:H33">
    <cfRule type="cellIs" dxfId="112" priority="23" operator="equal">
      <formula>"Not ok"</formula>
    </cfRule>
    <cfRule type="cellIs" dxfId="111" priority="24" operator="equal">
      <formula>"ok"</formula>
    </cfRule>
  </conditionalFormatting>
  <conditionalFormatting sqref="H107:H110">
    <cfRule type="cellIs" dxfId="110" priority="21" operator="equal">
      <formula>"Not ok"</formula>
    </cfRule>
    <cfRule type="cellIs" dxfId="109" priority="22" operator="equal">
      <formula>"ok"</formula>
    </cfRule>
  </conditionalFormatting>
  <conditionalFormatting sqref="H37:H40">
    <cfRule type="cellIs" dxfId="108" priority="19" operator="equal">
      <formula>"Not ok"</formula>
    </cfRule>
    <cfRule type="cellIs" dxfId="107" priority="20" operator="equal">
      <formula>"ok"</formula>
    </cfRule>
  </conditionalFormatting>
  <conditionalFormatting sqref="H44:H47">
    <cfRule type="cellIs" dxfId="106" priority="17" operator="equal">
      <formula>"Not ok"</formula>
    </cfRule>
    <cfRule type="cellIs" dxfId="105" priority="18" operator="equal">
      <formula>"ok"</formula>
    </cfRule>
  </conditionalFormatting>
  <conditionalFormatting sqref="H51:H54">
    <cfRule type="cellIs" dxfId="104" priority="15" operator="equal">
      <formula>"Not ok"</formula>
    </cfRule>
    <cfRule type="cellIs" dxfId="103" priority="16" operator="equal">
      <formula>"ok"</formula>
    </cfRule>
  </conditionalFormatting>
  <conditionalFormatting sqref="H58:H61">
    <cfRule type="cellIs" dxfId="102" priority="13" operator="equal">
      <formula>"Not ok"</formula>
    </cfRule>
    <cfRule type="cellIs" dxfId="101" priority="14" operator="equal">
      <formula>"ok"</formula>
    </cfRule>
  </conditionalFormatting>
  <conditionalFormatting sqref="H65:H68">
    <cfRule type="cellIs" dxfId="100" priority="11" operator="equal">
      <formula>"Not ok"</formula>
    </cfRule>
    <cfRule type="cellIs" dxfId="99" priority="12" operator="equal">
      <formula>"ok"</formula>
    </cfRule>
  </conditionalFormatting>
  <conditionalFormatting sqref="H72:H75">
    <cfRule type="cellIs" dxfId="98" priority="9" operator="equal">
      <formula>"Not ok"</formula>
    </cfRule>
    <cfRule type="cellIs" dxfId="97" priority="10" operator="equal">
      <formula>"ok"</formula>
    </cfRule>
  </conditionalFormatting>
  <conditionalFormatting sqref="H79:H82">
    <cfRule type="cellIs" dxfId="96" priority="7" operator="equal">
      <formula>"Not ok"</formula>
    </cfRule>
    <cfRule type="cellIs" dxfId="95" priority="8" operator="equal">
      <formula>"ok"</formula>
    </cfRule>
  </conditionalFormatting>
  <conditionalFormatting sqref="H86:H89">
    <cfRule type="cellIs" dxfId="94" priority="5" operator="equal">
      <formula>"Not ok"</formula>
    </cfRule>
    <cfRule type="cellIs" dxfId="93" priority="6" operator="equal">
      <formula>"ok"</formula>
    </cfRule>
  </conditionalFormatting>
  <conditionalFormatting sqref="H93:H96">
    <cfRule type="cellIs" dxfId="92" priority="3" operator="equal">
      <formula>"Not ok"</formula>
    </cfRule>
    <cfRule type="cellIs" dxfId="91" priority="4" operator="equal">
      <formula>"ok"</formula>
    </cfRule>
  </conditionalFormatting>
  <conditionalFormatting sqref="H100:H103">
    <cfRule type="cellIs" dxfId="90" priority="1" operator="equal">
      <formula>"Not ok"</formula>
    </cfRule>
    <cfRule type="cellIs" dxfId="89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1">
    <tabColor rgb="FFFF0000"/>
  </sheetPr>
  <dimension ref="B2:W29"/>
  <sheetViews>
    <sheetView workbookViewId="0"/>
  </sheetViews>
  <sheetFormatPr baseColWidth="10" defaultColWidth="10.81640625" defaultRowHeight="14.5"/>
  <cols>
    <col min="3" max="3" width="12" bestFit="1" customWidth="1"/>
  </cols>
  <sheetData>
    <row r="2" spans="2:23" ht="18.5">
      <c r="B2" s="74" t="s">
        <v>420</v>
      </c>
    </row>
    <row r="9" spans="2:23" ht="15" thickBot="1"/>
    <row r="10" spans="2:23">
      <c r="B10" s="93" t="s">
        <v>279</v>
      </c>
      <c r="C10" s="40"/>
      <c r="D10" s="31"/>
      <c r="E10" s="31"/>
      <c r="F10" s="31"/>
      <c r="G10" s="31"/>
      <c r="H10" s="31"/>
      <c r="I10" s="31"/>
      <c r="J10" s="31"/>
      <c r="K10" s="31"/>
      <c r="L10" s="31"/>
      <c r="M10" s="32"/>
    </row>
    <row r="11" spans="2:23" ht="15" thickBot="1">
      <c r="B11" s="94" t="s">
        <v>280</v>
      </c>
      <c r="C11" s="39"/>
      <c r="D11" s="26"/>
      <c r="E11" s="26"/>
      <c r="F11" s="26"/>
      <c r="G11" s="26"/>
      <c r="H11" s="26"/>
      <c r="I11" s="26"/>
      <c r="J11" s="26"/>
      <c r="K11" s="26"/>
      <c r="L11" s="26"/>
      <c r="M11" s="27"/>
    </row>
    <row r="14" spans="2:23" ht="15" thickBot="1"/>
    <row r="15" spans="2:23">
      <c r="P15" s="82"/>
      <c r="Q15" s="83"/>
      <c r="R15" s="83"/>
      <c r="S15" s="83"/>
      <c r="T15" s="83"/>
      <c r="U15" s="83"/>
      <c r="V15" s="83"/>
      <c r="W15" s="84"/>
    </row>
    <row r="16" spans="2:23" ht="18.5">
      <c r="P16" s="85"/>
      <c r="Q16" s="86" t="s">
        <v>285</v>
      </c>
      <c r="R16" s="87"/>
      <c r="S16" s="87"/>
      <c r="T16" s="87"/>
      <c r="U16" s="87"/>
      <c r="V16" s="87"/>
      <c r="W16" s="88"/>
    </row>
    <row r="17" spans="16:23">
      <c r="P17" s="85"/>
      <c r="Q17" s="87"/>
      <c r="R17" s="87"/>
      <c r="S17" s="87"/>
      <c r="T17" s="87"/>
      <c r="U17" s="87"/>
      <c r="V17" s="87"/>
      <c r="W17" s="88"/>
    </row>
    <row r="18" spans="16:23">
      <c r="P18" s="85"/>
      <c r="Q18" s="87" t="s">
        <v>296</v>
      </c>
      <c r="R18" s="87"/>
      <c r="S18" s="87"/>
      <c r="T18" s="87"/>
      <c r="U18" s="87"/>
      <c r="V18" s="87" t="s">
        <v>48</v>
      </c>
      <c r="W18" s="88"/>
    </row>
    <row r="19" spans="16:23">
      <c r="P19" s="85"/>
      <c r="Q19" s="87" t="s">
        <v>286</v>
      </c>
      <c r="R19" s="87"/>
      <c r="S19" s="87"/>
      <c r="T19" s="87"/>
      <c r="U19" s="87"/>
      <c r="V19" s="87" t="s">
        <v>48</v>
      </c>
      <c r="W19" s="88"/>
    </row>
    <row r="20" spans="16:23">
      <c r="P20" s="85"/>
      <c r="Q20" s="87" t="s">
        <v>287</v>
      </c>
      <c r="R20" s="87"/>
      <c r="S20" s="87"/>
      <c r="T20" s="87"/>
      <c r="U20" s="87"/>
      <c r="V20" s="87" t="s">
        <v>48</v>
      </c>
      <c r="W20" s="88"/>
    </row>
    <row r="21" spans="16:23">
      <c r="P21" s="85"/>
      <c r="Q21" s="87" t="s">
        <v>299</v>
      </c>
      <c r="R21" s="87"/>
      <c r="S21" s="87"/>
      <c r="T21" s="87"/>
      <c r="U21" s="87"/>
      <c r="V21" s="87" t="s">
        <v>48</v>
      </c>
      <c r="W21" s="88"/>
    </row>
    <row r="22" spans="16:23">
      <c r="P22" s="85"/>
      <c r="Q22" s="87" t="s">
        <v>300</v>
      </c>
      <c r="R22" s="87"/>
      <c r="S22" s="87"/>
      <c r="T22" s="87"/>
      <c r="U22" s="87"/>
      <c r="V22" s="87" t="s">
        <v>48</v>
      </c>
      <c r="W22" s="88"/>
    </row>
    <row r="23" spans="16:23">
      <c r="P23" s="85"/>
      <c r="Q23" s="87" t="s">
        <v>291</v>
      </c>
      <c r="R23" s="87"/>
      <c r="S23" s="87"/>
      <c r="T23" s="87"/>
      <c r="U23" s="87"/>
      <c r="V23" s="87" t="s">
        <v>48</v>
      </c>
      <c r="W23" s="88"/>
    </row>
    <row r="24" spans="16:23">
      <c r="P24" s="85"/>
      <c r="Q24" s="87" t="s">
        <v>301</v>
      </c>
      <c r="R24" s="87"/>
      <c r="S24" s="87"/>
      <c r="T24" s="87"/>
      <c r="U24" s="87"/>
      <c r="V24" s="87" t="s">
        <v>48</v>
      </c>
      <c r="W24" s="88"/>
    </row>
    <row r="25" spans="16:23">
      <c r="P25" s="85"/>
      <c r="Q25" s="87"/>
      <c r="R25" s="87"/>
      <c r="S25" s="87"/>
      <c r="T25" s="87"/>
      <c r="U25" s="87" t="s">
        <v>297</v>
      </c>
      <c r="V25" s="87">
        <f>COUNTIF(V18:V24,"&lt;&gt; ")</f>
        <v>7</v>
      </c>
      <c r="W25" s="88"/>
    </row>
    <row r="26" spans="16:23" ht="15" thickBot="1">
      <c r="P26" s="85"/>
      <c r="Q26" s="87"/>
      <c r="R26" s="87"/>
      <c r="S26" s="87"/>
      <c r="T26" s="87"/>
      <c r="U26" s="89" t="s">
        <v>298</v>
      </c>
      <c r="V26" s="87">
        <f>COUNTIF(V18:V24,"=Ja")</f>
        <v>0</v>
      </c>
      <c r="W26" s="88"/>
    </row>
    <row r="27" spans="16:23" ht="15" thickBot="1">
      <c r="P27" s="85"/>
      <c r="Q27" s="87"/>
      <c r="R27" s="87"/>
      <c r="S27" s="87"/>
      <c r="T27" s="87"/>
      <c r="U27" s="95" t="s">
        <v>13</v>
      </c>
      <c r="V27" s="96">
        <f>(5/V25)*V26+1</f>
        <v>1</v>
      </c>
      <c r="W27" s="88"/>
    </row>
    <row r="28" spans="16:23">
      <c r="P28" s="85"/>
      <c r="Q28" s="87"/>
      <c r="R28" s="87"/>
      <c r="S28" s="87"/>
      <c r="T28" s="87"/>
      <c r="U28" s="87"/>
      <c r="V28" s="87"/>
      <c r="W28" s="88"/>
    </row>
    <row r="29" spans="16:23" ht="15" thickBot="1">
      <c r="P29" s="90"/>
      <c r="Q29" s="91"/>
      <c r="R29" s="91"/>
      <c r="S29" s="91"/>
      <c r="T29" s="91"/>
      <c r="U29" s="91"/>
      <c r="V29" s="91"/>
      <c r="W29" s="92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Aufgaben!$J$104:$J$105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2">
    <tabColor rgb="FFFF0000"/>
  </sheetPr>
  <dimension ref="B1:W33"/>
  <sheetViews>
    <sheetView workbookViewId="0"/>
  </sheetViews>
  <sheetFormatPr baseColWidth="10" defaultColWidth="10.81640625" defaultRowHeight="14.5"/>
  <cols>
    <col min="2" max="2" width="18.453125" customWidth="1"/>
  </cols>
  <sheetData>
    <row r="1" spans="2:23" ht="21.75" customHeight="1"/>
    <row r="2" spans="2:23" ht="18.5">
      <c r="B2" s="74" t="s">
        <v>421</v>
      </c>
    </row>
    <row r="8" spans="2:23" ht="15" thickBot="1"/>
    <row r="9" spans="2:23" ht="15" thickBot="1">
      <c r="C9" s="80" t="s">
        <v>283</v>
      </c>
      <c r="D9" s="81">
        <v>2</v>
      </c>
    </row>
    <row r="10" spans="2:23" ht="15" thickBot="1">
      <c r="B10" s="75" t="s">
        <v>279</v>
      </c>
      <c r="C10" s="78">
        <v>-5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30"/>
    </row>
    <row r="11" spans="2:23">
      <c r="B11" s="76" t="s">
        <v>281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79"/>
    </row>
    <row r="12" spans="2:23" ht="15" thickBot="1">
      <c r="B12" s="77" t="s">
        <v>282</v>
      </c>
      <c r="C12" s="39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7"/>
    </row>
    <row r="14" spans="2:23" ht="15" thickBot="1"/>
    <row r="15" spans="2:23">
      <c r="P15" s="82"/>
      <c r="Q15" s="83"/>
      <c r="R15" s="83"/>
      <c r="S15" s="83"/>
      <c r="T15" s="83"/>
      <c r="U15" s="83"/>
      <c r="V15" s="83"/>
      <c r="W15" s="84"/>
    </row>
    <row r="16" spans="2:23" ht="18.5">
      <c r="P16" s="85"/>
      <c r="Q16" s="86" t="s">
        <v>285</v>
      </c>
      <c r="R16" s="87"/>
      <c r="S16" s="87"/>
      <c r="T16" s="87"/>
      <c r="U16" s="87"/>
      <c r="V16" s="87"/>
      <c r="W16" s="88"/>
    </row>
    <row r="17" spans="16:23">
      <c r="P17" s="85"/>
      <c r="Q17" s="87"/>
      <c r="R17" s="87"/>
      <c r="S17" s="87"/>
      <c r="T17" s="87"/>
      <c r="U17" s="87"/>
      <c r="V17" s="87"/>
      <c r="W17" s="88"/>
    </row>
    <row r="18" spans="16:23">
      <c r="P18" s="85"/>
      <c r="Q18" s="87" t="s">
        <v>296</v>
      </c>
      <c r="R18" s="87"/>
      <c r="S18" s="87"/>
      <c r="T18" s="87"/>
      <c r="U18" s="87"/>
      <c r="V18" s="87" t="s">
        <v>48</v>
      </c>
      <c r="W18" s="88"/>
    </row>
    <row r="19" spans="16:23">
      <c r="P19" s="85"/>
      <c r="Q19" s="87" t="s">
        <v>286</v>
      </c>
      <c r="R19" s="87"/>
      <c r="S19" s="87"/>
      <c r="T19" s="87"/>
      <c r="U19" s="87"/>
      <c r="V19" s="87" t="s">
        <v>48</v>
      </c>
      <c r="W19" s="88"/>
    </row>
    <row r="20" spans="16:23">
      <c r="P20" s="85"/>
      <c r="Q20" s="87" t="s">
        <v>287</v>
      </c>
      <c r="R20" s="87"/>
      <c r="S20" s="87"/>
      <c r="T20" s="87"/>
      <c r="U20" s="87"/>
      <c r="V20" s="87" t="s">
        <v>48</v>
      </c>
      <c r="W20" s="88"/>
    </row>
    <row r="21" spans="16:23">
      <c r="P21" s="85"/>
      <c r="Q21" s="87" t="s">
        <v>288</v>
      </c>
      <c r="R21" s="87"/>
      <c r="S21" s="87"/>
      <c r="T21" s="87"/>
      <c r="U21" s="87"/>
      <c r="V21" s="87" t="s">
        <v>48</v>
      </c>
      <c r="W21" s="88"/>
    </row>
    <row r="22" spans="16:23">
      <c r="P22" s="85"/>
      <c r="Q22" s="87" t="s">
        <v>289</v>
      </c>
      <c r="R22" s="87"/>
      <c r="S22" s="87"/>
      <c r="T22" s="87"/>
      <c r="U22" s="87"/>
      <c r="V22" s="87" t="s">
        <v>48</v>
      </c>
      <c r="W22" s="88"/>
    </row>
    <row r="23" spans="16:23">
      <c r="P23" s="85"/>
      <c r="Q23" s="87" t="s">
        <v>290</v>
      </c>
      <c r="R23" s="87"/>
      <c r="S23" s="87"/>
      <c r="T23" s="87"/>
      <c r="U23" s="87"/>
      <c r="V23" s="87" t="s">
        <v>48</v>
      </c>
      <c r="W23" s="88"/>
    </row>
    <row r="24" spans="16:23">
      <c r="P24" s="85"/>
      <c r="Q24" s="87" t="s">
        <v>291</v>
      </c>
      <c r="R24" s="87"/>
      <c r="S24" s="87"/>
      <c r="T24" s="87"/>
      <c r="U24" s="87"/>
      <c r="V24" s="87" t="s">
        <v>48</v>
      </c>
      <c r="W24" s="88"/>
    </row>
    <row r="25" spans="16:23">
      <c r="P25" s="85"/>
      <c r="Q25" s="87" t="s">
        <v>292</v>
      </c>
      <c r="R25" s="87"/>
      <c r="S25" s="87"/>
      <c r="T25" s="87"/>
      <c r="U25" s="87"/>
      <c r="V25" s="87" t="s">
        <v>48</v>
      </c>
      <c r="W25" s="88"/>
    </row>
    <row r="26" spans="16:23">
      <c r="P26" s="85"/>
      <c r="Q26" s="87" t="s">
        <v>293</v>
      </c>
      <c r="R26" s="87"/>
      <c r="S26" s="87"/>
      <c r="T26" s="87"/>
      <c r="U26" s="87"/>
      <c r="V26" s="87" t="s">
        <v>48</v>
      </c>
      <c r="W26" s="88"/>
    </row>
    <row r="27" spans="16:23">
      <c r="P27" s="85"/>
      <c r="Q27" s="87" t="s">
        <v>294</v>
      </c>
      <c r="R27" s="87"/>
      <c r="S27" s="87"/>
      <c r="T27" s="87"/>
      <c r="U27" s="87"/>
      <c r="V27" s="87" t="s">
        <v>48</v>
      </c>
      <c r="W27" s="88"/>
    </row>
    <row r="28" spans="16:23">
      <c r="P28" s="85"/>
      <c r="Q28" s="87" t="s">
        <v>295</v>
      </c>
      <c r="R28" s="87"/>
      <c r="S28" s="87"/>
      <c r="T28" s="87"/>
      <c r="U28" s="87"/>
      <c r="V28" s="87" t="s">
        <v>48</v>
      </c>
      <c r="W28" s="88"/>
    </row>
    <row r="29" spans="16:23">
      <c r="P29" s="85"/>
      <c r="Q29" s="87"/>
      <c r="R29" s="87"/>
      <c r="S29" s="87"/>
      <c r="T29" s="87"/>
      <c r="U29" s="87" t="s">
        <v>297</v>
      </c>
      <c r="V29" s="87">
        <f>COUNTIF(V18:V28,"&lt;&gt; ")</f>
        <v>11</v>
      </c>
      <c r="W29" s="88"/>
    </row>
    <row r="30" spans="16:23" ht="15" thickBot="1">
      <c r="P30" s="85"/>
      <c r="Q30" s="87"/>
      <c r="R30" s="87"/>
      <c r="S30" s="87"/>
      <c r="T30" s="87"/>
      <c r="U30" s="89" t="s">
        <v>298</v>
      </c>
      <c r="V30" s="87">
        <f>COUNTIF(V18:V28,"=Ja")</f>
        <v>0</v>
      </c>
      <c r="W30" s="88"/>
    </row>
    <row r="31" spans="16:23" ht="15" thickBot="1">
      <c r="P31" s="85"/>
      <c r="Q31" s="87"/>
      <c r="R31" s="87"/>
      <c r="S31" s="87"/>
      <c r="T31" s="87"/>
      <c r="U31" s="95" t="s">
        <v>13</v>
      </c>
      <c r="V31" s="96">
        <f>(5/V29)*V30+1</f>
        <v>1</v>
      </c>
      <c r="W31" s="88"/>
    </row>
    <row r="32" spans="16:23">
      <c r="P32" s="85"/>
      <c r="Q32" s="87"/>
      <c r="R32" s="87"/>
      <c r="S32" s="87"/>
      <c r="T32" s="87"/>
      <c r="U32" s="87"/>
      <c r="V32" s="87"/>
      <c r="W32" s="88"/>
    </row>
    <row r="33" spans="16:23" ht="15" thickBot="1">
      <c r="P33" s="90"/>
      <c r="Q33" s="91"/>
      <c r="R33" s="91"/>
      <c r="S33" s="91"/>
      <c r="T33" s="91"/>
      <c r="U33" s="91"/>
      <c r="V33" s="91"/>
      <c r="W33" s="92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Aufgaben!$J$104:$J$105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E7C16-624C-4E4E-9673-F79F2BE85931}">
  <sheetPr codeName="Tabelle16">
    <tabColor rgb="FFFF0000"/>
  </sheetPr>
  <dimension ref="C1:AF40"/>
  <sheetViews>
    <sheetView showGridLines="0" zoomScale="85" zoomScaleNormal="85" workbookViewId="0"/>
  </sheetViews>
  <sheetFormatPr baseColWidth="10" defaultColWidth="10.81640625" defaultRowHeight="14.5"/>
  <cols>
    <col min="6" max="6" width="4.81640625" customWidth="1"/>
    <col min="7" max="7" width="25.54296875" customWidth="1"/>
    <col min="10" max="10" width="10.453125" customWidth="1"/>
    <col min="11" max="11" width="16.90625" customWidth="1"/>
  </cols>
  <sheetData>
    <row r="1" spans="3:28" ht="21.75" customHeight="1"/>
    <row r="2" spans="3:28" ht="18.5">
      <c r="C2" s="74" t="s">
        <v>426</v>
      </c>
    </row>
    <row r="8" spans="3:28" ht="29.5" customHeight="1"/>
    <row r="10" spans="3:28" ht="15" thickBot="1"/>
    <row r="11" spans="3:28" ht="21.5" thickBot="1">
      <c r="C11" s="157" t="s">
        <v>430</v>
      </c>
      <c r="D11" s="157"/>
      <c r="E11" s="157"/>
      <c r="G11" s="150" t="s">
        <v>283</v>
      </c>
      <c r="H11" s="151">
        <v>0.4</v>
      </c>
    </row>
    <row r="12" spans="3:28" ht="15" thickBot="1">
      <c r="C12" s="3" t="s">
        <v>427</v>
      </c>
      <c r="D12" s="3" t="s">
        <v>428</v>
      </c>
      <c r="E12" s="3" t="s">
        <v>429</v>
      </c>
      <c r="G12" s="152" t="s">
        <v>431</v>
      </c>
      <c r="H12" s="153">
        <v>0</v>
      </c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30"/>
    </row>
    <row r="13" spans="3:28">
      <c r="C13" s="142">
        <v>1</v>
      </c>
      <c r="D13" s="142">
        <v>1</v>
      </c>
      <c r="E13" s="142">
        <v>0</v>
      </c>
      <c r="G13" s="148" t="str">
        <f>_xlfn.CONCAT("y0 = ",ROUND(C13,2)," * sin(",ROUND(D13,2),"*x + ",ROUND(E13,2),") = ")</f>
        <v xml:space="preserve">y0 = 1 * sin(1*x + 0) = </v>
      </c>
      <c r="H13" s="149"/>
      <c r="I13" s="149"/>
      <c r="J13" s="149"/>
      <c r="K13" s="149"/>
      <c r="L13" s="149"/>
      <c r="M13" s="149"/>
      <c r="N13" s="149"/>
      <c r="O13" s="149"/>
      <c r="P13" s="149"/>
      <c r="Q13" s="149"/>
      <c r="R13" s="149"/>
      <c r="S13" s="149"/>
      <c r="T13" s="149"/>
      <c r="U13" s="149"/>
      <c r="V13" s="149"/>
      <c r="W13" s="149"/>
      <c r="X13" s="149"/>
      <c r="Y13" s="149"/>
      <c r="Z13" s="149"/>
      <c r="AA13" s="149"/>
      <c r="AB13" s="149"/>
    </row>
    <row r="14" spans="3:28">
      <c r="C14" s="142">
        <f>1/3</f>
        <v>0.33333333333333331</v>
      </c>
      <c r="D14" s="142">
        <v>3</v>
      </c>
      <c r="E14" s="142">
        <v>0</v>
      </c>
      <c r="G14" s="145" t="str">
        <f t="shared" ref="G14" si="0">_xlfn.CONCAT("y1 = ",ROUND(C14,2)," * sin(",ROUND(D14,2),"*x + ",ROUND(E14,2),") = ")</f>
        <v xml:space="preserve">y1 = 0.33 * sin(3*x + 0) = 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</row>
    <row r="15" spans="3:28">
      <c r="C15" s="142">
        <f>1/5</f>
        <v>0.2</v>
      </c>
      <c r="D15" s="142">
        <v>5</v>
      </c>
      <c r="E15" s="142">
        <v>0</v>
      </c>
      <c r="G15" s="146" t="str">
        <f>_xlfn.CONCAT("y2 = ",ROUND(C15,2)," * sin(",ROUND(D15,2),"*x + ",ROUND(E15,2),") = ")</f>
        <v xml:space="preserve">y2 = 0.2 * sin(5*x + 0) = 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</row>
    <row r="16" spans="3:28">
      <c r="C16" s="142">
        <f>1/7</f>
        <v>0.14285714285714285</v>
      </c>
      <c r="D16" s="142">
        <v>7</v>
      </c>
      <c r="E16" s="142">
        <v>0</v>
      </c>
      <c r="G16" s="147" t="str">
        <f>_xlfn.CONCAT("y3 = ",ROUND(C16,2)," * sin(",ROUND(D16,2),"*x + ",ROUND(E16,2),") = ")</f>
        <v xml:space="preserve">y3 = 0.14 * sin(7*x + 0) = 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</row>
    <row r="17" spans="7:32">
      <c r="G17" s="143"/>
    </row>
    <row r="18" spans="7:32">
      <c r="G18" s="143"/>
    </row>
    <row r="19" spans="7:32" ht="16.5">
      <c r="G19" s="144" t="s">
        <v>432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</row>
    <row r="20" spans="7:32">
      <c r="G20" s="118"/>
    </row>
    <row r="21" spans="7:32" ht="15" thickBot="1"/>
    <row r="22" spans="7:32">
      <c r="Y22" s="82"/>
      <c r="Z22" s="83"/>
      <c r="AA22" s="83"/>
      <c r="AB22" s="83"/>
      <c r="AC22" s="83"/>
      <c r="AD22" s="83"/>
      <c r="AE22" s="83"/>
      <c r="AF22" s="84"/>
    </row>
    <row r="23" spans="7:32" ht="18.5">
      <c r="Y23" s="85"/>
      <c r="Z23" s="86" t="s">
        <v>285</v>
      </c>
      <c r="AA23" s="87"/>
      <c r="AB23" s="87"/>
      <c r="AC23" s="87"/>
      <c r="AD23" s="87"/>
      <c r="AE23" s="87"/>
      <c r="AF23" s="88"/>
    </row>
    <row r="24" spans="7:32">
      <c r="Y24" s="85"/>
      <c r="Z24" s="87"/>
      <c r="AA24" s="87"/>
      <c r="AB24" s="87"/>
      <c r="AC24" s="87"/>
      <c r="AD24" s="87"/>
      <c r="AE24" s="87"/>
      <c r="AF24" s="88"/>
    </row>
    <row r="25" spans="7:32">
      <c r="Y25" s="85"/>
      <c r="Z25" s="87" t="s">
        <v>296</v>
      </c>
      <c r="AA25" s="87"/>
      <c r="AB25" s="87"/>
      <c r="AC25" s="87"/>
      <c r="AD25" s="87"/>
      <c r="AE25" s="87" t="s">
        <v>48</v>
      </c>
      <c r="AF25" s="88"/>
    </row>
    <row r="26" spans="7:32">
      <c r="Y26" s="85"/>
      <c r="Z26" s="87" t="s">
        <v>286</v>
      </c>
      <c r="AA26" s="87"/>
      <c r="AB26" s="87"/>
      <c r="AC26" s="87"/>
      <c r="AD26" s="87"/>
      <c r="AE26" s="87" t="s">
        <v>48</v>
      </c>
      <c r="AF26" s="88"/>
    </row>
    <row r="27" spans="7:32">
      <c r="Y27" s="85"/>
      <c r="Z27" s="87" t="s">
        <v>287</v>
      </c>
      <c r="AA27" s="87"/>
      <c r="AB27" s="87"/>
      <c r="AC27" s="87"/>
      <c r="AD27" s="87"/>
      <c r="AE27" s="87" t="s">
        <v>48</v>
      </c>
      <c r="AF27" s="88"/>
    </row>
    <row r="28" spans="7:32">
      <c r="Y28" s="85"/>
      <c r="Z28" s="87" t="s">
        <v>288</v>
      </c>
      <c r="AA28" s="87"/>
      <c r="AB28" s="87"/>
      <c r="AC28" s="87"/>
      <c r="AD28" s="87"/>
      <c r="AE28" s="87" t="s">
        <v>48</v>
      </c>
      <c r="AF28" s="88"/>
    </row>
    <row r="29" spans="7:32">
      <c r="Y29" s="85"/>
      <c r="Z29" s="87" t="s">
        <v>433</v>
      </c>
      <c r="AA29" s="87"/>
      <c r="AB29" s="87"/>
      <c r="AC29" s="87"/>
      <c r="AD29" s="87"/>
      <c r="AE29" s="87" t="s">
        <v>48</v>
      </c>
      <c r="AF29" s="88"/>
    </row>
    <row r="30" spans="7:32">
      <c r="Y30" s="85"/>
      <c r="Z30" s="87" t="s">
        <v>434</v>
      </c>
      <c r="AA30" s="87"/>
      <c r="AB30" s="87"/>
      <c r="AC30" s="87"/>
      <c r="AD30" s="87"/>
      <c r="AE30" s="87" t="s">
        <v>48</v>
      </c>
      <c r="AF30" s="88"/>
    </row>
    <row r="31" spans="7:32">
      <c r="Y31" s="85"/>
      <c r="Z31" s="87" t="s">
        <v>291</v>
      </c>
      <c r="AA31" s="87"/>
      <c r="AB31" s="87"/>
      <c r="AC31" s="87"/>
      <c r="AD31" s="87"/>
      <c r="AE31" s="87" t="s">
        <v>48</v>
      </c>
      <c r="AF31" s="88"/>
    </row>
    <row r="32" spans="7:32">
      <c r="Y32" s="85"/>
      <c r="Z32" s="87" t="s">
        <v>435</v>
      </c>
      <c r="AA32" s="87"/>
      <c r="AB32" s="87"/>
      <c r="AC32" s="87"/>
      <c r="AD32" s="87"/>
      <c r="AE32" s="87" t="s">
        <v>48</v>
      </c>
      <c r="AF32" s="88"/>
    </row>
    <row r="33" spans="25:32">
      <c r="Y33" s="85"/>
      <c r="Z33" s="87" t="s">
        <v>436</v>
      </c>
      <c r="AA33" s="87"/>
      <c r="AB33" s="87"/>
      <c r="AC33" s="87"/>
      <c r="AD33" s="87"/>
      <c r="AE33" s="87" t="s">
        <v>48</v>
      </c>
      <c r="AF33" s="88"/>
    </row>
    <row r="34" spans="25:32">
      <c r="Y34" s="85"/>
      <c r="Z34" s="87" t="s">
        <v>294</v>
      </c>
      <c r="AA34" s="87"/>
      <c r="AB34" s="87"/>
      <c r="AC34" s="87"/>
      <c r="AD34" s="87"/>
      <c r="AE34" s="87" t="s">
        <v>48</v>
      </c>
      <c r="AF34" s="88"/>
    </row>
    <row r="35" spans="25:32">
      <c r="Y35" s="85"/>
      <c r="Z35" s="87" t="s">
        <v>295</v>
      </c>
      <c r="AA35" s="87"/>
      <c r="AB35" s="87"/>
      <c r="AC35" s="87"/>
      <c r="AD35" s="87"/>
      <c r="AE35" s="87" t="s">
        <v>48</v>
      </c>
      <c r="AF35" s="88"/>
    </row>
    <row r="36" spans="25:32">
      <c r="Y36" s="85"/>
      <c r="Z36" s="87"/>
      <c r="AA36" s="87"/>
      <c r="AB36" s="87"/>
      <c r="AC36" s="87"/>
      <c r="AD36" s="87" t="s">
        <v>297</v>
      </c>
      <c r="AE36" s="87">
        <f>COUNTIF(AE25:AE35,"&lt;&gt; ")</f>
        <v>11</v>
      </c>
      <c r="AF36" s="88"/>
    </row>
    <row r="37" spans="25:32" ht="15" thickBot="1">
      <c r="Y37" s="85"/>
      <c r="Z37" s="87"/>
      <c r="AA37" s="87"/>
      <c r="AB37" s="87"/>
      <c r="AC37" s="87"/>
      <c r="AD37" s="89" t="s">
        <v>298</v>
      </c>
      <c r="AE37" s="87">
        <f>COUNTIF(AE25:AE35,"=Ja")</f>
        <v>0</v>
      </c>
      <c r="AF37" s="88"/>
    </row>
    <row r="38" spans="25:32" ht="15" thickBot="1">
      <c r="Y38" s="85"/>
      <c r="Z38" s="87"/>
      <c r="AA38" s="87"/>
      <c r="AB38" s="87"/>
      <c r="AC38" s="87"/>
      <c r="AD38" s="95" t="s">
        <v>13</v>
      </c>
      <c r="AE38" s="96">
        <f>(5/AE36)*AE37+1</f>
        <v>1</v>
      </c>
      <c r="AF38" s="88"/>
    </row>
    <row r="39" spans="25:32">
      <c r="Y39" s="85"/>
      <c r="Z39" s="87"/>
      <c r="AA39" s="87"/>
      <c r="AB39" s="87"/>
      <c r="AC39" s="87"/>
      <c r="AD39" s="87"/>
      <c r="AE39" s="87"/>
      <c r="AF39" s="88"/>
    </row>
    <row r="40" spans="25:32" ht="15" thickBot="1">
      <c r="Y40" s="90"/>
      <c r="Z40" s="91"/>
      <c r="AA40" s="91"/>
      <c r="AB40" s="91"/>
      <c r="AC40" s="91"/>
      <c r="AD40" s="91"/>
      <c r="AE40" s="91"/>
      <c r="AF40" s="92"/>
    </row>
  </sheetData>
  <mergeCells count="1">
    <mergeCell ref="C11:E11"/>
  </mergeCells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43B746-8393-4512-8803-DB7567F0821A}">
          <x14:formula1>
            <xm:f>Aufgaben!$J$104:$J$105</xm:f>
          </x14:formula1>
          <xm:sqref>AE25:AE35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rgb="FFFF0000"/>
  </sheetPr>
  <dimension ref="A1:S279"/>
  <sheetViews>
    <sheetView zoomScale="70" zoomScaleNormal="70" workbookViewId="0"/>
  </sheetViews>
  <sheetFormatPr baseColWidth="10" defaultColWidth="10.81640625" defaultRowHeight="14.5"/>
  <cols>
    <col min="1" max="1" width="7.7265625" customWidth="1"/>
    <col min="3" max="3" width="23.7265625" customWidth="1"/>
    <col min="4" max="4" width="19.26953125" customWidth="1"/>
    <col min="5" max="5" width="29.81640625" customWidth="1"/>
    <col min="6" max="6" width="7.1796875" customWidth="1"/>
    <col min="7" max="7" width="23.81640625" customWidth="1"/>
    <col min="9" max="9" width="38.26953125" customWidth="1"/>
    <col min="10" max="10" width="18.7265625" customWidth="1"/>
  </cols>
  <sheetData>
    <row r="1" spans="1:19" ht="35.25" customHeight="1" thickBot="1">
      <c r="A1" s="41"/>
    </row>
    <row r="2" spans="1:19" ht="26">
      <c r="B2" s="141" t="s">
        <v>422</v>
      </c>
      <c r="L2" s="82"/>
      <c r="M2" s="83"/>
      <c r="N2" s="83"/>
      <c r="O2" s="83"/>
      <c r="P2" s="83"/>
      <c r="Q2" s="83"/>
      <c r="R2" s="83"/>
      <c r="S2" s="84"/>
    </row>
    <row r="3" spans="1:19" ht="18.5">
      <c r="L3" s="85"/>
      <c r="M3" s="86" t="s">
        <v>285</v>
      </c>
      <c r="N3" s="87"/>
      <c r="O3" s="87"/>
      <c r="P3" s="87"/>
      <c r="Q3" s="87"/>
      <c r="R3" s="87"/>
      <c r="S3" s="88"/>
    </row>
    <row r="4" spans="1:19">
      <c r="L4" s="85"/>
      <c r="M4" s="87"/>
      <c r="N4" s="87"/>
      <c r="O4" s="87"/>
      <c r="P4" s="87"/>
      <c r="Q4" s="87"/>
      <c r="R4" s="87"/>
      <c r="S4" s="88"/>
    </row>
    <row r="5" spans="1:19">
      <c r="L5" s="85"/>
      <c r="M5" s="87" t="s">
        <v>296</v>
      </c>
      <c r="N5" s="87"/>
      <c r="O5" s="87"/>
      <c r="P5" s="87"/>
      <c r="Q5" s="87"/>
      <c r="R5" s="87" t="s">
        <v>48</v>
      </c>
      <c r="S5" s="88"/>
    </row>
    <row r="6" spans="1:19">
      <c r="L6" s="85"/>
      <c r="M6" s="87" t="s">
        <v>302</v>
      </c>
      <c r="N6" s="87"/>
      <c r="O6" s="87"/>
      <c r="P6" s="87"/>
      <c r="Q6" s="87"/>
      <c r="R6" s="87" t="s">
        <v>48</v>
      </c>
      <c r="S6" s="88"/>
    </row>
    <row r="7" spans="1:19">
      <c r="L7" s="85"/>
      <c r="M7" s="87" t="s">
        <v>303</v>
      </c>
      <c r="N7" s="87"/>
      <c r="O7" s="87"/>
      <c r="P7" s="87"/>
      <c r="Q7" s="87"/>
      <c r="R7" s="87" t="s">
        <v>48</v>
      </c>
      <c r="S7" s="88"/>
    </row>
    <row r="8" spans="1:19">
      <c r="L8" s="85"/>
      <c r="M8" s="87" t="s">
        <v>304</v>
      </c>
      <c r="N8" s="87"/>
      <c r="O8" s="87"/>
      <c r="P8" s="87"/>
      <c r="Q8" s="87"/>
      <c r="R8" s="87" t="s">
        <v>48</v>
      </c>
      <c r="S8" s="88"/>
    </row>
    <row r="9" spans="1:19">
      <c r="L9" s="85"/>
      <c r="M9" s="87" t="s">
        <v>305</v>
      </c>
      <c r="N9" s="87"/>
      <c r="O9" s="87"/>
      <c r="P9" s="87"/>
      <c r="Q9" s="87"/>
      <c r="R9" s="87" t="s">
        <v>48</v>
      </c>
      <c r="S9" s="88"/>
    </row>
    <row r="10" spans="1:19">
      <c r="L10" s="85"/>
      <c r="M10" s="87" t="s">
        <v>306</v>
      </c>
      <c r="N10" s="87"/>
      <c r="O10" s="87"/>
      <c r="P10" s="87"/>
      <c r="Q10" s="87"/>
      <c r="R10" s="87" t="s">
        <v>48</v>
      </c>
      <c r="S10" s="88"/>
    </row>
    <row r="11" spans="1:19">
      <c r="L11" s="85"/>
      <c r="M11" s="87" t="s">
        <v>307</v>
      </c>
      <c r="N11" s="87"/>
      <c r="O11" s="87"/>
      <c r="P11" s="87"/>
      <c r="Q11" s="87"/>
      <c r="R11" s="87" t="s">
        <v>48</v>
      </c>
      <c r="S11" s="88"/>
    </row>
    <row r="12" spans="1:19">
      <c r="L12" s="85"/>
      <c r="M12" s="87" t="s">
        <v>308</v>
      </c>
      <c r="N12" s="87"/>
      <c r="O12" s="87"/>
      <c r="P12" s="87"/>
      <c r="Q12" s="87"/>
      <c r="R12" s="87" t="s">
        <v>48</v>
      </c>
      <c r="S12" s="88"/>
    </row>
    <row r="13" spans="1:19">
      <c r="L13" s="85"/>
      <c r="M13" s="87" t="s">
        <v>309</v>
      </c>
      <c r="N13" s="87"/>
      <c r="O13" s="87"/>
      <c r="P13" s="87"/>
      <c r="Q13" s="87"/>
      <c r="R13" s="87" t="s">
        <v>48</v>
      </c>
      <c r="S13" s="88"/>
    </row>
    <row r="14" spans="1:19">
      <c r="L14" s="85"/>
      <c r="M14" s="87"/>
      <c r="N14" s="87"/>
      <c r="O14" s="87"/>
      <c r="P14" s="87"/>
      <c r="Q14" s="87" t="s">
        <v>297</v>
      </c>
      <c r="R14" s="87">
        <f>COUNTIF(R5:R13,"&lt;&gt; ")</f>
        <v>9</v>
      </c>
      <c r="S14" s="88"/>
    </row>
    <row r="15" spans="1:19" ht="15" thickBot="1">
      <c r="L15" s="85"/>
      <c r="M15" s="87"/>
      <c r="N15" s="87"/>
      <c r="O15" s="87"/>
      <c r="P15" s="87"/>
      <c r="Q15" s="89" t="s">
        <v>298</v>
      </c>
      <c r="R15" s="87">
        <f>COUNTIF(R5:R13,"=Ja")</f>
        <v>0</v>
      </c>
      <c r="S15" s="88"/>
    </row>
    <row r="16" spans="1:19" ht="15" thickBot="1">
      <c r="L16" s="85"/>
      <c r="M16" s="87"/>
      <c r="N16" s="87"/>
      <c r="O16" s="87"/>
      <c r="P16" s="87"/>
      <c r="Q16" s="95" t="s">
        <v>13</v>
      </c>
      <c r="R16" s="96">
        <f>(5/R14)*R15+1</f>
        <v>1</v>
      </c>
      <c r="S16" s="88"/>
    </row>
    <row r="17" spans="1:19">
      <c r="L17" s="85"/>
      <c r="M17" s="87"/>
      <c r="N17" s="87"/>
      <c r="O17" s="87"/>
      <c r="P17" s="87"/>
      <c r="Q17" s="87"/>
      <c r="R17" s="87"/>
      <c r="S17" s="88"/>
    </row>
    <row r="18" spans="1:19" ht="15" thickBot="1">
      <c r="L18" s="90"/>
      <c r="M18" s="91"/>
      <c r="N18" s="91"/>
      <c r="O18" s="91"/>
      <c r="P18" s="91"/>
      <c r="Q18" s="91"/>
      <c r="R18" s="91"/>
      <c r="S18" s="92"/>
    </row>
    <row r="22" spans="1:19">
      <c r="A22" s="128"/>
      <c r="L22" s="97" t="s">
        <v>310</v>
      </c>
    </row>
    <row r="23" spans="1:19">
      <c r="A23" s="127"/>
    </row>
    <row r="24" spans="1:19">
      <c r="A24" s="127"/>
    </row>
    <row r="25" spans="1:19">
      <c r="A25" s="127"/>
    </row>
    <row r="26" spans="1:19">
      <c r="A26" s="127"/>
    </row>
    <row r="27" spans="1:19">
      <c r="A27" s="127"/>
    </row>
    <row r="28" spans="1:19">
      <c r="A28" s="127"/>
    </row>
    <row r="29" spans="1:19">
      <c r="A29" s="127"/>
    </row>
    <row r="30" spans="1:19">
      <c r="A30" s="127"/>
    </row>
    <row r="31" spans="1:19">
      <c r="A31" s="127"/>
    </row>
    <row r="32" spans="1:19">
      <c r="A32" s="127"/>
    </row>
    <row r="33" spans="1:13">
      <c r="A33" s="127"/>
    </row>
    <row r="34" spans="1:13">
      <c r="A34" s="127"/>
    </row>
    <row r="35" spans="1:13">
      <c r="A35" s="127"/>
    </row>
    <row r="36" spans="1:13">
      <c r="A36" s="127"/>
    </row>
    <row r="37" spans="1:13">
      <c r="A37" s="127"/>
    </row>
    <row r="38" spans="1:13">
      <c r="A38" s="127"/>
    </row>
    <row r="39" spans="1:13" ht="15.75" customHeight="1">
      <c r="A39" s="127"/>
      <c r="M39" s="98"/>
    </row>
    <row r="40" spans="1:13">
      <c r="A40" s="127"/>
    </row>
    <row r="41" spans="1:13">
      <c r="A41" s="127"/>
    </row>
    <row r="42" spans="1:13">
      <c r="A42" s="127"/>
    </row>
    <row r="43" spans="1:13">
      <c r="A43" s="127"/>
    </row>
    <row r="44" spans="1:13">
      <c r="A44" s="127"/>
    </row>
    <row r="45" spans="1:13">
      <c r="A45" s="127"/>
    </row>
    <row r="46" spans="1:13">
      <c r="A46" s="127"/>
    </row>
    <row r="47" spans="1:13">
      <c r="A47" s="127"/>
    </row>
    <row r="48" spans="1:13">
      <c r="A48" s="127"/>
    </row>
    <row r="49" spans="1:18">
      <c r="A49" s="127"/>
    </row>
    <row r="50" spans="1:18">
      <c r="A50" s="127"/>
    </row>
    <row r="51" spans="1:18">
      <c r="A51" s="127"/>
      <c r="Q51" s="99"/>
    </row>
    <row r="52" spans="1:18">
      <c r="A52" s="127"/>
      <c r="Q52" s="99"/>
      <c r="R52" s="100"/>
    </row>
    <row r="53" spans="1:18">
      <c r="A53" s="127"/>
    </row>
    <row r="54" spans="1:18">
      <c r="A54" s="127"/>
    </row>
    <row r="55" spans="1:18">
      <c r="A55" s="127"/>
    </row>
    <row r="56" spans="1:18">
      <c r="A56" s="127"/>
    </row>
    <row r="57" spans="1:18">
      <c r="A57" s="127"/>
    </row>
    <row r="58" spans="1:18">
      <c r="A58" s="127"/>
    </row>
    <row r="59" spans="1:18">
      <c r="A59" s="127"/>
    </row>
    <row r="60" spans="1:18">
      <c r="A60" s="127"/>
    </row>
    <row r="61" spans="1:18">
      <c r="A61" s="127"/>
    </row>
    <row r="62" spans="1:18">
      <c r="A62" s="127"/>
    </row>
    <row r="63" spans="1:18">
      <c r="A63" s="127"/>
    </row>
    <row r="64" spans="1:18">
      <c r="A64" s="127"/>
    </row>
    <row r="65" spans="1:1">
      <c r="A65" s="127"/>
    </row>
    <row r="66" spans="1:1">
      <c r="A66" s="127"/>
    </row>
    <row r="67" spans="1:1">
      <c r="A67" s="127"/>
    </row>
    <row r="68" spans="1:1">
      <c r="A68" s="127"/>
    </row>
    <row r="69" spans="1:1">
      <c r="A69" s="127"/>
    </row>
    <row r="70" spans="1:1">
      <c r="A70" s="127"/>
    </row>
    <row r="71" spans="1:1">
      <c r="A71" s="127"/>
    </row>
    <row r="72" spans="1:1">
      <c r="A72" s="127"/>
    </row>
    <row r="73" spans="1:1">
      <c r="A73" s="127"/>
    </row>
    <row r="74" spans="1:1">
      <c r="A74" s="127"/>
    </row>
    <row r="75" spans="1:1">
      <c r="A75" s="127"/>
    </row>
    <row r="76" spans="1:1">
      <c r="A76" s="127"/>
    </row>
    <row r="77" spans="1:1">
      <c r="A77" s="127"/>
    </row>
    <row r="78" spans="1:1">
      <c r="A78" s="127"/>
    </row>
    <row r="79" spans="1:1">
      <c r="A79" s="127"/>
    </row>
    <row r="80" spans="1:1">
      <c r="A80" s="127"/>
    </row>
    <row r="81" spans="1:1">
      <c r="A81" s="127"/>
    </row>
    <row r="82" spans="1:1">
      <c r="A82" s="127"/>
    </row>
    <row r="83" spans="1:1">
      <c r="A83" s="127"/>
    </row>
    <row r="84" spans="1:1">
      <c r="A84" s="127"/>
    </row>
    <row r="85" spans="1:1">
      <c r="A85" s="127"/>
    </row>
    <row r="86" spans="1:1">
      <c r="A86" s="127"/>
    </row>
    <row r="87" spans="1:1">
      <c r="A87" s="127"/>
    </row>
    <row r="88" spans="1:1">
      <c r="A88" s="127"/>
    </row>
    <row r="89" spans="1:1">
      <c r="A89" s="127"/>
    </row>
    <row r="90" spans="1:1">
      <c r="A90" s="127"/>
    </row>
    <row r="91" spans="1:1">
      <c r="A91" s="127"/>
    </row>
    <row r="92" spans="1:1">
      <c r="A92" s="127"/>
    </row>
    <row r="93" spans="1:1">
      <c r="A93" s="127"/>
    </row>
    <row r="94" spans="1:1">
      <c r="A94" s="127"/>
    </row>
    <row r="95" spans="1:1">
      <c r="A95" s="127"/>
    </row>
    <row r="96" spans="1:1">
      <c r="A96" s="127"/>
    </row>
    <row r="97" spans="1:1">
      <c r="A97" s="127"/>
    </row>
    <row r="98" spans="1:1">
      <c r="A98" s="127"/>
    </row>
    <row r="99" spans="1:1">
      <c r="A99" s="127"/>
    </row>
    <row r="100" spans="1:1">
      <c r="A100" s="127"/>
    </row>
    <row r="101" spans="1:1">
      <c r="A101" s="127"/>
    </row>
    <row r="102" spans="1:1">
      <c r="A102" s="127"/>
    </row>
    <row r="103" spans="1:1">
      <c r="A103" s="127"/>
    </row>
    <row r="104" spans="1:1">
      <c r="A104" s="127"/>
    </row>
    <row r="105" spans="1:1">
      <c r="A105" s="127"/>
    </row>
    <row r="106" spans="1:1">
      <c r="A106" s="127"/>
    </row>
    <row r="107" spans="1:1">
      <c r="A107" s="127"/>
    </row>
    <row r="108" spans="1:1">
      <c r="A108" s="127"/>
    </row>
    <row r="109" spans="1:1">
      <c r="A109" s="127"/>
    </row>
    <row r="110" spans="1:1">
      <c r="A110" s="127"/>
    </row>
    <row r="111" spans="1:1">
      <c r="A111" s="127"/>
    </row>
    <row r="112" spans="1:1">
      <c r="A112" s="127"/>
    </row>
    <row r="113" spans="1:1">
      <c r="A113" s="127"/>
    </row>
    <row r="114" spans="1:1">
      <c r="A114" s="127"/>
    </row>
    <row r="115" spans="1:1">
      <c r="A115" s="127"/>
    </row>
    <row r="116" spans="1:1">
      <c r="A116" s="127"/>
    </row>
    <row r="117" spans="1:1">
      <c r="A117" s="127"/>
    </row>
    <row r="118" spans="1:1">
      <c r="A118" s="127"/>
    </row>
    <row r="119" spans="1:1">
      <c r="A119" s="127"/>
    </row>
    <row r="120" spans="1:1">
      <c r="A120" s="127"/>
    </row>
    <row r="121" spans="1:1">
      <c r="A121" s="127"/>
    </row>
    <row r="122" spans="1:1">
      <c r="A122" s="127"/>
    </row>
    <row r="123" spans="1:1">
      <c r="A123" s="127"/>
    </row>
    <row r="124" spans="1:1">
      <c r="A124" s="127"/>
    </row>
    <row r="125" spans="1:1">
      <c r="A125" s="127"/>
    </row>
    <row r="126" spans="1:1">
      <c r="A126" s="127"/>
    </row>
    <row r="127" spans="1:1">
      <c r="A127" s="127"/>
    </row>
    <row r="128" spans="1:1">
      <c r="A128" s="127"/>
    </row>
    <row r="129" spans="1:1">
      <c r="A129" s="127"/>
    </row>
    <row r="130" spans="1:1">
      <c r="A130" s="127"/>
    </row>
    <row r="131" spans="1:1">
      <c r="A131" s="127"/>
    </row>
    <row r="132" spans="1:1">
      <c r="A132" s="127"/>
    </row>
    <row r="133" spans="1:1">
      <c r="A133" s="127"/>
    </row>
    <row r="134" spans="1:1">
      <c r="A134" s="127"/>
    </row>
    <row r="135" spans="1:1">
      <c r="A135" s="127"/>
    </row>
    <row r="136" spans="1:1">
      <c r="A136" s="127"/>
    </row>
    <row r="137" spans="1:1">
      <c r="A137" s="127"/>
    </row>
    <row r="138" spans="1:1">
      <c r="A138" s="127"/>
    </row>
    <row r="139" spans="1:1">
      <c r="A139" s="127"/>
    </row>
    <row r="140" spans="1:1">
      <c r="A140" s="127"/>
    </row>
    <row r="141" spans="1:1">
      <c r="A141" s="127"/>
    </row>
    <row r="142" spans="1:1">
      <c r="A142" s="127"/>
    </row>
    <row r="143" spans="1:1">
      <c r="A143" s="127"/>
    </row>
    <row r="144" spans="1:1">
      <c r="A144" s="127"/>
    </row>
    <row r="145" spans="1:1">
      <c r="A145" s="127"/>
    </row>
    <row r="146" spans="1:1">
      <c r="A146" s="127"/>
    </row>
    <row r="147" spans="1:1">
      <c r="A147" s="127"/>
    </row>
    <row r="148" spans="1:1">
      <c r="A148" s="127"/>
    </row>
    <row r="149" spans="1:1">
      <c r="A149" s="127"/>
    </row>
    <row r="150" spans="1:1">
      <c r="A150" s="127"/>
    </row>
    <row r="151" spans="1:1">
      <c r="A151" s="127"/>
    </row>
    <row r="152" spans="1:1">
      <c r="A152" s="127"/>
    </row>
    <row r="153" spans="1:1">
      <c r="A153" s="127"/>
    </row>
    <row r="154" spans="1:1">
      <c r="A154" s="127"/>
    </row>
    <row r="155" spans="1:1">
      <c r="A155" s="127"/>
    </row>
    <row r="156" spans="1:1">
      <c r="A156" s="127"/>
    </row>
    <row r="157" spans="1:1">
      <c r="A157" s="127"/>
    </row>
    <row r="158" spans="1:1">
      <c r="A158" s="127"/>
    </row>
    <row r="159" spans="1:1">
      <c r="A159" s="127"/>
    </row>
    <row r="160" spans="1:1">
      <c r="A160" s="127"/>
    </row>
    <row r="161" spans="1:1">
      <c r="A161" s="127"/>
    </row>
    <row r="162" spans="1:1">
      <c r="A162" s="127"/>
    </row>
    <row r="163" spans="1:1">
      <c r="A163" s="127"/>
    </row>
    <row r="164" spans="1:1">
      <c r="A164" s="127"/>
    </row>
    <row r="165" spans="1:1">
      <c r="A165" s="127"/>
    </row>
    <row r="166" spans="1:1">
      <c r="A166" s="127"/>
    </row>
    <row r="167" spans="1:1">
      <c r="A167" s="127"/>
    </row>
    <row r="168" spans="1:1">
      <c r="A168" s="127"/>
    </row>
    <row r="169" spans="1:1">
      <c r="A169" s="127"/>
    </row>
    <row r="170" spans="1:1">
      <c r="A170" s="127"/>
    </row>
    <row r="171" spans="1:1">
      <c r="A171" s="127"/>
    </row>
    <row r="172" spans="1:1">
      <c r="A172" s="127"/>
    </row>
    <row r="173" spans="1:1">
      <c r="A173" s="127"/>
    </row>
    <row r="174" spans="1:1">
      <c r="A174" s="127"/>
    </row>
    <row r="175" spans="1:1">
      <c r="A175" s="127"/>
    </row>
    <row r="176" spans="1:1">
      <c r="A176" s="127"/>
    </row>
    <row r="177" spans="1:1">
      <c r="A177" s="127"/>
    </row>
    <row r="178" spans="1:1">
      <c r="A178" s="127"/>
    </row>
    <row r="179" spans="1:1">
      <c r="A179" s="127"/>
    </row>
    <row r="180" spans="1:1">
      <c r="A180" s="127"/>
    </row>
    <row r="181" spans="1:1">
      <c r="A181" s="127"/>
    </row>
    <row r="182" spans="1:1">
      <c r="A182" s="127"/>
    </row>
    <row r="183" spans="1:1">
      <c r="A183" s="127"/>
    </row>
    <row r="184" spans="1:1">
      <c r="A184" s="127"/>
    </row>
    <row r="185" spans="1:1">
      <c r="A185" s="127"/>
    </row>
    <row r="186" spans="1:1">
      <c r="A186" s="127"/>
    </row>
    <row r="187" spans="1:1">
      <c r="A187" s="127"/>
    </row>
    <row r="188" spans="1:1">
      <c r="A188" s="127"/>
    </row>
    <row r="189" spans="1:1">
      <c r="A189" s="127"/>
    </row>
    <row r="190" spans="1:1">
      <c r="A190" s="127"/>
    </row>
    <row r="191" spans="1:1">
      <c r="A191" s="127"/>
    </row>
    <row r="192" spans="1:1">
      <c r="A192" s="127"/>
    </row>
    <row r="193" spans="1:1">
      <c r="A193" s="127"/>
    </row>
    <row r="194" spans="1:1">
      <c r="A194" s="127"/>
    </row>
    <row r="195" spans="1:1">
      <c r="A195" s="127"/>
    </row>
    <row r="196" spans="1:1">
      <c r="A196" s="127"/>
    </row>
    <row r="197" spans="1:1">
      <c r="A197" s="127"/>
    </row>
    <row r="198" spans="1:1">
      <c r="A198" s="127"/>
    </row>
    <row r="199" spans="1:1">
      <c r="A199" s="127"/>
    </row>
    <row r="200" spans="1:1">
      <c r="A200" s="127"/>
    </row>
    <row r="201" spans="1:1">
      <c r="A201" s="127"/>
    </row>
    <row r="202" spans="1:1">
      <c r="A202" s="127"/>
    </row>
    <row r="203" spans="1:1">
      <c r="A203" s="127"/>
    </row>
    <row r="204" spans="1:1">
      <c r="A204" s="127"/>
    </row>
    <row r="205" spans="1:1">
      <c r="A205" s="127"/>
    </row>
    <row r="206" spans="1:1">
      <c r="A206" s="127"/>
    </row>
    <row r="207" spans="1:1">
      <c r="A207" s="127"/>
    </row>
    <row r="208" spans="1:1">
      <c r="A208" s="127"/>
    </row>
    <row r="209" spans="1:1">
      <c r="A209" s="127"/>
    </row>
    <row r="210" spans="1:1">
      <c r="A210" s="127"/>
    </row>
    <row r="211" spans="1:1">
      <c r="A211" s="127"/>
    </row>
    <row r="212" spans="1:1">
      <c r="A212" s="127"/>
    </row>
    <row r="213" spans="1:1">
      <c r="A213" s="127"/>
    </row>
    <row r="214" spans="1:1">
      <c r="A214" s="127"/>
    </row>
    <row r="215" spans="1:1">
      <c r="A215" s="127"/>
    </row>
    <row r="216" spans="1:1">
      <c r="A216" s="127"/>
    </row>
    <row r="217" spans="1:1">
      <c r="A217" s="127"/>
    </row>
    <row r="218" spans="1:1">
      <c r="A218" s="127"/>
    </row>
    <row r="219" spans="1:1">
      <c r="A219" s="127"/>
    </row>
    <row r="220" spans="1:1">
      <c r="A220" s="127"/>
    </row>
    <row r="221" spans="1:1">
      <c r="A221" s="127"/>
    </row>
    <row r="222" spans="1:1">
      <c r="A222" s="127"/>
    </row>
    <row r="223" spans="1:1">
      <c r="A223" s="127"/>
    </row>
    <row r="224" spans="1:1">
      <c r="A224" s="127"/>
    </row>
    <row r="225" spans="1:1">
      <c r="A225" s="127"/>
    </row>
    <row r="226" spans="1:1">
      <c r="A226" s="127"/>
    </row>
    <row r="227" spans="1:1">
      <c r="A227" s="127"/>
    </row>
    <row r="228" spans="1:1">
      <c r="A228" s="127"/>
    </row>
    <row r="229" spans="1:1">
      <c r="A229" s="127"/>
    </row>
    <row r="230" spans="1:1">
      <c r="A230" s="127"/>
    </row>
    <row r="231" spans="1:1">
      <c r="A231" s="127"/>
    </row>
    <row r="232" spans="1:1">
      <c r="A232" s="127"/>
    </row>
    <row r="233" spans="1:1">
      <c r="A233" s="127"/>
    </row>
    <row r="234" spans="1:1">
      <c r="A234" s="127"/>
    </row>
    <row r="235" spans="1:1">
      <c r="A235" s="127"/>
    </row>
    <row r="236" spans="1:1">
      <c r="A236" s="127"/>
    </row>
    <row r="237" spans="1:1">
      <c r="A237" s="127"/>
    </row>
    <row r="238" spans="1:1">
      <c r="A238" s="127"/>
    </row>
    <row r="239" spans="1:1">
      <c r="A239" s="127"/>
    </row>
    <row r="240" spans="1:1">
      <c r="A240" s="127"/>
    </row>
    <row r="241" spans="1:1">
      <c r="A241" s="127"/>
    </row>
    <row r="242" spans="1:1">
      <c r="A242" s="127"/>
    </row>
    <row r="243" spans="1:1">
      <c r="A243" s="127"/>
    </row>
    <row r="244" spans="1:1">
      <c r="A244" s="127"/>
    </row>
    <row r="245" spans="1:1">
      <c r="A245" s="127"/>
    </row>
    <row r="246" spans="1:1">
      <c r="A246" s="127"/>
    </row>
    <row r="247" spans="1:1">
      <c r="A247" s="127"/>
    </row>
    <row r="248" spans="1:1">
      <c r="A248" s="127"/>
    </row>
    <row r="249" spans="1:1">
      <c r="A249" s="127"/>
    </row>
    <row r="250" spans="1:1">
      <c r="A250" s="127"/>
    </row>
    <row r="251" spans="1:1">
      <c r="A251" s="127"/>
    </row>
    <row r="252" spans="1:1">
      <c r="A252" s="127"/>
    </row>
    <row r="253" spans="1:1">
      <c r="A253" s="127"/>
    </row>
    <row r="254" spans="1:1">
      <c r="A254" s="127"/>
    </row>
    <row r="255" spans="1:1">
      <c r="A255" s="127"/>
    </row>
    <row r="256" spans="1:1">
      <c r="A256" s="127"/>
    </row>
    <row r="257" spans="1:1">
      <c r="A257" s="127"/>
    </row>
    <row r="258" spans="1:1">
      <c r="A258" s="127"/>
    </row>
    <row r="259" spans="1:1">
      <c r="A259" s="127"/>
    </row>
    <row r="260" spans="1:1">
      <c r="A260" s="127"/>
    </row>
    <row r="261" spans="1:1">
      <c r="A261" s="127"/>
    </row>
    <row r="262" spans="1:1">
      <c r="A262" s="127"/>
    </row>
    <row r="263" spans="1:1">
      <c r="A263" s="127"/>
    </row>
    <row r="264" spans="1:1">
      <c r="A264" s="127"/>
    </row>
    <row r="265" spans="1:1">
      <c r="A265" s="127"/>
    </row>
    <row r="266" spans="1:1">
      <c r="A266" s="127"/>
    </row>
    <row r="267" spans="1:1">
      <c r="A267" s="127"/>
    </row>
    <row r="268" spans="1:1">
      <c r="A268" s="127"/>
    </row>
    <row r="269" spans="1:1">
      <c r="A269" s="127"/>
    </row>
    <row r="270" spans="1:1">
      <c r="A270" s="127"/>
    </row>
    <row r="271" spans="1:1">
      <c r="A271" s="127"/>
    </row>
    <row r="272" spans="1:1">
      <c r="A272" s="127"/>
    </row>
    <row r="273" spans="1:1">
      <c r="A273" s="127"/>
    </row>
    <row r="274" spans="1:1">
      <c r="A274" s="127"/>
    </row>
    <row r="275" spans="1:1">
      <c r="A275" s="127"/>
    </row>
    <row r="276" spans="1:1">
      <c r="A276" s="127"/>
    </row>
    <row r="277" spans="1:1">
      <c r="A277" s="127"/>
    </row>
    <row r="278" spans="1:1">
      <c r="A278" s="127"/>
    </row>
    <row r="279" spans="1:1">
      <c r="A279" s="127"/>
    </row>
  </sheetData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Aufgaben!$J$104:$J$105</xm:f>
          </x14:formula1>
          <xm:sqref>R5:R13 R41:R49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4">
    <tabColor rgb="FFFF0000"/>
    <pageSetUpPr fitToPage="1"/>
  </sheetPr>
  <dimension ref="B1:R69"/>
  <sheetViews>
    <sheetView zoomScale="85" zoomScaleNormal="85" workbookViewId="0"/>
  </sheetViews>
  <sheetFormatPr baseColWidth="10" defaultColWidth="10.81640625" defaultRowHeight="14.5"/>
  <cols>
    <col min="1" max="1" width="5.7265625" customWidth="1"/>
    <col min="2" max="2" width="27" customWidth="1"/>
    <col min="3" max="3" width="37.26953125" customWidth="1"/>
    <col min="4" max="4" width="23.453125" customWidth="1"/>
    <col min="5" max="6" width="16.1796875" customWidth="1"/>
    <col min="7" max="7" width="27.7265625" customWidth="1"/>
    <col min="8" max="8" width="16.81640625" customWidth="1"/>
    <col min="9" max="9" width="9.26953125" hidden="1" customWidth="1"/>
    <col min="10" max="10" width="15" customWidth="1"/>
    <col min="13" max="13" width="16.1796875" customWidth="1"/>
    <col min="14" max="14" width="19.26953125" customWidth="1"/>
    <col min="16" max="16" width="17.26953125" customWidth="1"/>
    <col min="17" max="17" width="7" customWidth="1"/>
    <col min="18" max="18" width="24.7265625" customWidth="1"/>
    <col min="19" max="19" width="28.54296875" customWidth="1"/>
    <col min="20" max="20" width="13.1796875" customWidth="1"/>
    <col min="21" max="21" width="32.1796875" customWidth="1"/>
    <col min="22" max="22" width="17" customWidth="1"/>
    <col min="23" max="23" width="14.81640625" customWidth="1"/>
    <col min="24" max="25" width="12.26953125" customWidth="1"/>
    <col min="26" max="26" width="32.1796875" customWidth="1"/>
    <col min="27" max="27" width="17.54296875" customWidth="1"/>
    <col min="28" max="28" width="23.1796875" customWidth="1"/>
    <col min="29" max="29" width="20.54296875" customWidth="1"/>
    <col min="30" max="30" width="58.81640625" customWidth="1"/>
    <col min="31" max="31" width="17.1796875" customWidth="1"/>
  </cols>
  <sheetData>
    <row r="1" spans="2:18" ht="15" thickBot="1"/>
    <row r="2" spans="2:18" ht="23.5">
      <c r="B2" s="1" t="s">
        <v>423</v>
      </c>
      <c r="E2" s="7"/>
      <c r="F2" s="8"/>
      <c r="G2" s="8"/>
      <c r="H2" s="9"/>
      <c r="K2" s="82"/>
      <c r="L2" s="83"/>
      <c r="M2" s="83"/>
      <c r="N2" s="83"/>
      <c r="O2" s="83"/>
      <c r="P2" s="83"/>
      <c r="Q2" s="83"/>
      <c r="R2" s="84"/>
    </row>
    <row r="3" spans="2:18" ht="19" thickBot="1">
      <c r="E3" s="13" t="s">
        <v>12</v>
      </c>
      <c r="F3" s="11"/>
      <c r="G3" s="11"/>
      <c r="H3" s="12"/>
      <c r="I3" s="17"/>
      <c r="K3" s="85"/>
      <c r="L3" s="86" t="s">
        <v>285</v>
      </c>
      <c r="M3" s="87"/>
      <c r="N3" s="87"/>
      <c r="O3" s="87"/>
      <c r="P3" s="87"/>
      <c r="Q3" s="87"/>
      <c r="R3" s="88"/>
    </row>
    <row r="4" spans="2:18">
      <c r="E4" s="10"/>
      <c r="F4" s="43" t="s">
        <v>10</v>
      </c>
      <c r="G4" s="44">
        <f ca="1">COUNTIF(H34:H69,"=ok")</f>
        <v>0</v>
      </c>
      <c r="H4" s="12"/>
      <c r="K4" s="85"/>
      <c r="L4" s="87"/>
      <c r="M4" s="87"/>
      <c r="N4" s="87"/>
      <c r="O4" s="87"/>
      <c r="P4" s="87"/>
      <c r="Q4" s="87"/>
      <c r="R4" s="88"/>
    </row>
    <row r="5" spans="2:18">
      <c r="E5" s="10"/>
      <c r="F5" s="45" t="s">
        <v>11</v>
      </c>
      <c r="G5" s="46">
        <f ca="1">COUNTIF(H34:H69,"=Not ok")</f>
        <v>0</v>
      </c>
      <c r="H5" s="12"/>
      <c r="K5" s="85"/>
      <c r="L5" s="87" t="s">
        <v>296</v>
      </c>
      <c r="M5" s="87"/>
      <c r="N5" s="87"/>
      <c r="O5" s="87"/>
      <c r="P5" s="87"/>
      <c r="Q5" s="87" t="s">
        <v>48</v>
      </c>
      <c r="R5" s="88"/>
    </row>
    <row r="6" spans="2:18">
      <c r="E6" s="10"/>
      <c r="F6" s="45" t="s">
        <v>327</v>
      </c>
      <c r="G6" s="46">
        <f ca="1">COUNTIF(I34:I69,"=--")</f>
        <v>26</v>
      </c>
      <c r="H6" s="12"/>
      <c r="K6" s="85"/>
      <c r="L6" s="87" t="s">
        <v>311</v>
      </c>
      <c r="M6" s="87"/>
      <c r="N6" s="87"/>
      <c r="O6" s="87"/>
      <c r="P6" s="87"/>
      <c r="Q6" s="87" t="s">
        <v>48</v>
      </c>
      <c r="R6" s="88"/>
    </row>
    <row r="7" spans="2:18" ht="15" thickBot="1">
      <c r="E7" s="10"/>
      <c r="F7" s="48" t="s">
        <v>313</v>
      </c>
      <c r="G7" s="104">
        <f ca="1">IF(G4+G5+G6&gt;0,ROUNDDOWN(((5*G4)/(G4+G5+G6))+1,1),"Not defined")</f>
        <v>1</v>
      </c>
      <c r="H7" s="12"/>
      <c r="K7" s="85"/>
      <c r="L7" s="87" t="s">
        <v>312</v>
      </c>
      <c r="M7" s="87"/>
      <c r="N7" s="87"/>
      <c r="O7" s="87"/>
      <c r="P7" s="87"/>
      <c r="Q7" s="87" t="s">
        <v>48</v>
      </c>
      <c r="R7" s="88"/>
    </row>
    <row r="8" spans="2:18">
      <c r="E8" s="10"/>
      <c r="F8" s="11"/>
      <c r="G8" s="11"/>
      <c r="H8" s="12"/>
      <c r="K8" s="85"/>
      <c r="L8" s="87" t="s">
        <v>314</v>
      </c>
      <c r="M8" s="87"/>
      <c r="N8" s="87"/>
      <c r="O8" s="87"/>
      <c r="P8" s="87"/>
      <c r="Q8" s="87" t="s">
        <v>48</v>
      </c>
      <c r="R8" s="88"/>
    </row>
    <row r="9" spans="2:18">
      <c r="E9" s="10"/>
      <c r="F9" s="11"/>
      <c r="G9" s="11"/>
      <c r="H9" s="12"/>
      <c r="K9" s="85"/>
      <c r="L9" s="87" t="s">
        <v>315</v>
      </c>
      <c r="M9" s="87"/>
      <c r="N9" s="87"/>
      <c r="O9" s="87"/>
      <c r="P9" s="87"/>
      <c r="Q9" s="87" t="s">
        <v>48</v>
      </c>
      <c r="R9" s="88"/>
    </row>
    <row r="10" spans="2:18">
      <c r="E10" s="10"/>
      <c r="F10" s="11"/>
      <c r="G10" s="11"/>
      <c r="H10" s="12"/>
      <c r="K10" s="85"/>
      <c r="L10" s="87" t="s">
        <v>316</v>
      </c>
      <c r="M10" s="87"/>
      <c r="N10" s="87"/>
      <c r="O10" s="87"/>
      <c r="P10" s="87"/>
      <c r="Q10" s="87" t="s">
        <v>48</v>
      </c>
      <c r="R10" s="88"/>
    </row>
    <row r="11" spans="2:18" ht="15" thickBot="1">
      <c r="E11" s="14"/>
      <c r="F11" s="15"/>
      <c r="G11" s="15"/>
      <c r="H11" s="16"/>
      <c r="K11" s="85"/>
      <c r="L11" s="87" t="s">
        <v>318</v>
      </c>
      <c r="M11" s="87"/>
      <c r="N11" s="87"/>
      <c r="O11" s="87"/>
      <c r="P11" s="87"/>
      <c r="Q11" s="87" t="s">
        <v>48</v>
      </c>
      <c r="R11" s="88"/>
    </row>
    <row r="12" spans="2:18">
      <c r="K12" s="85"/>
      <c r="L12" s="87" t="s">
        <v>317</v>
      </c>
      <c r="M12" s="87"/>
      <c r="N12" s="87"/>
      <c r="O12" s="87"/>
      <c r="P12" s="87"/>
      <c r="Q12" s="87" t="s">
        <v>48</v>
      </c>
      <c r="R12" s="88"/>
    </row>
    <row r="13" spans="2:18">
      <c r="K13" s="85"/>
      <c r="L13" s="87" t="s">
        <v>319</v>
      </c>
      <c r="M13" s="87"/>
      <c r="N13" s="87"/>
      <c r="O13" s="87"/>
      <c r="P13" s="87"/>
      <c r="Q13" s="87" t="s">
        <v>48</v>
      </c>
      <c r="R13" s="88"/>
    </row>
    <row r="14" spans="2:18" ht="15" thickBot="1">
      <c r="K14" s="85"/>
      <c r="L14" s="87"/>
      <c r="M14" s="87"/>
      <c r="N14" s="87"/>
      <c r="O14" s="87"/>
      <c r="P14" s="87" t="s">
        <v>297</v>
      </c>
      <c r="Q14" s="87">
        <f>COUNTIF(Q5:Q13,"&lt;&gt; ")</f>
        <v>9</v>
      </c>
      <c r="R14" s="88"/>
    </row>
    <row r="15" spans="2:18" ht="21.5" thickBot="1">
      <c r="K15" s="85"/>
      <c r="L15" s="101"/>
      <c r="M15" s="87"/>
      <c r="N15" s="102" t="s">
        <v>320</v>
      </c>
      <c r="O15" s="87"/>
      <c r="P15" s="89" t="s">
        <v>298</v>
      </c>
      <c r="Q15" s="87">
        <f>COUNTIF(Q5:Q13,"=Ja")</f>
        <v>0</v>
      </c>
      <c r="R15" s="88"/>
    </row>
    <row r="16" spans="2:18" ht="21.5" thickBot="1">
      <c r="K16" s="85"/>
      <c r="L16" s="87"/>
      <c r="M16" s="87">
        <f ca="1">(G7-1.5) + (Q16/4)</f>
        <v>-0.25</v>
      </c>
      <c r="N16" s="103">
        <f ca="1">IF(M16&lt;1,1,M16)</f>
        <v>1</v>
      </c>
      <c r="O16" s="87"/>
      <c r="P16" s="95" t="s">
        <v>313</v>
      </c>
      <c r="Q16" s="96">
        <f>(5/Q14)*Q15+1</f>
        <v>1</v>
      </c>
      <c r="R16" s="88"/>
    </row>
    <row r="17" spans="11:18">
      <c r="K17" s="85"/>
      <c r="L17" s="87"/>
      <c r="M17" s="87"/>
      <c r="N17" s="87"/>
      <c r="O17" s="87"/>
      <c r="P17" s="87"/>
      <c r="Q17" s="87"/>
      <c r="R17" s="88"/>
    </row>
    <row r="18" spans="11:18" ht="15" thickBot="1">
      <c r="K18" s="90"/>
      <c r="L18" s="91"/>
      <c r="M18" s="91"/>
      <c r="N18" s="91"/>
      <c r="O18" s="91"/>
      <c r="P18" s="91"/>
      <c r="Q18" s="91"/>
      <c r="R18" s="92"/>
    </row>
    <row r="34" spans="2:9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>
      <c r="B35" s="4" t="s">
        <v>415</v>
      </c>
      <c r="C35" s="5" t="e">
        <f ca="1">HelloPerDu(D35,E35,F35)</f>
        <v>#NAME?</v>
      </c>
      <c r="D35" s="22" t="s">
        <v>6</v>
      </c>
      <c r="E35" s="22" t="s">
        <v>5</v>
      </c>
      <c r="F35" s="22" t="b">
        <v>1</v>
      </c>
      <c r="G35" s="18" t="s">
        <v>322</v>
      </c>
      <c r="H35" s="6" t="e">
        <f ca="1">IF(G35=C35,"ok","Not ok")</f>
        <v>#NAME?</v>
      </c>
      <c r="I35" t="str">
        <f ca="1">IFERROR(C35,"--")</f>
        <v>--</v>
      </c>
    </row>
    <row r="36" spans="2:9">
      <c r="B36" s="4"/>
      <c r="C36" s="5" t="e">
        <f t="shared" ref="C36:C39" ca="1" si="0">HelloPerDu(D36,E36,F36)</f>
        <v>#NAME?</v>
      </c>
      <c r="D36" s="22" t="s">
        <v>321</v>
      </c>
      <c r="E36" s="22" t="s">
        <v>284</v>
      </c>
      <c r="F36" s="22" t="b">
        <v>0</v>
      </c>
      <c r="G36" s="18" t="s">
        <v>323</v>
      </c>
      <c r="H36" s="6" t="e">
        <f ca="1">IF(G36=C36,"ok","Not ok")</f>
        <v>#NAME?</v>
      </c>
      <c r="I36" t="str">
        <f t="shared" ref="I36:I39" ca="1" si="1">IFERROR(C36,"--")</f>
        <v>--</v>
      </c>
    </row>
    <row r="37" spans="2:9">
      <c r="B37" s="4"/>
      <c r="C37" s="5" t="e">
        <f t="shared" ca="1" si="0"/>
        <v>#NAME?</v>
      </c>
      <c r="D37" s="22" t="s">
        <v>155</v>
      </c>
      <c r="E37" s="22"/>
      <c r="F37" s="22" t="b">
        <v>1</v>
      </c>
      <c r="G37" s="18" t="s">
        <v>324</v>
      </c>
      <c r="H37" s="6" t="e">
        <f ca="1">IF(G37=C37,"ok","Not ok")</f>
        <v>#NAME?</v>
      </c>
      <c r="I37" t="str">
        <f t="shared" ca="1" si="1"/>
        <v>--</v>
      </c>
    </row>
    <row r="38" spans="2:9">
      <c r="B38" s="4"/>
      <c r="C38" s="5" t="e">
        <f ca="1">HelloPerDu()</f>
        <v>#NAME?</v>
      </c>
      <c r="D38" s="22"/>
      <c r="E38" s="22"/>
      <c r="F38" s="22"/>
      <c r="G38" s="18" t="s">
        <v>324</v>
      </c>
      <c r="H38" s="6" t="e">
        <f ca="1">IF(G38=C38,"ok","Not ok")</f>
        <v>#NAME?</v>
      </c>
      <c r="I38" t="str">
        <f t="shared" ca="1" si="1"/>
        <v>--</v>
      </c>
    </row>
    <row r="39" spans="2:9">
      <c r="B39" s="4"/>
      <c r="C39" s="5" t="e">
        <f t="shared" ca="1" si="0"/>
        <v>#NAME?</v>
      </c>
      <c r="D39" s="22"/>
      <c r="E39" s="22" t="s">
        <v>250</v>
      </c>
      <c r="F39" s="22" t="b">
        <v>0</v>
      </c>
      <c r="G39" s="18" t="s">
        <v>324</v>
      </c>
      <c r="H39" s="6" t="e">
        <f t="shared" ref="H39" ca="1" si="2">IF(G39=C39,"ok","Not ok")</f>
        <v>#NAME?</v>
      </c>
      <c r="I39" t="str">
        <f t="shared" ca="1" si="1"/>
        <v>--</v>
      </c>
    </row>
    <row r="40" spans="2:9">
      <c r="D40" s="23"/>
      <c r="E40" s="23"/>
      <c r="F40" s="23"/>
      <c r="G40" s="20"/>
    </row>
    <row r="41" spans="2:9">
      <c r="B41" s="2" t="s">
        <v>2</v>
      </c>
      <c r="C41" s="2" t="s">
        <v>1</v>
      </c>
      <c r="D41" s="21" t="s">
        <v>325</v>
      </c>
      <c r="E41" s="21" t="s">
        <v>326</v>
      </c>
      <c r="F41" s="21"/>
      <c r="G41" s="19" t="s">
        <v>7</v>
      </c>
      <c r="H41" s="3" t="s">
        <v>3</v>
      </c>
    </row>
    <row r="42" spans="2:9">
      <c r="B42" s="4" t="s">
        <v>416</v>
      </c>
      <c r="C42" s="5" t="e">
        <f ca="1">CalcRechteck(D42,E42)</f>
        <v>#NAME?</v>
      </c>
      <c r="D42" s="22">
        <v>1</v>
      </c>
      <c r="E42" s="22">
        <v>3</v>
      </c>
      <c r="F42" s="22"/>
      <c r="G42" s="18">
        <v>3</v>
      </c>
      <c r="H42" s="6" t="e">
        <f ca="1">(IF(EqualsWithinTolerance(G42,C42,1),"ok","Not ok"))</f>
        <v>#VALUE!</v>
      </c>
      <c r="I42" t="str">
        <f t="shared" ref="I42:I48" ca="1" si="3">IFERROR(C42,"--")</f>
        <v>--</v>
      </c>
    </row>
    <row r="43" spans="2:9">
      <c r="B43" s="4"/>
      <c r="C43" s="5" t="e">
        <f t="shared" ref="C43:C48" ca="1" si="4">CalcRechteck(D43,E43)</f>
        <v>#NAME?</v>
      </c>
      <c r="D43" s="22">
        <v>2.4</v>
      </c>
      <c r="E43" s="22">
        <v>2.2999999999999998</v>
      </c>
      <c r="F43" s="22"/>
      <c r="G43" s="18">
        <v>5.52</v>
      </c>
      <c r="H43" s="6" t="e">
        <f t="shared" ref="H43:H44" ca="1" si="5">IF(EqualsWithinTolerance(G43,C43),"ok","Not ok")</f>
        <v>#VALUE!</v>
      </c>
      <c r="I43" t="str">
        <f t="shared" ca="1" si="3"/>
        <v>--</v>
      </c>
    </row>
    <row r="44" spans="2:9">
      <c r="B44" s="4"/>
      <c r="C44" s="5" t="e">
        <f t="shared" ca="1" si="4"/>
        <v>#NAME?</v>
      </c>
      <c r="D44" s="22">
        <v>2</v>
      </c>
      <c r="E44" s="22">
        <v>3.2</v>
      </c>
      <c r="F44" s="22"/>
      <c r="G44" s="18">
        <v>6.4</v>
      </c>
      <c r="H44" s="6" t="e">
        <f t="shared" ca="1" si="5"/>
        <v>#VALUE!</v>
      </c>
      <c r="I44" t="str">
        <f t="shared" ca="1" si="3"/>
        <v>--</v>
      </c>
    </row>
    <row r="45" spans="2:9">
      <c r="B45" s="4"/>
      <c r="C45" s="5" t="e">
        <f t="shared" ca="1" si="4"/>
        <v>#NAME?</v>
      </c>
      <c r="D45" s="22">
        <v>3.4</v>
      </c>
      <c r="E45" s="22">
        <v>2</v>
      </c>
      <c r="F45" s="22"/>
      <c r="G45" s="18">
        <v>6.8</v>
      </c>
      <c r="H45" s="6" t="e">
        <f ca="1">IF(EqualsWithinTolerance(G45,C45),"ok","Not ok")</f>
        <v>#VALUE!</v>
      </c>
      <c r="I45" t="str">
        <f t="shared" ca="1" si="3"/>
        <v>--</v>
      </c>
    </row>
    <row r="46" spans="2:9">
      <c r="B46" s="4"/>
      <c r="C46" s="5" t="e">
        <f t="shared" ca="1" si="4"/>
        <v>#NAME?</v>
      </c>
      <c r="D46" s="22">
        <v>-5.2</v>
      </c>
      <c r="E46" s="22">
        <v>-1</v>
      </c>
      <c r="F46" s="22"/>
      <c r="G46" s="18">
        <v>0</v>
      </c>
      <c r="H46" s="6" t="e">
        <f ca="1">IF(EqualsWithinTolerance(G46,C46),"ok","Not ok")</f>
        <v>#VALUE!</v>
      </c>
      <c r="I46" t="str">
        <f t="shared" ca="1" si="3"/>
        <v>--</v>
      </c>
    </row>
    <row r="47" spans="2:9">
      <c r="B47" s="4"/>
      <c r="C47" s="5" t="e">
        <f t="shared" ca="1" si="4"/>
        <v>#NAME?</v>
      </c>
      <c r="D47" s="22">
        <v>12.4</v>
      </c>
      <c r="E47" s="22">
        <v>-9.3000000000000007</v>
      </c>
      <c r="F47" s="22"/>
      <c r="G47" s="18">
        <v>0</v>
      </c>
      <c r="H47" s="6" t="e">
        <f t="shared" ref="H47:H48" ca="1" si="6">IF(EqualsWithinTolerance(G47,C47),"ok","Not ok")</f>
        <v>#VALUE!</v>
      </c>
      <c r="I47" t="str">
        <f t="shared" ca="1" si="3"/>
        <v>--</v>
      </c>
    </row>
    <row r="48" spans="2:9">
      <c r="B48" s="4"/>
      <c r="C48" s="5" t="e">
        <f t="shared" ca="1" si="4"/>
        <v>#NAME?</v>
      </c>
      <c r="D48" s="22">
        <v>-15.45</v>
      </c>
      <c r="E48" s="22">
        <v>5.4</v>
      </c>
      <c r="F48" s="22"/>
      <c r="G48" s="18">
        <v>0</v>
      </c>
      <c r="H48" s="6" t="e">
        <f t="shared" ca="1" si="6"/>
        <v>#VALUE!</v>
      </c>
      <c r="I48" t="str">
        <f t="shared" ca="1" si="3"/>
        <v>--</v>
      </c>
    </row>
    <row r="49" spans="2:9">
      <c r="D49" s="23"/>
      <c r="E49" s="23"/>
      <c r="F49" s="23"/>
      <c r="G49" s="20"/>
    </row>
    <row r="50" spans="2:9">
      <c r="B50" s="2" t="s">
        <v>2</v>
      </c>
      <c r="C50" s="2" t="s">
        <v>1</v>
      </c>
      <c r="D50" s="21" t="s">
        <v>329</v>
      </c>
      <c r="E50" s="21"/>
      <c r="F50" s="21"/>
      <c r="G50" s="19" t="s">
        <v>7</v>
      </c>
      <c r="H50" s="3" t="s">
        <v>3</v>
      </c>
    </row>
    <row r="51" spans="2:9">
      <c r="B51" s="4" t="s">
        <v>328</v>
      </c>
      <c r="C51" s="5" t="e">
        <f ca="1">AddFractions(D51)</f>
        <v>#NAME?</v>
      </c>
      <c r="D51" s="22">
        <v>2</v>
      </c>
      <c r="E51" s="22"/>
      <c r="F51" s="22"/>
      <c r="G51" s="18">
        <v>1.5</v>
      </c>
      <c r="H51" s="6" t="e">
        <f ca="1">IF(EqualsWithinTolerance(G51,C51),"ok","Not ok")</f>
        <v>#VALUE!</v>
      </c>
      <c r="I51" t="str">
        <f t="shared" ref="I51:I57" ca="1" si="7">IFERROR(C51,"--")</f>
        <v>--</v>
      </c>
    </row>
    <row r="52" spans="2:9">
      <c r="B52" s="4"/>
      <c r="C52" s="5" t="e">
        <f t="shared" ref="C52:C56" ca="1" si="8">AddFractions(D52)</f>
        <v>#NAME?</v>
      </c>
      <c r="D52" s="22">
        <v>6</v>
      </c>
      <c r="E52" s="22"/>
      <c r="F52" s="22"/>
      <c r="G52" s="18">
        <v>2.4499999999999997</v>
      </c>
      <c r="H52" s="6" t="e">
        <f ca="1">IF(EqualsWithinTolerance(G52,C52),"ok","Not ok")</f>
        <v>#VALUE!</v>
      </c>
      <c r="I52" t="str">
        <f t="shared" ca="1" si="7"/>
        <v>--</v>
      </c>
    </row>
    <row r="53" spans="2:9">
      <c r="B53" s="4"/>
      <c r="C53" s="5" t="e">
        <f t="shared" ca="1" si="8"/>
        <v>#NAME?</v>
      </c>
      <c r="D53" s="22">
        <v>1000</v>
      </c>
      <c r="E53" s="22"/>
      <c r="F53" s="22"/>
      <c r="G53" s="18">
        <v>7.4854708605503433</v>
      </c>
      <c r="H53" s="6" t="e">
        <f ca="1">IF(EqualsWithinTolerance(G53,C53),"ok","Not ok")</f>
        <v>#VALUE!</v>
      </c>
      <c r="I53" t="str">
        <f t="shared" ca="1" si="7"/>
        <v>--</v>
      </c>
    </row>
    <row r="54" spans="2:9">
      <c r="B54" s="4"/>
      <c r="C54" s="5" t="e">
        <f t="shared" ca="1" si="8"/>
        <v>#NAME?</v>
      </c>
      <c r="D54" s="22">
        <v>1</v>
      </c>
      <c r="E54" s="22"/>
      <c r="F54" s="22"/>
      <c r="G54" s="18">
        <v>1</v>
      </c>
      <c r="H54" s="6" t="e">
        <f ca="1">IF(EqualsWithinTolerance(G54,C54),"ok","Not ok")</f>
        <v>#VALUE!</v>
      </c>
      <c r="I54" t="str">
        <f t="shared" ca="1" si="7"/>
        <v>--</v>
      </c>
    </row>
    <row r="55" spans="2:9">
      <c r="B55" s="4"/>
      <c r="C55" s="5" t="e">
        <f t="shared" ca="1" si="8"/>
        <v>#NAME?</v>
      </c>
      <c r="D55" s="22">
        <v>-1</v>
      </c>
      <c r="E55" s="22"/>
      <c r="F55" s="22"/>
      <c r="G55" s="18">
        <v>0</v>
      </c>
      <c r="H55" s="6" t="e">
        <f ca="1">IF(EqualsWithinTolerance(G55,C55),"ok","Not ok")</f>
        <v>#VALUE!</v>
      </c>
      <c r="I55" t="str">
        <f t="shared" ca="1" si="7"/>
        <v>--</v>
      </c>
    </row>
    <row r="56" spans="2:9">
      <c r="B56" s="4"/>
      <c r="C56" s="5" t="e">
        <f t="shared" ca="1" si="8"/>
        <v>#NAME?</v>
      </c>
      <c r="D56" s="22">
        <v>0</v>
      </c>
      <c r="E56" s="22"/>
      <c r="F56" s="22"/>
      <c r="G56" s="18">
        <v>0</v>
      </c>
      <c r="H56" s="6" t="e">
        <f ca="1">IF(EqualsWithinTolerance(G56,C56),"ok","Not ok")</f>
        <v>#VALUE!</v>
      </c>
      <c r="I56" t="str">
        <f t="shared" ca="1" si="7"/>
        <v>--</v>
      </c>
    </row>
    <row r="57" spans="2:9">
      <c r="B57" s="4"/>
      <c r="C57" s="5" t="e">
        <f ca="1">AddFractions()</f>
        <v>#NAME?</v>
      </c>
      <c r="D57" s="22"/>
      <c r="E57" s="22"/>
      <c r="F57" s="22"/>
      <c r="G57" s="18">
        <v>5.1873775176396206</v>
      </c>
      <c r="H57" s="6" t="e">
        <f ca="1">IF(EqualsWithinTolerance(G57,C57),"ok","Not ok")</f>
        <v>#VALUE!</v>
      </c>
      <c r="I57" t="str">
        <f t="shared" ca="1" si="7"/>
        <v>--</v>
      </c>
    </row>
    <row r="58" spans="2:9">
      <c r="D58" s="23"/>
      <c r="E58" s="23"/>
      <c r="F58" s="23"/>
      <c r="G58" s="20"/>
    </row>
    <row r="59" spans="2:9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>
      <c r="B60" s="4" t="s">
        <v>14</v>
      </c>
      <c r="C60" s="5" t="e">
        <f ca="1">GetAnrede(D60,E60)</f>
        <v>#NAME?</v>
      </c>
      <c r="D60" s="22" t="s">
        <v>5</v>
      </c>
      <c r="E60" s="22" t="s">
        <v>6</v>
      </c>
      <c r="F60" s="22"/>
      <c r="G60" s="18" t="s">
        <v>9</v>
      </c>
      <c r="H60" s="6" t="e">
        <f ca="1">IF(EXACT(G60,C60),"ok","Not ok")</f>
        <v>#NAME?</v>
      </c>
      <c r="I60" t="str">
        <f t="shared" ref="I60:I63" ca="1" si="9">IFERROR(C60,"--")</f>
        <v>--</v>
      </c>
    </row>
    <row r="61" spans="2:9">
      <c r="B61" s="4"/>
      <c r="C61" s="5" t="e">
        <f ca="1">GetAnrede(D61,E61)</f>
        <v>#NAME?</v>
      </c>
      <c r="D61" s="22" t="s">
        <v>31</v>
      </c>
      <c r="E61" s="22" t="s">
        <v>35</v>
      </c>
      <c r="F61" s="22"/>
      <c r="G61" s="18" t="s">
        <v>37</v>
      </c>
      <c r="H61" s="6" t="e">
        <f t="shared" ref="H61:H63" ca="1" si="10">IF(EXACT(G61,C61),"ok","Not ok")</f>
        <v>#NAME?</v>
      </c>
      <c r="I61" t="str">
        <f t="shared" ca="1" si="9"/>
        <v>--</v>
      </c>
    </row>
    <row r="62" spans="2:9">
      <c r="B62" s="4"/>
      <c r="C62" s="5" t="e">
        <f t="shared" ref="C62:C63" ca="1" si="11">GetAnrede(D62,E62)</f>
        <v>#NAME?</v>
      </c>
      <c r="D62" s="22" t="s">
        <v>36</v>
      </c>
      <c r="E62" s="22" t="s">
        <v>32</v>
      </c>
      <c r="F62" s="22"/>
      <c r="G62" s="18" t="s">
        <v>38</v>
      </c>
      <c r="H62" s="6" t="e">
        <f t="shared" ca="1" si="10"/>
        <v>#NAME?</v>
      </c>
      <c r="I62" t="str">
        <f t="shared" ca="1" si="9"/>
        <v>--</v>
      </c>
    </row>
    <row r="63" spans="2:9">
      <c r="B63" s="4"/>
      <c r="C63" s="5" t="e">
        <f t="shared" ca="1" si="11"/>
        <v>#NAME?</v>
      </c>
      <c r="D63" s="22" t="s">
        <v>34</v>
      </c>
      <c r="E63" s="22" t="s">
        <v>33</v>
      </c>
      <c r="F63" s="22"/>
      <c r="G63" s="18" t="s">
        <v>39</v>
      </c>
      <c r="H63" s="6" t="e">
        <f t="shared" ca="1" si="10"/>
        <v>#NAME?</v>
      </c>
      <c r="I63" t="str">
        <f t="shared" ca="1" si="9"/>
        <v>--</v>
      </c>
    </row>
    <row r="64" spans="2:9">
      <c r="D64" s="23"/>
      <c r="E64" s="23"/>
      <c r="F64" s="23"/>
      <c r="G64" s="20"/>
    </row>
    <row r="66" spans="2:9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>
      <c r="B67" s="4" t="s">
        <v>21</v>
      </c>
      <c r="C67" s="28" t="e">
        <f ca="1">GetOrtsAnschrift(D67,E67,F67)</f>
        <v>#NAME?</v>
      </c>
      <c r="D67" s="22" t="s">
        <v>22</v>
      </c>
      <c r="E67" s="22">
        <v>8855</v>
      </c>
      <c r="F67" s="22" t="s">
        <v>23</v>
      </c>
      <c r="G67" s="18" t="s">
        <v>28</v>
      </c>
      <c r="H67" s="6" t="e">
        <f t="shared" ref="H67:H69" ca="1" si="12">IF(G67=C67,"ok","Not ok")</f>
        <v>#NAME?</v>
      </c>
      <c r="I67" t="str">
        <f t="shared" ref="I67:I69" ca="1" si="13">IFERROR(C67,"--")</f>
        <v>--</v>
      </c>
    </row>
    <row r="68" spans="2:9">
      <c r="B68" s="4"/>
      <c r="C68" s="5" t="e">
        <f ca="1">GetOrtsAnschrift(D68,E68,F68)</f>
        <v>#NAME?</v>
      </c>
      <c r="D68" s="22" t="s">
        <v>24</v>
      </c>
      <c r="E68" s="22">
        <v>69115</v>
      </c>
      <c r="F68" s="22" t="s">
        <v>25</v>
      </c>
      <c r="G68" s="18" t="s">
        <v>29</v>
      </c>
      <c r="H68" s="6" t="e">
        <f t="shared" ca="1" si="12"/>
        <v>#NAME?</v>
      </c>
      <c r="I68" t="str">
        <f t="shared" ca="1" si="13"/>
        <v>--</v>
      </c>
    </row>
    <row r="69" spans="2:9">
      <c r="B69" s="4"/>
      <c r="C69" s="28" t="e">
        <f ca="1">GetOrtsAnschrift(D69,E69,F69)</f>
        <v>#NAME?</v>
      </c>
      <c r="D69" s="22" t="s">
        <v>26</v>
      </c>
      <c r="E69" s="22">
        <v>75000</v>
      </c>
      <c r="F69" s="22" t="s">
        <v>27</v>
      </c>
      <c r="G69" s="18" t="s">
        <v>30</v>
      </c>
      <c r="H69" s="6" t="e">
        <f t="shared" ca="1" si="12"/>
        <v>#NAME?</v>
      </c>
      <c r="I69" t="str">
        <f t="shared" ca="1" si="13"/>
        <v>--</v>
      </c>
    </row>
  </sheetData>
  <conditionalFormatting sqref="H60:H63">
    <cfRule type="cellIs" dxfId="88" priority="32" operator="equal">
      <formula>"Not ok"</formula>
    </cfRule>
    <cfRule type="cellIs" dxfId="87" priority="33" operator="equal">
      <formula>"ok"</formula>
    </cfRule>
  </conditionalFormatting>
  <conditionalFormatting sqref="H67:H69">
    <cfRule type="cellIs" dxfId="86" priority="24" operator="equal">
      <formula>"Not ok"</formula>
    </cfRule>
    <cfRule type="cellIs" dxfId="85" priority="25" operator="equal">
      <formula>"ok"</formula>
    </cfRule>
  </conditionalFormatting>
  <conditionalFormatting sqref="G7">
    <cfRule type="cellIs" dxfId="84" priority="7" stopIfTrue="1" operator="equal">
      <formula>"Not defined"</formula>
    </cfRule>
    <cfRule type="cellIs" dxfId="83" priority="8" stopIfTrue="1" operator="greaterThan">
      <formula>5.7</formula>
    </cfRule>
    <cfRule type="cellIs" dxfId="82" priority="9" stopIfTrue="1" operator="greaterThan">
      <formula>5</formula>
    </cfRule>
    <cfRule type="cellIs" dxfId="81" priority="10" stopIfTrue="1" operator="greaterThan">
      <formula>4.5</formula>
    </cfRule>
    <cfRule type="cellIs" dxfId="80" priority="11" stopIfTrue="1" operator="greaterThanOrEqual">
      <formula>4</formula>
    </cfRule>
    <cfRule type="cellIs" dxfId="79" priority="12" stopIfTrue="1" operator="greaterThanOrEqual">
      <formula>3</formula>
    </cfRule>
    <cfRule type="cellIs" dxfId="78" priority="13" stopIfTrue="1" operator="greaterThanOrEqual">
      <formula>1</formula>
    </cfRule>
  </conditionalFormatting>
  <conditionalFormatting sqref="H35:H39">
    <cfRule type="cellIs" dxfId="77" priority="5" operator="equal">
      <formula>"Not ok"</formula>
    </cfRule>
    <cfRule type="cellIs" dxfId="76" priority="6" operator="equal">
      <formula>"ok"</formula>
    </cfRule>
  </conditionalFormatting>
  <conditionalFormatting sqref="H42:H48">
    <cfRule type="cellIs" dxfId="75" priority="3" operator="equal">
      <formula>"Not ok"</formula>
    </cfRule>
    <cfRule type="cellIs" dxfId="74" priority="4" operator="equal">
      <formula>"ok"</formula>
    </cfRule>
  </conditionalFormatting>
  <conditionalFormatting sqref="H51:H57">
    <cfRule type="cellIs" dxfId="73" priority="1" operator="equal">
      <formula>"Not ok"</formula>
    </cfRule>
    <cfRule type="cellIs" dxfId="72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Aufgaben!$J$104:$J$105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Aufgaben</vt:lpstr>
      <vt:lpstr>Datenaufbereitung</vt:lpstr>
      <vt:lpstr>StringFormeln</vt:lpstr>
      <vt:lpstr>Potenzen</vt:lpstr>
      <vt:lpstr>QuadratischeFunktion</vt:lpstr>
      <vt:lpstr>Fourierreihe</vt:lpstr>
      <vt:lpstr>TXT_Daten</vt:lpstr>
      <vt:lpstr>VBA_Programmierung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2020-09-18T08:27:01Z</cp:lastPrinted>
  <dcterms:created xsi:type="dcterms:W3CDTF">2019-10-24T06:37:05Z</dcterms:created>
  <dcterms:modified xsi:type="dcterms:W3CDTF">2024-12-17T08:06:43Z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