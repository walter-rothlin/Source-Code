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G:\_WaltisDaten\SourceCode\XML\KML_Karten\8855_TryIt\"/>
    </mc:Choice>
  </mc:AlternateContent>
  <bookViews>
    <workbookView xWindow="0" yWindow="0" windowWidth="21570" windowHeight="11565" activeTab="2"/>
  </bookViews>
  <sheets>
    <sheet name="Plan_Hydranten" sheetId="3" r:id="rId1"/>
    <sheet name="Plan_Wasserbezug" sheetId="10" r:id="rId2"/>
    <sheet name="Set-Up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6" i="4" l="1"/>
  <c r="C51" i="4" l="1"/>
  <c r="C44" i="4" l="1"/>
  <c r="N2" i="3"/>
  <c r="G14" i="4" l="1"/>
  <c r="G15" i="4"/>
  <c r="C45" i="4"/>
  <c r="O3" i="10"/>
  <c r="L3" i="10"/>
  <c r="M3" i="10" s="1"/>
  <c r="O2" i="10"/>
  <c r="L2" i="10"/>
  <c r="M2" i="10" s="1"/>
  <c r="N5" i="3"/>
  <c r="N3" i="10"/>
  <c r="N7" i="3"/>
  <c r="N2" i="10"/>
  <c r="N8" i="3"/>
  <c r="N6" i="3"/>
  <c r="N3" i="3"/>
  <c r="N4" i="3"/>
  <c r="C4" i="4" l="1"/>
  <c r="L2" i="3" l="1"/>
  <c r="M2" i="3" s="1"/>
  <c r="L3" i="3"/>
  <c r="M3" i="3" s="1"/>
  <c r="L4" i="3"/>
  <c r="M4" i="3" s="1"/>
  <c r="L5" i="3"/>
  <c r="M5" i="3" s="1"/>
  <c r="L6" i="3"/>
  <c r="M6" i="3" s="1"/>
  <c r="L7" i="3"/>
  <c r="L8" i="3"/>
  <c r="M8" i="3" s="1"/>
  <c r="O3" i="3" l="1"/>
  <c r="O4" i="3"/>
  <c r="O5" i="3"/>
  <c r="O6" i="3"/>
  <c r="O7" i="3"/>
  <c r="O8" i="3"/>
  <c r="O2" i="3"/>
  <c r="C9" i="4"/>
  <c r="C38" i="4"/>
  <c r="C8" i="4"/>
  <c r="M7" i="3" s="1"/>
  <c r="C40" i="4"/>
  <c r="C7" i="4"/>
  <c r="C22" i="4"/>
  <c r="C23" i="4"/>
  <c r="C24" i="4" l="1"/>
  <c r="C41" i="4" l="1"/>
</calcChain>
</file>

<file path=xl/sharedStrings.xml><?xml version="1.0" encoding="utf-8"?>
<sst xmlns="http://schemas.openxmlformats.org/spreadsheetml/2006/main" count="128" uniqueCount="92">
  <si>
    <t>Adresse</t>
  </si>
  <si>
    <t>Kommentar</t>
  </si>
  <si>
    <t>Type</t>
  </si>
  <si>
    <t>latitude (Breite)</t>
  </si>
  <si>
    <t>longitude (Länge)</t>
  </si>
  <si>
    <t>Name</t>
  </si>
  <si>
    <t>Beschreibung</t>
  </si>
  <si>
    <t>Icon</t>
  </si>
  <si>
    <t>Farbe</t>
  </si>
  <si>
    <t>Koordinaten</t>
  </si>
  <si>
    <t>ff00ffff</t>
  </si>
  <si>
    <t>ff0000ff</t>
  </si>
  <si>
    <t>127 Tuggen</t>
  </si>
  <si>
    <t>https://api3.geo.admin.ch/color/0,0,255/marker-24@2x.png</t>
  </si>
  <si>
    <t>https://api3.geo.admin.ch/color/255,0,0/marker-24@2x.png</t>
  </si>
  <si>
    <t>Bild_1</t>
  </si>
  <si>
    <t>Bild_2</t>
  </si>
  <si>
    <t>xx1_Pic_1.jpg</t>
  </si>
  <si>
    <t>BeschreibungText</t>
  </si>
  <si>
    <t>OnePicture_1</t>
  </si>
  <si>
    <t>OnePicture_2</t>
  </si>
  <si>
    <t>" style="max-height:200px;" /&amp;gt;</t>
  </si>
  <si>
    <t>127_Pic_Tuggen_1.jpg</t>
  </si>
  <si>
    <t>012_Pic_1.jpg</t>
  </si>
  <si>
    <t>013_Pic_1.jpg</t>
  </si>
  <si>
    <t>017_Pic_1.jpg</t>
  </si>
  <si>
    <t>019_Pic_2.jpg</t>
  </si>
  <si>
    <t>020_Pic_1.jpg</t>
  </si>
  <si>
    <t>Neuer Stao!</t>
  </si>
  <si>
    <t>Steht 2m vom der Strasse entfernt in der Wiese</t>
  </si>
  <si>
    <t>Angemalt</t>
  </si>
  <si>
    <t>In Hecke versteckt am Fusswegli</t>
  </si>
  <si>
    <t>Mit 75er Abgang</t>
  </si>
  <si>
    <t>019_Pic_1.jpg</t>
  </si>
  <si>
    <t>TwoPicture_1</t>
  </si>
  <si>
    <t>TwoPicture_2</t>
  </si>
  <si>
    <t>TwoPicture_3</t>
  </si>
  <si>
    <t>https://api3.geo.admin.ch/color/0,255,0/marker-24@2x.png</t>
  </si>
  <si>
    <t>Delimiter</t>
  </si>
  <si>
    <t>Upperleft</t>
  </si>
  <si>
    <t>|</t>
  </si>
  <si>
    <t>A1</t>
  </si>
  <si>
    <t>ftp.peterliwiese.ch</t>
  </si>
  <si>
    <t>FTP-Server</t>
  </si>
  <si>
    <t>Remote Directory</t>
  </si>
  <si>
    <t>UserName</t>
  </si>
  <si>
    <t>Password</t>
  </si>
  <si>
    <t>TempLocalFile</t>
  </si>
  <si>
    <t>URL Web-Service</t>
  </si>
  <si>
    <t>http://www.rothlin.com/maps/img/</t>
  </si>
  <si>
    <t>Mandant</t>
  </si>
  <si>
    <t>Filename</t>
  </si>
  <si>
    <t>FullFilename</t>
  </si>
  <si>
    <t>FilePath</t>
  </si>
  <si>
    <t>URL Plan (kml)</t>
  </si>
  <si>
    <t>Auf Karte</t>
  </si>
  <si>
    <t>Base URL Web-Service</t>
  </si>
  <si>
    <t>http://www.fhoch3.peterliwiese.ch/</t>
  </si>
  <si>
    <t>Anführungszeichen</t>
  </si>
  <si>
    <t>"</t>
  </si>
  <si>
    <t>Base URLPictures</t>
  </si>
  <si>
    <t>Base URL Icons</t>
  </si>
  <si>
    <t>Neu</t>
  </si>
  <si>
    <t>Alt</t>
  </si>
  <si>
    <t>Wasserbezug</t>
  </si>
  <si>
    <t>Rot</t>
  </si>
  <si>
    <t>Blau</t>
  </si>
  <si>
    <t>http://www.fhoch3.peterliwiese.ch/icons/</t>
  </si>
  <si>
    <t>Ab See</t>
  </si>
  <si>
    <t>A</t>
  </si>
  <si>
    <t>B</t>
  </si>
  <si>
    <t>KIBAG AG, Kieswerk</t>
  </si>
  <si>
    <t>Ref</t>
  </si>
  <si>
    <t>https://api3.geo.admin.ch/color/0,128,0/circle-24@2x.png</t>
  </si>
  <si>
    <t>IconScale</t>
  </si>
  <si>
    <t>&lt;scale&gt;0.5&lt;/scale&gt;</t>
  </si>
  <si>
    <t>Flugplatz Franzrueti</t>
  </si>
  <si>
    <t>Auf Karte (Bitly)</t>
  </si>
  <si>
    <t>Hengstacker. 2</t>
  </si>
  <si>
    <t>Hier nichts ändern, wenn Sie nicht genau wissen, was Sie machen!!!</t>
  </si>
  <si>
    <t>Leerspalte</t>
  </si>
  <si>
    <t>Homepage</t>
  </si>
  <si>
    <t>8855_TryIt</t>
  </si>
  <si>
    <t>TryIt_007</t>
  </si>
  <si>
    <t>https://map.geo.admin.ch/?lang=de&amp;topic=ech&amp;bgLayer=ch.swisstopo.pixelkarte-farbe&amp;layers=ch.swisstopo.zeitreihen,ch.bfs.gebaeude_wohnungs_register,ch.bav.haltestellen-oev,ch.swisstopo.swisstlm3d-wanderwege,KML%7C%7Chttp:%2F%2Fwww.fhoch3.peterliwiese.ch%2F8855_TryIt%2FPlan_Hydranten.xml,KML%7C%7Chttp:%2F%2Fwww.fhoch3.peterliwiese.ch%2F8855_TryIt%2FPlan_Wasserbezug.xml&amp;layers_visibility=false,false,false,false,true,true&amp;layers_timestamp=18641231,,,,,&amp;E=2708917.53&amp;N=1228839.36&amp;zoom=7</t>
  </si>
  <si>
    <t>https://bit.ly/2T1qfrz</t>
  </si>
  <si>
    <t>Hilfreiche Online-Tools</t>
  </si>
  <si>
    <t>QR-Generator</t>
  </si>
  <si>
    <t>https://www.qrcode-generator.de/</t>
  </si>
  <si>
    <t>Bitly</t>
  </si>
  <si>
    <t>https://bitly.com/</t>
  </si>
  <si>
    <t>Unbekannt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</si>
</sst>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1" applyAlignment="1">
      <alignment vertical="center"/>
    </xf>
    <xf numFmtId="0" fontId="1" fillId="0" borderId="0" xfId="1"/>
    <xf numFmtId="0" fontId="0" fillId="0" borderId="0" xfId="0" applyBorder="1"/>
    <xf numFmtId="0" fontId="3" fillId="6" borderId="10" xfId="0" applyFont="1" applyFill="1" applyBorder="1"/>
    <xf numFmtId="0" fontId="3" fillId="6" borderId="11" xfId="0" applyFont="1" applyFill="1" applyBorder="1"/>
    <xf numFmtId="0" fontId="3" fillId="6" borderId="12" xfId="0" applyFont="1" applyFill="1" applyBorder="1"/>
    <xf numFmtId="0" fontId="3" fillId="0" borderId="5" xfId="0" applyFont="1" applyBorder="1"/>
    <xf numFmtId="0" fontId="3" fillId="0" borderId="1" xfId="0" applyFont="1" applyBorder="1"/>
    <xf numFmtId="0" fontId="3" fillId="0" borderId="6" xfId="0" applyFont="1" applyBorder="1"/>
    <xf numFmtId="0" fontId="3" fillId="0" borderId="1" xfId="0" quotePrefix="1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8" xfId="0" quotePrefix="1" applyFont="1" applyBorder="1"/>
    <xf numFmtId="0" fontId="3" fillId="0" borderId="8" xfId="0" applyFont="1" applyFill="1" applyBorder="1"/>
    <xf numFmtId="0" fontId="3" fillId="6" borderId="0" xfId="0" applyFont="1" applyFill="1" applyBorder="1"/>
    <xf numFmtId="0" fontId="3" fillId="0" borderId="0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3" xfId="0" quotePrefix="1" applyFont="1" applyBorder="1"/>
    <xf numFmtId="0" fontId="3" fillId="0" borderId="3" xfId="0" applyFont="1" applyFill="1" applyBorder="1"/>
    <xf numFmtId="0" fontId="3" fillId="0" borderId="4" xfId="0" applyFont="1" applyBorder="1"/>
    <xf numFmtId="0" fontId="4" fillId="0" borderId="0" xfId="0" applyFont="1"/>
    <xf numFmtId="0" fontId="2" fillId="0" borderId="0" xfId="0" applyFont="1"/>
    <xf numFmtId="0" fontId="1" fillId="3" borderId="0" xfId="1" applyFill="1"/>
    <xf numFmtId="0" fontId="3" fillId="0" borderId="9" xfId="0" applyFont="1" applyBorder="1"/>
    <xf numFmtId="0" fontId="0" fillId="3" borderId="0" xfId="0" applyFill="1" applyAlignment="1">
      <alignment horizontal="left"/>
    </xf>
    <xf numFmtId="0" fontId="0" fillId="0" borderId="0" xfId="0" applyFill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478651</xdr:colOff>
      <xdr:row>2</xdr:row>
      <xdr:rowOff>0</xdr:rowOff>
    </xdr:from>
    <xdr:to>
      <xdr:col>10</xdr:col>
      <xdr:colOff>2054678</xdr:colOff>
      <xdr:row>4</xdr:row>
      <xdr:rowOff>0</xdr:rowOff>
    </xdr:to>
    <xdr:sp macro="[0]!saveHydrantenAsCSV" textlink="">
      <xdr:nvSpPr>
        <xdr:cNvPr id="2" name="Abgerundetes Rechteck 1"/>
        <xdr:cNvSpPr/>
      </xdr:nvSpPr>
      <xdr:spPr>
        <a:xfrm>
          <a:off x="17378722" y="544286"/>
          <a:ext cx="1576027" cy="54428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585107</xdr:colOff>
      <xdr:row>1</xdr:row>
      <xdr:rowOff>95250</xdr:rowOff>
    </xdr:from>
    <xdr:to>
      <xdr:col>10</xdr:col>
      <xdr:colOff>2161134</xdr:colOff>
      <xdr:row>3</xdr:row>
      <xdr:rowOff>95249</xdr:rowOff>
    </xdr:to>
    <xdr:sp macro="[0]!saveHydrantenAsCSV" textlink="">
      <xdr:nvSpPr>
        <xdr:cNvPr id="3" name="Abgerundetes Rechteck 2"/>
        <xdr:cNvSpPr/>
      </xdr:nvSpPr>
      <xdr:spPr>
        <a:xfrm>
          <a:off x="17485178" y="367393"/>
          <a:ext cx="1576027" cy="54428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Update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981075</xdr:colOff>
      <xdr:row>55</xdr:row>
      <xdr:rowOff>171450</xdr:rowOff>
    </xdr:from>
    <xdr:to>
      <xdr:col>2</xdr:col>
      <xdr:colOff>2209800</xdr:colOff>
      <xdr:row>70</xdr:row>
      <xdr:rowOff>171450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5" y="1072515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2</xdr:col>
      <xdr:colOff>2493150</xdr:colOff>
      <xdr:row>55</xdr:row>
      <xdr:rowOff>150000</xdr:rowOff>
    </xdr:from>
    <xdr:to>
      <xdr:col>2</xdr:col>
      <xdr:colOff>5350650</xdr:colOff>
      <xdr:row>70</xdr:row>
      <xdr:rowOff>150000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3925" y="10703700"/>
          <a:ext cx="2857500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bitly.com/" TargetMode="External"/><Relationship Id="rId2" Type="http://schemas.openxmlformats.org/officeDocument/2006/relationships/hyperlink" Target="https://www.qrcode-generator.de/" TargetMode="External"/><Relationship Id="rId1" Type="http://schemas.openxmlformats.org/officeDocument/2006/relationships/hyperlink" Target="ftp://ftp.peterliwiese.ch/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bit.ly/2T1qfrz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FF00"/>
  </sheetPr>
  <dimension ref="A1:O15"/>
  <sheetViews>
    <sheetView zoomScale="70" zoomScaleNormal="70" workbookViewId="0">
      <selection activeCell="H34" sqref="H34"/>
    </sheetView>
  </sheetViews>
  <sheetFormatPr baseColWidth="10" defaultRowHeight="15" x14ac:dyDescent="0.25"/>
  <cols>
    <col min="1" max="1" width="18" customWidth="1"/>
    <col min="2" max="2" width="11.5703125" customWidth="1"/>
    <col min="3" max="3" width="28.140625" customWidth="1"/>
    <col min="4" max="4" width="53.28515625" customWidth="1"/>
    <col min="5" max="6" width="28.5703125" customWidth="1"/>
    <col min="7" max="7" width="14.5703125" customWidth="1"/>
    <col min="8" max="8" width="23" customWidth="1"/>
    <col min="9" max="10" width="23.85546875" customWidth="1"/>
    <col min="11" max="11" width="128.42578125" customWidth="1"/>
    <col min="12" max="12" width="24.85546875" customWidth="1"/>
    <col min="13" max="13" width="119.7109375" customWidth="1"/>
    <col min="14" max="14" width="61.28515625" customWidth="1"/>
    <col min="15" max="15" width="51.42578125" customWidth="1"/>
  </cols>
  <sheetData>
    <row r="1" spans="1:15" ht="21.75" thickBot="1" x14ac:dyDescent="0.4">
      <c r="A1" s="9" t="s">
        <v>5</v>
      </c>
      <c r="B1" s="10" t="s">
        <v>8</v>
      </c>
      <c r="C1" s="10" t="s">
        <v>0</v>
      </c>
      <c r="D1" s="10" t="s">
        <v>1</v>
      </c>
      <c r="E1" s="10" t="s">
        <v>15</v>
      </c>
      <c r="F1" s="10" t="s">
        <v>16</v>
      </c>
      <c r="G1" s="10" t="s">
        <v>2</v>
      </c>
      <c r="H1" s="10" t="s">
        <v>74</v>
      </c>
      <c r="I1" s="10" t="s">
        <v>4</v>
      </c>
      <c r="J1" s="11" t="s">
        <v>3</v>
      </c>
      <c r="K1" s="20" t="s">
        <v>80</v>
      </c>
      <c r="L1" s="5" t="s">
        <v>18</v>
      </c>
      <c r="M1" s="5" t="s">
        <v>6</v>
      </c>
      <c r="N1" s="5" t="s">
        <v>7</v>
      </c>
      <c r="O1" s="5" t="s">
        <v>9</v>
      </c>
    </row>
    <row r="2" spans="1:15" ht="21" x14ac:dyDescent="0.35">
      <c r="A2" s="22" t="s">
        <v>91</v>
      </c>
      <c r="B2" s="23" t="s">
        <v>11</v>
      </c>
      <c r="C2" s="23" t="s">
        <v>78</v>
      </c>
      <c r="D2" s="23" t="s">
        <v>28</v>
      </c>
      <c r="E2" s="23" t="s">
        <v>17</v>
      </c>
      <c r="F2" s="23"/>
      <c r="G2" s="23" t="s">
        <v>62</v>
      </c>
      <c r="H2" s="23"/>
      <c r="I2" s="23">
        <v>8.8905316130868108</v>
      </c>
      <c r="J2" s="26">
        <v>47.1911812331427</v>
      </c>
      <c r="K2" s="21"/>
      <c r="L2" t="str">
        <f t="shared" ref="L2:L8" si="0">CONCATENATE(C2,IF(D2&lt;&gt;"",CONCATENATE(" ",D2),""))</f>
        <v>Hengstacker. 2 Neuer Stao!</v>
      </c>
      <c r="M2" t="str">
        <f>CONCATENATE(L2,IF(E2&lt;&gt;"",IF(F2&lt;&gt;"",CONCATENATE(L2,'Set-Up'!$C$7,E2,'Set-Up'!$C$8,F2,'Set-Up'!$C$9),CONCATENATE('Set-Up'!$C$4,E2,'Set-Up'!$C$5)),""))</f>
        <v>Hengstacker. 2 Neuer Stao!&amp;lt;BR/&amp;gt;&amp;lt;img src="http://www.rothlin.com/maps/img/xx1_Pic_1.jpg" style="max-height:200px;" /&amp;gt;</v>
      </c>
      <c r="N2" t="str">
        <f>getIconURL(G2)</f>
        <v>http://www.fhoch3.peterliwiese.ch/icons/HyderantNeuKlein.png</v>
      </c>
      <c r="O2" t="str">
        <f>CONCATENATE(I2,",",J2)</f>
        <v>8.89053161308681,47.1911812331427</v>
      </c>
    </row>
    <row r="3" spans="1:15" ht="21" x14ac:dyDescent="0.35">
      <c r="A3" s="12" t="s">
        <v>12</v>
      </c>
      <c r="B3" s="13" t="s">
        <v>10</v>
      </c>
      <c r="C3" s="13"/>
      <c r="D3" s="13"/>
      <c r="E3" s="13" t="s">
        <v>22</v>
      </c>
      <c r="F3" s="13"/>
      <c r="G3" s="13" t="s">
        <v>66</v>
      </c>
      <c r="H3" s="13"/>
      <c r="I3" s="13">
        <v>8.9113699999999998</v>
      </c>
      <c r="J3" s="14">
        <v>47.185409999999997</v>
      </c>
      <c r="K3" s="21"/>
      <c r="L3" t="str">
        <f t="shared" si="0"/>
        <v/>
      </c>
      <c r="M3" t="str">
        <f>CONCATENATE(L3,IF(E3&lt;&gt;"",IF(F3&lt;&gt;"",CONCATENATE(L3,'Set-Up'!$C$7,E3,'Set-Up'!$C$8,F3,'Set-Up'!$C$9),CONCATENATE('Set-Up'!$C$4,E3,'Set-Up'!$C$5)),""))</f>
        <v>&amp;lt;BR/&amp;gt;&amp;lt;img src="http://www.rothlin.com/maps/img/127_Pic_Tuggen_1.jpg" style="max-height:200px;" /&amp;gt;</v>
      </c>
      <c r="N3" t="str">
        <f t="shared" ref="N3:N8" si="1">getIconURL(G3)</f>
        <v>https://api3.geo.admin.ch/color/0,0,255/marker-24@2x.png</v>
      </c>
      <c r="O3" t="str">
        <f t="shared" ref="O3:O8" si="2">CONCATENATE(I3,",",J3)</f>
        <v>8.91137,47.18541</v>
      </c>
    </row>
    <row r="4" spans="1:15" ht="21" x14ac:dyDescent="0.35">
      <c r="A4" s="12">
        <v>12</v>
      </c>
      <c r="B4" s="13" t="s">
        <v>10</v>
      </c>
      <c r="C4" s="13"/>
      <c r="D4" s="13" t="s">
        <v>29</v>
      </c>
      <c r="E4" s="15" t="s">
        <v>23</v>
      </c>
      <c r="F4" s="13"/>
      <c r="G4" s="13" t="s">
        <v>63</v>
      </c>
      <c r="H4" s="13"/>
      <c r="I4" s="13">
        <v>8.8763773821061704</v>
      </c>
      <c r="J4" s="14">
        <v>47.192785603448499</v>
      </c>
      <c r="K4" s="21"/>
      <c r="L4" t="str">
        <f t="shared" si="0"/>
        <v xml:space="preserve"> Steht 2m vom der Strasse entfernt in der Wiese</v>
      </c>
      <c r="M4" t="str">
        <f>CONCATENATE(L4,IF(E4&lt;&gt;"",IF(F4&lt;&gt;"",CONCATENATE(L4,'Set-Up'!$C$7,E4,'Set-Up'!$C$8,F4,'Set-Up'!$C$9),CONCATENATE('Set-Up'!$C$4,E4,'Set-Up'!$C$5)),""))</f>
        <v xml:space="preserve"> Steht 2m vom der Strasse entfernt in der Wiese&amp;lt;BR/&amp;gt;&amp;lt;img src="http://www.rothlin.com/maps/img/012_Pic_1.jpg" style="max-height:200px;" /&amp;gt;</v>
      </c>
      <c r="N4" t="str">
        <f t="shared" si="1"/>
        <v>http://www.fhoch3.peterliwiese.ch/icons/HyderantAltKlein.png</v>
      </c>
      <c r="O4" t="str">
        <f t="shared" si="2"/>
        <v>8.87637738210617,47.1927856034485</v>
      </c>
    </row>
    <row r="5" spans="1:15" ht="21" x14ac:dyDescent="0.35">
      <c r="A5" s="12">
        <v>13</v>
      </c>
      <c r="B5" s="13" t="s">
        <v>10</v>
      </c>
      <c r="C5" s="13"/>
      <c r="D5" s="13" t="s">
        <v>30</v>
      </c>
      <c r="E5" s="15" t="s">
        <v>24</v>
      </c>
      <c r="F5" s="13"/>
      <c r="G5" s="13" t="s">
        <v>63</v>
      </c>
      <c r="H5" s="13"/>
      <c r="I5" s="13">
        <v>8.8817299999999992</v>
      </c>
      <c r="J5" s="14">
        <v>47.192520000000002</v>
      </c>
      <c r="K5" s="21"/>
      <c r="L5" t="str">
        <f t="shared" si="0"/>
        <v xml:space="preserve"> Angemalt</v>
      </c>
      <c r="M5" t="str">
        <f>CONCATENATE(L5,IF(E5&lt;&gt;"",IF(F5&lt;&gt;"",CONCATENATE(L5,'Set-Up'!$C$7,E5,'Set-Up'!$C$8,F5,'Set-Up'!$C$9),CONCATENATE('Set-Up'!$C$4,E5,'Set-Up'!$C$5)),""))</f>
        <v xml:space="preserve"> Angemalt&amp;lt;BR/&amp;gt;&amp;lt;img src="http://www.rothlin.com/maps/img/013_Pic_1.jpg" style="max-height:200px;" /&amp;gt;</v>
      </c>
      <c r="N5" t="str">
        <f t="shared" si="1"/>
        <v>http://www.fhoch3.peterliwiese.ch/icons/HyderantAltKlein.png</v>
      </c>
      <c r="O5" t="str">
        <f t="shared" si="2"/>
        <v>8.88173,47.19252</v>
      </c>
    </row>
    <row r="6" spans="1:15" ht="21" x14ac:dyDescent="0.35">
      <c r="A6" s="12">
        <v>17</v>
      </c>
      <c r="B6" s="13" t="s">
        <v>10</v>
      </c>
      <c r="C6" s="13"/>
      <c r="D6" s="13" t="s">
        <v>32</v>
      </c>
      <c r="E6" s="15" t="s">
        <v>25</v>
      </c>
      <c r="F6" s="13"/>
      <c r="G6" s="13" t="s">
        <v>63</v>
      </c>
      <c r="H6" s="13"/>
      <c r="I6" s="13">
        <v>8.8795550132558603</v>
      </c>
      <c r="J6" s="14">
        <v>47.195772320853301</v>
      </c>
      <c r="K6" s="21"/>
      <c r="L6" t="str">
        <f t="shared" si="0"/>
        <v xml:space="preserve"> Mit 75er Abgang</v>
      </c>
      <c r="M6" t="str">
        <f>CONCATENATE(L6,IF(E6&lt;&gt;"",IF(F6&lt;&gt;"",CONCATENATE(L6,'Set-Up'!$C$7,E6,'Set-Up'!$C$8,F6,'Set-Up'!$C$9),CONCATENATE('Set-Up'!$C$4,E6,'Set-Up'!$C$5)),""))</f>
        <v xml:space="preserve"> Mit 75er Abgang&amp;lt;BR/&amp;gt;&amp;lt;img src="http://www.rothlin.com/maps/img/017_Pic_1.jpg" style="max-height:200px;" /&amp;gt;</v>
      </c>
      <c r="N6" t="str">
        <f t="shared" si="1"/>
        <v>http://www.fhoch3.peterliwiese.ch/icons/HyderantAltKlein.png</v>
      </c>
      <c r="O6" t="str">
        <f t="shared" si="2"/>
        <v>8.87955501325586,47.1957723208533</v>
      </c>
    </row>
    <row r="7" spans="1:15" ht="20.25" customHeight="1" x14ac:dyDescent="0.35">
      <c r="A7" s="12">
        <v>19</v>
      </c>
      <c r="B7" s="13" t="s">
        <v>10</v>
      </c>
      <c r="C7" s="13"/>
      <c r="D7" s="13" t="s">
        <v>31</v>
      </c>
      <c r="E7" s="15" t="s">
        <v>33</v>
      </c>
      <c r="F7" s="13" t="s">
        <v>26</v>
      </c>
      <c r="G7" s="13" t="s">
        <v>63</v>
      </c>
      <c r="H7" s="13"/>
      <c r="I7" s="13">
        <v>8.8857543416776199</v>
      </c>
      <c r="J7" s="14">
        <v>47.195479531079698</v>
      </c>
      <c r="K7" s="21"/>
      <c r="L7" t="str">
        <f t="shared" si="0"/>
        <v xml:space="preserve"> In Hecke versteckt am Fusswegli</v>
      </c>
      <c r="M7" t="str">
        <f>CONCATENATE(L7,IF(E7&lt;&gt;"",IF(F7&lt;&gt;"",CONCATENATE(L7,'Set-Up'!$C$7,E7,'Set-Up'!$C$8,F7,'Set-Up'!$C$9),CONCATENATE('Set-Up'!$C$4,E7,'Set-Up'!$C$5)),""))</f>
        <v xml:space="preserve"> In Hecke versteckt am Fusswegli In Hecke versteckt am Fusswegli&amp;lt;BR/&amp;gt;&amp;lt;img src="http://www.rothlin.com/maps/img/019_Pic_1.jpg " style="max-height:200px;" /&amp;gt;&amp;lt;BR/&amp;gt;&amp;lt;img src="http://www.rothlin.com/maps/img/019_Pic_2.jpg" style="max-height:200px;" /&amp;gt;</v>
      </c>
      <c r="N7" t="str">
        <f t="shared" si="1"/>
        <v>http://www.fhoch3.peterliwiese.ch/icons/HyderantAltKlein.png</v>
      </c>
      <c r="O7" t="str">
        <f t="shared" si="2"/>
        <v>8.88575434167762,47.1954795310797</v>
      </c>
    </row>
    <row r="8" spans="1:15" ht="21.75" thickBot="1" x14ac:dyDescent="0.4">
      <c r="A8" s="16">
        <v>20</v>
      </c>
      <c r="B8" s="17" t="s">
        <v>10</v>
      </c>
      <c r="C8" s="17"/>
      <c r="D8" s="17" t="s">
        <v>30</v>
      </c>
      <c r="E8" s="18" t="s">
        <v>27</v>
      </c>
      <c r="F8" s="17"/>
      <c r="G8" s="17" t="s">
        <v>63</v>
      </c>
      <c r="H8" s="17"/>
      <c r="I8" s="17">
        <v>8.8878699999999995</v>
      </c>
      <c r="J8" s="30">
        <v>47.194479999999999</v>
      </c>
      <c r="K8" s="21"/>
      <c r="L8" t="str">
        <f t="shared" si="0"/>
        <v xml:space="preserve"> Angemalt</v>
      </c>
      <c r="M8" t="str">
        <f>CONCATENATE(L8,IF(E8&lt;&gt;"",IF(F8&lt;&gt;"",CONCATENATE(L8,'Set-Up'!$C$7,E8,'Set-Up'!$C$8,F8,'Set-Up'!$C$9),CONCATENATE('Set-Up'!$C$4,E8,'Set-Up'!$C$5)),""))</f>
        <v xml:space="preserve"> Angemalt&amp;lt;BR/&amp;gt;&amp;lt;img src="http://www.rothlin.com/maps/img/020_Pic_1.jpg" style="max-height:200px;" /&amp;gt;</v>
      </c>
      <c r="N8" t="str">
        <f t="shared" si="1"/>
        <v>http://www.fhoch3.peterliwiese.ch/icons/HyderantAltKlein.png</v>
      </c>
      <c r="O8" t="str">
        <f t="shared" si="2"/>
        <v>8.88787,47.19448</v>
      </c>
    </row>
    <row r="9" spans="1:15" x14ac:dyDescent="0.25">
      <c r="I9" s="8"/>
      <c r="J9" s="8"/>
      <c r="K9" s="8"/>
    </row>
    <row r="10" spans="1:15" x14ac:dyDescent="0.25">
      <c r="I10" s="8"/>
      <c r="J10" s="8"/>
      <c r="K10" s="8"/>
    </row>
    <row r="11" spans="1:15" x14ac:dyDescent="0.25">
      <c r="I11" s="8"/>
      <c r="J11" s="8"/>
      <c r="K11" s="8"/>
    </row>
    <row r="12" spans="1:15" x14ac:dyDescent="0.25">
      <c r="I12" s="8"/>
      <c r="J12" s="8"/>
      <c r="K12" s="8"/>
    </row>
    <row r="13" spans="1:15" x14ac:dyDescent="0.25">
      <c r="I13" s="8"/>
      <c r="J13" s="8"/>
      <c r="K13" s="8"/>
    </row>
    <row r="14" spans="1:15" x14ac:dyDescent="0.25">
      <c r="I14" s="8"/>
      <c r="J14" s="8"/>
      <c r="K14" s="8"/>
    </row>
    <row r="15" spans="1:15" x14ac:dyDescent="0.25">
      <c r="I15" s="8"/>
      <c r="J15" s="8"/>
      <c r="K15" s="8"/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FFFF00"/>
  </sheetPr>
  <dimension ref="A1:O7"/>
  <sheetViews>
    <sheetView zoomScale="70" zoomScaleNormal="70" workbookViewId="0">
      <selection activeCell="K26" sqref="K26"/>
    </sheetView>
  </sheetViews>
  <sheetFormatPr baseColWidth="10" defaultRowHeight="15" x14ac:dyDescent="0.25"/>
  <cols>
    <col min="1" max="1" width="18" customWidth="1"/>
    <col min="2" max="2" width="11.5703125" customWidth="1"/>
    <col min="3" max="3" width="28.140625" customWidth="1"/>
    <col min="4" max="4" width="53.28515625" customWidth="1"/>
    <col min="5" max="6" width="28.5703125" customWidth="1"/>
    <col min="7" max="7" width="14.5703125" customWidth="1"/>
    <col min="8" max="8" width="23" customWidth="1"/>
    <col min="9" max="10" width="23.85546875" customWidth="1"/>
    <col min="11" max="11" width="128.42578125" customWidth="1"/>
    <col min="12" max="12" width="24.85546875" customWidth="1"/>
    <col min="13" max="13" width="119.7109375" customWidth="1"/>
    <col min="14" max="14" width="61.28515625" customWidth="1"/>
    <col min="15" max="15" width="51.42578125" customWidth="1"/>
  </cols>
  <sheetData>
    <row r="1" spans="1:15" ht="21.75" thickBot="1" x14ac:dyDescent="0.4">
      <c r="A1" s="9" t="s">
        <v>5</v>
      </c>
      <c r="B1" s="10" t="s">
        <v>8</v>
      </c>
      <c r="C1" s="10" t="s">
        <v>0</v>
      </c>
      <c r="D1" s="10" t="s">
        <v>1</v>
      </c>
      <c r="E1" s="10" t="s">
        <v>15</v>
      </c>
      <c r="F1" s="10" t="s">
        <v>16</v>
      </c>
      <c r="G1" s="10" t="s">
        <v>2</v>
      </c>
      <c r="H1" s="10" t="s">
        <v>74</v>
      </c>
      <c r="I1" s="10" t="s">
        <v>4</v>
      </c>
      <c r="J1" s="11" t="s">
        <v>3</v>
      </c>
      <c r="K1" s="20" t="s">
        <v>80</v>
      </c>
      <c r="L1" s="5" t="s">
        <v>18</v>
      </c>
      <c r="M1" s="5" t="s">
        <v>6</v>
      </c>
      <c r="N1" s="5" t="s">
        <v>7</v>
      </c>
      <c r="O1" s="5" t="s">
        <v>9</v>
      </c>
    </row>
    <row r="2" spans="1:15" ht="21" x14ac:dyDescent="0.35">
      <c r="A2" s="22" t="s">
        <v>69</v>
      </c>
      <c r="B2" s="23" t="s">
        <v>10</v>
      </c>
      <c r="C2" s="23" t="s">
        <v>71</v>
      </c>
      <c r="D2" s="23" t="s">
        <v>68</v>
      </c>
      <c r="E2" s="24"/>
      <c r="F2" s="23"/>
      <c r="G2" s="25" t="s">
        <v>64</v>
      </c>
      <c r="H2" s="25" t="s">
        <v>75</v>
      </c>
      <c r="I2" s="23">
        <v>8.8917999999999999</v>
      </c>
      <c r="J2" s="26">
        <v>47.205750000000002</v>
      </c>
      <c r="K2" s="21"/>
      <c r="L2" t="str">
        <f t="shared" ref="L2:L3" si="0">CONCATENATE(C2,IF(D2&lt;&gt;"",CONCATENATE(" ",D2),""))</f>
        <v>KIBAG AG, Kieswerk Ab See</v>
      </c>
      <c r="M2" t="str">
        <f>CONCATENATE(L2,IF(E2&lt;&gt;"",IF(F2&lt;&gt;"",CONCATENATE(L2,'Set-Up'!$C$7,E2,'Set-Up'!$C$8,F2,'Set-Up'!$C$9),CONCATENATE('Set-Up'!$C$4,E2,'Set-Up'!$C$5)),""))</f>
        <v>KIBAG AG, Kieswerk Ab See</v>
      </c>
      <c r="N2" t="str">
        <f>getIconURL(G2)</f>
        <v>https://api3.geo.admin.ch/color/0,255,0/marker-24@2x.png</v>
      </c>
      <c r="O2" t="str">
        <f t="shared" ref="O2:O3" si="1">CONCATENATE(I2,",",J2)</f>
        <v>8.8918,47.20575</v>
      </c>
    </row>
    <row r="3" spans="1:15" ht="21.75" thickBot="1" x14ac:dyDescent="0.4">
      <c r="A3" s="16" t="s">
        <v>70</v>
      </c>
      <c r="B3" s="17" t="s">
        <v>10</v>
      </c>
      <c r="C3" s="17" t="s">
        <v>76</v>
      </c>
      <c r="D3" s="17" t="s">
        <v>68</v>
      </c>
      <c r="E3" s="18"/>
      <c r="F3" s="17"/>
      <c r="G3" s="19" t="s">
        <v>64</v>
      </c>
      <c r="H3" s="19" t="s">
        <v>75</v>
      </c>
      <c r="I3" s="17">
        <v>8.8641000000000005</v>
      </c>
      <c r="J3" s="30">
        <v>47.203560000000003</v>
      </c>
      <c r="K3" s="21"/>
      <c r="L3" t="str">
        <f t="shared" si="0"/>
        <v>Flugplatz Franzrueti Ab See</v>
      </c>
      <c r="M3" t="str">
        <f>CONCATENATE(L3,IF(E3&lt;&gt;"",IF(F3&lt;&gt;"",CONCATENATE(L3,'Set-Up'!$C$7,E3,'Set-Up'!$C$8,F3,'Set-Up'!$C$9),CONCATENATE('Set-Up'!$C$4,E3,'Set-Up'!$C$5)),""))</f>
        <v>Flugplatz Franzrueti Ab See</v>
      </c>
      <c r="N3" t="str">
        <f>getIconURL(G3)</f>
        <v>https://api3.geo.admin.ch/color/0,255,0/marker-24@2x.png</v>
      </c>
      <c r="O3" t="str">
        <f t="shared" si="1"/>
        <v>8.8641,47.20356</v>
      </c>
    </row>
    <row r="4" spans="1:15" x14ac:dyDescent="0.25">
      <c r="I4" s="8"/>
      <c r="J4" s="8"/>
      <c r="K4" s="8"/>
    </row>
    <row r="5" spans="1:15" x14ac:dyDescent="0.25">
      <c r="I5" s="8"/>
      <c r="J5" s="8"/>
      <c r="K5" s="8"/>
    </row>
    <row r="6" spans="1:15" x14ac:dyDescent="0.25">
      <c r="I6" s="8"/>
      <c r="J6" s="8"/>
      <c r="K6" s="8"/>
    </row>
    <row r="7" spans="1:15" x14ac:dyDescent="0.25">
      <c r="I7" s="8"/>
      <c r="J7" s="8"/>
      <c r="K7" s="8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1:G59"/>
  <sheetViews>
    <sheetView tabSelected="1" topLeftCell="A22" workbookViewId="0">
      <selection activeCell="D58" sqref="D58"/>
    </sheetView>
  </sheetViews>
  <sheetFormatPr baseColWidth="10" defaultRowHeight="15" x14ac:dyDescent="0.25"/>
  <cols>
    <col min="2" max="2" width="24.42578125" customWidth="1"/>
    <col min="3" max="3" width="97.42578125" customWidth="1"/>
    <col min="6" max="6" width="18.5703125" customWidth="1"/>
    <col min="7" max="7" width="65.140625" customWidth="1"/>
  </cols>
  <sheetData>
    <row r="1" spans="2:7" ht="21" x14ac:dyDescent="0.35">
      <c r="B1" s="27" t="s">
        <v>79</v>
      </c>
    </row>
    <row r="2" spans="2:7" x14ac:dyDescent="0.25">
      <c r="B2" s="4" t="s">
        <v>50</v>
      </c>
      <c r="C2" s="2" t="s">
        <v>82</v>
      </c>
      <c r="F2" s="4" t="s">
        <v>58</v>
      </c>
      <c r="G2" s="31" t="s">
        <v>59</v>
      </c>
    </row>
    <row r="3" spans="2:7" x14ac:dyDescent="0.25">
      <c r="B3" s="4" t="s">
        <v>60</v>
      </c>
      <c r="C3" s="2" t="s">
        <v>49</v>
      </c>
    </row>
    <row r="4" spans="2:7" x14ac:dyDescent="0.25">
      <c r="B4" s="4" t="s">
        <v>19</v>
      </c>
      <c r="C4" s="1" t="str">
        <f>CONCATENATE("&amp;lt;BR/&amp;gt;&amp;lt;img src=",G2,C3)</f>
        <v>&amp;lt;BR/&amp;gt;&amp;lt;img src="http://www.rothlin.com/maps/img/</v>
      </c>
    </row>
    <row r="5" spans="2:7" x14ac:dyDescent="0.25">
      <c r="B5" s="4" t="s">
        <v>20</v>
      </c>
      <c r="C5" s="2" t="s">
        <v>21</v>
      </c>
    </row>
    <row r="7" spans="2:7" x14ac:dyDescent="0.25">
      <c r="B7" s="4" t="s">
        <v>34</v>
      </c>
      <c r="C7" s="1" t="str">
        <f>CONCATENATE("&amp;lt;BR/&amp;gt;&amp;lt;img src=",G2,C3)</f>
        <v>&amp;lt;BR/&amp;gt;&amp;lt;img src="http://www.rothlin.com/maps/img/</v>
      </c>
    </row>
    <row r="8" spans="2:7" x14ac:dyDescent="0.25">
      <c r="B8" s="4" t="s">
        <v>35</v>
      </c>
      <c r="C8" s="1" t="str">
        <f>CONCATENATE(" ",G2," style=",G2,"max-height:200px;",G2," /&amp;gt;&amp;lt;BR/&amp;gt;&amp;lt;img src=",G2,C3)</f>
        <v xml:space="preserve"> " style="max-height:200px;" /&amp;gt;&amp;lt;BR/&amp;gt;&amp;lt;img src="http://www.rothlin.com/maps/img/</v>
      </c>
    </row>
    <row r="9" spans="2:7" x14ac:dyDescent="0.25">
      <c r="B9" s="4" t="s">
        <v>36</v>
      </c>
      <c r="C9" s="1" t="str">
        <f>C5</f>
        <v>" style="max-height:200px;" /&amp;gt;</v>
      </c>
    </row>
    <row r="13" spans="2:7" x14ac:dyDescent="0.25">
      <c r="B13" s="32"/>
      <c r="C13" s="32"/>
      <c r="F13" s="4" t="s">
        <v>61</v>
      </c>
      <c r="G13" s="2" t="s">
        <v>67</v>
      </c>
    </row>
    <row r="14" spans="2:7" x14ac:dyDescent="0.25">
      <c r="B14" s="32"/>
      <c r="C14" s="32"/>
      <c r="F14" s="4" t="s">
        <v>62</v>
      </c>
      <c r="G14" s="1" t="str">
        <f>CONCATENATE(G13,"HyderantNeuKlein.png")</f>
        <v>http://www.fhoch3.peterliwiese.ch/icons/HyderantNeuKlein.png</v>
      </c>
    </row>
    <row r="15" spans="2:7" x14ac:dyDescent="0.25">
      <c r="B15" s="32"/>
      <c r="C15" s="32"/>
      <c r="F15" s="4" t="s">
        <v>63</v>
      </c>
      <c r="G15" s="1" t="str">
        <f>CONCATENATE(G13,"HyderantAltKlein.png")</f>
        <v>http://www.fhoch3.peterliwiese.ch/icons/HyderantAltKlein.png</v>
      </c>
    </row>
    <row r="16" spans="2:7" x14ac:dyDescent="0.25">
      <c r="B16" s="32"/>
      <c r="C16" s="32"/>
      <c r="F16" s="4" t="s">
        <v>64</v>
      </c>
      <c r="G16" s="2" t="s">
        <v>37</v>
      </c>
    </row>
    <row r="17" spans="2:7" x14ac:dyDescent="0.25">
      <c r="B17" s="32"/>
      <c r="C17" s="32"/>
      <c r="F17" s="4" t="s">
        <v>65</v>
      </c>
      <c r="G17" s="2" t="s">
        <v>14</v>
      </c>
    </row>
    <row r="18" spans="2:7" x14ac:dyDescent="0.25">
      <c r="B18" s="32"/>
      <c r="C18" s="32"/>
      <c r="F18" s="4" t="s">
        <v>66</v>
      </c>
      <c r="G18" s="2" t="s">
        <v>13</v>
      </c>
    </row>
    <row r="19" spans="2:7" x14ac:dyDescent="0.25">
      <c r="B19" s="32"/>
      <c r="C19" s="32"/>
      <c r="F19" s="4" t="s">
        <v>72</v>
      </c>
      <c r="G19" s="2" t="s">
        <v>73</v>
      </c>
    </row>
    <row r="22" spans="2:7" x14ac:dyDescent="0.25">
      <c r="B22" s="4" t="s">
        <v>51</v>
      </c>
      <c r="C22" s="1" t="str">
        <f>MyName()</f>
        <v>Plaene_8855_TryIt.xlsm</v>
      </c>
    </row>
    <row r="23" spans="2:7" x14ac:dyDescent="0.25">
      <c r="B23" s="4" t="s">
        <v>52</v>
      </c>
      <c r="C23" s="1" t="str">
        <f>MyFullName()</f>
        <v>G:\_WaltisDaten\SourceCode\XML\KML_Karten\8855_TryIt\Plaene_8855_TryIt.xlsm</v>
      </c>
    </row>
    <row r="24" spans="2:7" x14ac:dyDescent="0.25">
      <c r="B24" s="4" t="s">
        <v>53</v>
      </c>
      <c r="C24" s="1" t="str">
        <f>LEFT(C23,LEN(C23)-LEN(C22))</f>
        <v>G:\_WaltisDaten\SourceCode\XML\KML_Karten\8855_TryIt\</v>
      </c>
    </row>
    <row r="29" spans="2:7" x14ac:dyDescent="0.25">
      <c r="B29" s="32"/>
      <c r="C29" s="32"/>
    </row>
    <row r="30" spans="2:7" x14ac:dyDescent="0.25">
      <c r="B30" s="32"/>
      <c r="C30" s="32"/>
    </row>
    <row r="31" spans="2:7" x14ac:dyDescent="0.25">
      <c r="B31" s="4" t="s">
        <v>38</v>
      </c>
      <c r="C31" s="2" t="s">
        <v>40</v>
      </c>
    </row>
    <row r="32" spans="2:7" x14ac:dyDescent="0.25">
      <c r="B32" s="4" t="s">
        <v>39</v>
      </c>
      <c r="C32" s="2" t="s">
        <v>41</v>
      </c>
    </row>
    <row r="33" spans="2:3" x14ac:dyDescent="0.25">
      <c r="B33" s="32"/>
      <c r="C33" s="32"/>
    </row>
    <row r="37" spans="2:3" x14ac:dyDescent="0.25">
      <c r="B37" s="4" t="s">
        <v>43</v>
      </c>
      <c r="C37" s="29" t="s">
        <v>42</v>
      </c>
    </row>
    <row r="38" spans="2:3" x14ac:dyDescent="0.25">
      <c r="B38" s="4" t="s">
        <v>45</v>
      </c>
      <c r="C38" s="1" t="str">
        <f>CONCATENATE(C2,"@fhoch3.peterliwiese.ch")</f>
        <v>8855_TryIt@fhoch3.peterliwiese.ch</v>
      </c>
    </row>
    <row r="39" spans="2:3" x14ac:dyDescent="0.25">
      <c r="B39" s="4" t="s">
        <v>46</v>
      </c>
      <c r="C39" s="3" t="s">
        <v>83</v>
      </c>
    </row>
    <row r="40" spans="2:3" x14ac:dyDescent="0.25">
      <c r="B40" s="4" t="s">
        <v>44</v>
      </c>
      <c r="C40" s="1" t="str">
        <f>CONCATENATE("/public_html/fhoch3/",C2)</f>
        <v>/public_html/fhoch3/8855_TryIt</v>
      </c>
    </row>
    <row r="41" spans="2:3" x14ac:dyDescent="0.25">
      <c r="B41" s="4" t="s">
        <v>47</v>
      </c>
      <c r="C41" s="1" t="str">
        <f>CONCATENATE(C24,C2,".bas")</f>
        <v>G:\_WaltisDaten\SourceCode\XML\KML_Karten\8855_TryIt\8855_TryIt.bas</v>
      </c>
    </row>
    <row r="43" spans="2:3" x14ac:dyDescent="0.25">
      <c r="B43" s="4" t="s">
        <v>56</v>
      </c>
      <c r="C43" s="2" t="s">
        <v>57</v>
      </c>
    </row>
    <row r="44" spans="2:3" x14ac:dyDescent="0.25">
      <c r="B44" s="4" t="s">
        <v>48</v>
      </c>
      <c r="C44" s="1" t="str">
        <f>CONCATENATE(C43,"cgi-bin/convertKML_Plaene.pl?Mandant=",C2)</f>
        <v>http://www.fhoch3.peterliwiese.ch/cgi-bin/convertKML_Plaene.pl?Mandant=8855_TryIt</v>
      </c>
    </row>
    <row r="45" spans="2:3" x14ac:dyDescent="0.25">
      <c r="B45" s="4" t="s">
        <v>54</v>
      </c>
      <c r="C45" s="1" t="str">
        <f>CONCATENATE(C43,C2,"/Plan_Hydranten.xml")</f>
        <v>http://www.fhoch3.peterliwiese.ch/8855_TryIt/Plan_Hydranten.xml</v>
      </c>
    </row>
    <row r="46" spans="2:3" x14ac:dyDescent="0.25">
      <c r="B46" s="4" t="s">
        <v>54</v>
      </c>
      <c r="C46" s="1" t="str">
        <f>CONCATENATE(C43,C2,"/Plan_Wasserbezug.xml")</f>
        <v>http://www.fhoch3.peterliwiese.ch/8855_TryIt/Plan_Wasserbezug.xml</v>
      </c>
    </row>
    <row r="47" spans="2:3" x14ac:dyDescent="0.25">
      <c r="B47" s="4" t="s">
        <v>54</v>
      </c>
      <c r="C47" s="1"/>
    </row>
    <row r="48" spans="2:3" x14ac:dyDescent="0.25">
      <c r="B48" s="4"/>
      <c r="C48" s="1"/>
    </row>
    <row r="49" spans="2:3" x14ac:dyDescent="0.25">
      <c r="B49" s="4" t="s">
        <v>55</v>
      </c>
      <c r="C49" s="7" t="s">
        <v>84</v>
      </c>
    </row>
    <row r="50" spans="2:3" x14ac:dyDescent="0.25">
      <c r="B50" s="4" t="s">
        <v>77</v>
      </c>
      <c r="C50" s="7" t="s">
        <v>85</v>
      </c>
    </row>
    <row r="51" spans="2:3" x14ac:dyDescent="0.25">
      <c r="B51" s="4" t="s">
        <v>81</v>
      </c>
      <c r="C51" s="1" t="str">
        <f>CONCATENATE(C43,C2)</f>
        <v>http://www.fhoch3.peterliwiese.ch/8855_TryIt</v>
      </c>
    </row>
    <row r="53" spans="2:3" x14ac:dyDescent="0.25">
      <c r="B53" s="28" t="s">
        <v>86</v>
      </c>
    </row>
    <row r="54" spans="2:3" x14ac:dyDescent="0.25">
      <c r="B54" s="4" t="s">
        <v>87</v>
      </c>
      <c r="C54" s="7" t="s">
        <v>88</v>
      </c>
    </row>
    <row r="55" spans="2:3" x14ac:dyDescent="0.25">
      <c r="B55" s="4" t="s">
        <v>89</v>
      </c>
      <c r="C55" s="7" t="s">
        <v>90</v>
      </c>
    </row>
    <row r="56" spans="2:3" x14ac:dyDescent="0.25">
      <c r="C56" s="6"/>
    </row>
    <row r="59" spans="2:3" x14ac:dyDescent="0.25">
      <c r="C59" s="7"/>
    </row>
  </sheetData>
  <hyperlinks>
    <hyperlink ref="C37" r:id="rId1"/>
    <hyperlink ref="C54" r:id="rId2"/>
    <hyperlink ref="C55" r:id="rId3"/>
    <hyperlink ref="C50" r:id="rId4"/>
  </hyperlinks>
  <pageMargins left="0.7" right="0.7" top="0.78740157499999996" bottom="0.78740157499999996" header="0.3" footer="0.3"/>
  <pageSetup paperSize="9" orientation="portrait" verticalDpi="0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Plan_Hydranten</vt:lpstr>
      <vt:lpstr>Plan_Wasserbezug</vt:lpstr>
      <vt:lpstr>Set-Up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Schnellmann, Simon</dc:creator>
  <cp:lastModifiedBy>admin</cp:lastModifiedBy>
  <dcterms:created xsi:type="dcterms:W3CDTF">2018-11-30T07:26:33Z</dcterms:created>
  <dcterms:modified xsi:type="dcterms:W3CDTF">2020-11-29T15:55:59Z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89c6e03a-70c9-4369-acef-dda19921a021</vt:lpwstr>
  </property>
</Properties>
</file>